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7新普惠" sheetId="2" r:id="rId5"/>
    <sheet name="2026.6新普惠" sheetId="3" r:id="rId6"/>
    <sheet name="2026.5新普惠" sheetId="4" r:id="rId7"/>
    <sheet name="2026.5" sheetId="5" r:id="rId8"/>
    <sheet name="2026.4" sheetId="6" r:id="rId9"/>
    <sheet name="2026.3" sheetId="7" r:id="rId10"/>
    <sheet name="勿删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54" i="5" a="true"/>
  <c r="G554" i="5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<sst xmlns="http://schemas.openxmlformats.org/spreadsheetml/2006/main" count="510" uniqueCount="510">
  <si>
    <t xml:space="preserve">  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</si>
  <si>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</si>
  <si>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</si>
  <si>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</si>
  <si>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</si>
  <si>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</si>
  <si>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</si>
  <si>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订单数</t>
  </si>
  <si>
    <t xml:space="preserve">保单数</t>
  </si>
  <si>
    <t xml:space="preserve">转化数</t>
  </si>
  <si>
    <t xml:space="preserve">年化保费</t>
  </si>
  <si>
    <t xml:space="preserve">家庭单</t>
  </si>
  <si>
    <t xml:space="preserve">ROI</t>
  </si>
  <si>
    <t xml:space="preserve">保单成本</t>
  </si>
  <si>
    <t xml:space="preserve">转化成本</t>
  </si>
  <si>
    <t xml:space="preserve">转化率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</si>
  <si>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</si>
  <si>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</si>
  <si>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</si>
  <si>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</si>
  <si>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</si>
  <si>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</si>
  <si>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</si>
  <si>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</si>
  <si>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</si>
  <si>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</si>
  <si>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</si>
  <si>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</si>
  <si>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</si>
  <si>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</si>
  <si>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</si>
  <si>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</si>
  <si>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</si>
  <si>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</si>
  <si>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</si>
  <si>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</si>
  <si>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</si>
  <si>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</si>
  <si>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解翠珠</t>
  </si>
  <si>
    <t xml:space="preserve">06:00-07:00</t>
  </si>
  <si>
    <t xml:space="preserve">徐铜</t>
  </si>
  <si>
    <t xml:space="preserve">陈思钰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</si>
  <si>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</si>
  <si>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</si>
  <si>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</si>
  <si>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</si>
  <si>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</si>
  <si>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葛语童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</si>
  <si>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</si>
  <si>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</si>
  <si>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</si>
  <si>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</si>
  <si>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王浩博</t>
  </si>
  <si>
    <t xml:space="preserve">15:00-16:00</t>
  </si>
  <si>
    <t xml:space="preserve">尚本云</t>
  </si>
  <si>
    <t xml:space="preserve">16:00-17:00</t>
  </si>
  <si>
    <t xml:space="preserve">秦博塬</t>
  </si>
  <si>
    <t xml:space="preserve">17:00-18:00</t>
  </si>
  <si>
    <t xml:space="preserve">18:00-19:00</t>
  </si>
  <si>
    <t xml:space="preserve">19:00-20:00</t>
  </si>
  <si>
    <t xml:space="preserve">郭子硕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</si>
  <si>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</si>
  <si>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</si>
  <si>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</si>
  <si>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</si>
  <si>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</si>
  <si>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日期</t>
  </si>
  <si>
    <t xml:space="preserve">曹慧妍</t>
  </si>
  <si>
    <t xml:space="preserve">李哲</t>
  </si>
  <si>
    <t xml:space="preserve">裴孟柯</t>
  </si>
  <si>
    <t xml:space="preserve">周舒馨</t>
  </si>
  <si>
    <t xml:space="preserve">曹慧研</t>
  </si>
  <si>
    <t xml:space="preserve">任子硕</t>
  </si>
  <si>
    <t xml:space="preserve">董柯言</t>
  </si>
  <si>
    <t xml:space="preserve">张怡棣</t>
  </si>
  <si>
    <t xml:space="preserve">杨萧冉</t>
  </si>
  <si>
    <t xml:space="preserve">郑若楠</t>
  </si>
  <si>
    <t xml:space="preserve">核心指标</t>
  </si>
  <si>
    <t xml:space="preserve">互动指标</t>
  </si>
  <si>
    <t xml:space="preserve">时报截该列之前字段即可，后续字段仅供计算使用</t>
  </si>
  <si>
    <t xml:space="preserve">投手</t>
  </si>
  <si>
    <t xml:space="preserve">运营</t>
  </si>
  <si>
    <t xml:space="preserve">时段</t>
  </si>
  <si>
    <t xml:space="preserve">消耗 </t>
  </si>
  <si>
    <t xml:space="preserve">家庭单数</t>
  </si>
  <si>
    <t xml:space="preserve">年化roi</t>
  </si>
  <si>
    <t xml:space="preserve">年化roi_含代播费和服务费</t>
  </si>
  <si>
    <t xml:space="preserve">多单率（家庭单数/保单数）</t>
  </si>
  <si>
    <t xml:space="preserve">支付率</t>
  </si>
  <si>
    <t xml:space="preserve">观看成本</t>
  </si>
  <si>
    <t xml:space="preserve">组件点击成本</t>
  </si>
  <si>
    <t xml:space="preserve">表单提交成本</t>
  </si>
  <si>
    <t xml:space="preserve">保险支付成本</t>
  </si>
  <si>
    <t xml:space="preserve">点击-观看</t>
  </si>
  <si>
    <t xml:space="preserve">观看-组件点击</t>
  </si>
  <si>
    <t xml:space="preserve">组件点击-表单提交</t>
  </si>
  <si>
    <t xml:space="preserve">表单提交-保险支付</t>
  </si>
  <si>
    <t xml:space="preserve">ctr</t>
  </si>
  <si>
    <t xml:space="preserve">cvr</t>
  </si>
  <si>
    <t xml:space="preserve">cpm</t>
  </si>
  <si>
    <t xml:space="preserve">cpc</t>
  </si>
  <si>
    <t xml:space="preserve">超1分钟观看成本</t>
  </si>
  <si>
    <t xml:space="preserve">评论成本</t>
  </si>
  <si>
    <t xml:space="preserve">关注成本</t>
  </si>
  <si>
    <t xml:space="preserve">观看-超1分钟观看</t>
  </si>
  <si>
    <t xml:space="preserve">观看-评论</t>
  </si>
  <si>
    <t xml:space="preserve">观看-关注</t>
  </si>
  <si>
    <t xml:space="preserve">直播时长</t>
  </si>
  <si>
    <t xml:space="preserve">主播时薪</t>
  </si>
  <si>
    <t xml:space="preserve">服务费率</t>
  </si>
  <si>
    <t xml:space="preserve">展示数</t>
  </si>
  <si>
    <t xml:space="preserve">表单提交</t>
  </si>
  <si>
    <t xml:space="preserve">保险支付数</t>
  </si>
  <si>
    <t xml:space="preserve">直播间超1分钟观看数</t>
  </si>
  <si>
    <t xml:space="preserve">勿动</t>
  </si>
  <si>
    <t xml:space="preserve">当日合计</t>
  </si>
  <si>
    <t xml:space="preserve">娟娟</t>
  </si>
  <si>
    <t xml:space="preserve">主播合计</t>
  </si>
  <si>
    <t xml:space="preserve">合计</t>
  </si>
  <si>
    <t xml:space="preserve">00:00-01:00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</si>
  <si>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</si>
  <si>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</si>
  <si>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</si>
  <si>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</si>
  <si>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</si>
  <si>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</si>
  <si>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</si>
  <si>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订单数</t>
  </si>
  <si>
    <t xml:space="preserve">保单数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</si>
  <si>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</si>
  <si>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</si>
  <si>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</si>
  <si>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</si>
  <si>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</si>
  <si>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转化率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</si>
  <si>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</si>
  <si>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</si>
  <si>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</si>
  <si>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</si>
  <si>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</si>
  <si>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</si>
  <si>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</si>
  <si>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</si>
  <si>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</si>
  <si>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</si>
  <si>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</si>
  <si>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</si>
  <si>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</si>
  <si>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</si>
  <si>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</si>
  <si>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</si>
  <si>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</si>
  <si>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</si>
  <si>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</si>
  <si>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</si>
  <si>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</si>
  <si>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</si>
  <si>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解翠珠</t>
  </si>
  <si>
    <t xml:space="preserve">07:00-08:00</t>
  </si>
  <si>
    <t xml:space="preserve">秦博塬</t>
  </si>
  <si>
    <t xml:space="preserve">李哲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</si>
  <si>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</si>
  <si>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</si>
  <si>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</si>
  <si>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</si>
  <si>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分主播汇总</t>
  </si>
  <si>
    <t xml:space="preserve">代艺旋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</si>
  <si>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</si>
  <si>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</si>
  <si>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</si>
  <si>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</si>
  <si>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曹慧妍</t>
  </si>
  <si>
    <t xml:space="preserve">16:00-17:00</t>
  </si>
  <si>
    <t xml:space="preserve">徐铜</t>
  </si>
  <si>
    <t xml:space="preserve">任子硕</t>
  </si>
  <si>
    <t xml:space="preserve">17:00-18:00</t>
  </si>
  <si>
    <t xml:space="preserve">18:00-19:00</t>
  </si>
  <si>
    <t xml:space="preserve">19:00-20:00</t>
  </si>
  <si>
    <t xml:space="preserve">郭子硕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</si>
  <si>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</si>
  <si>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</si>
  <si>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</si>
  <si>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</si>
  <si>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总计</t>
  </si>
  <si>
    <t xml:space="preserve">陈思钰</t>
  </si>
  <si>
    <t xml:space="preserve">周舒馨</t>
  </si>
  <si>
    <t xml:space="preserve">尚本云</t>
  </si>
  <si>
    <t xml:space="preserve">王浩博</t>
  </si>
  <si>
    <t xml:space="preserve">曹颖慧</t>
  </si>
  <si>
    <t xml:space="preserve">家庭单</t>
  </si>
  <si>
    <t xml:space="preserve">曹慧妍 </t>
  </si>
  <si>
    <t xml:space="preserve">葛语童</t>
  </si>
  <si>
    <t xml:space="preserve">24:00-01:00</t>
  </si>
  <si>
    <t xml:space="preserve">朱明</t>
  </si>
  <si>
    <t xml:space="preserve">24:00-1:00</t>
  </si>
  <si>
    <t xml:space="preserve">董柯言</t>
  </si>
  <si>
    <t xml:space="preserve">曹慧研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</si>
  <si>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</si>
  <si>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</si>
  <si>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</si>
  <si>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</si>
  <si>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</si>
  <si>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</si>
  <si>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</si>
  <si>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保单数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</si>
  <si>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</si>
  <si>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</si>
  <si>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</si>
  <si>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</si>
  <si>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</si>
  <si>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</si>
  <si>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</si>
  <si>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</si>
  <si>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</si>
  <si>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</si>
  <si>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</si>
  <si>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</si>
  <si>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</si>
  <si>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</si>
  <si>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</si>
  <si>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</si>
  <si>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</si>
  <si>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</si>
  <si>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</si>
  <si>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</si>
  <si>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</si>
  <si>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</si>
  <si>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</si>
  <si>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</si>
  <si>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</si>
  <si>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</si>
  <si>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</si>
  <si>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代艺旋</t>
  </si>
  <si>
    <t xml:space="preserve">19:00-20:00</t>
  </si>
  <si>
    <t xml:space="preserve">秦博塬</t>
  </si>
  <si>
    <t xml:space="preserve">曹颖慧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</si>
  <si>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</si>
  <si>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</si>
  <si>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</si>
  <si>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</si>
  <si>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分主播汇总</t>
  </si>
  <si>
    <t xml:space="preserve">总计</t>
  </si>
  <si>
    <t xml:space="preserve">代艺璇 </t>
  </si>
  <si>
    <t xml:space="preserve">16:00-17:00</t>
  </si>
  <si>
    <t xml:space="preserve">17:00-18:00</t>
  </si>
  <si>
    <t xml:space="preserve">18:00-19:00</t>
  </si>
  <si>
    <t xml:space="preserve">郭子硕</t>
  </si>
  <si>
    <t xml:space="preserve">董柯言</t>
  </si>
  <si>
    <t xml:space="preserve">解翠珠 </t>
  </si>
  <si>
    <t xml:space="preserve">曹慧妍</t>
  </si>
  <si>
    <t xml:space="preserve">周舒馨</t>
  </si>
  <si>
    <t xml:space="preserve">魏迪</t>
  </si>
  <si>
    <t xml:space="preserve">08:00-09:00</t>
  </si>
  <si>
    <t xml:space="preserve">徐铜</t>
  </si>
  <si>
    <t xml:space="preserve">李仓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</si>
  <si>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</si>
  <si>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</si>
  <si>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</si>
  <si>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</si>
  <si>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陈思钰</t>
  </si>
  <si>
    <t xml:space="preserve">13:00-14:00</t>
  </si>
  <si>
    <t xml:space="preserve">14:00-15:00</t>
  </si>
  <si>
    <t xml:space="preserve">15:00-16:00</t>
  </si>
  <si>
    <t xml:space="preserve">徐彤</t>
  </si>
  <si>
    <t xml:space="preserve">07:00-08:00</t>
  </si>
  <si>
    <t xml:space="preserve">尚本云</t>
  </si>
  <si>
    <t xml:space="preserve">订单数</t>
  </si>
  <si>
    <t xml:space="preserve">转化率</t>
  </si>
  <si>
    <t xml:space="preserve">任子硕</t>
  </si>
  <si>
    <t xml:space="preserve">解翠珠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</si>
  <si>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</si>
  <si>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</si>
  <si>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</si>
  <si>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</si>
  <si>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</si>
  <si>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</si>
  <si>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保单数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</si>
  <si>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</si>
  <si>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</si>
  <si>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</si>
  <si>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</si>
  <si>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</si>
  <si>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</si>
  <si>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</si>
  <si>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</si>
  <si>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</si>
  <si>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</si>
  <si>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</si>
  <si>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</si>
  <si>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</si>
  <si>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</si>
  <si>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</si>
  <si>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</si>
  <si>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</si>
  <si>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</si>
  <si>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</si>
  <si>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</si>
  <si>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</si>
  <si>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</si>
  <si>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</si>
  <si>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</si>
  <si>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</si>
  <si>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</si>
  <si>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</si>
  <si>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2026.5.1</t>
  </si>
  <si>
    <t xml:space="preserve">解翠珠</t>
  </si>
  <si>
    <t xml:space="preserve">07:00-8:00</t>
  </si>
  <si>
    <t xml:space="preserve">徐桐</t>
  </si>
  <si>
    <t xml:space="preserve">朱明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</si>
  <si>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</si>
  <si>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</si>
  <si>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</si>
  <si>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</si>
  <si>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曹慧妍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</si>
  <si>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</si>
  <si>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</si>
  <si>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</si>
  <si>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</si>
  <si>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总计</t>
  </si>
  <si>
    <t xml:space="preserve">日期</t>
  </si>
  <si>
    <t xml:space="preserve">2026.5.2</t>
  </si>
  <si>
    <t xml:space="preserve">2026.5.3</t>
  </si>
  <si>
    <t xml:space="preserve">2026.5.4</t>
  </si>
  <si>
    <t xml:space="preserve">07:00-08:00</t>
  </si>
  <si>
    <t xml:space="preserve">周舒馨</t>
  </si>
  <si>
    <t xml:space="preserve">郭子硕</t>
  </si>
  <si>
    <t xml:space="preserve">2026.5.5</t>
  </si>
  <si>
    <t xml:space="preserve">2026.5.6</t>
  </si>
  <si>
    <t xml:space="preserve">陈思钰</t>
  </si>
  <si>
    <t xml:space="preserve">2026.5.7</t>
  </si>
  <si>
    <t xml:space="preserve">2026.5.8</t>
  </si>
  <si>
    <t xml:space="preserve">代艺璇</t>
  </si>
  <si>
    <t xml:space="preserve">2026.5.9</t>
  </si>
  <si>
    <t xml:space="preserve">2026.5.10</t>
  </si>
  <si>
    <t xml:space="preserve">2026.5.11</t>
  </si>
  <si>
    <t xml:space="preserve">2026.5.12</t>
  </si>
  <si>
    <t xml:space="preserve">2026.5.13</t>
  </si>
  <si>
    <t xml:space="preserve">2026.5.14</t>
  </si>
  <si>
    <t xml:space="preserve">2026.5.15</t>
  </si>
  <si>
    <t xml:space="preserve">2026.5.16</t>
  </si>
  <si>
    <t xml:space="preserve">2026.5.17</t>
  </si>
  <si>
    <t xml:space="preserve">李子健</t>
  </si>
  <si>
    <t xml:space="preserve">2026.5.18</t>
  </si>
  <si>
    <t xml:space="preserve">2026.5.19</t>
  </si>
  <si>
    <t xml:space="preserve">2026.5.20</t>
  </si>
  <si>
    <t xml:space="preserve">2026.5.21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</si>
  <si>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</si>
  <si>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</si>
  <si>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</si>
  <si>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</si>
  <si>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</si>
  <si>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</si>
  <si>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</si>
  <si>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转化数</t>
  </si>
  <si>
    <t xml:space="preserve">年化保费</t>
  </si>
  <si>
    <t xml:space="preserve">ROI</t>
  </si>
  <si>
    <t xml:space="preserve">保单成本</t>
  </si>
  <si>
    <t xml:space="preserve">转化成本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</si>
  <si>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</si>
  <si>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</si>
  <si>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</si>
  <si>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</si>
  <si>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</si>
  <si>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</si>
  <si>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</si>
  <si>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</si>
  <si>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</si>
  <si>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</si>
  <si>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</si>
  <si>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</si>
  <si>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</si>
  <si>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</si>
  <si>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</si>
  <si>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</si>
  <si>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</si>
  <si>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</si>
  <si>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</si>
  <si>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</si>
  <si>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</si>
  <si>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</si>
  <si>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2026.4.1</t>
  </si>
  <si>
    <t xml:space="preserve">代艺旋</t>
  </si>
  <si>
    <t xml:space="preserve">07:00-8:00</t>
  </si>
  <si>
    <t xml:space="preserve">张德华</t>
  </si>
  <si>
    <t xml:space="preserve">李仓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</si>
  <si>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</si>
  <si>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</si>
  <si>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</si>
  <si>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</si>
  <si>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解翠珠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</si>
  <si>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</si>
  <si>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</si>
  <si>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</si>
  <si>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</si>
  <si>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总计</t>
  </si>
  <si>
    <t xml:space="preserve">日期</t>
  </si>
  <si>
    <t xml:space="preserve">2026.4.2</t>
  </si>
  <si>
    <t xml:space="preserve">2026.4.3</t>
  </si>
  <si>
    <t xml:space="preserve">2026.4.4</t>
  </si>
  <si>
    <t xml:space="preserve">徐桐</t>
  </si>
  <si>
    <t xml:space="preserve">陈思钰</t>
  </si>
  <si>
    <t xml:space="preserve">2026.4.5</t>
  </si>
  <si>
    <t xml:space="preserve">2026.4.6</t>
  </si>
  <si>
    <t xml:space="preserve">2026.4.7</t>
  </si>
  <si>
    <t xml:space="preserve">2026.4.8</t>
  </si>
  <si>
    <t xml:space="preserve">2026.4.9</t>
  </si>
  <si>
    <t xml:space="preserve">2026.4.10</t>
  </si>
  <si>
    <t xml:space="preserve">2026.4.11</t>
  </si>
  <si>
    <t xml:space="preserve">08:30-09:00</t>
  </si>
  <si>
    <t xml:space="preserve">2026.4.12</t>
  </si>
  <si>
    <t xml:space="preserve">高琎梅</t>
  </si>
  <si>
    <t xml:space="preserve">2026.4.13</t>
  </si>
  <si>
    <t xml:space="preserve">2026.4.14</t>
  </si>
  <si>
    <t xml:space="preserve">2026.4.15</t>
  </si>
  <si>
    <t xml:space="preserve">曹慧妍</t>
  </si>
  <si>
    <t xml:space="preserve">2026.4.17</t>
  </si>
  <si>
    <t xml:space="preserve">2026.4.18</t>
  </si>
  <si>
    <t xml:space="preserve">2026.4.19</t>
  </si>
  <si>
    <t xml:space="preserve">张滋怡</t>
  </si>
  <si>
    <t xml:space="preserve">2026.4.20</t>
  </si>
  <si>
    <t xml:space="preserve">2026.4.21</t>
  </si>
  <si>
    <t xml:space="preserve">2026.4.22</t>
  </si>
  <si>
    <t xml:space="preserve">2026.4.23</t>
  </si>
  <si>
    <t xml:space="preserve">2026.4.24</t>
  </si>
  <si>
    <t xml:space="preserve">2026.4.25</t>
  </si>
  <si>
    <t xml:space="preserve">闫雪儒</t>
  </si>
  <si>
    <t xml:space="preserve">郭子硕</t>
  </si>
  <si>
    <t xml:space="preserve">2026.4.26</t>
  </si>
  <si>
    <t xml:space="preserve">周舒馨</t>
  </si>
  <si>
    <t xml:space="preserve">2026.4.27</t>
  </si>
  <si>
    <t xml:space="preserve">2026.4.28</t>
  </si>
  <si>
    <t xml:space="preserve">2026.4.29</t>
  </si>
  <si>
    <t xml:space="preserve">2026.4.30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</si>
  <si>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</si>
  <si>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</si>
  <si>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</si>
  <si>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</si>
  <si>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主播</t>
  </si>
  <si>
    <t xml:space="preserve">时间段</t>
  </si>
  <si>
    <t xml:space="preserve">总消耗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</si>
  <si>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</si>
  <si>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</si>
  <si>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</si>
  <si>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</si>
  <si>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</si>
  <si>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点击单价</t>
  </si>
  <si>
    <t xml:space="preserve">商品曝光率（%）</t>
  </si>
  <si>
    <t xml:space="preserve">付费点击率（%）</t>
  </si>
  <si>
    <t xml:space="preserve">曝光进入率（%）</t>
  </si>
  <si>
    <t xml:space="preserve">直播间评论率</t>
  </si>
  <si>
    <t xml:space="preserve">组件展示数</t>
  </si>
  <si>
    <t xml:space="preserve">组件点击率(%)</t>
  </si>
  <si>
    <t xml:space="preserve">平均停留时长/秒</t>
  </si>
  <si>
    <t xml:space="preserve">千展</t>
  </si>
  <si>
    <t xml:space="preserve">展示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</si>
  <si>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</si>
  <si>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</si>
  <si>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</si>
  <si>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</si>
  <si>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</si>
  <si>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</si>
  <si>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</si>
  <si>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千元互动比</t>
  </si>
  <si>
    <t xml:space="preserve">在投投手</t>
  </si>
  <si>
    <t xml:space="preserve">本场场控</t>
  </si>
  <si>
    <t xml:space="preserve">互动人数</t>
  </si>
  <si>
    <t xml:space="preserve">2026.3.20</t>
  </si>
  <si>
    <t xml:space="preserve">代艺旋</t>
  </si>
  <si>
    <t xml:space="preserve">7:00-8:00</t>
  </si>
  <si>
    <t xml:space="preserve">林智豪</t>
  </si>
  <si>
    <t xml:space="preserve">李仓</t>
  </si>
  <si>
    <t xml:space="preserve">8:00-9:00</t>
  </si>
  <si>
    <t xml:space="preserve">9:00-10:00</t>
  </si>
  <si>
    <t xml:space="preserve">10:00-11:00</t>
  </si>
  <si>
    <t xml:space="preserve">分主播汇总</t>
  </si>
  <si>
    <t xml:space="preserve">总计</t>
  </si>
  <si>
    <t xml:space="preserve">2026.3.21</t>
  </si>
  <si>
    <t xml:space="preserve">06:30-07:00</t>
  </si>
  <si>
    <t xml:space="preserve">张德华</t>
  </si>
  <si>
    <t xml:space="preserve">董柯言</t>
  </si>
  <si>
    <t xml:space="preserve">07:00-08:00</t>
  </si>
  <si>
    <t xml:space="preserve">08:00-09:00</t>
  </si>
  <si>
    <t xml:space="preserve">09:00-10:00</t>
  </si>
  <si>
    <t xml:space="preserve">2026.3.22</t>
  </si>
  <si>
    <t xml:space="preserve">08:30-09:00</t>
  </si>
  <si>
    <t xml:space="preserve">11:00-11:30</t>
  </si>
  <si>
    <t xml:space="preserve">2026.3.23</t>
  </si>
  <si>
    <t xml:space="preserve">07:30-08:00</t>
  </si>
  <si>
    <t xml:space="preserve">转化数</t>
  </si>
  <si>
    <t xml:space="preserve">转化成本</t>
  </si>
  <si>
    <t xml:space="preserve">2026.3.24</t>
  </si>
  <si>
    <t xml:space="preserve">陈思钰</t>
  </si>
  <si>
    <t xml:space="preserve">11:00-12:00</t>
  </si>
  <si>
    <t xml:space="preserve">12:00-13:00</t>
  </si>
  <si>
    <t xml:space="preserve">2026.3.25</t>
  </si>
  <si>
    <t xml:space="preserve">2026.3.26</t>
  </si>
  <si>
    <t xml:space="preserve">12:00-13:30</t>
  </si>
  <si>
    <t xml:space="preserve">2026.3.27</t>
  </si>
  <si>
    <t xml:space="preserve">2026.3.28</t>
  </si>
  <si>
    <t xml:space="preserve">13:00-14:00</t>
  </si>
  <si>
    <t xml:space="preserve">2026.3.29</t>
  </si>
  <si>
    <t xml:space="preserve">杨得草</t>
  </si>
  <si>
    <t xml:space="preserve">2026.3.30</t>
  </si>
  <si>
    <t xml:space="preserve">2026.3.31</t>
  </si>
  <si>
    <t xml:space="preserve">06:00-07:00</t>
  </si>
  <si>
    <t xml:space="preserve">07:00-8:00</t>
  </si>
  <si>
    <t xml:space="preserve">解翠珠</t>
  </si>
  <si>
    <t xml:space="preserve">14:00-15:00</t>
  </si>
  <si>
    <t xml:space="preserve">平均</t>
  </si>
  <si>
    <t xml:space="preserve">组件点击率(%)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</si>
</sst>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2">
    <numFmt numFmtId="164" formatCode="0.00_);(0.00)"/>
    <numFmt numFmtId="165" formatCode="General"/>
    <numFmt numFmtId="166" formatCode="0.00"/>
    <numFmt numFmtId="167" formatCode="0"/>
    <numFmt numFmtId="168" formatCode="0_);(0)"/>
    <numFmt numFmtId="169" formatCode="0.00%"/>
    <numFmt numFmtId="170" formatCode="yyyy/m/d"/>
    <numFmt numFmtId="171" formatCode="#,##0.00"/>
    <numFmt numFmtId="172" formatCode="0%"/>
    <numFmt numFmtId="173" formatCode="#,##0"/>
    <numFmt numFmtId="174" formatCode="0.00_);(0.00)"/>
    <numFmt numFmtId="175" formatCode="0.00"/>
    <numFmt numFmtId="176" formatCode="0"/>
    <numFmt numFmtId="177" formatCode="0_);(0)"/>
    <numFmt numFmtId="178" formatCode="0.00%"/>
    <numFmt numFmtId="179" formatCode="yyyy/m/d"/>
    <numFmt numFmtId="180" formatCode="#,##0.00"/>
    <numFmt numFmtId="181" formatCode="General"/>
    <numFmt numFmtId="182" formatCode="0.00_);(0.00)"/>
    <numFmt numFmtId="183" formatCode="0.00"/>
    <numFmt numFmtId="184" formatCode="0"/>
    <numFmt numFmtId="185" formatCode="0_);(0)"/>
    <numFmt numFmtId="186" formatCode="0.00%"/>
    <numFmt numFmtId="187" formatCode="yyyy/m/d"/>
    <numFmt numFmtId="188" formatCode="#,##0.00"/>
    <numFmt numFmtId="189" formatCode="General"/>
    <numFmt numFmtId="190" formatCode="0.00_);(0.00)"/>
    <numFmt numFmtId="191" formatCode="0.00"/>
    <numFmt numFmtId="192" formatCode="0"/>
    <numFmt numFmtId="193" formatCode="0_);(0)"/>
    <numFmt numFmtId="194" formatCode="0.00%"/>
    <numFmt numFmtId="195" formatCode="#,##0.00"/>
    <numFmt numFmtId="196" formatCode="General"/>
    <numFmt numFmtId="197" formatCode="#,##0"/>
    <numFmt numFmtId="198" formatCode="0.00_);(0.00)"/>
    <numFmt numFmtId="199" formatCode="0.00"/>
    <numFmt numFmtId="200" formatCode="0"/>
    <numFmt numFmtId="201" formatCode="0_);(0)"/>
    <numFmt numFmtId="202" formatCode="0.00%"/>
    <numFmt numFmtId="203" formatCode="#,##0.00"/>
    <numFmt numFmtId="204" formatCode="General"/>
    <numFmt numFmtId="205" formatCode="0.00_);(0.00)"/>
    <numFmt numFmtId="206" formatCode="0_);(0)"/>
    <numFmt numFmtId="207" formatCode="0.00"/>
    <numFmt numFmtId="208" formatCode="0"/>
    <numFmt numFmtId="209" formatCode="0.00%"/>
    <numFmt numFmtId="210" formatCode="#,##0.00"/>
    <numFmt numFmtId="211" formatCode="General"/>
    <numFmt numFmtId="212" formatCode="0.00%"/>
    <numFmt numFmtId="213" formatCode="#,##0.00"/>
    <numFmt numFmtId="214" formatCode="0_);(0)"/>
    <numFmt numFmtId="215" formatCode="#,##0"/>
  </numFmts>
  <fonts count="18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等线"/>
      <family val="2"/>
    </font>
    <font>
      <sz val="10"/>
      <color rgb="FF000000"/>
      <name val="Microsoft YaHei"/>
      <family val="2"/>
    </font>
    <font>
      <b val="true"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z val="12"/>
      <color rgb="FFC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98D7B6"/>
        <bgColor/>
      </patternFill>
    </fill>
    <fill>
      <patternFill patternType="solid">
        <fgColor rgb="FF8EE085"/>
        <bgColor/>
      </patternFill>
    </fill>
    <fill>
      <patternFill patternType="solid">
        <fgColor rgb="FFFED4A4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14C0FF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FFF00"/>
        <bgColor/>
      </patternFill>
    </fill>
    <fill>
      <patternFill patternType="solid">
        <fgColor rgb="FFD8D8D8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98D7B6"/>
        <bgColor/>
      </patternFill>
    </fill>
    <fill>
      <patternFill patternType="solid">
        <fgColor rgb="FF8EE085"/>
        <bgColor/>
      </patternFill>
    </fill>
    <fill>
      <patternFill patternType="solid">
        <fgColor rgb="FFFED4A4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8EE085"/>
        <bgColor/>
      </patternFill>
    </fill>
    <fill>
      <patternFill patternType="solid">
        <fgColor rgb="FFFED4A4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8EE085"/>
        <bgColor/>
      </patternFill>
    </fill>
    <fill>
      <patternFill patternType="solid">
        <fgColor rgb="FFFED4A4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8EE085"/>
        <bgColor/>
      </patternFill>
    </fill>
    <fill>
      <patternFill patternType="solid">
        <fgColor rgb="FFFED4A4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CC4"/>
        <bgColor/>
      </patternFill>
    </fill>
    <fill>
      <patternFill patternType="solid">
        <fgColor rgb="FF98D7B6"/>
        <bgColor/>
      </patternFill>
    </fill>
  </fills>
  <borders count="7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/>
    </xf>
    <xf applyAlignment="true" applyBorder="false" applyFill="true" applyFont="true" applyNumberFormat="true" applyProtection="false" borderId="1" fillId="4" fontId="1" numFmtId="167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true" applyFont="true" applyNumberFormat="true" applyProtection="false" borderId="3" fillId="5" fontId="1" numFmtId="164" xfId="0">
      <alignment horizontal="center" vertical="center"/>
    </xf>
    <xf applyAlignment="true" applyBorder="false" applyFill="true" applyFont="true" applyNumberFormat="true" applyProtection="false" borderId="3" fillId="5" fontId="1" numFmtId="168" xfId="0">
      <alignment horizontal="center" vertical="center"/>
    </xf>
    <xf applyAlignment="true" applyBorder="false" applyFill="true" applyFont="true" applyNumberFormat="true" applyProtection="false" borderId="3" fillId="5" fontId="1" numFmtId="168" xfId="0">
      <alignment horizontal="center" vertical="center"/>
    </xf>
    <xf applyAlignment="true" applyBorder="false" applyFill="true" applyFont="true" applyNumberFormat="true" applyProtection="false" borderId="3" fillId="5" fontId="1" numFmtId="165" xfId="0">
      <alignment horizontal="center" vertical="center"/>
    </xf>
    <xf applyAlignment="true" applyBorder="false" applyFill="true" applyFont="true" applyNumberFormat="true" applyProtection="false" borderId="3" fillId="5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 wrapText="true"/>
    </xf>
    <xf applyAlignment="true" applyBorder="false" applyFill="true" applyFont="true" applyNumberFormat="true" applyProtection="false" borderId="1" fillId="3" fontId="1" numFmtId="169" xfId="0">
      <alignment horizontal="center" vertical="center" wrapText="true"/>
    </xf>
    <xf applyAlignment="true" applyBorder="false" applyFill="true" applyFont="true" applyNumberFormat="true" applyProtection="false" borderId="1" fillId="3" fontId="1" numFmtId="167" xfId="0">
      <alignment horizontal="center" vertical="center" wrapText="true"/>
    </xf>
    <xf applyAlignment="true" applyBorder="false" applyFill="true" applyFont="true" applyNumberFormat="true" applyProtection="false" borderId="1" fillId="6" fontId="1" numFmtId="169" xfId="0">
      <alignment horizontal="center" vertical="center" wrapText="true"/>
    </xf>
    <xf applyAlignment="true" applyBorder="false" applyFill="true" applyFont="true" applyNumberFormat="true" applyProtection="false" borderId="1" fillId="6" fontId="1" numFmtId="167" xfId="0">
      <alignment horizontal="center" vertical="center" wrapText="true"/>
    </xf>
    <xf applyAlignment="true" applyBorder="false" applyFill="true" applyFont="true" applyNumberFormat="true" applyProtection="false" borderId="1" fillId="6" fontId="1" numFmtId="167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false" applyFont="true" applyNumberFormat="true" applyProtection="false" borderId="4" fillId="0" fontId="2" numFmtId="17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" fillId="0" fontId="4" numFmtId="168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false" applyFont="true" applyNumberFormat="true" applyProtection="false" borderId="2" fillId="0" fontId="4" numFmtId="166" xfId="0">
      <alignment horizontal="center" vertical="center"/>
    </xf>
    <xf applyAlignment="true" applyBorder="false" applyFill="false" applyFont="true" applyNumberFormat="true" applyProtection="false" borderId="1" fillId="0" fontId="4" numFmtId="166" xfId="0">
      <alignment horizontal="center" vertical="center"/>
    </xf>
    <xf applyAlignment="true" applyBorder="false" applyFill="false" applyFont="true" applyNumberFormat="true" applyProtection="false" borderId="1" fillId="0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67" xfId="0">
      <alignment horizontal="center" vertical="center"/>
    </xf>
    <xf applyAlignment="true" applyBorder="false" applyFill="false" applyFont="true" applyNumberFormat="true" applyProtection="false" borderId="1" fillId="0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67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false" applyFont="true" applyNumberFormat="true" applyProtection="false" borderId="4" fillId="0" fontId="4" numFmtId="164" xfId="0">
      <alignment horizontal="center" vertical="center"/>
    </xf>
    <xf applyAlignment="true" applyBorder="false" applyFill="false" applyFont="true" applyNumberFormat="true" applyProtection="false" borderId="4" fillId="0" fontId="4" numFmtId="168" xfId="0">
      <alignment horizontal="center" vertical="center"/>
    </xf>
    <xf applyAlignment="true" applyBorder="false" applyFill="false" applyFont="true" applyNumberFormat="true" applyProtection="false" borderId="4" fillId="0" fontId="4" numFmtId="165" xfId="0">
      <alignment horizontal="center" vertical="center"/>
    </xf>
    <xf applyAlignment="true" applyBorder="false" applyFill="true" applyFont="true" applyNumberFormat="false" applyProtection="false" borderId="1" fillId="7" fontId="3" numFmtId="0" xfId="0">
      <alignment horizontal="center" vertical="center"/>
    </xf>
    <xf applyAlignment="true" applyBorder="false" applyFill="true" applyFont="true" applyNumberFormat="true" applyProtection="false" borderId="1" fillId="7" fontId="4" numFmtId="164" xfId="0">
      <alignment horizontal="center" vertical="center"/>
    </xf>
    <xf applyAlignment="true" applyBorder="false" applyFill="true" applyFont="true" applyNumberFormat="true" applyProtection="false" borderId="1" fillId="7" fontId="4" numFmtId="167" xfId="0">
      <alignment horizontal="center" vertical="center"/>
    </xf>
    <xf applyAlignment="true" applyBorder="false" applyFill="true" applyFont="true" applyNumberFormat="true" applyProtection="false" borderId="1" fillId="7" fontId="4" numFmtId="165" xfId="0">
      <alignment horizontal="center" vertical="center"/>
    </xf>
    <xf applyAlignment="true" applyBorder="false" applyFill="true" applyFont="true" applyNumberFormat="true" applyProtection="false" borderId="1" fillId="7" fontId="4" numFmtId="168" xfId="0">
      <alignment horizontal="center" vertical="center"/>
    </xf>
    <xf applyAlignment="true" applyBorder="false" applyFill="true" applyFont="true" applyNumberFormat="true" applyProtection="false" borderId="1" fillId="7" fontId="4" numFmtId="166" xfId="0">
      <alignment horizontal="center" vertical="center"/>
    </xf>
    <xf applyAlignment="true" applyBorder="false" applyFill="true" applyFont="true" applyNumberFormat="true" applyProtection="false" borderId="1" fillId="7" fontId="4" numFmtId="169" xfId="0">
      <alignment horizontal="center" vertical="center"/>
    </xf>
    <xf applyAlignment="true" applyBorder="false" applyFill="true" applyFont="true" applyNumberFormat="true" applyProtection="false" borderId="1" fillId="7" fontId="4" numFmtId="171" xfId="0">
      <alignment horizontal="center" vertical="center"/>
    </xf>
    <xf applyAlignment="true" applyBorder="false" applyFill="true" applyFont="true" applyNumberFormat="false" applyProtection="false" borderId="1" fillId="7" fontId="4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true" applyProtection="false" borderId="6" fillId="0" fontId="4" numFmtId="164" xfId="0">
      <alignment horizontal="center" vertical="center"/>
    </xf>
    <xf applyAlignment="true" applyBorder="false" applyFill="false" applyFont="true" applyNumberFormat="true" applyProtection="false" borderId="8" fillId="0" fontId="4" numFmtId="168" xfId="0">
      <alignment horizontal="center" vertical="center"/>
    </xf>
    <xf applyAlignment="true" applyBorder="false" applyFill="false" applyFont="true" applyNumberFormat="true" applyProtection="false" borderId="6" fillId="0" fontId="4" numFmtId="165" xfId="0">
      <alignment horizontal="center" vertical="center"/>
    </xf>
    <xf applyAlignment="true" applyBorder="false" applyFill="false" applyFont="true" applyNumberFormat="true" applyProtection="false" borderId="9" fillId="0" fontId="4" numFmtId="164" xfId="0">
      <alignment horizontal="center" vertical="center"/>
    </xf>
    <xf applyAlignment="true" applyBorder="false" applyFill="false" applyFont="true" applyNumberFormat="true" applyProtection="false" borderId="9" fillId="0" fontId="4" numFmtId="168" xfId="0">
      <alignment horizontal="center" vertical="center"/>
    </xf>
    <xf applyAlignment="true" applyBorder="false" applyFill="false" applyFont="true" applyNumberFormat="true" applyProtection="false" borderId="6" fillId="0" fontId="4" numFmtId="166" xfId="0">
      <alignment horizontal="center" vertical="center"/>
    </xf>
    <xf applyAlignment="true" applyBorder="false" applyFill="false" applyFont="true" applyNumberFormat="true" applyProtection="false" borderId="6" fillId="0" fontId="4" numFmtId="169" xfId="0">
      <alignment horizontal="center" vertical="center"/>
    </xf>
    <xf applyAlignment="true" applyBorder="false" applyFill="false" applyFont="true" applyNumberFormat="true" applyProtection="false" borderId="6" fillId="0" fontId="4" numFmtId="167" xfId="0">
      <alignment horizontal="center" vertical="center"/>
    </xf>
    <xf applyAlignment="true" applyBorder="false" applyFill="false" applyFont="true" applyNumberFormat="true" applyProtection="false" borderId="6" fillId="0" fontId="4" numFmtId="169" xfId="0">
      <alignment horizontal="center" vertical="center"/>
    </xf>
    <xf applyAlignment="true" applyBorder="false" applyFill="false" applyFont="true" applyNumberFormat="true" applyProtection="false" borderId="6" fillId="0" fontId="4" numFmtId="167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true" applyProtection="false" borderId="11" fillId="0" fontId="4" numFmtId="164" xfId="0">
      <alignment horizontal="center" vertical="center"/>
    </xf>
    <xf applyAlignment="true" applyBorder="false" applyFill="false" applyFont="true" applyNumberFormat="true" applyProtection="false" borderId="10" fillId="0" fontId="4" numFmtId="168" xfId="0">
      <alignment horizontal="center" vertical="center"/>
    </xf>
    <xf applyAlignment="true" applyBorder="false" applyFill="false" applyFont="true" applyNumberFormat="true" applyProtection="false" borderId="10" fillId="0" fontId="4" numFmtId="165" xfId="0">
      <alignment horizontal="center" vertical="center"/>
    </xf>
    <xf applyAlignment="true" applyBorder="false" applyFill="false" applyFont="true" applyNumberFormat="true" applyProtection="false" borderId="6" fillId="0" fontId="4" numFmtId="168" xfId="0">
      <alignment horizontal="center" vertical="center"/>
    </xf>
    <xf applyAlignment="true" applyBorder="false" applyFill="false" applyFont="true" applyNumberFormat="false" applyProtection="false" borderId="12" fillId="0" fontId="4" numFmtId="0" xfId="0">
      <alignment horizontal="center" vertical="center"/>
    </xf>
    <xf applyAlignment="true" applyBorder="false" applyFill="true" applyFont="true" applyNumberFormat="false" applyProtection="false" borderId="6" fillId="7" fontId="3" numFmtId="0" xfId="0">
      <alignment horizontal="center" vertical="center"/>
    </xf>
    <xf applyAlignment="true" applyBorder="false" applyFill="true" applyFont="true" applyNumberFormat="true" applyProtection="false" borderId="6" fillId="7" fontId="4" numFmtId="164" xfId="0">
      <alignment horizontal="center" vertical="center"/>
    </xf>
    <xf applyAlignment="true" applyBorder="false" applyFill="true" applyFont="true" applyNumberFormat="true" applyProtection="false" borderId="6" fillId="7" fontId="4" numFmtId="168" xfId="0">
      <alignment horizontal="center" vertical="center"/>
    </xf>
    <xf applyAlignment="true" applyBorder="false" applyFill="true" applyFont="true" applyNumberFormat="true" applyProtection="false" borderId="6" fillId="7" fontId="4" numFmtId="165" xfId="0">
      <alignment horizontal="center" vertical="center"/>
    </xf>
    <xf applyAlignment="true" applyBorder="false" applyFill="true" applyFont="true" applyNumberFormat="true" applyProtection="false" borderId="6" fillId="7" fontId="4" numFmtId="166" xfId="0">
      <alignment horizontal="center" vertical="center"/>
    </xf>
    <xf applyAlignment="true" applyBorder="false" applyFill="true" applyFont="true" applyNumberFormat="true" applyProtection="false" borderId="6" fillId="7" fontId="4" numFmtId="169" xfId="0">
      <alignment horizontal="center" vertical="center"/>
    </xf>
    <xf applyAlignment="true" applyBorder="false" applyFill="true" applyFont="true" applyNumberFormat="true" applyProtection="false" borderId="6" fillId="7" fontId="4" numFmtId="167" xfId="0">
      <alignment horizontal="center" vertical="center"/>
    </xf>
    <xf applyAlignment="true" applyBorder="false" applyFill="true" applyFont="true" applyNumberFormat="true" applyProtection="false" borderId="6" fillId="7" fontId="4" numFmtId="171" xfId="0">
      <alignment horizontal="center" vertical="center"/>
    </xf>
    <xf applyAlignment="true" applyBorder="false" applyFill="true" applyFont="true" applyNumberFormat="false" applyProtection="false" borderId="6" fillId="7" fontId="4" numFmtId="0" xfId="0">
      <alignment horizontal="center" vertical="center"/>
    </xf>
    <xf applyAlignment="true" applyBorder="false" applyFill="false" applyFont="true" applyNumberFormat="true" applyProtection="false" borderId="1" fillId="0" fontId="4" numFmtId="171" xfId="0">
      <alignment horizontal="center" vertical="center"/>
    </xf>
    <xf applyAlignment="true" applyBorder="false" applyFill="true" applyFont="true" applyNumberFormat="true" applyProtection="false" borderId="3" fillId="7" fontId="4" numFmtId="164" xfId="0">
      <alignment horizontal="center" vertical="center"/>
    </xf>
    <xf applyAlignment="true" applyBorder="false" applyFill="true" applyFont="true" applyNumberFormat="true" applyProtection="false" borderId="3" fillId="7" fontId="4" numFmtId="168" xfId="0">
      <alignment horizontal="center" vertical="center"/>
    </xf>
    <xf applyAlignment="true" applyBorder="false" applyFill="true" applyFont="true" applyNumberFormat="true" applyProtection="false" borderId="3" fillId="7" fontId="4" numFmtId="165" xfId="0">
      <alignment horizontal="center" vertical="center"/>
    </xf>
    <xf applyAlignment="true" applyBorder="false" applyFill="false" applyFont="true" applyNumberFormat="true" applyProtection="false" borderId="6" fillId="0" fontId="4" numFmtId="164" xfId="0">
      <alignment horizontal="center" vertical="center"/>
    </xf>
    <xf applyAlignment="true" applyBorder="false" applyFill="false" applyFont="true" applyNumberFormat="true" applyProtection="false" borderId="11" fillId="0" fontId="4" numFmtId="164" xfId="0">
      <alignment horizontal="center" vertical="center"/>
    </xf>
    <xf applyAlignment="true" applyBorder="false" applyFill="true" applyFont="true" applyNumberFormat="false" applyProtection="false" borderId="1" fillId="8" fontId="5" numFmtId="0" xfId="0">
      <alignment horizontal="center" vertical="center"/>
    </xf>
    <xf applyAlignment="true" applyBorder="false" applyFill="true" applyFont="true" applyNumberFormat="true" applyProtection="false" borderId="5" fillId="8" fontId="5" numFmtId="164" xfId="0">
      <alignment horizontal="center" vertical="center"/>
    </xf>
    <xf applyAlignment="true" applyBorder="false" applyFill="true" applyFont="true" applyNumberFormat="true" applyProtection="false" borderId="5" fillId="8" fontId="5" numFmtId="165" xfId="0">
      <alignment horizontal="center" vertical="center"/>
    </xf>
    <xf applyAlignment="true" applyBorder="false" applyFill="true" applyFont="true" applyNumberFormat="true" applyProtection="false" borderId="5" fillId="8" fontId="5" numFmtId="168" xfId="0">
      <alignment horizontal="center" vertical="center"/>
    </xf>
    <xf applyAlignment="true" applyBorder="false" applyFill="true" applyFont="true" applyNumberFormat="true" applyProtection="false" borderId="2" fillId="8" fontId="5" numFmtId="166" xfId="0">
      <alignment horizontal="center" vertical="center"/>
    </xf>
    <xf applyAlignment="true" applyBorder="false" applyFill="true" applyFont="true" applyNumberFormat="true" applyProtection="false" borderId="1" fillId="8" fontId="5" numFmtId="166" xfId="0">
      <alignment horizontal="center" vertical="center"/>
    </xf>
    <xf applyAlignment="true" applyBorder="false" applyFill="true" applyFont="true" applyNumberFormat="true" applyProtection="false" borderId="1" fillId="8" fontId="5" numFmtId="169" xfId="0">
      <alignment horizontal="center" vertical="center"/>
    </xf>
    <xf applyAlignment="true" applyBorder="false" applyFill="true" applyFont="true" applyNumberFormat="true" applyProtection="false" borderId="1" fillId="8" fontId="5" numFmtId="167" xfId="0">
      <alignment horizontal="center" vertical="center"/>
    </xf>
    <xf applyAlignment="true" applyBorder="false" applyFill="true" applyFont="true" applyNumberFormat="true" applyProtection="false" borderId="1" fillId="8" fontId="5" numFmtId="164" xfId="0">
      <alignment horizontal="center" vertical="center"/>
    </xf>
    <xf applyAlignment="true" applyBorder="false" applyFill="false" applyFont="true" applyNumberFormat="true" applyProtection="false" borderId="9" fillId="0" fontId="4" numFmtId="164" xfId="0">
      <alignment horizontal="center" vertical="center"/>
    </xf>
    <xf applyAlignment="true" applyBorder="false" applyFill="true" applyFont="true" applyNumberFormat="true" applyProtection="false" borderId="3" fillId="2" fontId="1" numFmtId="164" xfId="0">
      <alignment horizontal="center" vertical="center"/>
    </xf>
    <xf applyAlignment="true" applyBorder="false" applyFill="true" applyFont="true" applyNumberFormat="true" applyProtection="false" borderId="3" fillId="2" fontId="1" numFmtId="165" xfId="0">
      <alignment horizontal="center" vertical="center"/>
    </xf>
    <xf applyAlignment="true" applyBorder="false" applyFill="true" applyFont="true" applyNumberFormat="false" applyProtection="false" borderId="13" fillId="2" fontId="1" numFmtId="0" xfId="0">
      <alignment horizontal="center" vertical="center"/>
    </xf>
    <xf applyAlignment="true" applyBorder="false" applyFill="true" applyFont="true" applyNumberFormat="false" applyProtection="false" borderId="5" fillId="2" fontId="1" numFmtId="0" xfId="0">
      <alignment horizontal="center" vertical="center"/>
    </xf>
    <xf applyAlignment="true" applyBorder="false" applyFill="true" applyFont="true" applyNumberFormat="true" applyProtection="false" borderId="1" fillId="5" fontId="1" numFmtId="164" xfId="0">
      <alignment horizontal="center" vertical="center"/>
    </xf>
    <xf applyAlignment="true" applyBorder="false" applyFill="true" applyFont="true" applyNumberFormat="true" applyProtection="false" borderId="2" fillId="5" fontId="1" numFmtId="168" xfId="0">
      <alignment horizontal="center" vertical="center"/>
    </xf>
    <xf applyAlignment="true" applyBorder="false" applyFill="true" applyFont="true" applyNumberFormat="true" applyProtection="false" borderId="1" fillId="5" fontId="1" numFmtId="168" xfId="0">
      <alignment horizontal="center" vertical="center"/>
    </xf>
    <xf applyAlignment="true" applyBorder="false" applyFill="true" applyFont="true" applyNumberFormat="true" applyProtection="false" borderId="1" fillId="5" fontId="1" numFmtId="165" xfId="0">
      <alignment horizontal="center" vertical="center"/>
    </xf>
    <xf applyAlignment="true" applyBorder="false" applyFill="true" applyFont="true" applyNumberFormat="true" applyProtection="false" borderId="14" fillId="5" fontId="1" numFmtId="164" xfId="0">
      <alignment horizontal="center" vertical="center"/>
    </xf>
    <xf applyAlignment="true" applyBorder="false" applyFill="false" applyFont="true" applyNumberFormat="true" applyProtection="false" borderId="6" fillId="0" fontId="3" numFmtId="164" xfId="0">
      <alignment horizontal="center" vertical="center"/>
    </xf>
    <xf applyAlignment="true" applyBorder="false" applyFill="false" applyFont="true" applyNumberFormat="true" applyProtection="false" borderId="6" fillId="0" fontId="4" numFmtId="171" xfId="0">
      <alignment horizontal="center" vertical="center"/>
    </xf>
    <xf applyAlignment="true" applyBorder="false" applyFill="true" applyFont="true" applyNumberFormat="true" applyProtection="false" borderId="15" fillId="7" fontId="4" numFmtId="164" xfId="0">
      <alignment horizontal="center" vertical="center"/>
    </xf>
    <xf applyAlignment="true" applyBorder="false" applyFill="true" applyFont="true" applyNumberFormat="true" applyProtection="false" borderId="15" fillId="7" fontId="4" numFmtId="168" xfId="0">
      <alignment horizontal="center" vertical="center"/>
    </xf>
    <xf applyAlignment="true" applyBorder="false" applyFill="true" applyFont="true" applyNumberFormat="true" applyProtection="false" borderId="15" fillId="7" fontId="4" numFmtId="165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true" applyFont="true" applyNumberFormat="true" applyProtection="false" borderId="3" fillId="2" fontId="1" numFmtId="166" xfId="0">
      <alignment horizontal="center" vertical="center"/>
    </xf>
    <xf applyAlignment="true" applyBorder="false" applyFill="false" applyFont="true" applyNumberFormat="true" applyProtection="false" borderId="5" fillId="0" fontId="4" numFmtId="168" xfId="0">
      <alignment horizontal="center" vertical="center"/>
    </xf>
    <xf applyAlignment="true" applyBorder="false" applyFill="true" applyFont="true" applyNumberFormat="true" applyProtection="false" borderId="4" fillId="7" fontId="4" numFmtId="166" xfId="0">
      <alignment horizontal="center" vertical="center"/>
    </xf>
    <xf applyAlignment="true" applyBorder="false" applyFill="false" applyFont="true" applyNumberFormat="true" applyProtection="false" borderId="16" fillId="0" fontId="4" numFmtId="168" xfId="0">
      <alignment horizontal="center" vertical="center"/>
    </xf>
    <xf applyAlignment="true" applyBorder="false" applyFill="false" applyFont="true" applyNumberFormat="true" applyProtection="false" borderId="17" fillId="0" fontId="4" numFmtId="164" xfId="0">
      <alignment horizontal="center" vertical="center"/>
    </xf>
    <xf applyAlignment="true" applyBorder="false" applyFill="false" applyFont="true" applyNumberFormat="true" applyProtection="false" borderId="18" fillId="0" fontId="4" numFmtId="168" xfId="0">
      <alignment horizontal="center" vertical="center"/>
    </xf>
    <xf applyAlignment="true" applyBorder="false" applyFill="false" applyFont="true" applyNumberFormat="true" applyProtection="false" borderId="19" fillId="0" fontId="2" numFmtId="170" xfId="0">
      <alignment horizontal="center" vertical="center"/>
    </xf>
    <xf applyAlignment="true" applyBorder="false" applyFill="true" applyFont="true" applyNumberFormat="false" applyProtection="false" borderId="3" fillId="8" fontId="5" numFmtId="0" xfId="0">
      <alignment horizontal="center" vertical="center"/>
    </xf>
    <xf applyAlignment="true" applyBorder="false" applyFill="true" applyFont="true" applyNumberFormat="true" applyProtection="false" borderId="20" fillId="8" fontId="5" numFmtId="164" xfId="0">
      <alignment horizontal="center" vertical="center"/>
    </xf>
    <xf applyAlignment="true" applyBorder="false" applyFill="true" applyFont="true" applyNumberFormat="true" applyProtection="false" borderId="20" fillId="8" fontId="5" numFmtId="165" xfId="0">
      <alignment horizontal="center" vertical="center"/>
    </xf>
    <xf applyAlignment="true" applyBorder="false" applyFill="true" applyFont="true" applyNumberFormat="true" applyProtection="false" borderId="14" fillId="8" fontId="5" numFmtId="166" xfId="0">
      <alignment horizontal="center" vertical="center"/>
    </xf>
    <xf applyAlignment="true" applyBorder="false" applyFill="true" applyFont="true" applyNumberFormat="true" applyProtection="false" borderId="3" fillId="8" fontId="5" numFmtId="166" xfId="0">
      <alignment horizontal="center" vertical="center"/>
    </xf>
    <xf applyAlignment="true" applyBorder="false" applyFill="true" applyFont="true" applyNumberFormat="true" applyProtection="false" borderId="3" fillId="8" fontId="5" numFmtId="169" xfId="0">
      <alignment horizontal="center" vertical="center"/>
    </xf>
    <xf applyAlignment="true" applyBorder="false" applyFill="true" applyFont="true" applyNumberFormat="true" applyProtection="false" borderId="3" fillId="8" fontId="5" numFmtId="167" xfId="0">
      <alignment horizontal="center" vertical="center"/>
    </xf>
    <xf applyAlignment="true" applyBorder="false" applyFill="true" applyFont="true" applyNumberFormat="true" applyProtection="false" borderId="3" fillId="8" fontId="5" numFmtId="164" xfId="0">
      <alignment horizontal="center" vertical="center"/>
    </xf>
    <xf applyAlignment="true" applyBorder="false" applyFill="true" applyFont="true" applyNumberFormat="true" applyProtection="false" borderId="2" fillId="4" fontId="1" numFmtId="167" xfId="0">
      <alignment horizontal="center" vertical="center"/>
    </xf>
    <xf applyAlignment="true" applyBorder="false" applyFill="true" applyFont="true" applyNumberFormat="true" applyProtection="false" borderId="1" fillId="5" fontId="1" numFmtId="168" xfId="0">
      <alignment horizontal="center" vertical="center"/>
    </xf>
    <xf applyAlignment="true" applyBorder="false" applyFill="true" applyFont="true" applyNumberFormat="true" applyProtection="false" borderId="1" fillId="5" fontId="1" numFmtId="164" xfId="0">
      <alignment horizontal="center" vertical="center"/>
    </xf>
    <xf applyAlignment="true" applyBorder="false" applyFill="false" applyFont="true" applyNumberFormat="true" applyProtection="false" borderId="1" fillId="0" fontId="2" numFmtId="17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true" applyProtection="false" borderId="2" fillId="0" fontId="4" numFmtId="167" xfId="0">
      <alignment horizontal="center" vertical="center"/>
    </xf>
    <xf applyAlignment="true" applyBorder="false" applyFill="true" applyFont="true" applyNumberFormat="true" applyProtection="false" borderId="2" fillId="7" fontId="4" numFmtId="165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4" numFmtId="167" xfId="0">
      <alignment horizontal="center" vertical="center"/>
    </xf>
    <xf applyAlignment="true" applyBorder="false" applyFill="true" applyFont="true" applyNumberFormat="true" applyProtection="false" borderId="9" fillId="7" fontId="4" numFmtId="165" xfId="0">
      <alignment horizontal="center" vertical="center"/>
    </xf>
    <xf applyAlignment="true" applyBorder="false" applyFill="true" applyFont="true" applyNumberFormat="true" applyProtection="false" borderId="2" fillId="7" fontId="4" numFmtId="167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true" applyFont="true" applyNumberFormat="true" applyProtection="false" borderId="1" fillId="8" fontId="5" numFmtId="165" xfId="0">
      <alignment horizontal="center" vertical="center"/>
    </xf>
    <xf applyAlignment="true" applyBorder="false" applyFill="true" applyFont="true" applyNumberFormat="true" applyProtection="false" borderId="13" fillId="8" fontId="5" numFmtId="165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center" vertical="center"/>
    </xf>
    <xf applyAlignment="true" applyBorder="false" applyFill="true" applyFont="true" applyNumberFormat="false" applyProtection="false" borderId="6" fillId="9" fontId="6" numFmtId="0" xfId="0">
      <alignment horizontal="center" vertical="center"/>
    </xf>
    <xf applyAlignment="true" applyBorder="false" applyFill="true" applyFont="true" applyNumberFormat="false" applyProtection="false" borderId="6" fillId="10" fontId="6" numFmtId="0" xfId="0">
      <alignment horizontal="center" vertical="center"/>
    </xf>
    <xf applyAlignment="true" applyBorder="false" applyFill="true" applyFont="true" applyNumberFormat="false" applyProtection="false" borderId="6" fillId="11" fontId="6" numFmtId="0" xfId="0">
      <alignment horizontal="center" vertical="center"/>
    </xf>
    <xf applyAlignment="true" applyBorder="false" applyFill="true" applyFont="true" applyNumberFormat="false" applyProtection="false" borderId="6" fillId="12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6" fillId="0" fontId="8" numFmtId="170" xfId="0">
      <alignment horizontal="center" vertical="center"/>
    </xf>
    <xf applyAlignment="true" applyBorder="false" applyFill="true" applyFont="true" applyNumberFormat="false" applyProtection="false" borderId="6" fillId="13" fontId="8" numFmtId="0" xfId="0">
      <alignment horizontal="center" vertical="center"/>
    </xf>
    <xf applyAlignment="true" applyBorder="false" applyFill="true" applyFont="true" applyNumberFormat="true" applyProtection="false" borderId="15" fillId="13" fontId="8" numFmtId="171" xfId="0">
      <alignment horizontal="center" vertical="center"/>
    </xf>
    <xf applyAlignment="true" applyBorder="false" applyFill="true" applyFont="true" applyNumberFormat="false" applyProtection="false" borderId="15" fillId="13" fontId="8" numFmtId="0" xfId="0">
      <alignment horizontal="center" vertical="center"/>
    </xf>
    <xf applyAlignment="true" applyBorder="false" applyFill="true" applyFont="true" applyNumberFormat="true" applyProtection="false" borderId="6" fillId="13" fontId="8" numFmtId="172" xfId="0">
      <alignment horizontal="center" vertical="center"/>
    </xf>
    <xf applyAlignment="true" applyBorder="false" applyFill="true" applyFont="true" applyNumberFormat="true" applyProtection="false" borderId="6" fillId="13" fontId="8" numFmtId="169" xfId="0">
      <alignment horizontal="center" vertical="center"/>
    </xf>
    <xf applyAlignment="true" applyBorder="false" applyFill="true" applyFont="true" applyNumberFormat="false" applyProtection="false" borderId="0" fillId="13" fontId="8" numFmtId="0" xfId="0">
      <alignment horizontal="center" vertical="center"/>
    </xf>
    <xf applyAlignment="true" applyBorder="false" applyFill="true" applyFont="true" applyNumberFormat="true" applyProtection="false" borderId="0" fillId="13" fontId="8" numFmtId="169" xfId="0">
      <alignment horizontal="center" vertical="center"/>
    </xf>
    <xf applyAlignment="true" applyBorder="false" applyFill="true" applyFont="true" applyNumberFormat="true" applyProtection="false" borderId="0" fillId="13" fontId="8" numFmtId="173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8" fillId="0" fontId="6" numFmtId="0" xfId="0">
      <alignment horizontal="center" vertical="center"/>
    </xf>
    <xf applyAlignment="true" applyBorder="false" applyFill="false" applyFont="true" applyNumberFormat="true" applyProtection="false" borderId="6" fillId="0" fontId="6" numFmtId="171" xfId="0">
      <alignment horizontal="center" vertical="center"/>
    </xf>
    <xf applyAlignment="true" applyBorder="false" applyFill="false" applyFont="true" applyNumberFormat="true" applyProtection="false" borderId="9" fillId="0" fontId="6" numFmtId="171" xfId="0">
      <alignment horizontal="center" vertical="center"/>
    </xf>
    <xf applyAlignment="true" applyBorder="false" applyFill="false" applyFont="true" applyNumberFormat="true" applyProtection="false" borderId="6" fillId="0" fontId="6" numFmtId="172" xfId="0">
      <alignment horizontal="center" vertical="center"/>
    </xf>
    <xf applyAlignment="true" applyBorder="false" applyFill="false" applyFont="true" applyNumberFormat="true" applyProtection="false" borderId="6" fillId="0" fontId="6" numFmtId="169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9" numFmtId="169" xfId="0">
      <alignment horizontal="center" vertical="center"/>
    </xf>
    <xf applyAlignment="true" applyBorder="false" applyFill="false" applyFont="true" applyNumberFormat="true" applyProtection="false" borderId="0" fillId="0" fontId="8" numFmtId="173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horizontal="center" vertical="center"/>
    </xf>
    <xf applyAlignment="true" applyBorder="false" applyFill="false" applyFont="true" applyNumberFormat="true" applyProtection="false" borderId="10" fillId="0" fontId="6" numFmtId="171" xfId="0">
      <alignment horizontal="center" vertical="center"/>
    </xf>
    <xf applyAlignment="true" applyBorder="false" applyFill="false" applyFont="true" applyNumberFormat="true" applyProtection="false" borderId="0" fillId="0" fontId="6" numFmtId="173" xfId="0">
      <alignment horizontal="center" vertical="center"/>
    </xf>
    <xf applyAlignment="true" applyBorder="false" applyFill="true" applyFont="true" applyNumberFormat="false" applyProtection="false" borderId="6" fillId="14" fontId="8" numFmtId="0" xfId="0">
      <alignment horizontal="center" vertical="center"/>
    </xf>
    <xf applyAlignment="true" applyBorder="false" applyFill="true" applyFont="true" applyNumberFormat="true" applyProtection="false" borderId="6" fillId="14" fontId="8" numFmtId="171" xfId="0">
      <alignment horizontal="center" vertical="center"/>
    </xf>
    <xf applyAlignment="true" applyBorder="false" applyFill="true" applyFont="true" applyNumberFormat="true" applyProtection="false" borderId="6" fillId="14" fontId="8" numFmtId="172" xfId="0">
      <alignment horizontal="center" vertical="center"/>
    </xf>
    <xf applyAlignment="true" applyBorder="false" applyFill="true" applyFont="true" applyNumberFormat="true" applyProtection="false" borderId="6" fillId="14" fontId="8" numFmtId="169" xfId="0">
      <alignment horizontal="center" vertical="center"/>
    </xf>
    <xf applyAlignment="true" applyBorder="false" applyFill="true" applyFont="true" applyNumberFormat="false" applyProtection="false" borderId="0" fillId="14" fontId="8" numFmtId="0" xfId="0">
      <alignment horizontal="center" vertical="center"/>
    </xf>
    <xf applyAlignment="true" applyBorder="false" applyFill="true" applyFont="true" applyNumberFormat="true" applyProtection="false" borderId="0" fillId="14" fontId="8" numFmtId="169" xfId="0">
      <alignment horizontal="center" vertical="center"/>
    </xf>
    <xf applyAlignment="true" applyBorder="false" applyFill="true" applyFont="true" applyNumberFormat="true" applyProtection="false" borderId="0" fillId="14" fontId="8" numFmtId="173" xfId="0">
      <alignment horizontal="center" vertical="center"/>
    </xf>
    <xf applyAlignment="true" applyBorder="false" applyFill="false" applyFont="true" applyNumberFormat="true" applyProtection="false" borderId="0" fillId="0" fontId="6" numFmtId="169" xfId="0">
      <alignment horizontal="center" vertical="center"/>
    </xf>
    <xf applyAlignment="true" applyBorder="false" applyFill="true" applyFont="true" applyNumberFormat="false" applyProtection="false" borderId="6" fillId="15" fontId="8" numFmtId="0" xfId="0">
      <alignment horizontal="center" vertical="center"/>
    </xf>
    <xf applyAlignment="true" applyBorder="false" applyFill="true" applyFont="true" applyNumberFormat="true" applyProtection="false" borderId="6" fillId="15" fontId="8" numFmtId="171" xfId="0">
      <alignment horizontal="center" vertical="center"/>
    </xf>
    <xf applyAlignment="true" applyBorder="false" applyFill="true" applyFont="true" applyNumberFormat="true" applyProtection="false" borderId="6" fillId="13" fontId="8" numFmtId="171" xfId="0">
      <alignment horizontal="center" vertical="center"/>
    </xf>
    <xf applyAlignment="true" applyBorder="false" applyFill="true" applyFont="true" applyNumberFormat="false" applyProtection="false" borderId="6" fillId="13" fontId="6" numFmtId="0" xfId="0">
      <alignment horizontal="center" vertical="center"/>
    </xf>
    <xf applyAlignment="true" applyBorder="false" applyFill="true" applyFont="true" applyNumberFormat="true" applyProtection="false" borderId="6" fillId="13" fontId="6" numFmtId="172" xfId="0">
      <alignment horizontal="center" vertical="center"/>
    </xf>
    <xf applyAlignment="true" applyBorder="false" applyFill="true" applyFont="true" applyNumberFormat="true" applyProtection="false" borderId="6" fillId="13" fontId="6" numFmtId="169" xfId="0">
      <alignment horizontal="center" vertical="center"/>
    </xf>
    <xf applyAlignment="true" applyBorder="false" applyFill="false" applyFont="true" applyNumberFormat="true" applyProtection="false" borderId="6" fillId="0" fontId="6" numFmtId="165" xfId="0">
      <alignment horizontal="center" vertical="center"/>
    </xf>
    <xf applyAlignment="true" applyBorder="false" applyFill="true" applyFont="true" applyNumberFormat="true" applyProtection="false" borderId="6" fillId="14" fontId="8" numFmtId="165" xfId="0">
      <alignment horizontal="center" vertical="center"/>
    </xf>
    <xf applyAlignment="true" applyBorder="false" applyFill="true" applyFont="true" applyNumberFormat="true" applyProtection="false" borderId="6" fillId="15" fontId="8" numFmtId="165" xfId="0">
      <alignment horizontal="center" vertical="center"/>
    </xf>
    <xf applyAlignment="true" applyBorder="false" applyFill="true" applyFont="true" applyNumberFormat="true" applyProtection="false" borderId="6" fillId="13" fontId="8" numFmtId="165" xfId="0">
      <alignment horizontal="center" vertical="center"/>
    </xf>
    <xf applyAlignment="true" applyBorder="false" applyFill="true" applyFont="true" applyNumberFormat="true" applyProtection="false" borderId="6" fillId="10" fontId="6" numFmtId="165" xfId="0">
      <alignment horizontal="center" vertical="center"/>
    </xf>
    <xf applyAlignment="true" applyBorder="false" applyFill="true" applyFont="true" applyNumberFormat="true" applyProtection="false" borderId="15" fillId="13" fontId="8" numFmtId="165" xfId="0">
      <alignment horizontal="center" vertical="center"/>
    </xf>
    <xf applyAlignment="true" applyBorder="false" applyFill="false" applyFont="true" applyNumberFormat="true" applyProtection="false" borderId="9" fillId="0" fontId="6" numFmtId="165" xfId="0">
      <alignment horizontal="center" vertical="center"/>
    </xf>
    <xf applyAlignment="true" applyBorder="false" applyFill="false" applyFont="true" applyNumberFormat="true" applyProtection="false" borderId="6" fillId="0" fontId="6" numFmtId="173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true" applyProtection="false" borderId="0" fillId="0" fontId="10" numFmtId="165" xfId="0">
      <alignment horizontal="center" vertical="center"/>
    </xf>
    <xf applyAlignment="true" applyBorder="false" applyFill="false" applyFont="true" applyNumberFormat="true" applyProtection="false" borderId="0" fillId="0" fontId="9" numFmtId="165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true" applyProtection="false" borderId="0" fillId="0" fontId="11" numFmtId="165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true" applyFont="true" applyNumberFormat="false" applyProtection="false" borderId="21" fillId="16" fontId="1" numFmtId="0" xfId="0">
      <alignment horizontal="center" vertical="center"/>
    </xf>
    <xf applyAlignment="true" applyBorder="false" applyFill="true" applyFont="true" applyNumberFormat="false" applyProtection="false" borderId="22" fillId="16" fontId="1" numFmtId="0" xfId="0">
      <alignment horizontal="center" vertical="center"/>
    </xf>
    <xf applyAlignment="true" applyBorder="false" applyFill="true" applyFont="true" applyNumberFormat="true" applyProtection="false" borderId="21" fillId="16" fontId="1" numFmtId="174" xfId="0">
      <alignment horizontal="center" vertical="center"/>
    </xf>
    <xf applyAlignment="true" applyBorder="false" applyFill="true" applyFont="true" applyNumberFormat="true" applyProtection="false" borderId="21" fillId="17" fontId="1" numFmtId="175" xfId="0">
      <alignment horizontal="center" vertical="center"/>
    </xf>
    <xf applyAlignment="true" applyBorder="false" applyFill="true" applyFont="true" applyNumberFormat="true" applyProtection="false" borderId="21" fillId="18" fontId="1" numFmtId="176" xfId="0">
      <alignment horizontal="center" vertical="center"/>
    </xf>
    <xf applyAlignment="true" applyBorder="false" applyFill="true" applyFont="true" applyNumberFormat="false" applyProtection="false" borderId="23" fillId="16" fontId="1" numFmtId="0" xfId="0">
      <alignment horizontal="center" vertical="center"/>
    </xf>
    <xf applyAlignment="true" applyBorder="false" applyFill="true" applyFont="true" applyNumberFormat="true" applyProtection="false" borderId="23" fillId="19" fontId="1" numFmtId="174" xfId="0">
      <alignment horizontal="center" vertical="center"/>
    </xf>
    <xf applyAlignment="true" applyBorder="false" applyFill="true" applyFont="true" applyNumberFormat="true" applyProtection="false" borderId="23" fillId="19" fontId="1" numFmtId="177" xfId="0">
      <alignment horizontal="center" vertical="center"/>
    </xf>
    <xf applyAlignment="true" applyBorder="false" applyFill="true" applyFont="true" applyNumberFormat="true" applyProtection="false" borderId="23" fillId="19" fontId="1" numFmtId="177" xfId="0">
      <alignment horizontal="center" vertical="center"/>
    </xf>
    <xf applyAlignment="true" applyBorder="false" applyFill="true" applyFont="true" applyNumberFormat="true" applyProtection="false" borderId="21" fillId="16" fontId="1" numFmtId="175" xfId="0">
      <alignment horizontal="center" vertical="center"/>
    </xf>
    <xf applyAlignment="true" applyBorder="false" applyFill="true" applyFont="true" applyNumberFormat="true" applyProtection="false" borderId="21" fillId="16" fontId="1" numFmtId="175" xfId="0">
      <alignment horizontal="center" vertical="center"/>
    </xf>
    <xf applyAlignment="true" applyBorder="false" applyFill="true" applyFont="true" applyNumberFormat="true" applyProtection="false" borderId="21" fillId="17" fontId="1" numFmtId="175" xfId="0">
      <alignment horizontal="center" vertical="center" wrapText="true"/>
    </xf>
    <xf applyAlignment="true" applyBorder="false" applyFill="true" applyFont="true" applyNumberFormat="true" applyProtection="false" borderId="21" fillId="17" fontId="1" numFmtId="178" xfId="0">
      <alignment horizontal="center" vertical="center" wrapText="true"/>
    </xf>
    <xf applyAlignment="true" applyBorder="false" applyFill="true" applyFont="true" applyNumberFormat="true" applyProtection="false" borderId="21" fillId="17" fontId="1" numFmtId="176" xfId="0">
      <alignment horizontal="center" vertical="center" wrapText="true"/>
    </xf>
    <xf applyAlignment="true" applyBorder="false" applyFill="true" applyFont="true" applyNumberFormat="true" applyProtection="false" borderId="21" fillId="20" fontId="1" numFmtId="178" xfId="0">
      <alignment horizontal="center" vertical="center" wrapText="true"/>
    </xf>
    <xf applyAlignment="true" applyBorder="false" applyFill="true" applyFont="true" applyNumberFormat="true" applyProtection="false" borderId="21" fillId="20" fontId="1" numFmtId="176" xfId="0">
      <alignment horizontal="center" vertical="center" wrapText="true"/>
    </xf>
    <xf applyAlignment="true" applyBorder="false" applyFill="true" applyFont="true" applyNumberFormat="true" applyProtection="false" borderId="21" fillId="20" fontId="1" numFmtId="176" xfId="0">
      <alignment horizontal="center" vertical="center"/>
    </xf>
    <xf applyAlignment="true" applyBorder="false" applyFill="true" applyFont="true" applyNumberFormat="false" applyProtection="false" borderId="21" fillId="17" fontId="1" numFmtId="0" xfId="0">
      <alignment horizontal="center" vertical="center"/>
    </xf>
    <xf applyAlignment="true" applyBorder="false" applyFill="false" applyFont="true" applyNumberFormat="true" applyProtection="false" borderId="24" fillId="0" fontId="2" numFmtId="179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false" applyFont="true" applyNumberFormat="true" applyProtection="false" borderId="21" fillId="0" fontId="4" numFmtId="174" xfId="0">
      <alignment horizontal="center" vertical="center"/>
    </xf>
    <xf applyAlignment="true" applyBorder="false" applyFill="false" applyFont="true" applyNumberFormat="true" applyProtection="false" borderId="21" fillId="0" fontId="4" numFmtId="177" xfId="0">
      <alignment horizontal="center" vertical="center"/>
    </xf>
    <xf applyAlignment="true" applyBorder="false" applyFill="false" applyFont="true" applyNumberFormat="true" applyProtection="false" borderId="22" fillId="0" fontId="4" numFmtId="175" xfId="0">
      <alignment horizontal="center" vertical="center"/>
    </xf>
    <xf applyAlignment="true" applyBorder="false" applyFill="false" applyFont="true" applyNumberFormat="true" applyProtection="false" borderId="21" fillId="0" fontId="4" numFmtId="175" xfId="0">
      <alignment horizontal="center" vertical="center"/>
    </xf>
    <xf applyAlignment="true" applyBorder="false" applyFill="false" applyFont="true" applyNumberFormat="true" applyProtection="false" borderId="21" fillId="0" fontId="4" numFmtId="178" xfId="0">
      <alignment horizontal="center" vertical="center"/>
    </xf>
    <xf applyAlignment="true" applyBorder="false" applyFill="false" applyFont="true" applyNumberFormat="true" applyProtection="false" borderId="21" fillId="0" fontId="4" numFmtId="176" xfId="0">
      <alignment horizontal="center" vertical="center"/>
    </xf>
    <xf applyAlignment="true" applyBorder="false" applyFill="false" applyFont="true" applyNumberFormat="true" applyProtection="false" borderId="21" fillId="0" fontId="4" numFmtId="178" xfId="0">
      <alignment horizontal="center" vertical="center"/>
    </xf>
    <xf applyAlignment="true" applyBorder="false" applyFill="false" applyFont="true" applyNumberFormat="true" applyProtection="false" borderId="21" fillId="0" fontId="4" numFmtId="176" xfId="0">
      <alignment horizontal="center" vertical="center"/>
    </xf>
    <xf applyAlignment="true" applyBorder="false" applyFill="false" applyFont="true" applyNumberFormat="false" applyProtection="false" borderId="21" fillId="0" fontId="4" numFmtId="0" xfId="0">
      <alignment horizontal="center" vertical="center"/>
    </xf>
    <xf applyAlignment="true" applyBorder="false" applyFill="false" applyFont="true" applyNumberFormat="false" applyProtection="false" borderId="26" fillId="0" fontId="4" numFmtId="0" xfId="0">
      <alignment horizontal="center" vertical="center"/>
    </xf>
    <xf applyAlignment="true" applyBorder="false" applyFill="false" applyFont="true" applyNumberFormat="false" applyProtection="false" borderId="27" fillId="0" fontId="3" numFmtId="0" xfId="0">
      <alignment horizontal="center" vertical="center"/>
    </xf>
    <xf applyAlignment="true" applyBorder="false" applyFill="false" applyFont="true" applyNumberFormat="true" applyProtection="false" borderId="24" fillId="0" fontId="4" numFmtId="174" xfId="0">
      <alignment horizontal="center" vertical="center"/>
    </xf>
    <xf applyAlignment="true" applyBorder="false" applyFill="false" applyFont="true" applyNumberFormat="true" applyProtection="false" borderId="24" fillId="0" fontId="4" numFmtId="177" xfId="0">
      <alignment horizontal="center" vertical="center"/>
    </xf>
    <xf applyAlignment="true" applyBorder="false" applyFill="true" applyFont="true" applyNumberFormat="false" applyProtection="false" borderId="21" fillId="21" fontId="3" numFmtId="0" xfId="0">
      <alignment horizontal="center" vertical="center"/>
    </xf>
    <xf applyAlignment="true" applyBorder="false" applyFill="true" applyFont="true" applyNumberFormat="true" applyProtection="false" borderId="21" fillId="21" fontId="4" numFmtId="174" xfId="0">
      <alignment horizontal="center" vertical="center"/>
    </xf>
    <xf applyAlignment="true" applyBorder="false" applyFill="true" applyFont="true" applyNumberFormat="true" applyProtection="false" borderId="21" fillId="21" fontId="4" numFmtId="176" xfId="0">
      <alignment horizontal="center" vertical="center"/>
    </xf>
    <xf applyAlignment="true" applyBorder="false" applyFill="true" applyFont="true" applyNumberFormat="true" applyProtection="false" borderId="21" fillId="21" fontId="4" numFmtId="175" xfId="0">
      <alignment horizontal="center" vertical="center"/>
    </xf>
    <xf applyAlignment="true" applyBorder="false" applyFill="true" applyFont="true" applyNumberFormat="true" applyProtection="false" borderId="21" fillId="21" fontId="4" numFmtId="178" xfId="0">
      <alignment horizontal="center" vertical="center"/>
    </xf>
    <xf applyAlignment="true" applyBorder="false" applyFill="true" applyFont="true" applyNumberFormat="true" applyProtection="false" borderId="21" fillId="21" fontId="4" numFmtId="180" xfId="0">
      <alignment horizontal="center" vertical="center"/>
    </xf>
    <xf applyAlignment="true" applyBorder="false" applyFill="true" applyFont="true" applyNumberFormat="false" applyProtection="false" borderId="21" fillId="21" fontId="4" numFmtId="0" xfId="0">
      <alignment horizontal="center" vertical="center"/>
    </xf>
    <xf applyAlignment="true" applyBorder="false" applyFill="true" applyFont="true" applyNumberFormat="true" applyProtection="false" borderId="21" fillId="21" fontId="4" numFmtId="181" xfId="0">
      <alignment horizontal="center" vertical="center"/>
    </xf>
    <xf applyAlignment="true" applyBorder="false" applyFill="false" applyFont="true" applyNumberFormat="false" applyProtection="false" borderId="28" fillId="0" fontId="3" numFmtId="0" xfId="0">
      <alignment horizontal="center" vertical="center"/>
    </xf>
    <xf applyAlignment="true" applyBorder="false" applyFill="false" applyFont="true" applyNumberFormat="true" applyProtection="false" borderId="28" fillId="0" fontId="4" numFmtId="174" xfId="0">
      <alignment horizontal="center" vertical="center"/>
    </xf>
    <xf applyAlignment="true" applyBorder="false" applyFill="false" applyFont="true" applyNumberFormat="true" applyProtection="false" borderId="29" fillId="0" fontId="4" numFmtId="177" xfId="0">
      <alignment horizontal="center" vertical="center"/>
    </xf>
    <xf applyAlignment="true" applyBorder="false" applyFill="false" applyFont="true" applyNumberFormat="true" applyProtection="false" borderId="28" fillId="0" fontId="4" numFmtId="177" xfId="0">
      <alignment horizontal="center" vertical="center"/>
    </xf>
    <xf applyAlignment="true" applyBorder="false" applyFill="false" applyFont="true" applyNumberFormat="true" applyProtection="false" borderId="30" fillId="0" fontId="4" numFmtId="174" xfId="0">
      <alignment horizontal="center" vertical="center"/>
    </xf>
    <xf applyAlignment="true" applyBorder="false" applyFill="false" applyFont="true" applyNumberFormat="true" applyProtection="false" borderId="28" fillId="0" fontId="4" numFmtId="175" xfId="0">
      <alignment horizontal="center" vertical="center"/>
    </xf>
    <xf applyAlignment="true" applyBorder="false" applyFill="false" applyFont="true" applyNumberFormat="true" applyProtection="false" borderId="28" fillId="0" fontId="4" numFmtId="178" xfId="0">
      <alignment horizontal="center" vertical="center"/>
    </xf>
    <xf applyAlignment="true" applyBorder="false" applyFill="false" applyFont="true" applyNumberFormat="true" applyProtection="false" borderId="28" fillId="0" fontId="4" numFmtId="176" xfId="0">
      <alignment horizontal="center" vertical="center"/>
    </xf>
    <xf applyAlignment="true" applyBorder="false" applyFill="false" applyFont="true" applyNumberFormat="true" applyProtection="false" borderId="28" fillId="0" fontId="4" numFmtId="178" xfId="0">
      <alignment horizontal="center" vertical="center"/>
    </xf>
    <xf applyAlignment="true" applyBorder="false" applyFill="false" applyFont="true" applyNumberFormat="true" applyProtection="false" borderId="28" fillId="0" fontId="4" numFmtId="176" xfId="0">
      <alignment horizontal="center" vertical="center"/>
    </xf>
    <xf applyAlignment="true" applyBorder="false" applyFill="false" applyFont="true" applyNumberFormat="false" applyProtection="false" borderId="31" fillId="0" fontId="3" numFmtId="0" xfId="0">
      <alignment horizontal="center" vertical="center"/>
    </xf>
    <xf applyAlignment="true" applyBorder="false" applyFill="false" applyFont="true" applyNumberFormat="true" applyProtection="false" borderId="32" fillId="0" fontId="4" numFmtId="174" xfId="0">
      <alignment horizontal="center" vertical="center"/>
    </xf>
    <xf applyAlignment="true" applyBorder="false" applyFill="false" applyFont="true" applyNumberFormat="true" applyProtection="false" borderId="31" fillId="0" fontId="4" numFmtId="177" xfId="0">
      <alignment horizontal="center" vertical="center"/>
    </xf>
    <xf applyAlignment="true" applyBorder="false" applyFill="false" applyFont="true" applyNumberFormat="false" applyProtection="false" borderId="28" fillId="0" fontId="3" numFmtId="0" xfId="0">
      <alignment horizontal="center" vertical="center"/>
    </xf>
    <xf applyAlignment="true" applyBorder="false" applyFill="true" applyFont="true" applyNumberFormat="false" applyProtection="false" borderId="28" fillId="21" fontId="3" numFmtId="0" xfId="0">
      <alignment horizontal="center" vertical="center"/>
    </xf>
    <xf applyAlignment="true" applyBorder="false" applyFill="true" applyFont="true" applyNumberFormat="true" applyProtection="false" borderId="28" fillId="21" fontId="4" numFmtId="174" xfId="0">
      <alignment horizontal="center" vertical="center"/>
    </xf>
    <xf applyAlignment="true" applyBorder="false" applyFill="true" applyFont="true" applyNumberFormat="true" applyProtection="false" borderId="28" fillId="21" fontId="4" numFmtId="177" xfId="0">
      <alignment horizontal="center" vertical="center"/>
    </xf>
    <xf applyAlignment="true" applyBorder="false" applyFill="true" applyFont="true" applyNumberFormat="true" applyProtection="false" borderId="28" fillId="21" fontId="4" numFmtId="175" xfId="0">
      <alignment horizontal="center" vertical="center"/>
    </xf>
    <xf applyAlignment="true" applyBorder="false" applyFill="true" applyFont="true" applyNumberFormat="true" applyProtection="false" borderId="28" fillId="21" fontId="4" numFmtId="178" xfId="0">
      <alignment horizontal="center" vertical="center"/>
    </xf>
    <xf applyAlignment="true" applyBorder="false" applyFill="true" applyFont="true" applyNumberFormat="true" applyProtection="false" borderId="28" fillId="21" fontId="4" numFmtId="176" xfId="0">
      <alignment horizontal="center" vertical="center"/>
    </xf>
    <xf applyAlignment="true" applyBorder="false" applyFill="true" applyFont="true" applyNumberFormat="true" applyProtection="false" borderId="28" fillId="21" fontId="4" numFmtId="180" xfId="0">
      <alignment horizontal="center" vertical="center"/>
    </xf>
    <xf applyAlignment="true" applyBorder="false" applyFill="true" applyFont="true" applyNumberFormat="false" applyProtection="false" borderId="28" fillId="21" fontId="4" numFmtId="0" xfId="0">
      <alignment horizontal="center" vertical="center"/>
    </xf>
    <xf applyAlignment="true" applyBorder="false" applyFill="true" applyFont="true" applyNumberFormat="true" applyProtection="false" borderId="28" fillId="21" fontId="4" numFmtId="181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true" applyFont="true" applyNumberFormat="true" applyProtection="false" borderId="23" fillId="21" fontId="4" numFmtId="174" xfId="0">
      <alignment horizontal="center" vertical="center"/>
    </xf>
    <xf applyAlignment="true" applyBorder="false" applyFill="true" applyFont="true" applyNumberFormat="true" applyProtection="false" borderId="23" fillId="21" fontId="4" numFmtId="177" xfId="0">
      <alignment horizontal="center" vertical="center"/>
    </xf>
    <xf applyAlignment="true" applyBorder="false" applyFill="false" applyFont="true" applyNumberFormat="true" applyProtection="false" borderId="28" fillId="0" fontId="4" numFmtId="174" xfId="0">
      <alignment horizontal="center" vertical="center"/>
    </xf>
    <xf applyAlignment="true" applyBorder="false" applyFill="false" applyFont="true" applyNumberFormat="true" applyProtection="false" borderId="32" fillId="0" fontId="4" numFmtId="174" xfId="0">
      <alignment horizontal="center" vertical="center"/>
    </xf>
    <xf applyAlignment="true" applyBorder="false" applyFill="false" applyFont="true" applyNumberFormat="true" applyProtection="false" borderId="30" fillId="0" fontId="4" numFmtId="174" xfId="0">
      <alignment horizontal="center" vertical="center"/>
    </xf>
    <xf applyAlignment="true" applyBorder="false" applyFill="true" applyFont="true" applyNumberFormat="false" applyProtection="false" borderId="21" fillId="22" fontId="5" numFmtId="0" xfId="0">
      <alignment horizontal="center" vertical="center"/>
    </xf>
    <xf applyAlignment="true" applyBorder="false" applyFill="true" applyFont="true" applyNumberFormat="true" applyProtection="false" borderId="25" fillId="22" fontId="5" numFmtId="174" xfId="0">
      <alignment horizontal="center" vertical="center"/>
    </xf>
    <xf applyAlignment="true" applyBorder="false" applyFill="true" applyFont="true" applyNumberFormat="true" applyProtection="false" borderId="22" fillId="22" fontId="5" numFmtId="175" xfId="0">
      <alignment horizontal="center" vertical="center"/>
    </xf>
    <xf applyAlignment="true" applyBorder="false" applyFill="true" applyFont="true" applyNumberFormat="true" applyProtection="false" borderId="21" fillId="22" fontId="5" numFmtId="175" xfId="0">
      <alignment horizontal="center" vertical="center"/>
    </xf>
    <xf applyAlignment="true" applyBorder="false" applyFill="true" applyFont="true" applyNumberFormat="true" applyProtection="false" borderId="21" fillId="22" fontId="5" numFmtId="178" xfId="0">
      <alignment horizontal="center" vertical="center"/>
    </xf>
    <xf applyAlignment="true" applyBorder="false" applyFill="true" applyFont="true" applyNumberFormat="true" applyProtection="false" borderId="21" fillId="22" fontId="5" numFmtId="176" xfId="0">
      <alignment horizontal="center" vertical="center"/>
    </xf>
    <xf applyAlignment="true" applyBorder="false" applyFill="true" applyFont="true" applyNumberFormat="true" applyProtection="false" borderId="21" fillId="22" fontId="5" numFmtId="174" xfId="0">
      <alignment horizontal="center" vertical="center"/>
    </xf>
    <xf applyAlignment="true" applyBorder="false" applyFill="true" applyFont="true" applyNumberFormat="true" applyProtection="false" borderId="23" fillId="19" fontId="1" numFmtId="174" xfId="0">
      <alignment horizontal="center" vertical="center"/>
    </xf>
    <xf applyAlignment="true" applyBorder="false" applyFill="true" applyFont="true" applyNumberFormat="true" applyProtection="false" borderId="21" fillId="21" fontId="4" numFmtId="177" xfId="0">
      <alignment horizontal="center" vertical="center"/>
    </xf>
    <xf applyAlignment="true" applyBorder="false" applyFill="false" applyFont="true" applyNumberFormat="true" applyProtection="false" borderId="30" fillId="0" fontId="4" numFmtId="177" xfId="0">
      <alignment horizontal="center" vertical="center"/>
    </xf>
    <xf applyAlignment="true" applyBorder="false" applyFill="true" applyFont="true" applyNumberFormat="true" applyProtection="false" borderId="25" fillId="22" fontId="5" numFmtId="177" xfId="0">
      <alignment horizontal="center" vertical="center"/>
    </xf>
    <xf applyAlignment="true" applyBorder="false" applyFill="false" applyFont="true" applyNumberFormat="true" applyProtection="false" borderId="21" fillId="0" fontId="4" numFmtId="180" xfId="0">
      <alignment horizontal="center" vertical="center"/>
    </xf>
    <xf applyAlignment="true" applyBorder="false" applyFill="true" applyFont="true" applyNumberFormat="false" applyProtection="false" borderId="33" fillId="16" fontId="1" numFmtId="0" xfId="0">
      <alignment horizontal="center" vertical="center"/>
    </xf>
    <xf applyAlignment="true" applyBorder="false" applyFill="true" applyFont="true" applyNumberFormat="true" applyProtection="false" borderId="23" fillId="16" fontId="1" numFmtId="174" xfId="0">
      <alignment horizontal="center" vertical="center"/>
    </xf>
    <xf applyAlignment="true" applyBorder="false" applyFill="true" applyFont="true" applyNumberFormat="false" applyProtection="false" borderId="34" fillId="16" fontId="1" numFmtId="0" xfId="0">
      <alignment horizontal="center" vertical="center"/>
    </xf>
    <xf applyAlignment="true" applyBorder="false" applyFill="true" applyFont="true" applyNumberFormat="false" applyProtection="false" borderId="25" fillId="16" fontId="1" numFmtId="0" xfId="0">
      <alignment horizontal="center" vertical="center"/>
    </xf>
    <xf applyAlignment="true" applyBorder="false" applyFill="true" applyFont="true" applyNumberFormat="true" applyProtection="false" borderId="21" fillId="19" fontId="1" numFmtId="174" xfId="0">
      <alignment horizontal="center" vertical="center"/>
    </xf>
    <xf applyAlignment="true" applyBorder="false" applyFill="true" applyFont="true" applyNumberFormat="true" applyProtection="false" borderId="22" fillId="19" fontId="1" numFmtId="177" xfId="0">
      <alignment horizontal="center" vertical="center"/>
    </xf>
    <xf applyAlignment="true" applyBorder="false" applyFill="true" applyFont="true" applyNumberFormat="true" applyProtection="false" borderId="21" fillId="19" fontId="1" numFmtId="177" xfId="0">
      <alignment horizontal="center" vertical="center"/>
    </xf>
    <xf applyAlignment="true" applyBorder="false" applyFill="true" applyFont="true" applyNumberFormat="true" applyProtection="false" borderId="33" fillId="19" fontId="1" numFmtId="174" xfId="0">
      <alignment horizontal="center" vertical="center"/>
    </xf>
    <xf applyAlignment="true" applyBorder="false" applyFill="false" applyFont="true" applyNumberFormat="true" applyProtection="false" borderId="28" fillId="0" fontId="3" numFmtId="174" xfId="0">
      <alignment horizontal="center" vertical="center"/>
    </xf>
    <xf applyAlignment="true" applyBorder="false" applyFill="false" applyFont="true" applyNumberFormat="true" applyProtection="false" borderId="28" fillId="0" fontId="4" numFmtId="180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false" applyFont="true" applyNumberFormat="true" applyProtection="false" borderId="28" fillId="0" fontId="4" numFmtId="177" xfId="0">
      <alignment horizontal="center" vertical="center"/>
    </xf>
    <xf applyAlignment="true" applyBorder="false" applyFill="true" applyFont="true" applyNumberFormat="true" applyProtection="false" borderId="35" fillId="21" fontId="4" numFmtId="174" xfId="0">
      <alignment horizontal="center" vertical="center"/>
    </xf>
    <xf applyAlignment="true" applyBorder="false" applyFill="true" applyFont="true" applyNumberFormat="true" applyProtection="false" borderId="35" fillId="21" fontId="4" numFmtId="177" xfId="0">
      <alignment horizontal="center" vertical="center"/>
    </xf>
    <xf applyAlignment="true" applyBorder="false" applyFill="true" applyFont="true" applyNumberFormat="true" applyProtection="false" borderId="33" fillId="19" fontId="1" numFmtId="177" xfId="0">
      <alignment horizontal="center" vertical="center"/>
    </xf>
    <xf applyAlignment="true" applyBorder="false" applyFill="false" applyFont="true" applyNumberFormat="true" applyProtection="false" borderId="36" fillId="0" fontId="4" numFmtId="177" xfId="0">
      <alignment horizontal="center" vertical="center"/>
    </xf>
    <xf applyAlignment="true" applyBorder="false" applyFill="false" applyFont="true" applyNumberFormat="true" applyProtection="false" borderId="31" fillId="0" fontId="4" numFmtId="174" xfId="0">
      <alignment horizontal="center" vertical="center"/>
    </xf>
    <xf applyAlignment="true" applyBorder="false" applyFill="false" applyFont="true" applyNumberFormat="true" applyProtection="false" borderId="28" fillId="0" fontId="4" numFmtId="180" xfId="0">
      <alignment horizontal="center" vertical="center"/>
    </xf>
    <xf applyAlignment="true" applyBorder="false" applyFill="false" applyFont="true" applyNumberFormat="true" applyProtection="false" borderId="35" fillId="0" fontId="4" numFmtId="177" xfId="0">
      <alignment horizontal="center" vertical="center"/>
    </xf>
    <xf applyAlignment="true" applyBorder="false" applyFill="false" applyFont="true" applyNumberFormat="true" applyProtection="false" borderId="35" fillId="0" fontId="4" numFmtId="175" xfId="0">
      <alignment horizontal="center" vertical="center"/>
    </xf>
    <xf applyAlignment="true" applyBorder="false" applyFill="true" applyFont="true" applyNumberFormat="true" applyProtection="false" borderId="29" fillId="21" fontId="4" numFmtId="174" xfId="0">
      <alignment horizontal="center" vertical="center"/>
    </xf>
    <xf applyAlignment="true" applyBorder="false" applyFill="true" applyFont="true" applyNumberFormat="true" applyProtection="false" borderId="30" fillId="21" fontId="4" numFmtId="175" xfId="0">
      <alignment horizontal="center" vertical="center"/>
    </xf>
    <xf applyAlignment="true" applyBorder="false" applyFill="true" applyFont="true" applyNumberFormat="true" applyProtection="false" borderId="25" fillId="22" fontId="5" numFmtId="181" xfId="0">
      <alignment horizontal="center" vertical="center"/>
    </xf>
    <xf applyAlignment="true" applyBorder="false" applyFill="true" applyFont="true" applyNumberFormat="true" applyProtection="false" borderId="21" fillId="22" fontId="5" numFmtId="181" xfId="0">
      <alignment horizontal="center" vertical="center"/>
    </xf>
    <xf applyAlignment="true" applyBorder="false" applyFill="true" applyFont="true" applyNumberFormat="false" applyProtection="false" borderId="28" fillId="23" fontId="1" numFmtId="0" xfId="0">
      <alignment horizontal="center" vertical="center"/>
    </xf>
    <xf applyAlignment="true" applyBorder="false" applyFill="true" applyFont="true" applyNumberFormat="false" applyProtection="false" borderId="30" fillId="23" fontId="1" numFmtId="0" xfId="0">
      <alignment horizontal="center" vertical="center"/>
    </xf>
    <xf applyAlignment="true" applyBorder="false" applyFill="true" applyFont="true" applyNumberFormat="true" applyProtection="false" borderId="35" fillId="23" fontId="1" numFmtId="174" xfId="0">
      <alignment horizontal="center" vertical="center"/>
    </xf>
    <xf applyAlignment="true" applyBorder="false" applyFill="true" applyFont="true" applyNumberFormat="true" applyProtection="false" borderId="28" fillId="24" fontId="1" numFmtId="175" xfId="0">
      <alignment horizontal="center" vertical="center"/>
    </xf>
    <xf applyAlignment="true" applyBorder="false" applyFill="true" applyFont="true" applyNumberFormat="true" applyProtection="false" borderId="28" fillId="18" fontId="1" numFmtId="176" xfId="0">
      <alignment horizontal="center" vertical="center"/>
    </xf>
    <xf applyAlignment="true" applyBorder="false" applyFill="true" applyFont="true" applyNumberFormat="false" applyProtection="false" borderId="37" fillId="23" fontId="1" numFmtId="0" xfId="0">
      <alignment horizontal="center" vertical="center"/>
    </xf>
    <xf applyAlignment="true" applyBorder="false" applyFill="true" applyFont="true" applyNumberFormat="false" applyProtection="false" borderId="29" fillId="23" fontId="1" numFmtId="0" xfId="0">
      <alignment horizontal="center" vertical="center"/>
    </xf>
    <xf applyAlignment="true" applyBorder="false" applyFill="true" applyFont="true" applyNumberFormat="true" applyProtection="false" borderId="28" fillId="25" fontId="1" numFmtId="174" xfId="0">
      <alignment horizontal="center" vertical="center"/>
    </xf>
    <xf applyAlignment="true" applyBorder="false" applyFill="true" applyFont="true" applyNumberFormat="true" applyProtection="false" borderId="30" fillId="25" fontId="1" numFmtId="177" xfId="0">
      <alignment horizontal="center" vertical="center"/>
    </xf>
    <xf applyAlignment="true" applyBorder="false" applyFill="true" applyFont="true" applyNumberFormat="true" applyProtection="false" borderId="28" fillId="25" fontId="1" numFmtId="177" xfId="0">
      <alignment horizontal="center" vertical="center"/>
    </xf>
    <xf applyAlignment="true" applyBorder="false" applyFill="true" applyFont="true" applyNumberFormat="true" applyProtection="false" borderId="38" fillId="25" fontId="1" numFmtId="174" xfId="0">
      <alignment horizontal="center" vertical="center"/>
    </xf>
    <xf applyAlignment="true" applyBorder="false" applyFill="true" applyFont="true" applyNumberFormat="true" applyProtection="false" borderId="35" fillId="25" fontId="1" numFmtId="174" xfId="0">
      <alignment horizontal="center" vertical="center"/>
    </xf>
    <xf applyAlignment="true" applyBorder="false" applyFill="true" applyFont="true" applyNumberFormat="true" applyProtection="false" borderId="28" fillId="23" fontId="1" numFmtId="175" xfId="0">
      <alignment horizontal="center" vertical="center"/>
    </xf>
    <xf applyAlignment="true" applyBorder="false" applyFill="true" applyFont="true" applyNumberFormat="true" applyProtection="false" borderId="28" fillId="24" fontId="1" numFmtId="175" xfId="0">
      <alignment horizontal="center" vertical="center" wrapText="true"/>
    </xf>
    <xf applyAlignment="true" applyBorder="false" applyFill="true" applyFont="true" applyNumberFormat="true" applyProtection="false" borderId="28" fillId="24" fontId="1" numFmtId="178" xfId="0">
      <alignment horizontal="center" vertical="center" wrapText="true"/>
    </xf>
    <xf applyAlignment="true" applyBorder="false" applyFill="true" applyFont="true" applyNumberFormat="true" applyProtection="false" borderId="28" fillId="24" fontId="1" numFmtId="176" xfId="0">
      <alignment horizontal="center" vertical="center" wrapText="true"/>
    </xf>
    <xf applyAlignment="true" applyBorder="false" applyFill="true" applyFont="true" applyNumberFormat="true" applyProtection="false" borderId="28" fillId="26" fontId="1" numFmtId="178" xfId="0">
      <alignment horizontal="center" vertical="center" wrapText="true"/>
    </xf>
    <xf applyAlignment="true" applyBorder="false" applyFill="true" applyFont="true" applyNumberFormat="true" applyProtection="false" borderId="28" fillId="26" fontId="1" numFmtId="176" xfId="0">
      <alignment horizontal="center" vertical="center" wrapText="true"/>
    </xf>
    <xf applyAlignment="true" applyBorder="false" applyFill="true" applyFont="true" applyNumberFormat="true" applyProtection="false" borderId="28" fillId="26" fontId="1" numFmtId="176" xfId="0">
      <alignment horizontal="center" vertical="center"/>
    </xf>
    <xf applyAlignment="true" applyBorder="false" applyFill="true" applyFont="true" applyNumberFormat="false" applyProtection="false" borderId="28" fillId="24" fontId="1" numFmtId="0" xfId="0">
      <alignment horizontal="center" vertical="center"/>
    </xf>
    <xf applyAlignment="true" applyBorder="false" applyFill="false" applyFont="true" applyNumberFormat="true" applyProtection="false" borderId="31" fillId="0" fontId="2" numFmtId="179" xfId="0">
      <alignment horizontal="center" vertical="center"/>
    </xf>
    <xf applyAlignment="true" applyBorder="false" applyFill="false" applyFont="true" applyNumberFormat="false" applyProtection="false" borderId="29" fillId="0" fontId="3" numFmtId="0" xfId="0">
      <alignment horizontal="center" vertical="center"/>
    </xf>
    <xf applyAlignment="true" applyBorder="false" applyFill="false" applyFont="true" applyNumberFormat="true" applyProtection="false" borderId="31" fillId="0" fontId="4" numFmtId="177" xfId="0">
      <alignment horizontal="center" vertical="center"/>
    </xf>
    <xf applyAlignment="true" applyBorder="false" applyFill="false" applyFont="true" applyNumberFormat="true" applyProtection="false" borderId="30" fillId="0" fontId="4" numFmtId="177" xfId="0">
      <alignment horizontal="center" vertical="center"/>
    </xf>
    <xf applyAlignment="true" applyBorder="false" applyFill="false" applyFont="true" applyNumberFormat="false" applyProtection="false" borderId="32" fillId="0" fontId="3" numFmtId="0" xfId="0">
      <alignment horizontal="center" vertical="center"/>
    </xf>
    <xf applyAlignment="true" applyBorder="false" applyFill="false" applyFont="true" applyNumberFormat="true" applyProtection="false" borderId="29" fillId="0" fontId="4" numFmtId="177" xfId="0">
      <alignment horizontal="center" vertical="center"/>
    </xf>
    <xf applyAlignment="true" applyBorder="false" applyFill="true" applyFont="true" applyNumberFormat="false" applyProtection="false" borderId="28" fillId="22" fontId="5" numFmtId="0" xfId="0">
      <alignment horizontal="center" vertical="center"/>
    </xf>
    <xf applyAlignment="true" applyBorder="false" applyFill="true" applyFont="true" applyNumberFormat="true" applyProtection="false" borderId="29" fillId="22" fontId="5" numFmtId="174" xfId="0">
      <alignment horizontal="center" vertical="center"/>
    </xf>
    <xf applyAlignment="true" applyBorder="false" applyFill="true" applyFont="true" applyNumberFormat="true" applyProtection="false" borderId="29" fillId="22" fontId="5" numFmtId="181" xfId="0">
      <alignment horizontal="center" vertical="center"/>
    </xf>
    <xf applyAlignment="true" applyBorder="false" applyFill="true" applyFont="true" applyNumberFormat="true" applyProtection="false" borderId="28" fillId="22" fontId="5" numFmtId="181" xfId="0">
      <alignment horizontal="center" vertical="center"/>
    </xf>
    <xf applyAlignment="true" applyBorder="false" applyFill="true" applyFont="true" applyNumberFormat="true" applyProtection="false" borderId="28" fillId="22" fontId="5" numFmtId="175" xfId="0">
      <alignment horizontal="center" vertical="center"/>
    </xf>
    <xf applyAlignment="true" applyBorder="false" applyFill="true" applyFont="true" applyNumberFormat="true" applyProtection="false" borderId="30" fillId="22" fontId="5" numFmtId="175" xfId="0">
      <alignment horizontal="center" vertical="center"/>
    </xf>
    <xf applyAlignment="true" applyBorder="false" applyFill="true" applyFont="true" applyNumberFormat="true" applyProtection="false" borderId="28" fillId="22" fontId="5" numFmtId="178" xfId="0">
      <alignment horizontal="center" vertical="center"/>
    </xf>
    <xf applyAlignment="true" applyBorder="false" applyFill="true" applyFont="true" applyNumberFormat="true" applyProtection="false" borderId="28" fillId="22" fontId="5" numFmtId="176" xfId="0">
      <alignment horizontal="center" vertical="center"/>
    </xf>
    <xf applyAlignment="true" applyBorder="false" applyFill="true" applyFont="true" applyNumberFormat="true" applyProtection="false" borderId="28" fillId="22" fontId="5" numFmtId="174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39" fillId="27" fontId="1" numFmtId="0" xfId="0">
      <alignment horizontal="center" vertical="center"/>
    </xf>
    <xf applyAlignment="true" applyBorder="false" applyFill="true" applyFont="true" applyNumberFormat="true" applyProtection="false" borderId="39" fillId="28" fontId="1" numFmtId="182" xfId="0">
      <alignment horizontal="center" vertical="center"/>
    </xf>
    <xf applyAlignment="true" applyBorder="false" applyFill="true" applyFont="true" applyNumberFormat="true" applyProtection="false" borderId="39" fillId="29" fontId="1" numFmtId="183" xfId="0">
      <alignment horizontal="center" vertical="center"/>
    </xf>
    <xf applyAlignment="true" applyBorder="false" applyFill="true" applyFont="true" applyNumberFormat="true" applyProtection="false" borderId="39" fillId="29" fontId="1" numFmtId="184" xfId="0">
      <alignment horizontal="center" vertical="center"/>
    </xf>
    <xf applyAlignment="true" applyBorder="false" applyFill="true" applyFont="true" applyNumberFormat="true" applyProtection="false" borderId="39" fillId="28" fontId="1" numFmtId="185" xfId="0">
      <alignment horizontal="center" vertical="center"/>
    </xf>
    <xf applyAlignment="true" applyBorder="false" applyFill="true" applyFont="true" applyNumberFormat="true" applyProtection="false" borderId="39" fillId="28" fontId="1" numFmtId="183" xfId="0">
      <alignment horizontal="center" vertical="center"/>
    </xf>
    <xf applyAlignment="true" applyBorder="false" applyFill="true" applyFont="true" applyNumberFormat="true" applyProtection="false" borderId="39" fillId="29" fontId="1" numFmtId="183" xfId="0">
      <alignment horizontal="center" vertical="center" wrapText="true"/>
    </xf>
    <xf applyAlignment="true" applyBorder="false" applyFill="true" applyFont="true" applyNumberFormat="true" applyProtection="false" borderId="39" fillId="29" fontId="1" numFmtId="186" xfId="0">
      <alignment horizontal="center" vertical="center" wrapText="true"/>
    </xf>
    <xf applyAlignment="true" applyBorder="false" applyFill="true" applyFont="true" applyNumberFormat="true" applyProtection="false" borderId="39" fillId="29" fontId="1" numFmtId="184" xfId="0">
      <alignment horizontal="center" vertical="center" wrapText="true"/>
    </xf>
    <xf applyAlignment="true" applyBorder="false" applyFill="true" applyFont="true" applyNumberFormat="false" applyProtection="false" borderId="39" fillId="29" fontId="1" numFmtId="0" xfId="0">
      <alignment horizontal="center" vertical="center"/>
    </xf>
    <xf applyAlignment="true" applyBorder="false" applyFill="false" applyFont="true" applyNumberFormat="true" applyProtection="false" borderId="39" fillId="0" fontId="2" numFmtId="187" xfId="0">
      <alignment horizontal="center" vertical="center"/>
    </xf>
    <xf applyAlignment="true" applyBorder="false" applyFill="false" applyFont="true" applyNumberFormat="false" applyProtection="false" borderId="39" fillId="0" fontId="3" numFmtId="0" xfId="0">
      <alignment horizontal="center" vertical="center"/>
    </xf>
    <xf applyAlignment="true" applyBorder="false" applyFill="false" applyFont="true" applyNumberFormat="true" applyProtection="false" borderId="39" fillId="0" fontId="4" numFmtId="182" xfId="0">
      <alignment horizontal="center" vertical="center"/>
    </xf>
    <xf applyAlignment="true" applyBorder="false" applyFill="false" applyFont="true" applyNumberFormat="true" applyProtection="false" borderId="39" fillId="0" fontId="4" numFmtId="185" xfId="0">
      <alignment horizontal="center" vertical="center"/>
    </xf>
    <xf applyAlignment="true" applyBorder="false" applyFill="false" applyFont="true" applyNumberFormat="true" applyProtection="false" borderId="39" fillId="0" fontId="4" numFmtId="183" xfId="0">
      <alignment horizontal="center" vertical="center"/>
    </xf>
    <xf applyAlignment="true" applyBorder="false" applyFill="false" applyFont="true" applyNumberFormat="true" applyProtection="false" borderId="39" fillId="0" fontId="4" numFmtId="186" xfId="0">
      <alignment horizontal="center" vertical="center"/>
    </xf>
    <xf applyAlignment="true" applyBorder="false" applyFill="false" applyFont="true" applyNumberFormat="true" applyProtection="false" borderId="39" fillId="0" fontId="4" numFmtId="184" xfId="0">
      <alignment horizontal="center" vertical="center"/>
    </xf>
    <xf applyAlignment="true" applyBorder="false" applyFill="false" applyFont="true" applyNumberFormat="true" applyProtection="false" borderId="39" fillId="0" fontId="4" numFmtId="186" xfId="0">
      <alignment horizontal="center" vertical="center"/>
    </xf>
    <xf applyAlignment="true" applyBorder="false" applyFill="false" applyFont="true" applyNumberFormat="true" applyProtection="false" borderId="39" fillId="0" fontId="4" numFmtId="184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true" applyProtection="false" borderId="39" fillId="0" fontId="4" numFmtId="182" xfId="0">
      <alignment horizontal="center" vertical="center"/>
    </xf>
    <xf applyAlignment="true" applyBorder="false" applyFill="true" applyFont="true" applyNumberFormat="false" applyProtection="false" borderId="39" fillId="30" fontId="3" numFmtId="0" xfId="0">
      <alignment horizontal="center" vertical="center"/>
    </xf>
    <xf applyAlignment="true" applyBorder="false" applyFill="true" applyFont="true" applyNumberFormat="true" applyProtection="false" borderId="39" fillId="30" fontId="4" numFmtId="182" xfId="0">
      <alignment horizontal="center" vertical="center"/>
    </xf>
    <xf applyAlignment="true" applyBorder="false" applyFill="true" applyFont="true" applyNumberFormat="true" applyProtection="false" borderId="39" fillId="30" fontId="4" numFmtId="185" xfId="0">
      <alignment horizontal="center" vertical="center"/>
    </xf>
    <xf applyAlignment="true" applyBorder="false" applyFill="true" applyFont="true" applyNumberFormat="true" applyProtection="false" borderId="39" fillId="30" fontId="4" numFmtId="183" xfId="0">
      <alignment horizontal="center" vertical="center"/>
    </xf>
    <xf applyAlignment="true" applyBorder="false" applyFill="true" applyFont="true" applyNumberFormat="true" applyProtection="false" borderId="39" fillId="30" fontId="4" numFmtId="186" xfId="0">
      <alignment horizontal="center" vertical="center"/>
    </xf>
    <xf applyAlignment="true" applyBorder="false" applyFill="true" applyFont="true" applyNumberFormat="true" applyProtection="false" borderId="39" fillId="30" fontId="4" numFmtId="184" xfId="0">
      <alignment horizontal="center" vertical="center"/>
    </xf>
    <xf applyAlignment="true" applyBorder="false" applyFill="true" applyFont="true" applyNumberFormat="true" applyProtection="false" borderId="39" fillId="30" fontId="4" numFmtId="188" xfId="0">
      <alignment horizontal="center" vertical="center"/>
    </xf>
    <xf applyAlignment="true" applyBorder="false" applyFill="true" applyFont="true" applyNumberFormat="false" applyProtection="false" borderId="39" fillId="30" fontId="4" numFmtId="0" xfId="0">
      <alignment horizontal="center" vertical="center"/>
    </xf>
    <xf applyAlignment="true" applyBorder="false" applyFill="true" applyFont="true" applyNumberFormat="true" applyProtection="false" borderId="39" fillId="30" fontId="4" numFmtId="189" xfId="0">
      <alignment horizontal="center" vertical="center"/>
    </xf>
    <xf applyAlignment="true" applyBorder="false" applyFill="true" applyFont="true" applyNumberFormat="false" applyProtection="false" borderId="39" fillId="31" fontId="5" numFmtId="0" xfId="0">
      <alignment horizontal="center" vertical="center"/>
    </xf>
    <xf applyAlignment="true" applyBorder="false" applyFill="true" applyFont="true" applyNumberFormat="true" applyProtection="false" borderId="39" fillId="31" fontId="5" numFmtId="182" xfId="0">
      <alignment horizontal="center" vertical="center"/>
    </xf>
    <xf applyAlignment="true" applyBorder="false" applyFill="true" applyFont="true" applyNumberFormat="true" applyProtection="false" borderId="39" fillId="31" fontId="5" numFmtId="185" xfId="0">
      <alignment horizontal="center" vertical="center"/>
    </xf>
    <xf applyAlignment="true" applyBorder="false" applyFill="true" applyFont="true" applyNumberFormat="true" applyProtection="false" borderId="39" fillId="31" fontId="5" numFmtId="183" xfId="0">
      <alignment horizontal="center" vertical="center"/>
    </xf>
    <xf applyAlignment="true" applyBorder="false" applyFill="true" applyFont="true" applyNumberFormat="true" applyProtection="false" borderId="39" fillId="31" fontId="5" numFmtId="186" xfId="0">
      <alignment horizontal="center" vertical="center"/>
    </xf>
    <xf applyAlignment="true" applyBorder="false" applyFill="true" applyFont="true" applyNumberFormat="true" applyProtection="false" borderId="39" fillId="31" fontId="5" numFmtId="184" xfId="0">
      <alignment horizontal="center" vertical="center"/>
    </xf>
    <xf applyAlignment="true" applyBorder="false" applyFill="false" applyFont="true" applyNumberFormat="false" applyProtection="false" borderId="39" fillId="0" fontId="3" numFmtId="0" xfId="0">
      <alignment horizontal="center" vertical="center"/>
    </xf>
    <xf applyAlignment="true" applyBorder="false" applyFill="true" applyFont="true" applyNumberFormat="true" applyProtection="false" borderId="40" fillId="28" fontId="1" numFmtId="185" xfId="0">
      <alignment horizontal="center" vertical="center"/>
    </xf>
    <xf applyAlignment="true" applyBorder="false" applyFill="false" applyFont="true" applyNumberFormat="true" applyProtection="false" borderId="41" fillId="0" fontId="4" numFmtId="182" xfId="0">
      <alignment horizontal="center" vertical="center"/>
    </xf>
    <xf applyAlignment="true" applyBorder="false" applyFill="false" applyFont="true" applyNumberFormat="true" applyProtection="false" borderId="42" fillId="0" fontId="4" numFmtId="182" xfId="0">
      <alignment horizontal="center" vertical="center"/>
    </xf>
    <xf applyAlignment="true" applyBorder="false" applyFill="false" applyFont="true" applyNumberFormat="true" applyProtection="false" borderId="43" fillId="0" fontId="4" numFmtId="185" xfId="0">
      <alignment horizontal="center" vertical="center"/>
    </xf>
    <xf applyAlignment="true" applyBorder="false" applyFill="true" applyFont="true" applyNumberFormat="false" applyProtection="false" borderId="39" fillId="32" fontId="1" numFmtId="0" xfId="0">
      <alignment horizontal="center" vertical="center"/>
    </xf>
    <xf applyAlignment="true" applyBorder="false" applyFill="true" applyFont="true" applyNumberFormat="true" applyProtection="false" borderId="39" fillId="32" fontId="1" numFmtId="182" xfId="0">
      <alignment horizontal="center" vertical="center"/>
    </xf>
    <xf applyAlignment="true" applyBorder="false" applyFill="true" applyFont="true" applyNumberFormat="true" applyProtection="false" borderId="39" fillId="33" fontId="1" numFmtId="183" xfId="0">
      <alignment horizontal="center" vertical="center"/>
    </xf>
    <xf applyAlignment="true" applyBorder="false" applyFill="true" applyFont="true" applyNumberFormat="true" applyProtection="false" borderId="40" fillId="32" fontId="1" numFmtId="185" xfId="0">
      <alignment horizontal="center" vertical="center"/>
    </xf>
    <xf applyAlignment="true" applyBorder="false" applyFill="true" applyFont="true" applyNumberFormat="true" applyProtection="false" borderId="39" fillId="32" fontId="1" numFmtId="183" xfId="0">
      <alignment horizontal="center" vertical="center"/>
    </xf>
    <xf applyAlignment="true" applyBorder="false" applyFill="true" applyFont="true" applyNumberFormat="true" applyProtection="false" borderId="39" fillId="33" fontId="1" numFmtId="183" xfId="0">
      <alignment horizontal="center" vertical="center" wrapText="true"/>
    </xf>
    <xf applyAlignment="true" applyBorder="false" applyFill="true" applyFont="true" applyNumberFormat="true" applyProtection="false" borderId="39" fillId="33" fontId="1" numFmtId="186" xfId="0">
      <alignment horizontal="center" vertical="center" wrapText="true"/>
    </xf>
    <xf applyAlignment="true" applyBorder="false" applyFill="true" applyFont="true" applyNumberFormat="true" applyProtection="false" borderId="39" fillId="33" fontId="1" numFmtId="184" xfId="0">
      <alignment horizontal="center" vertical="center" wrapText="true"/>
    </xf>
    <xf applyAlignment="true" applyBorder="false" applyFill="true" applyFont="true" applyNumberFormat="true" applyProtection="false" borderId="39" fillId="33" fontId="1" numFmtId="184" xfId="0">
      <alignment horizontal="center" vertical="center"/>
    </xf>
    <xf applyAlignment="true" applyBorder="false" applyFill="true" applyFont="true" applyNumberFormat="false" applyProtection="false" borderId="39" fillId="33" fontId="1" numFmtId="0" xfId="0">
      <alignment horizontal="center" vertical="center"/>
    </xf>
    <xf applyAlignment="true" applyBorder="false" applyFill="true" applyFont="true" applyNumberFormat="true" applyProtection="false" borderId="39" fillId="34" fontId="1" numFmtId="182" xfId="0">
      <alignment horizontal="center" vertical="center"/>
    </xf>
    <xf applyAlignment="true" applyBorder="false" applyFill="true" applyFont="true" applyNumberFormat="true" applyProtection="false" borderId="40" fillId="34" fontId="1" numFmtId="185" xfId="0">
      <alignment horizontal="center" vertical="center"/>
    </xf>
    <xf applyAlignment="true" applyBorder="false" applyFill="true" applyFont="true" applyNumberFormat="true" applyProtection="false" borderId="39" fillId="35" fontId="1" numFmtId="186" xfId="0">
      <alignment horizontal="center" vertical="center" wrapText="true"/>
    </xf>
    <xf applyAlignment="true" applyBorder="false" applyFill="true" applyFont="true" applyNumberFormat="true" applyProtection="false" borderId="39" fillId="35" fontId="1" numFmtId="184" xfId="0">
      <alignment horizontal="center" vertical="center" wrapText="true"/>
    </xf>
    <xf applyAlignment="true" applyBorder="false" applyFill="true" applyFont="true" applyNumberFormat="true" applyProtection="false" borderId="39" fillId="35" fontId="1" numFmtId="184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center" vertical="center"/>
    </xf>
    <xf applyAlignment="true" applyBorder="false" applyFill="true" applyFont="true" applyNumberFormat="false" applyProtection="false" borderId="42" fillId="32" fontId="1" numFmtId="0" xfId="0">
      <alignment horizontal="center" vertical="center"/>
    </xf>
    <xf applyAlignment="true" applyBorder="false" applyFill="false" applyFont="true" applyNumberFormat="true" applyProtection="false" borderId="43" fillId="0" fontId="2" numFmtId="187" xfId="0">
      <alignment horizontal="center" vertical="center"/>
    </xf>
    <xf applyAlignment="true" applyBorder="false" applyFill="true" applyFont="true" applyNumberFormat="false" applyProtection="false" borderId="40" fillId="32" fontId="1" numFmtId="0" xfId="0">
      <alignment horizontal="center" vertical="center"/>
    </xf>
    <xf applyAlignment="true" applyBorder="false" applyFill="true" applyFont="true" applyNumberFormat="true" applyProtection="false" borderId="40" fillId="34" fontId="1" numFmtId="182" xfId="0">
      <alignment horizontal="center" vertical="center"/>
    </xf>
    <xf applyAlignment="true" applyBorder="false" applyFill="false" applyFont="true" applyNumberFormat="false" applyProtection="false" borderId="41" fillId="0" fontId="3" numFmtId="0" xfId="0">
      <alignment horizontal="center" vertical="center"/>
    </xf>
    <xf applyAlignment="true" applyBorder="false" applyFill="false" applyFont="true" applyNumberFormat="true" applyProtection="false" borderId="41" fillId="0" fontId="4" numFmtId="185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center" vertical="center"/>
    </xf>
    <xf applyAlignment="true" applyBorder="false" applyFill="false" applyFont="true" applyNumberFormat="false" applyProtection="false" borderId="43" fillId="0" fontId="3" numFmtId="0" xfId="0">
      <alignment horizontal="center" vertical="center"/>
    </xf>
    <xf applyAlignment="true" applyBorder="false" applyFill="false" applyFont="true" applyNumberFormat="true" applyProtection="false" borderId="44" fillId="0" fontId="4" numFmtId="182" xfId="0">
      <alignment horizontal="center" vertical="center"/>
    </xf>
    <xf applyAlignment="true" applyBorder="false" applyFill="true" applyFont="true" applyNumberFormat="true" applyProtection="false" borderId="40" fillId="30" fontId="4" numFmtId="182" xfId="0">
      <alignment horizontal="center" vertical="center"/>
    </xf>
    <xf applyAlignment="true" applyBorder="false" applyFill="true" applyFont="true" applyNumberFormat="false" applyProtection="false" borderId="41" fillId="31" fontId="5" numFmtId="0" xfId="0">
      <alignment horizontal="center" vertical="center"/>
    </xf>
    <xf applyAlignment="true" applyBorder="false" applyFill="true" applyFont="true" applyNumberFormat="true" applyProtection="false" borderId="45" fillId="31" fontId="5" numFmtId="185" xfId="0">
      <alignment horizontal="center" vertical="center"/>
    </xf>
    <xf applyAlignment="true" applyBorder="false" applyFill="true" applyFont="true" applyNumberFormat="true" applyProtection="false" borderId="40" fillId="31" fontId="5" numFmtId="185" xfId="0">
      <alignment horizontal="center" vertical="center"/>
    </xf>
    <xf applyAlignment="true" applyBorder="false" applyFill="true" applyFont="true" applyNumberFormat="true" applyProtection="false" borderId="40" fillId="31" fontId="5" numFmtId="182" xfId="0">
      <alignment horizontal="center" vertical="center"/>
    </xf>
    <xf applyAlignment="true" applyBorder="false" applyFill="false" applyFont="true" applyNumberFormat="false" applyProtection="false" borderId="46" fillId="0" fontId="3" numFmtId="0" xfId="0">
      <alignment horizontal="center" vertical="center"/>
    </xf>
    <xf applyAlignment="true" applyBorder="false" applyFill="false" applyFont="true" applyNumberFormat="false" applyProtection="false" borderId="47" fillId="0" fontId="3" numFmtId="0" xfId="0">
      <alignment horizontal="center" vertical="center"/>
    </xf>
    <xf applyAlignment="true" applyBorder="false" applyFill="false" applyFont="true" applyNumberFormat="true" applyProtection="false" borderId="47" fillId="0" fontId="4" numFmtId="182" xfId="0">
      <alignment horizontal="center" vertical="center"/>
    </xf>
    <xf applyAlignment="true" applyBorder="false" applyFill="false" applyFont="true" applyNumberFormat="true" applyProtection="false" borderId="46" fillId="0" fontId="4" numFmtId="185" xfId="0">
      <alignment horizontal="center" vertical="center"/>
    </xf>
    <xf applyAlignment="true" applyBorder="false" applyFill="false" applyFont="true" applyNumberFormat="true" applyProtection="false" borderId="47" fillId="0" fontId="4" numFmtId="185" xfId="0">
      <alignment horizontal="center" vertical="center"/>
    </xf>
    <xf applyAlignment="true" applyBorder="false" applyFill="false" applyFont="true" applyNumberFormat="true" applyProtection="false" borderId="48" fillId="0" fontId="4" numFmtId="182" xfId="0">
      <alignment horizontal="center" vertical="center"/>
    </xf>
    <xf applyAlignment="true" applyBorder="false" applyFill="false" applyFont="true" applyNumberFormat="true" applyProtection="false" borderId="47" fillId="0" fontId="4" numFmtId="183" xfId="0">
      <alignment horizontal="center" vertical="center"/>
    </xf>
    <xf applyAlignment="true" applyBorder="false" applyFill="false" applyFont="true" applyNumberFormat="true" applyProtection="false" borderId="47" fillId="0" fontId="4" numFmtId="186" xfId="0">
      <alignment horizontal="center" vertical="center"/>
    </xf>
    <xf applyAlignment="true" applyBorder="false" applyFill="false" applyFont="true" applyNumberFormat="true" applyProtection="false" borderId="47" fillId="0" fontId="4" numFmtId="184" xfId="0">
      <alignment horizontal="center" vertical="center"/>
    </xf>
    <xf applyAlignment="true" applyBorder="false" applyFill="false" applyFont="true" applyNumberFormat="true" applyProtection="false" borderId="47" fillId="0" fontId="4" numFmtId="186" xfId="0">
      <alignment horizontal="center" vertical="center"/>
    </xf>
    <xf applyAlignment="true" applyBorder="false" applyFill="false" applyFont="true" applyNumberFormat="true" applyProtection="false" borderId="47" fillId="0" fontId="4" numFmtId="184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false" applyFont="true" applyNumberFormat="false" applyProtection="false" borderId="49" fillId="0" fontId="3" numFmtId="0" xfId="0">
      <alignment horizontal="center" vertical="center"/>
    </xf>
    <xf applyAlignment="true" applyBorder="false" applyFill="false" applyFont="true" applyNumberFormat="true" applyProtection="false" borderId="50" fillId="0" fontId="4" numFmtId="182" xfId="0">
      <alignment horizontal="center" vertical="center"/>
    </xf>
    <xf applyAlignment="true" applyBorder="false" applyFill="false" applyFont="true" applyNumberFormat="true" applyProtection="false" borderId="49" fillId="0" fontId="4" numFmtId="185" xfId="0">
      <alignment horizontal="center" vertical="center"/>
    </xf>
    <xf applyAlignment="true" applyBorder="false" applyFill="false" applyFont="true" applyNumberFormat="false" applyProtection="false" borderId="47" fillId="0" fontId="3" numFmtId="0" xfId="0">
      <alignment horizontal="center" vertical="center"/>
    </xf>
    <xf applyAlignment="true" applyBorder="false" applyFill="false" applyFont="true" applyNumberFormat="true" applyProtection="false" borderId="47" fillId="0" fontId="4" numFmtId="182" xfId="0">
      <alignment horizontal="center" vertical="center"/>
    </xf>
    <xf applyAlignment="true" applyBorder="false" applyFill="true" applyFont="true" applyNumberFormat="false" applyProtection="false" borderId="47" fillId="30" fontId="3" numFmtId="0" xfId="0">
      <alignment horizontal="center" vertical="center"/>
    </xf>
    <xf applyAlignment="true" applyBorder="false" applyFill="true" applyFont="true" applyNumberFormat="true" applyProtection="false" borderId="47" fillId="30" fontId="4" numFmtId="182" xfId="0">
      <alignment horizontal="center" vertical="center"/>
    </xf>
    <xf applyAlignment="true" applyBorder="false" applyFill="true" applyFont="true" applyNumberFormat="true" applyProtection="false" borderId="47" fillId="30" fontId="4" numFmtId="185" xfId="0">
      <alignment horizontal="center" vertical="center"/>
    </xf>
    <xf applyAlignment="true" applyBorder="false" applyFill="true" applyFont="true" applyNumberFormat="true" applyProtection="false" borderId="47" fillId="30" fontId="4" numFmtId="183" xfId="0">
      <alignment horizontal="center" vertical="center"/>
    </xf>
    <xf applyAlignment="true" applyBorder="false" applyFill="true" applyFont="true" applyNumberFormat="true" applyProtection="false" borderId="47" fillId="30" fontId="4" numFmtId="186" xfId="0">
      <alignment horizontal="center" vertical="center"/>
    </xf>
    <xf applyAlignment="true" applyBorder="false" applyFill="true" applyFont="true" applyNumberFormat="true" applyProtection="false" borderId="47" fillId="30" fontId="4" numFmtId="184" xfId="0">
      <alignment horizontal="center" vertical="center"/>
    </xf>
    <xf applyAlignment="true" applyBorder="false" applyFill="true" applyFont="true" applyNumberFormat="true" applyProtection="false" borderId="47" fillId="30" fontId="4" numFmtId="188" xfId="0">
      <alignment horizontal="center" vertical="center"/>
    </xf>
    <xf applyAlignment="true" applyBorder="false" applyFill="true" applyFont="true" applyNumberFormat="false" applyProtection="false" borderId="47" fillId="30" fontId="4" numFmtId="0" xfId="0">
      <alignment horizontal="center" vertical="center"/>
    </xf>
    <xf applyAlignment="true" applyBorder="false" applyFill="true" applyFont="true" applyNumberFormat="true" applyProtection="false" borderId="47" fillId="30" fontId="4" numFmtId="189" xfId="0">
      <alignment horizontal="center" vertical="center"/>
    </xf>
    <xf applyAlignment="true" applyBorder="false" applyFill="false" applyFont="true" applyNumberFormat="true" applyProtection="false" borderId="42" fillId="0" fontId="4" numFmtId="183" xfId="0">
      <alignment horizontal="center" vertical="center"/>
    </xf>
    <xf applyAlignment="true" applyBorder="false" applyFill="false" applyFont="true" applyNumberFormat="false" applyProtection="false" borderId="44" fillId="0" fontId="3" numFmtId="0" xfId="0">
      <alignment horizontal="center" vertical="center"/>
    </xf>
    <xf applyAlignment="true" applyBorder="false" applyFill="false" applyFont="true" applyNumberFormat="true" applyProtection="false" borderId="43" fillId="0" fontId="4" numFmtId="182" xfId="0">
      <alignment horizontal="center" vertical="center"/>
    </xf>
    <xf applyAlignment="true" applyBorder="false" applyFill="false" applyFont="true" applyNumberFormat="true" applyProtection="false" borderId="50" fillId="0" fontId="4" numFmtId="182" xfId="0">
      <alignment horizontal="center" vertical="center"/>
    </xf>
    <xf applyAlignment="true" applyBorder="false" applyFill="true" applyFont="true" applyNumberFormat="true" applyProtection="false" borderId="40" fillId="30" fontId="4" numFmtId="185" xfId="0">
      <alignment horizontal="center" vertical="center"/>
    </xf>
    <xf applyAlignment="true" applyBorder="false" applyFill="true" applyFont="true" applyNumberFormat="true" applyProtection="false" borderId="41" fillId="31" fontId="5" numFmtId="182" xfId="0">
      <alignment horizontal="center" vertical="center"/>
    </xf>
    <xf applyAlignment="true" applyBorder="false" applyFill="true" applyFont="true" applyNumberFormat="true" applyProtection="false" borderId="42" fillId="31" fontId="5" numFmtId="183" xfId="0">
      <alignment horizontal="center" vertical="center"/>
    </xf>
    <xf applyAlignment="true" applyBorder="false" applyFill="false" applyFont="true" applyNumberFormat="true" applyProtection="false" borderId="51" fillId="0" fontId="2" numFmtId="187" xfId="0">
      <alignment horizontal="center" vertical="center"/>
    </xf>
    <xf applyAlignment="true" applyBorder="false" applyFill="true" applyFont="true" applyNumberFormat="false" applyProtection="false" borderId="40" fillId="31" fontId="5" numFmtId="0" xfId="0">
      <alignment horizontal="center" vertical="center"/>
    </xf>
    <xf applyAlignment="true" applyBorder="false" applyFill="true" applyFont="true" applyNumberFormat="true" applyProtection="false" borderId="52" fillId="31" fontId="5" numFmtId="182" xfId="0">
      <alignment horizontal="center" vertical="center"/>
    </xf>
    <xf applyAlignment="true" applyBorder="false" applyFill="true" applyFont="true" applyNumberFormat="true" applyProtection="false" borderId="45" fillId="31" fontId="5" numFmtId="183" xfId="0">
      <alignment horizontal="center" vertical="center"/>
    </xf>
    <xf applyAlignment="true" applyBorder="false" applyFill="true" applyFont="true" applyNumberFormat="true" applyProtection="false" borderId="40" fillId="31" fontId="5" numFmtId="183" xfId="0">
      <alignment horizontal="center" vertical="center"/>
    </xf>
    <xf applyAlignment="true" applyBorder="false" applyFill="true" applyFont="true" applyNumberFormat="true" applyProtection="false" borderId="40" fillId="31" fontId="5" numFmtId="186" xfId="0">
      <alignment horizontal="center" vertical="center"/>
    </xf>
    <xf applyAlignment="true" applyBorder="false" applyFill="true" applyFont="true" applyNumberFormat="true" applyProtection="false" borderId="40" fillId="31" fontId="5" numFmtId="184" xfId="0">
      <alignment horizontal="center" vertical="center"/>
    </xf>
    <xf applyAlignment="true" applyBorder="false" applyFill="true" applyFont="true" applyNumberFormat="true" applyProtection="false" borderId="39" fillId="34" fontId="1" numFmtId="185" xfId="0">
      <alignment horizontal="center" vertical="center"/>
    </xf>
    <xf applyAlignment="true" applyBorder="false" applyFill="false" applyFont="true" applyNumberFormat="false" applyProtection="false" borderId="53" fillId="0" fontId="4" numFmtId="0" xfId="0">
      <alignment horizontal="center" vertical="center"/>
    </xf>
    <xf applyAlignment="true" applyBorder="false" applyFill="true" applyFont="true" applyNumberFormat="false" applyProtection="false" borderId="47" fillId="36" fontId="1" numFmtId="0" xfId="0">
      <alignment horizontal="center" vertical="center"/>
    </xf>
    <xf applyAlignment="true" applyBorder="false" applyFill="true" applyFont="true" applyNumberFormat="true" applyProtection="false" borderId="47" fillId="36" fontId="1" numFmtId="182" xfId="0">
      <alignment horizontal="center" vertical="center"/>
    </xf>
    <xf applyAlignment="true" applyBorder="false" applyFill="true" applyFont="true" applyNumberFormat="true" applyProtection="false" borderId="47" fillId="37" fontId="1" numFmtId="183" xfId="0">
      <alignment horizontal="center" vertical="center"/>
    </xf>
    <xf applyAlignment="true" applyBorder="false" applyFill="true" applyFont="true" applyNumberFormat="true" applyProtection="false" borderId="47" fillId="29" fontId="1" numFmtId="184" xfId="0">
      <alignment horizontal="center" vertical="center"/>
    </xf>
    <xf applyAlignment="true" applyBorder="false" applyFill="true" applyFont="true" applyNumberFormat="true" applyProtection="false" borderId="47" fillId="38" fontId="1" numFmtId="182" xfId="0">
      <alignment horizontal="center" vertical="center"/>
    </xf>
    <xf applyAlignment="true" applyBorder="false" applyFill="true" applyFont="true" applyNumberFormat="true" applyProtection="false" borderId="47" fillId="38" fontId="1" numFmtId="185" xfId="0">
      <alignment horizontal="center" vertical="center"/>
    </xf>
    <xf applyAlignment="true" applyBorder="false" applyFill="true" applyFont="true" applyNumberFormat="true" applyProtection="false" borderId="47" fillId="36" fontId="1" numFmtId="183" xfId="0">
      <alignment horizontal="center" vertical="center"/>
    </xf>
    <xf applyAlignment="true" applyBorder="false" applyFill="true" applyFont="true" applyNumberFormat="true" applyProtection="false" borderId="47" fillId="37" fontId="1" numFmtId="183" xfId="0">
      <alignment horizontal="center" vertical="center" wrapText="true"/>
    </xf>
    <xf applyAlignment="true" applyBorder="false" applyFill="true" applyFont="true" applyNumberFormat="true" applyProtection="false" borderId="47" fillId="37" fontId="1" numFmtId="186" xfId="0">
      <alignment horizontal="center" vertical="center" wrapText="true"/>
    </xf>
    <xf applyAlignment="true" applyBorder="false" applyFill="true" applyFont="true" applyNumberFormat="true" applyProtection="false" borderId="47" fillId="37" fontId="1" numFmtId="184" xfId="0">
      <alignment horizontal="center" vertical="center" wrapText="true"/>
    </xf>
    <xf applyAlignment="true" applyBorder="false" applyFill="true" applyFont="true" applyNumberFormat="true" applyProtection="false" borderId="47" fillId="39" fontId="1" numFmtId="186" xfId="0">
      <alignment horizontal="center" vertical="center" wrapText="true"/>
    </xf>
    <xf applyAlignment="true" applyBorder="false" applyFill="true" applyFont="true" applyNumberFormat="true" applyProtection="false" borderId="47" fillId="39" fontId="1" numFmtId="184" xfId="0">
      <alignment horizontal="center" vertical="center" wrapText="true"/>
    </xf>
    <xf applyAlignment="true" applyBorder="false" applyFill="true" applyFont="true" applyNumberFormat="true" applyProtection="false" borderId="47" fillId="39" fontId="1" numFmtId="184" xfId="0">
      <alignment horizontal="center" vertical="center"/>
    </xf>
    <xf applyAlignment="true" applyBorder="false" applyFill="true" applyFont="true" applyNumberFormat="false" applyProtection="false" borderId="47" fillId="37" fontId="1" numFmtId="0" xfId="0">
      <alignment horizontal="center" vertical="center"/>
    </xf>
    <xf applyAlignment="true" applyBorder="false" applyFill="false" applyFont="true" applyNumberFormat="true" applyProtection="false" borderId="47" fillId="0" fontId="2" numFmtId="187" xfId="0">
      <alignment horizontal="center" vertical="center"/>
    </xf>
    <xf applyAlignment="true" applyBorder="false" applyFill="false" applyFont="true" applyNumberFormat="true" applyProtection="false" borderId="47" fillId="0" fontId="4" numFmtId="185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true" applyFont="true" applyNumberFormat="false" applyProtection="false" borderId="47" fillId="31" fontId="5" numFmtId="0" xfId="0">
      <alignment horizontal="center" vertical="center"/>
    </xf>
    <xf applyAlignment="true" applyBorder="false" applyFill="true" applyFont="true" applyNumberFormat="true" applyProtection="false" borderId="47" fillId="31" fontId="5" numFmtId="182" xfId="0">
      <alignment horizontal="center" vertical="center"/>
    </xf>
    <xf applyAlignment="true" applyBorder="false" applyFill="true" applyFont="true" applyNumberFormat="true" applyProtection="false" borderId="47" fillId="31" fontId="5" numFmtId="185" xfId="0">
      <alignment horizontal="center" vertical="center"/>
    </xf>
    <xf applyAlignment="true" applyBorder="false" applyFill="true" applyFont="true" applyNumberFormat="true" applyProtection="false" borderId="47" fillId="31" fontId="5" numFmtId="183" xfId="0">
      <alignment horizontal="center" vertical="center"/>
    </xf>
    <xf applyAlignment="true" applyBorder="false" applyFill="true" applyFont="true" applyNumberFormat="true" applyProtection="false" borderId="47" fillId="31" fontId="5" numFmtId="186" xfId="0">
      <alignment horizontal="center" vertical="center"/>
    </xf>
    <xf applyAlignment="true" applyBorder="false" applyFill="true" applyFont="true" applyNumberFormat="true" applyProtection="false" borderId="47" fillId="31" fontId="5" numFmtId="184" xfId="0">
      <alignment horizontal="center" vertical="center"/>
    </xf>
    <xf applyAlignment="true" applyBorder="false" applyFill="false" applyFont="true" applyNumberFormat="true" applyProtection="false" borderId="48" fillId="0" fontId="4" numFmtId="182" xfId="0">
      <alignment horizontal="center" vertical="center"/>
    </xf>
    <xf applyAlignment="true" applyBorder="false" applyFill="true" applyFont="true" applyNumberFormat="true" applyProtection="false" borderId="40" fillId="30" fontId="4" numFmtId="184" xfId="0">
      <alignment horizontal="center" vertical="center"/>
    </xf>
    <xf applyAlignment="true" applyBorder="false" applyFill="true" applyFont="true" applyNumberFormat="true" applyProtection="false" borderId="40" fillId="34" fontId="1" numFmtId="185" xfId="0">
      <alignment horizontal="center" vertical="center"/>
    </xf>
    <xf applyAlignment="true" applyBorder="false" applyFill="true" applyFont="true" applyNumberFormat="true" applyProtection="false" borderId="39" fillId="32" fontId="1" numFmtId="183" xfId="0">
      <alignment horizontal="center" vertical="center"/>
    </xf>
    <xf applyAlignment="true" applyBorder="false" applyFill="true" applyFont="true" applyNumberFormat="true" applyProtection="false" borderId="39" fillId="31" fontId="5" numFmtId="189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54" fillId="40" fontId="1" numFmtId="0" xfId="0">
      <alignment horizontal="center" vertical="center"/>
    </xf>
    <xf applyAlignment="true" applyBorder="false" applyFill="true" applyFont="true" applyNumberFormat="true" applyProtection="false" borderId="54" fillId="41" fontId="1" numFmtId="190" xfId="0">
      <alignment horizontal="center" vertical="center"/>
    </xf>
    <xf applyAlignment="true" applyBorder="false" applyFill="true" applyFont="true" applyNumberFormat="true" applyProtection="false" borderId="54" fillId="42" fontId="1" numFmtId="191" xfId="0">
      <alignment horizontal="center" vertical="center"/>
    </xf>
    <xf applyAlignment="true" applyBorder="false" applyFill="true" applyFont="true" applyNumberFormat="true" applyProtection="false" borderId="54" fillId="42" fontId="1" numFmtId="192" xfId="0">
      <alignment horizontal="center" vertical="center"/>
    </xf>
    <xf applyAlignment="true" applyBorder="false" applyFill="true" applyFont="true" applyNumberFormat="true" applyProtection="false" borderId="54" fillId="41" fontId="1" numFmtId="193" xfId="0">
      <alignment horizontal="center" vertical="center"/>
    </xf>
    <xf applyAlignment="true" applyBorder="false" applyFill="true" applyFont="true" applyNumberFormat="true" applyProtection="false" borderId="54" fillId="41" fontId="1" numFmtId="191" xfId="0">
      <alignment horizontal="center" vertical="center"/>
    </xf>
    <xf applyAlignment="true" applyBorder="false" applyFill="true" applyFont="true" applyNumberFormat="true" applyProtection="false" borderId="54" fillId="42" fontId="1" numFmtId="191" xfId="0">
      <alignment horizontal="center" vertical="center" wrapText="true"/>
    </xf>
    <xf applyAlignment="true" applyBorder="false" applyFill="true" applyFont="true" applyNumberFormat="true" applyProtection="false" borderId="54" fillId="42" fontId="1" numFmtId="194" xfId="0">
      <alignment horizontal="center" vertical="center" wrapText="true"/>
    </xf>
    <xf applyAlignment="true" applyBorder="false" applyFill="true" applyFont="true" applyNumberFormat="true" applyProtection="false" borderId="54" fillId="42" fontId="1" numFmtId="192" xfId="0">
      <alignment horizontal="center" vertical="center" wrapText="true"/>
    </xf>
    <xf applyAlignment="true" applyBorder="false" applyFill="true" applyFont="true" applyNumberFormat="false" applyProtection="false" borderId="54" fillId="42" fontId="1" numFmtId="0" xfId="0">
      <alignment horizontal="center" vertical="center"/>
    </xf>
    <xf applyAlignment="true" applyBorder="false" applyFill="false" applyFont="true" applyNumberFormat="false" applyProtection="false" borderId="54" fillId="0" fontId="2" numFmtId="0" xfId="0">
      <alignment horizontal="center" vertical="center"/>
    </xf>
    <xf applyAlignment="true" applyBorder="false" applyFill="false" applyFont="true" applyNumberFormat="false" applyProtection="false" borderId="54" fillId="0" fontId="3" numFmtId="0" xfId="0">
      <alignment horizontal="center" vertical="center"/>
    </xf>
    <xf applyAlignment="true" applyBorder="false" applyFill="false" applyFont="true" applyNumberFormat="false" applyProtection="false" borderId="54" fillId="0" fontId="3" numFmtId="0" xfId="0">
      <alignment horizontal="center" vertical="center"/>
    </xf>
    <xf applyAlignment="true" applyBorder="false" applyFill="false" applyFont="true" applyNumberFormat="true" applyProtection="false" borderId="54" fillId="0" fontId="4" numFmtId="190" xfId="0">
      <alignment horizontal="center" vertical="center"/>
    </xf>
    <xf applyAlignment="true" applyBorder="false" applyFill="false" applyFont="true" applyNumberFormat="true" applyProtection="false" borderId="54" fillId="0" fontId="4" numFmtId="193" xfId="0">
      <alignment horizontal="center" vertical="center"/>
    </xf>
    <xf applyAlignment="true" applyBorder="false" applyFill="false" applyFont="true" applyNumberFormat="true" applyProtection="false" borderId="54" fillId="0" fontId="4" numFmtId="190" xfId="0">
      <alignment horizontal="center" vertical="center"/>
    </xf>
    <xf applyAlignment="true" applyBorder="false" applyFill="false" applyFont="true" applyNumberFormat="true" applyProtection="false" borderId="54" fillId="0" fontId="4" numFmtId="191" xfId="0">
      <alignment horizontal="center" vertical="center"/>
    </xf>
    <xf applyAlignment="true" applyBorder="false" applyFill="false" applyFont="true" applyNumberFormat="true" applyProtection="false" borderId="54" fillId="0" fontId="4" numFmtId="194" xfId="0">
      <alignment horizontal="center" vertical="center"/>
    </xf>
    <xf applyAlignment="true" applyBorder="false" applyFill="false" applyFont="true" applyNumberFormat="true" applyProtection="false" borderId="54" fillId="0" fontId="4" numFmtId="192" xfId="0">
      <alignment horizontal="center" vertical="center"/>
    </xf>
    <xf applyAlignment="true" applyBorder="false" applyFill="false" applyFont="true" applyNumberFormat="true" applyProtection="false" borderId="54" fillId="0" fontId="4" numFmtId="194" xfId="0">
      <alignment horizontal="center" vertical="center"/>
    </xf>
    <xf applyAlignment="true" applyBorder="false" applyFill="false" applyFont="true" applyNumberFormat="true" applyProtection="false" borderId="54" fillId="0" fontId="4" numFmtId="192" xfId="0">
      <alignment horizontal="center" vertical="center"/>
    </xf>
    <xf applyAlignment="true" applyBorder="false" applyFill="false" applyFont="true" applyNumberFormat="false" applyProtection="false" borderId="54" fillId="0" fontId="4" numFmtId="0" xfId="0">
      <alignment horizontal="center" vertical="center"/>
    </xf>
    <xf applyAlignment="true" applyBorder="false" applyFill="false" applyFont="true" applyNumberFormat="false" applyProtection="false" borderId="54" fillId="0" fontId="4" numFmtId="0" xfId="0">
      <alignment horizontal="center" vertical="center"/>
    </xf>
    <xf applyAlignment="true" applyBorder="false" applyFill="true" applyFont="true" applyNumberFormat="false" applyProtection="false" borderId="54" fillId="43" fontId="3" numFmtId="0" xfId="0">
      <alignment horizontal="center" vertical="center"/>
    </xf>
    <xf applyAlignment="true" applyBorder="false" applyFill="true" applyFont="true" applyNumberFormat="true" applyProtection="false" borderId="54" fillId="43" fontId="4" numFmtId="190" xfId="0">
      <alignment horizontal="center" vertical="center"/>
    </xf>
    <xf applyAlignment="true" applyBorder="false" applyFill="true" applyFont="true" applyNumberFormat="true" applyProtection="false" borderId="54" fillId="43" fontId="4" numFmtId="193" xfId="0">
      <alignment horizontal="center" vertical="center"/>
    </xf>
    <xf applyAlignment="true" applyBorder="false" applyFill="true" applyFont="true" applyNumberFormat="true" applyProtection="false" borderId="54" fillId="43" fontId="4" numFmtId="191" xfId="0">
      <alignment horizontal="center" vertical="center"/>
    </xf>
    <xf applyAlignment="true" applyBorder="false" applyFill="true" applyFont="true" applyNumberFormat="true" applyProtection="false" borderId="54" fillId="43" fontId="4" numFmtId="194" xfId="0">
      <alignment horizontal="center" vertical="center"/>
    </xf>
    <xf applyAlignment="true" applyBorder="false" applyFill="true" applyFont="true" applyNumberFormat="true" applyProtection="false" borderId="54" fillId="43" fontId="4" numFmtId="192" xfId="0">
      <alignment horizontal="center" vertical="center"/>
    </xf>
    <xf applyAlignment="true" applyBorder="false" applyFill="true" applyFont="true" applyNumberFormat="true" applyProtection="false" borderId="54" fillId="43" fontId="4" numFmtId="195" xfId="0">
      <alignment horizontal="center" vertical="center"/>
    </xf>
    <xf applyAlignment="true" applyBorder="false" applyFill="true" applyFont="true" applyNumberFormat="false" applyProtection="false" borderId="54" fillId="43" fontId="4" numFmtId="0" xfId="0">
      <alignment horizontal="center" vertical="center"/>
    </xf>
    <xf applyAlignment="true" applyBorder="false" applyFill="true" applyFont="true" applyNumberFormat="true" applyProtection="false" borderId="54" fillId="43" fontId="4" numFmtId="196" xfId="0">
      <alignment horizontal="center" vertical="center"/>
    </xf>
    <xf applyAlignment="true" applyBorder="false" applyFill="true" applyFont="true" applyNumberFormat="false" applyProtection="false" borderId="54" fillId="44" fontId="5" numFmtId="0" xfId="0">
      <alignment horizontal="center" vertical="center"/>
    </xf>
    <xf applyAlignment="true" applyBorder="false" applyFill="true" applyFont="true" applyNumberFormat="true" applyProtection="false" borderId="54" fillId="44" fontId="5" numFmtId="190" xfId="0">
      <alignment horizontal="center" vertical="center"/>
    </xf>
    <xf applyAlignment="true" applyBorder="false" applyFill="true" applyFont="true" applyNumberFormat="true" applyProtection="false" borderId="54" fillId="44" fontId="5" numFmtId="193" xfId="0">
      <alignment horizontal="center" vertical="center"/>
    </xf>
    <xf applyAlignment="true" applyBorder="false" applyFill="true" applyFont="true" applyNumberFormat="true" applyProtection="false" borderId="54" fillId="44" fontId="5" numFmtId="191" xfId="0">
      <alignment horizontal="center" vertical="center"/>
    </xf>
    <xf applyAlignment="true" applyBorder="false" applyFill="true" applyFont="true" applyNumberFormat="true" applyProtection="false" borderId="54" fillId="44" fontId="5" numFmtId="194" xfId="0">
      <alignment horizontal="center" vertical="center"/>
    </xf>
    <xf applyAlignment="true" applyBorder="false" applyFill="true" applyFont="true" applyNumberFormat="true" applyProtection="false" borderId="54" fillId="44" fontId="5" numFmtId="192" xfId="0">
      <alignment horizontal="center" vertical="center"/>
    </xf>
    <xf applyAlignment="true" applyBorder="false" applyFill="false" applyFont="true" applyNumberFormat="false" applyProtection="false" borderId="55" fillId="0" fontId="4" numFmtId="0" xfId="0">
      <alignment horizontal="center" vertical="center"/>
    </xf>
    <xf applyAlignment="true" applyBorder="false" applyFill="true" applyFont="true" applyNumberFormat="false" applyProtection="false" borderId="55" fillId="43" fontId="4" numFmtId="0" xfId="0">
      <alignment horizontal="center" vertical="center"/>
    </xf>
    <xf applyAlignment="true" applyBorder="false" applyFill="true" applyFont="true" applyNumberFormat="true" applyProtection="false" borderId="56" fillId="41" fontId="1" numFmtId="193" xfId="0">
      <alignment horizontal="center" vertical="center"/>
    </xf>
    <xf applyAlignment="true" applyBorder="false" applyFill="false" applyFont="true" applyNumberFormat="true" applyProtection="false" borderId="57" fillId="0" fontId="4" numFmtId="190" xfId="0">
      <alignment horizontal="center" vertical="center"/>
    </xf>
    <xf applyAlignment="true" applyBorder="false" applyFill="false" applyFont="true" applyNumberFormat="true" applyProtection="false" borderId="58" fillId="0" fontId="4" numFmtId="190" xfId="0">
      <alignment horizontal="center" vertical="center"/>
    </xf>
    <xf applyAlignment="true" applyBorder="false" applyFill="false" applyFont="true" applyNumberFormat="true" applyProtection="false" borderId="59" fillId="0" fontId="4" numFmtId="193" xfId="0">
      <alignment horizontal="center" vertical="center"/>
    </xf>
    <xf applyAlignment="true" applyBorder="false" applyFill="false" applyFont="true" applyNumberFormat="true" applyProtection="false" borderId="54" fillId="0" fontId="4" numFmtId="193" xfId="0">
      <alignment horizontal="center" vertical="center"/>
    </xf>
    <xf applyAlignment="true" applyBorder="false" applyFill="false" applyFont="true" applyNumberFormat="true" applyProtection="false" borderId="54" fillId="0" fontId="4" numFmtId="194" xfId="0">
      <alignment horizontal="center" vertical="center"/>
    </xf>
    <xf applyAlignment="true" applyBorder="false" applyFill="false" applyFont="true" applyNumberFormat="true" applyProtection="false" borderId="54" fillId="0" fontId="4" numFmtId="192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horizontal="right" vertical="center"/>
    </xf>
    <xf applyAlignment="true" applyBorder="false" applyFill="false" applyFont="true" applyNumberFormat="true" applyProtection="false" borderId="0" fillId="0" fontId="12" numFmtId="194" xfId="0">
      <alignment vertical="center"/>
    </xf>
    <xf applyAlignment="true" applyBorder="false" applyFill="false" applyFont="true" applyNumberFormat="true" applyProtection="false" borderId="0" fillId="0" fontId="12" numFmtId="195" xfId="0">
      <alignment vertical="center"/>
    </xf>
    <xf applyAlignment="true" applyBorder="false" applyFill="false" applyFont="true" applyNumberFormat="true" applyProtection="false" borderId="0" fillId="0" fontId="12" numFmtId="193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false" applyFont="true" applyNumberFormat="false" applyProtection="false" borderId="60" fillId="0" fontId="6" numFmtId="0" xfId="0">
      <alignment horizontal="right" vertical="center"/>
    </xf>
    <xf applyAlignment="true" applyBorder="false" applyFill="false" applyFont="true" applyNumberFormat="true" applyProtection="false" borderId="0" fillId="0" fontId="12" numFmtId="194" xfId="0">
      <alignment vertical="center"/>
    </xf>
    <xf applyAlignment="true" applyBorder="false" applyFill="false" applyFont="true" applyNumberFormat="true" applyProtection="false" borderId="0" fillId="0" fontId="12" numFmtId="197" xfId="0">
      <alignment vertical="center"/>
    </xf>
    <xf applyAlignment="true" applyBorder="false" applyFill="true" applyFont="true" applyNumberFormat="false" applyProtection="false" borderId="61" fillId="45" fontId="1" numFmtId="0" xfId="0">
      <alignment horizontal="center" vertical="center"/>
    </xf>
    <xf applyAlignment="true" applyBorder="false" applyFill="true" applyFont="true" applyNumberFormat="true" applyProtection="false" borderId="61" fillId="46" fontId="1" numFmtId="198" xfId="0">
      <alignment horizontal="center" vertical="center"/>
    </xf>
    <xf applyAlignment="true" applyBorder="false" applyFill="true" applyFont="true" applyNumberFormat="true" applyProtection="false" borderId="61" fillId="47" fontId="1" numFmtId="199" xfId="0">
      <alignment horizontal="center" vertical="center"/>
    </xf>
    <xf applyAlignment="true" applyBorder="false" applyFill="true" applyFont="true" applyNumberFormat="true" applyProtection="false" borderId="61" fillId="47" fontId="1" numFmtId="200" xfId="0">
      <alignment horizontal="center" vertical="center"/>
    </xf>
    <xf applyAlignment="true" applyBorder="false" applyFill="true" applyFont="true" applyNumberFormat="false" applyProtection="false" borderId="62" fillId="45" fontId="1" numFmtId="0" xfId="0">
      <alignment horizontal="center" vertical="center"/>
    </xf>
    <xf applyAlignment="true" applyBorder="false" applyFill="true" applyFont="true" applyNumberFormat="true" applyProtection="false" borderId="62" fillId="46" fontId="1" numFmtId="198" xfId="0">
      <alignment horizontal="center" vertical="center"/>
    </xf>
    <xf applyAlignment="true" applyBorder="false" applyFill="true" applyFont="true" applyNumberFormat="true" applyProtection="false" borderId="62" fillId="46" fontId="1" numFmtId="201" xfId="0">
      <alignment horizontal="center" vertical="center"/>
    </xf>
    <xf applyAlignment="true" applyBorder="false" applyFill="true" applyFont="true" applyNumberFormat="true" applyProtection="false" borderId="62" fillId="46" fontId="1" numFmtId="201" xfId="0">
      <alignment horizontal="center" vertical="center"/>
    </xf>
    <xf applyAlignment="true" applyBorder="false" applyFill="true" applyFont="true" applyNumberFormat="true" applyProtection="false" borderId="62" fillId="46" fontId="1" numFmtId="199" xfId="0">
      <alignment horizontal="center" vertical="center"/>
    </xf>
    <xf applyAlignment="true" applyBorder="false" applyFill="true" applyFont="true" applyNumberFormat="true" applyProtection="false" borderId="62" fillId="46" fontId="1" numFmtId="199" xfId="0">
      <alignment horizontal="center" vertical="center"/>
    </xf>
    <xf applyAlignment="true" applyBorder="false" applyFill="true" applyFont="true" applyNumberFormat="true" applyProtection="false" borderId="62" fillId="47" fontId="1" numFmtId="199" xfId="0">
      <alignment horizontal="center" vertical="center" wrapText="true"/>
    </xf>
    <xf applyAlignment="true" applyBorder="false" applyFill="true" applyFont="true" applyNumberFormat="true" applyProtection="false" borderId="62" fillId="47" fontId="1" numFmtId="202" xfId="0">
      <alignment horizontal="center" vertical="center" wrapText="true"/>
    </xf>
    <xf applyAlignment="true" applyBorder="false" applyFill="true" applyFont="true" applyNumberFormat="true" applyProtection="false" borderId="62" fillId="47" fontId="1" numFmtId="200" xfId="0">
      <alignment horizontal="center" vertical="center" wrapText="true"/>
    </xf>
    <xf applyAlignment="true" applyBorder="false" applyFill="true" applyFont="true" applyNumberFormat="true" applyProtection="false" borderId="62" fillId="47" fontId="1" numFmtId="199" xfId="0">
      <alignment horizontal="center" vertical="center"/>
    </xf>
    <xf applyAlignment="true" applyBorder="false" applyFill="true" applyFont="true" applyNumberFormat="true" applyProtection="false" borderId="62" fillId="47" fontId="1" numFmtId="200" xfId="0">
      <alignment horizontal="center" vertical="center"/>
    </xf>
    <xf applyAlignment="true" applyBorder="false" applyFill="true" applyFont="true" applyNumberFormat="false" applyProtection="false" borderId="61" fillId="47" fontId="1" numFmtId="0" xfId="0">
      <alignment horizontal="center" vertical="center"/>
    </xf>
    <xf applyAlignment="true" applyBorder="false" applyFill="false" applyFont="true" applyNumberFormat="false" applyProtection="false" borderId="61" fillId="0" fontId="2" numFmtId="0" xfId="0">
      <alignment horizontal="center" vertical="center"/>
    </xf>
    <xf applyAlignment="true" applyBorder="false" applyFill="false" applyFont="true" applyNumberFormat="false" applyProtection="false" borderId="61" fillId="0" fontId="3" numFmtId="0" xfId="0">
      <alignment horizontal="center" vertical="center"/>
    </xf>
    <xf applyAlignment="true" applyBorder="false" applyFill="false" applyFont="true" applyNumberFormat="false" applyProtection="false" borderId="61" fillId="0" fontId="3" numFmtId="0" xfId="0">
      <alignment horizontal="center" vertical="center"/>
    </xf>
    <xf applyAlignment="true" applyBorder="false" applyFill="false" applyFont="true" applyNumberFormat="true" applyProtection="false" borderId="61" fillId="0" fontId="4" numFmtId="198" xfId="0">
      <alignment horizontal="center" vertical="center"/>
    </xf>
    <xf applyAlignment="true" applyBorder="false" applyFill="false" applyFont="true" applyNumberFormat="true" applyProtection="false" borderId="61" fillId="0" fontId="4" numFmtId="201" xfId="0">
      <alignment horizontal="center" vertical="center"/>
    </xf>
    <xf applyAlignment="true" applyBorder="false" applyFill="false" applyFont="true" applyNumberFormat="true" applyProtection="false" borderId="61" fillId="0" fontId="4" numFmtId="198" xfId="0">
      <alignment horizontal="center" vertical="center"/>
    </xf>
    <xf applyAlignment="true" applyBorder="false" applyFill="false" applyFont="true" applyNumberFormat="true" applyProtection="false" borderId="61" fillId="0" fontId="4" numFmtId="199" xfId="0">
      <alignment horizontal="center" vertical="center"/>
    </xf>
    <xf applyAlignment="true" applyBorder="false" applyFill="false" applyFont="true" applyNumberFormat="true" applyProtection="false" borderId="61" fillId="0" fontId="4" numFmtId="202" xfId="0">
      <alignment horizontal="center" vertical="center"/>
    </xf>
    <xf applyAlignment="true" applyBorder="false" applyFill="false" applyFont="true" applyNumberFormat="true" applyProtection="false" borderId="63" fillId="0" fontId="4" numFmtId="202" xfId="0">
      <alignment horizontal="center" vertical="center"/>
    </xf>
    <xf applyAlignment="true" applyBorder="false" applyFill="false" applyFont="true" applyNumberFormat="true" applyProtection="false" borderId="63" fillId="0" fontId="4" numFmtId="200" xfId="0">
      <alignment horizontal="center" vertical="center"/>
    </xf>
    <xf applyAlignment="true" applyBorder="false" applyFill="false" applyFont="true" applyNumberFormat="true" applyProtection="false" borderId="61" fillId="0" fontId="4" numFmtId="202" xfId="0">
      <alignment horizontal="center" vertical="center"/>
    </xf>
    <xf applyAlignment="true" applyBorder="false" applyFill="false" applyFont="true" applyNumberFormat="true" applyProtection="false" borderId="63" fillId="0" fontId="4" numFmtId="200" xfId="0">
      <alignment horizontal="center" vertical="center"/>
    </xf>
    <xf applyAlignment="true" applyBorder="false" applyFill="false" applyFont="true" applyNumberFormat="true" applyProtection="false" borderId="63" fillId="0" fontId="4" numFmtId="199" xfId="0">
      <alignment horizontal="center" vertical="center"/>
    </xf>
    <xf applyAlignment="true" applyBorder="false" applyFill="false" applyFont="true" applyNumberFormat="true" applyProtection="false" borderId="64" fillId="0" fontId="4" numFmtId="199" xfId="0">
      <alignment horizontal="center" vertical="center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false" applyFont="true" applyNumberFormat="true" applyProtection="false" borderId="61" fillId="0" fontId="4" numFmtId="200" xfId="0">
      <alignment horizontal="center" vertical="center"/>
    </xf>
    <xf applyAlignment="true" applyBorder="false" applyFill="true" applyFont="true" applyNumberFormat="false" applyProtection="false" borderId="61" fillId="48" fontId="3" numFmtId="0" xfId="0">
      <alignment horizontal="center" vertical="center"/>
    </xf>
    <xf applyAlignment="true" applyBorder="false" applyFill="true" applyFont="true" applyNumberFormat="true" applyProtection="false" borderId="61" fillId="48" fontId="4" numFmtId="198" xfId="0">
      <alignment horizontal="center" vertical="center"/>
    </xf>
    <xf applyAlignment="true" applyBorder="false" applyFill="true" applyFont="true" applyNumberFormat="true" applyProtection="false" borderId="61" fillId="48" fontId="4" numFmtId="201" xfId="0">
      <alignment horizontal="center" vertical="center"/>
    </xf>
    <xf applyAlignment="true" applyBorder="false" applyFill="true" applyFont="true" applyNumberFormat="true" applyProtection="false" borderId="61" fillId="48" fontId="4" numFmtId="199" xfId="0">
      <alignment horizontal="center" vertical="center"/>
    </xf>
    <xf applyAlignment="true" applyBorder="false" applyFill="true" applyFont="true" applyNumberFormat="true" applyProtection="false" borderId="61" fillId="48" fontId="4" numFmtId="202" xfId="0">
      <alignment horizontal="center" vertical="center"/>
    </xf>
    <xf applyAlignment="true" applyBorder="false" applyFill="true" applyFont="true" applyNumberFormat="true" applyProtection="false" borderId="61" fillId="48" fontId="4" numFmtId="200" xfId="0">
      <alignment horizontal="center" vertical="center"/>
    </xf>
    <xf applyAlignment="true" applyBorder="false" applyFill="true" applyFont="true" applyNumberFormat="true" applyProtection="false" borderId="64" fillId="48" fontId="4" numFmtId="203" xfId="0">
      <alignment horizontal="center" vertical="center"/>
    </xf>
    <xf applyAlignment="true" applyBorder="false" applyFill="true" applyFont="true" applyNumberFormat="false" applyProtection="false" borderId="61" fillId="48" fontId="4" numFmtId="0" xfId="0">
      <alignment horizontal="center" vertical="center"/>
    </xf>
    <xf applyAlignment="true" applyBorder="false" applyFill="true" applyFont="true" applyNumberFormat="true" applyProtection="false" borderId="61" fillId="48" fontId="4" numFmtId="204" xfId="0">
      <alignment horizontal="center" vertical="center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true" applyFont="true" applyNumberFormat="false" applyProtection="false" borderId="61" fillId="49" fontId="13" numFmtId="0" xfId="0">
      <alignment horizontal="center" vertical="center"/>
    </xf>
    <xf applyAlignment="true" applyBorder="false" applyFill="true" applyFont="true" applyNumberFormat="true" applyProtection="false" borderId="61" fillId="49" fontId="5" numFmtId="198" xfId="0">
      <alignment horizontal="center" vertical="center"/>
    </xf>
    <xf applyAlignment="true" applyBorder="false" applyFill="true" applyFont="true" applyNumberFormat="true" applyProtection="false" borderId="61" fillId="49" fontId="5" numFmtId="201" xfId="0">
      <alignment horizontal="center" vertical="center"/>
    </xf>
    <xf applyAlignment="true" applyBorder="false" applyFill="true" applyFont="true" applyNumberFormat="true" applyProtection="false" borderId="61" fillId="49" fontId="5" numFmtId="199" xfId="0">
      <alignment horizontal="center" vertical="center"/>
    </xf>
    <xf applyAlignment="true" applyBorder="false" applyFill="true" applyFont="true" applyNumberFormat="true" applyProtection="false" borderId="61" fillId="49" fontId="5" numFmtId="202" xfId="0">
      <alignment horizontal="center" vertical="center"/>
    </xf>
    <xf applyAlignment="true" applyBorder="false" applyFill="true" applyFont="true" applyNumberFormat="true" applyProtection="false" borderId="61" fillId="49" fontId="13" numFmtId="200" xfId="0">
      <alignment horizontal="center" vertical="center"/>
    </xf>
    <xf applyAlignment="true" applyBorder="false" applyFill="true" applyFont="true" applyNumberFormat="true" applyProtection="false" borderId="61" fillId="49" fontId="13" numFmtId="202" xfId="0">
      <alignment horizontal="center" vertical="center"/>
    </xf>
    <xf applyAlignment="true" applyBorder="false" applyFill="true" applyFont="true" applyNumberFormat="true" applyProtection="false" borderId="61" fillId="49" fontId="13" numFmtId="198" xfId="0">
      <alignment horizontal="center" vertical="center"/>
    </xf>
    <xf applyAlignment="true" applyBorder="false" applyFill="true" applyFont="true" applyNumberFormat="true" applyProtection="false" borderId="61" fillId="49" fontId="13" numFmtId="199" xfId="0">
      <alignment horizontal="center" vertical="center"/>
    </xf>
    <xf applyAlignment="true" applyBorder="false" applyFill="true" applyFont="true" applyNumberFormat="false" applyProtection="false" borderId="61" fillId="49" fontId="5" numFmtId="0" xfId="0">
      <alignment horizontal="center" vertical="center"/>
    </xf>
    <xf applyAlignment="true" applyBorder="false" applyFill="false" applyFont="true" applyNumberFormat="true" applyProtection="false" borderId="65" fillId="0" fontId="4" numFmtId="200" xfId="0">
      <alignment horizontal="center" vertical="center"/>
    </xf>
    <xf applyAlignment="true" applyBorder="false" applyFill="false" applyFont="true" applyNumberFormat="false" applyProtection="false" borderId="61" fillId="0" fontId="4" numFmtId="0" xfId="0">
      <alignment horizontal="center" vertical="center"/>
    </xf>
    <xf applyAlignment="true" applyBorder="false" applyFill="true" applyFont="true" applyNumberFormat="true" applyProtection="false" borderId="66" fillId="48" fontId="4" numFmtId="200" xfId="0">
      <alignment horizontal="center" vertical="center"/>
    </xf>
    <xf applyAlignment="true" applyBorder="false" applyFill="true" applyFont="true" applyNumberFormat="false" applyProtection="false" borderId="61" fillId="48" fontId="4" numFmtId="0" xfId="0">
      <alignment horizontal="center" vertical="center"/>
    </xf>
    <xf applyAlignment="true" applyBorder="false" applyFill="true" applyFont="true" applyNumberFormat="false" applyProtection="false" borderId="66" fillId="45" fontId="1" numFmtId="0" xfId="0">
      <alignment horizontal="center" vertical="center"/>
    </xf>
    <xf applyAlignment="true" applyBorder="false" applyFill="true" applyFont="true" applyNumberFormat="true" applyProtection="false" borderId="66" fillId="46" fontId="1" numFmtId="198" xfId="0">
      <alignment horizontal="center" vertical="center"/>
    </xf>
    <xf applyAlignment="true" applyBorder="false" applyFill="true" applyFont="true" applyNumberFormat="true" applyProtection="false" borderId="66" fillId="47" fontId="1" numFmtId="199" xfId="0">
      <alignment horizontal="center" vertical="center"/>
    </xf>
    <xf applyAlignment="true" applyBorder="false" applyFill="true" applyFont="true" applyNumberFormat="true" applyProtection="false" borderId="66" fillId="47" fontId="1" numFmtId="200" xfId="0">
      <alignment horizontal="center" vertical="center"/>
    </xf>
    <xf applyAlignment="true" applyBorder="false" applyFill="true" applyFont="true" applyNumberFormat="false" applyProtection="false" borderId="67" fillId="45" fontId="1" numFmtId="0" xfId="0">
      <alignment horizontal="center" vertical="center"/>
    </xf>
    <xf applyAlignment="true" applyBorder="false" applyFill="true" applyFont="true" applyNumberFormat="true" applyProtection="false" borderId="67" fillId="46" fontId="1" numFmtId="198" xfId="0">
      <alignment horizontal="center" vertical="center"/>
    </xf>
    <xf applyAlignment="true" applyBorder="false" applyFill="true" applyFont="true" applyNumberFormat="true" applyProtection="false" borderId="67" fillId="46" fontId="1" numFmtId="201" xfId="0">
      <alignment horizontal="center" vertical="center"/>
    </xf>
    <xf applyAlignment="true" applyBorder="false" applyFill="true" applyFont="true" applyNumberFormat="true" applyProtection="false" borderId="67" fillId="46" fontId="1" numFmtId="199" xfId="0">
      <alignment horizontal="center" vertical="center"/>
    </xf>
    <xf applyAlignment="true" applyBorder="false" applyFill="true" applyFont="true" applyNumberFormat="true" applyProtection="false" borderId="67" fillId="47" fontId="1" numFmtId="199" xfId="0">
      <alignment horizontal="center" vertical="center" wrapText="true"/>
    </xf>
    <xf applyAlignment="true" applyBorder="false" applyFill="true" applyFont="true" applyNumberFormat="true" applyProtection="false" borderId="67" fillId="47" fontId="1" numFmtId="202" xfId="0">
      <alignment horizontal="center" vertical="center" wrapText="true"/>
    </xf>
    <xf applyAlignment="true" applyBorder="false" applyFill="true" applyFont="true" applyNumberFormat="true" applyProtection="false" borderId="67" fillId="47" fontId="1" numFmtId="200" xfId="0">
      <alignment horizontal="center" vertical="center" wrapText="true"/>
    </xf>
    <xf applyAlignment="true" applyBorder="false" applyFill="true" applyFont="true" applyNumberFormat="true" applyProtection="false" borderId="67" fillId="47" fontId="1" numFmtId="199" xfId="0">
      <alignment horizontal="center" vertical="center"/>
    </xf>
    <xf applyAlignment="true" applyBorder="false" applyFill="true" applyFont="true" applyNumberFormat="true" applyProtection="false" borderId="67" fillId="47" fontId="1" numFmtId="200" xfId="0">
      <alignment horizontal="center" vertical="center"/>
    </xf>
    <xf applyAlignment="true" applyBorder="false" applyFill="true" applyFont="true" applyNumberFormat="false" applyProtection="false" borderId="66" fillId="47" fontId="1" numFmtId="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false" applyFont="true" applyNumberFormat="false" applyProtection="false" borderId="66" fillId="0" fontId="3" numFmtId="0" xfId="0">
      <alignment horizontal="center" vertical="center"/>
    </xf>
    <xf applyAlignment="true" applyBorder="false" applyFill="false" applyFont="true" applyNumberFormat="true" applyProtection="false" borderId="66" fillId="0" fontId="4" numFmtId="198" xfId="0">
      <alignment horizontal="center" vertical="center"/>
    </xf>
    <xf applyAlignment="true" applyBorder="false" applyFill="false" applyFont="true" applyNumberFormat="true" applyProtection="false" borderId="66" fillId="0" fontId="4" numFmtId="201" xfId="0">
      <alignment horizontal="center" vertical="center"/>
    </xf>
    <xf applyAlignment="true" applyBorder="false" applyFill="false" applyFont="true" applyNumberFormat="true" applyProtection="false" borderId="66" fillId="0" fontId="4" numFmtId="199" xfId="0">
      <alignment horizontal="center" vertical="center"/>
    </xf>
    <xf applyAlignment="true" applyBorder="false" applyFill="false" applyFont="true" applyNumberFormat="true" applyProtection="false" borderId="66" fillId="0" fontId="4" numFmtId="202" xfId="0">
      <alignment horizontal="center" vertical="center"/>
    </xf>
    <xf applyAlignment="true" applyBorder="false" applyFill="false" applyFont="true" applyNumberFormat="true" applyProtection="false" borderId="65" fillId="0" fontId="4" numFmtId="202" xfId="0">
      <alignment horizontal="center" vertical="center"/>
    </xf>
    <xf applyAlignment="true" applyBorder="false" applyFill="false" applyFont="true" applyNumberFormat="true" applyProtection="false" borderId="66" fillId="0" fontId="4" numFmtId="202" xfId="0">
      <alignment horizontal="center" vertical="center"/>
    </xf>
    <xf applyAlignment="true" applyBorder="false" applyFill="false" applyFont="true" applyNumberFormat="true" applyProtection="false" borderId="65" fillId="0" fontId="4" numFmtId="200" xfId="0">
      <alignment horizontal="center" vertical="center"/>
    </xf>
    <xf applyAlignment="true" applyBorder="false" applyFill="false" applyFont="true" applyNumberFormat="true" applyProtection="false" borderId="65" fillId="0" fontId="4" numFmtId="199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center" vertical="center"/>
    </xf>
    <xf applyAlignment="true" applyBorder="false" applyFill="false" applyFont="true" applyNumberFormat="true" applyProtection="false" borderId="66" fillId="0" fontId="4" numFmtId="200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horizontal="center" vertical="center"/>
    </xf>
    <xf applyAlignment="true" applyBorder="false" applyFill="true" applyFont="true" applyNumberFormat="false" applyProtection="false" borderId="66" fillId="48" fontId="3" numFmtId="0" xfId="0">
      <alignment horizontal="center" vertical="center"/>
    </xf>
    <xf applyAlignment="true" applyBorder="false" applyFill="true" applyFont="true" applyNumberFormat="true" applyProtection="false" borderId="66" fillId="48" fontId="4" numFmtId="198" xfId="0">
      <alignment horizontal="center" vertical="center"/>
    </xf>
    <xf applyAlignment="true" applyBorder="false" applyFill="true" applyFont="true" applyNumberFormat="true" applyProtection="false" borderId="66" fillId="48" fontId="4" numFmtId="201" xfId="0">
      <alignment horizontal="center" vertical="center"/>
    </xf>
    <xf applyAlignment="true" applyBorder="false" applyFill="true" applyFont="true" applyNumberFormat="true" applyProtection="false" borderId="66" fillId="48" fontId="4" numFmtId="199" xfId="0">
      <alignment horizontal="center" vertical="center"/>
    </xf>
    <xf applyAlignment="true" applyBorder="false" applyFill="true" applyFont="true" applyNumberFormat="true" applyProtection="false" borderId="66" fillId="48" fontId="4" numFmtId="202" xfId="0">
      <alignment horizontal="center" vertical="center"/>
    </xf>
    <xf applyAlignment="true" applyBorder="false" applyFill="true" applyFont="true" applyNumberFormat="false" applyProtection="false" borderId="66" fillId="48" fontId="4" numFmtId="0" xfId="0">
      <alignment horizontal="center" vertical="center"/>
    </xf>
    <xf applyAlignment="true" applyBorder="false" applyFill="true" applyFont="true" applyNumberFormat="true" applyProtection="false" borderId="66" fillId="48" fontId="4" numFmtId="204" xfId="0">
      <alignment horizontal="center" vertical="center"/>
    </xf>
    <xf applyAlignment="true" applyBorder="false" applyFill="true" applyFont="true" applyNumberFormat="false" applyProtection="false" borderId="66" fillId="49" fontId="13" numFmtId="0" xfId="0">
      <alignment horizontal="center" vertical="center"/>
    </xf>
    <xf applyAlignment="true" applyBorder="false" applyFill="true" applyFont="true" applyNumberFormat="true" applyProtection="false" borderId="66" fillId="49" fontId="5" numFmtId="198" xfId="0">
      <alignment horizontal="center" vertical="center"/>
    </xf>
    <xf applyAlignment="true" applyBorder="false" applyFill="true" applyFont="true" applyNumberFormat="true" applyProtection="false" borderId="66" fillId="49" fontId="5" numFmtId="201" xfId="0">
      <alignment horizontal="center" vertical="center"/>
    </xf>
    <xf applyAlignment="true" applyBorder="false" applyFill="true" applyFont="true" applyNumberFormat="true" applyProtection="false" borderId="66" fillId="49" fontId="5" numFmtId="199" xfId="0">
      <alignment horizontal="center" vertical="center"/>
    </xf>
    <xf applyAlignment="true" applyBorder="false" applyFill="true" applyFont="true" applyNumberFormat="true" applyProtection="false" borderId="66" fillId="49" fontId="5" numFmtId="202" xfId="0">
      <alignment horizontal="center" vertical="center"/>
    </xf>
    <xf applyAlignment="true" applyBorder="false" applyFill="true" applyFont="true" applyNumberFormat="true" applyProtection="false" borderId="66" fillId="49" fontId="13" numFmtId="200" xfId="0">
      <alignment horizontal="center" vertical="center"/>
    </xf>
    <xf applyAlignment="true" applyBorder="false" applyFill="true" applyFont="true" applyNumberFormat="true" applyProtection="false" borderId="66" fillId="49" fontId="13" numFmtId="202" xfId="0">
      <alignment horizontal="center" vertical="center"/>
    </xf>
    <xf applyAlignment="true" applyBorder="false" applyFill="true" applyFont="true" applyNumberFormat="true" applyProtection="false" borderId="66" fillId="49" fontId="13" numFmtId="198" xfId="0">
      <alignment horizontal="center" vertical="center"/>
    </xf>
    <xf applyAlignment="true" applyBorder="false" applyFill="true" applyFont="true" applyNumberFormat="true" applyProtection="false" borderId="66" fillId="49" fontId="13" numFmtId="199" xfId="0">
      <alignment horizontal="center" vertical="center"/>
    </xf>
    <xf applyAlignment="true" applyBorder="false" applyFill="true" applyFont="true" applyNumberFormat="false" applyProtection="false" borderId="66" fillId="49" fontId="5" numFmtId="0" xfId="0">
      <alignment horizontal="center" vertical="center"/>
    </xf>
    <xf applyAlignment="true" applyBorder="false" applyFill="false" applyFont="true" applyNumberFormat="true" applyProtection="false" borderId="66" fillId="0" fontId="4" numFmtId="198" xfId="0">
      <alignment horizontal="center" vertical="center"/>
    </xf>
    <xf applyAlignment="true" applyBorder="false" applyFill="false" applyFont="true" applyNumberFormat="false" applyProtection="false" borderId="66" fillId="0" fontId="3" numFmtId="0" xfId="0">
      <alignment horizontal="center" vertical="center"/>
    </xf>
    <xf applyAlignment="true" applyBorder="false" applyFill="true" applyFont="true" applyNumberFormat="true" applyProtection="false" borderId="66" fillId="49" fontId="5" numFmtId="200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horizontal="center" vertical="center"/>
    </xf>
    <xf applyAlignment="true" applyBorder="false" applyFill="true" applyFont="true" applyNumberFormat="true" applyProtection="false" borderId="68" fillId="48" fontId="4" numFmtId="203" xfId="0">
      <alignment horizontal="center" vertical="center"/>
    </xf>
    <xf applyAlignment="true" applyBorder="false" applyFill="false" applyFont="true" applyNumberFormat="false" applyProtection="false" borderId="67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4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69" fillId="50" fontId="1" numFmtId="0" xfId="0">
      <alignment horizontal="center" vertical="center"/>
    </xf>
    <xf applyAlignment="true" applyBorder="false" applyFill="true" applyFont="true" applyNumberFormat="true" applyProtection="false" borderId="69" fillId="51" fontId="1" numFmtId="205" xfId="0">
      <alignment horizontal="center" vertical="center"/>
    </xf>
    <xf applyAlignment="true" applyBorder="false" applyFill="true" applyFont="true" applyNumberFormat="true" applyProtection="false" borderId="69" fillId="51" fontId="1" numFmtId="206" xfId="0">
      <alignment horizontal="center" vertical="center"/>
    </xf>
    <xf applyAlignment="true" applyBorder="false" applyFill="true" applyFont="true" applyNumberFormat="true" applyProtection="false" borderId="69" fillId="52" fontId="1" numFmtId="207" xfId="0">
      <alignment horizontal="center" vertical="center"/>
    </xf>
    <xf applyAlignment="true" applyBorder="false" applyFill="true" applyFont="true" applyNumberFormat="true" applyProtection="false" borderId="69" fillId="52" fontId="1" numFmtId="208" xfId="0">
      <alignment horizontal="center" vertical="center"/>
    </xf>
    <xf applyAlignment="true" applyBorder="false" applyFill="true" applyFont="true" applyNumberFormat="false" applyProtection="false" borderId="70" fillId="50" fontId="1" numFmtId="0" xfId="0">
      <alignment horizontal="center" vertical="center"/>
    </xf>
    <xf applyAlignment="true" applyBorder="false" applyFill="true" applyFont="true" applyNumberFormat="true" applyProtection="false" borderId="70" fillId="51" fontId="1" numFmtId="205" xfId="0">
      <alignment horizontal="center" vertical="center"/>
    </xf>
    <xf applyAlignment="true" applyBorder="false" applyFill="true" applyFont="true" applyNumberFormat="true" applyProtection="false" borderId="70" fillId="51" fontId="1" numFmtId="206" xfId="0">
      <alignment horizontal="center" vertical="center"/>
    </xf>
    <xf applyAlignment="true" applyBorder="false" applyFill="true" applyFont="true" applyNumberFormat="true" applyProtection="false" borderId="70" fillId="51" fontId="1" numFmtId="207" xfId="0">
      <alignment horizontal="center" vertical="center"/>
    </xf>
    <xf applyAlignment="true" applyBorder="false" applyFill="true" applyFont="true" applyNumberFormat="true" applyProtection="false" borderId="70" fillId="52" fontId="1" numFmtId="207" xfId="0">
      <alignment horizontal="center" vertical="center" wrapText="true"/>
    </xf>
    <xf applyAlignment="true" applyBorder="false" applyFill="true" applyFont="true" applyNumberFormat="true" applyProtection="false" borderId="70" fillId="52" fontId="1" numFmtId="209" xfId="0">
      <alignment horizontal="center" vertical="center" wrapText="true"/>
    </xf>
    <xf applyAlignment="true" applyBorder="false" applyFill="true" applyFont="true" applyNumberFormat="true" applyProtection="false" borderId="70" fillId="52" fontId="1" numFmtId="208" xfId="0">
      <alignment horizontal="center" vertical="center" wrapText="true"/>
    </xf>
    <xf applyAlignment="true" applyBorder="false" applyFill="true" applyFont="true" applyNumberFormat="true" applyProtection="false" borderId="70" fillId="52" fontId="1" numFmtId="207" xfId="0">
      <alignment horizontal="center" vertical="center"/>
    </xf>
    <xf applyAlignment="true" applyBorder="false" applyFill="true" applyFont="true" applyNumberFormat="true" applyProtection="false" borderId="70" fillId="52" fontId="1" numFmtId="208" xfId="0">
      <alignment horizontal="center" vertical="center"/>
    </xf>
    <xf applyAlignment="true" applyBorder="false" applyFill="true" applyFont="true" applyNumberFormat="false" applyProtection="false" borderId="69" fillId="52" fontId="1" numFmtId="0" xfId="0">
      <alignment horizontal="center" vertical="center"/>
    </xf>
    <xf applyAlignment="true" applyBorder="false" applyFill="false" applyFont="true" applyNumberFormat="false" applyProtection="false" borderId="69" fillId="0" fontId="2" numFmtId="0" xfId="0">
      <alignment horizontal="center" vertical="center"/>
    </xf>
    <xf applyAlignment="true" applyBorder="false" applyFill="false" applyFont="true" applyNumberFormat="false" applyProtection="false" borderId="69" fillId="0" fontId="3" numFmtId="0" xfId="0">
      <alignment horizontal="center" vertical="center"/>
    </xf>
    <xf applyAlignment="true" applyBorder="false" applyFill="false" applyFont="true" applyNumberFormat="false" applyProtection="false" borderId="69" fillId="0" fontId="3" numFmtId="0" xfId="0">
      <alignment horizontal="center" vertical="center"/>
    </xf>
    <xf applyAlignment="true" applyBorder="false" applyFill="false" applyFont="true" applyNumberFormat="true" applyProtection="false" borderId="69" fillId="0" fontId="4" numFmtId="205" xfId="0">
      <alignment horizontal="center" vertical="center"/>
    </xf>
    <xf applyAlignment="true" applyBorder="false" applyFill="false" applyFont="true" applyNumberFormat="true" applyProtection="false" borderId="69" fillId="0" fontId="4" numFmtId="206" xfId="0">
      <alignment horizontal="center" vertical="center"/>
    </xf>
    <xf applyAlignment="true" applyBorder="false" applyFill="false" applyFont="true" applyNumberFormat="true" applyProtection="false" borderId="69" fillId="0" fontId="4" numFmtId="205" xfId="0">
      <alignment horizontal="center" vertical="center"/>
    </xf>
    <xf applyAlignment="true" applyBorder="false" applyFill="false" applyFont="true" applyNumberFormat="true" applyProtection="false" borderId="69" fillId="0" fontId="4" numFmtId="207" xfId="0">
      <alignment horizontal="center" vertical="center"/>
    </xf>
    <xf applyAlignment="true" applyBorder="false" applyFill="false" applyFont="true" applyNumberFormat="true" applyProtection="false" borderId="69" fillId="0" fontId="4" numFmtId="209" xfId="0">
      <alignment horizontal="center" vertical="center"/>
    </xf>
    <xf applyAlignment="true" applyBorder="false" applyFill="false" applyFont="true" applyNumberFormat="true" applyProtection="false" borderId="71" fillId="0" fontId="4" numFmtId="209" xfId="0">
      <alignment horizontal="center" vertical="center"/>
    </xf>
    <xf applyAlignment="true" applyBorder="false" applyFill="false" applyFont="true" applyNumberFormat="true" applyProtection="false" borderId="69" fillId="0" fontId="4" numFmtId="208" xfId="0">
      <alignment horizontal="center" vertical="center"/>
    </xf>
    <xf applyAlignment="true" applyBorder="false" applyFill="false" applyFont="true" applyNumberFormat="true" applyProtection="false" borderId="69" fillId="0" fontId="4" numFmtId="209" xfId="0">
      <alignment horizontal="center" vertical="center"/>
    </xf>
    <xf applyAlignment="true" applyBorder="false" applyFill="false" applyFont="true" applyNumberFormat="true" applyProtection="false" borderId="69" fillId="0" fontId="4" numFmtId="208" xfId="0">
      <alignment horizontal="center" vertical="center"/>
    </xf>
    <xf applyAlignment="true" applyBorder="false" applyFill="false" applyFont="true" applyNumberFormat="true" applyProtection="false" borderId="72" fillId="0" fontId="4" numFmtId="207" xfId="0">
      <alignment horizontal="center" vertical="center"/>
    </xf>
    <xf applyAlignment="true" applyBorder="false" applyFill="false" applyFont="true" applyNumberFormat="false" applyProtection="false" borderId="69" fillId="0" fontId="4" numFmtId="0" xfId="0">
      <alignment horizontal="center" vertical="center"/>
    </xf>
    <xf applyAlignment="true" applyBorder="false" applyFill="false" applyFont="true" applyNumberFormat="false" applyProtection="false" borderId="69" fillId="0" fontId="4" numFmtId="0" xfId="0">
      <alignment horizontal="center" vertical="center"/>
    </xf>
    <xf applyAlignment="true" applyBorder="false" applyFill="false" applyFont="true" applyNumberFormat="false" applyProtection="false" borderId="69" fillId="0" fontId="2" numFmtId="0" xfId="0">
      <alignment horizontal="center" vertical="center"/>
    </xf>
    <xf applyAlignment="true" applyBorder="false" applyFill="false" applyFont="true" applyNumberFormat="true" applyProtection="false" borderId="73" fillId="0" fontId="4" numFmtId="209" xfId="0">
      <alignment horizontal="center" vertical="center"/>
    </xf>
    <xf applyAlignment="true" applyBorder="false" applyFill="false" applyFont="true" applyNumberFormat="true" applyProtection="false" borderId="73" fillId="0" fontId="4" numFmtId="208" xfId="0">
      <alignment horizontal="center" vertical="center"/>
    </xf>
    <xf applyAlignment="true" applyBorder="false" applyFill="false" applyFont="true" applyNumberFormat="true" applyProtection="false" borderId="73" fillId="0" fontId="4" numFmtId="208" xfId="0">
      <alignment horizontal="center" vertical="center"/>
    </xf>
    <xf applyAlignment="true" applyBorder="false" applyFill="false" applyFont="true" applyNumberFormat="true" applyProtection="false" borderId="73" fillId="0" fontId="4" numFmtId="207" xfId="0">
      <alignment horizontal="center" vertical="center"/>
    </xf>
    <xf applyAlignment="true" applyBorder="false" applyFill="true" applyFont="true" applyNumberFormat="false" applyProtection="false" borderId="69" fillId="53" fontId="3" numFmtId="0" xfId="0">
      <alignment horizontal="center" vertical="center"/>
    </xf>
    <xf applyAlignment="true" applyBorder="false" applyFill="true" applyFont="true" applyNumberFormat="true" applyProtection="false" borderId="69" fillId="53" fontId="4" numFmtId="205" xfId="0">
      <alignment horizontal="center" vertical="center"/>
    </xf>
    <xf applyAlignment="true" applyBorder="false" applyFill="true" applyFont="true" applyNumberFormat="true" applyProtection="false" borderId="69" fillId="53" fontId="4" numFmtId="206" xfId="0">
      <alignment horizontal="center" vertical="center"/>
    </xf>
    <xf applyAlignment="true" applyBorder="false" applyFill="true" applyFont="true" applyNumberFormat="true" applyProtection="false" borderId="69" fillId="53" fontId="4" numFmtId="207" xfId="0">
      <alignment horizontal="center" vertical="center"/>
    </xf>
    <xf applyAlignment="true" applyBorder="false" applyFill="true" applyFont="true" applyNumberFormat="true" applyProtection="false" borderId="69" fillId="53" fontId="4" numFmtId="209" xfId="0">
      <alignment horizontal="center" vertical="center"/>
    </xf>
    <xf applyAlignment="true" applyBorder="false" applyFill="true" applyFont="true" applyNumberFormat="true" applyProtection="false" borderId="69" fillId="53" fontId="4" numFmtId="208" xfId="0">
      <alignment horizontal="center" vertical="center"/>
    </xf>
    <xf applyAlignment="true" applyBorder="false" applyFill="true" applyFont="true" applyNumberFormat="true" applyProtection="false" borderId="72" fillId="53" fontId="4" numFmtId="210" xfId="0">
      <alignment horizontal="center" vertical="center"/>
    </xf>
    <xf applyAlignment="true" applyBorder="false" applyFill="true" applyFont="true" applyNumberFormat="false" applyProtection="false" borderId="69" fillId="53" fontId="4" numFmtId="0" xfId="0">
      <alignment horizontal="center" vertical="center"/>
    </xf>
    <xf applyAlignment="true" applyBorder="false" applyFill="true" applyFont="true" applyNumberFormat="true" applyProtection="false" borderId="69" fillId="53" fontId="4" numFmtId="211" xfId="0">
      <alignment horizontal="center" vertical="center"/>
    </xf>
    <xf applyAlignment="true" applyBorder="false" applyFill="true" applyFont="true" applyNumberFormat="false" applyProtection="false" borderId="69" fillId="54" fontId="13" numFmtId="0" xfId="0">
      <alignment horizontal="center" vertical="center"/>
    </xf>
    <xf applyAlignment="true" applyBorder="false" applyFill="true" applyFont="true" applyNumberFormat="true" applyProtection="false" borderId="69" fillId="54" fontId="5" numFmtId="205" xfId="0">
      <alignment horizontal="center" vertical="center"/>
    </xf>
    <xf applyAlignment="true" applyBorder="false" applyFill="true" applyFont="true" applyNumberFormat="true" applyProtection="false" borderId="69" fillId="54" fontId="5" numFmtId="206" xfId="0">
      <alignment horizontal="center" vertical="center"/>
    </xf>
    <xf applyAlignment="true" applyBorder="false" applyFill="true" applyFont="true" applyNumberFormat="true" applyProtection="false" borderId="69" fillId="54" fontId="5" numFmtId="207" xfId="0">
      <alignment horizontal="center" vertical="center"/>
    </xf>
    <xf applyAlignment="true" applyBorder="false" applyFill="true" applyFont="true" applyNumberFormat="true" applyProtection="false" borderId="69" fillId="54" fontId="5" numFmtId="209" xfId="0">
      <alignment horizontal="center" vertical="center"/>
    </xf>
    <xf applyAlignment="true" applyBorder="false" applyFill="true" applyFont="true" applyNumberFormat="true" applyProtection="false" borderId="69" fillId="54" fontId="13" numFmtId="208" xfId="0">
      <alignment horizontal="center" vertical="center"/>
    </xf>
    <xf applyAlignment="true" applyBorder="false" applyFill="true" applyFont="true" applyNumberFormat="true" applyProtection="false" borderId="69" fillId="54" fontId="13" numFmtId="209" xfId="0">
      <alignment horizontal="center" vertical="center"/>
    </xf>
    <xf applyAlignment="true" applyBorder="false" applyFill="true" applyFont="true" applyNumberFormat="true" applyProtection="false" borderId="69" fillId="54" fontId="13" numFmtId="205" xfId="0">
      <alignment horizontal="center" vertical="center"/>
    </xf>
    <xf applyAlignment="true" applyBorder="false" applyFill="true" applyFont="true" applyNumberFormat="true" applyProtection="false" borderId="69" fillId="54" fontId="13" numFmtId="207" xfId="0">
      <alignment horizontal="center" vertical="center"/>
    </xf>
    <xf applyAlignment="true" applyBorder="false" applyFill="true" applyFont="true" applyNumberFormat="false" applyProtection="false" borderId="69" fillId="54" fontId="5" numFmtId="0" xfId="0">
      <alignment horizontal="center" vertical="center"/>
    </xf>
    <xf applyAlignment="true" applyBorder="false" applyFill="true" applyFont="true" applyNumberFormat="true" applyProtection="false" borderId="69" fillId="53" fontId="15" numFmtId="207" xfId="0">
      <alignment horizontal="center" vertical="center"/>
    </xf>
    <xf applyAlignment="true" applyBorder="false" applyFill="true" applyFont="true" applyNumberFormat="true" applyProtection="false" borderId="69" fillId="54" fontId="16" numFmtId="207" xfId="0">
      <alignment horizontal="center" vertical="center"/>
    </xf>
    <xf applyAlignment="true" applyBorder="false" applyFill="true" applyFont="true" applyNumberFormat="true" applyProtection="false" borderId="70" fillId="51" fontId="1" numFmtId="206" xfId="0">
      <alignment horizontal="center" vertical="center"/>
    </xf>
    <xf applyAlignment="true" applyBorder="false" applyFill="true" applyFont="true" applyNumberFormat="true" applyProtection="false" borderId="70" fillId="51" fontId="1" numFmtId="207" xfId="0">
      <alignment horizontal="center" vertical="center"/>
    </xf>
    <xf applyAlignment="true" applyBorder="false" applyFill="false" applyFont="true" applyNumberFormat="true" applyProtection="false" borderId="0" fillId="0" fontId="12" numFmtId="206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true" applyProtection="false" borderId="74" fillId="55" fontId="1" numFmtId="212" xfId="0">
      <alignment horizontal="center" vertical="center"/>
    </xf>
    <xf applyAlignment="true" applyBorder="false" applyFill="true" applyFont="true" applyNumberFormat="true" applyProtection="false" borderId="75" fillId="56" fontId="1" numFmtId="212" xfId="0">
      <alignment horizontal="center" vertical="center" wrapText="true"/>
    </xf>
    <xf applyAlignment="true" applyBorder="false" applyFill="false" applyFont="true" applyNumberFormat="true" applyProtection="false" borderId="0" fillId="0" fontId="12" numFmtId="212" xfId="0">
      <alignment vertical="center"/>
    </xf>
    <xf applyAlignment="true" applyBorder="false" applyFill="false" applyFont="true" applyNumberFormat="true" applyProtection="false" borderId="75" fillId="0" fontId="4" numFmtId="212" xfId="0">
      <alignment horizontal="center" vertical="center"/>
    </xf>
    <xf applyAlignment="true" applyBorder="false" applyFill="false" applyFont="true" applyNumberFormat="true" applyProtection="false" borderId="0" fillId="0" fontId="12" numFmtId="212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true" applyProtection="false" borderId="0" fillId="0" fontId="17" numFmtId="212" xfId="0">
      <alignment vertical="center"/>
    </xf>
    <xf applyAlignment="true" applyBorder="false" applyFill="false" applyFont="true" applyNumberFormat="true" applyProtection="false" borderId="0" fillId="0" fontId="17" numFmtId="213" xfId="0">
      <alignment vertical="center"/>
    </xf>
    <xf applyAlignment="true" applyBorder="false" applyFill="false" applyFont="true" applyNumberFormat="true" applyProtection="false" borderId="0" fillId="0" fontId="17" numFmtId="214" xfId="0">
      <alignment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true" applyProtection="false" borderId="0" fillId="0" fontId="17" numFmtId="212" xfId="0">
      <alignment vertical="center"/>
    </xf>
    <xf applyAlignment="true" applyBorder="false" applyFill="false" applyFont="true" applyNumberFormat="true" applyProtection="false" borderId="0" fillId="0" fontId="17" numFmtId="215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calcChain.xml" Type="http://schemas.openxmlformats.org/officeDocument/2006/relationships/calcChain"></Relationship><Relationship Id="rId13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3" min="33" style="0" width="11.211267605633802"/>
  </cols>
  <sheetData>
    <row r="1">
      <c r="A1" s="1"/>
      <c r="B1" s="2" t="s">
        <v>1</v>
      </c>
      <c r="C1" s="2"/>
      <c r="D1" s="3" t="s">
        <v>2</v>
      </c>
      <c r="E1" s="3"/>
      <c r="F1" s="3"/>
      <c r="G1" s="4"/>
      <c r="H1" s="3"/>
      <c r="I1" s="3"/>
      <c r="J1" s="3"/>
      <c r="K1" s="3"/>
      <c r="L1" s="3"/>
      <c r="M1" s="3"/>
      <c r="N1" s="3"/>
      <c r="O1" s="5" t="s">
        <v>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</row>
    <row r="2">
      <c r="A2" s="1"/>
      <c r="B2" s="2" t="s">
        <v>4</v>
      </c>
      <c r="C2" s="7" t="s">
        <v>5</v>
      </c>
      <c r="D2" s="8" t="s">
        <v>6</v>
      </c>
      <c r="E2" s="9" t="s">
        <v>7</v>
      </c>
      <c r="F2" s="10" t="s">
        <v>8</v>
      </c>
      <c r="G2" s="11" t="s">
        <v>9</v>
      </c>
      <c r="H2" s="8" t="s">
        <v>10</v>
      </c>
      <c r="I2" s="12" t="s">
        <v>11</v>
      </c>
      <c r="J2" s="13" t="s">
        <v>12</v>
      </c>
      <c r="K2" s="13" t="s">
        <v>13</v>
      </c>
      <c r="L2" s="13" t="s">
        <v>14</v>
      </c>
      <c r="M2" s="14" t="s">
        <v>15</v>
      </c>
      <c r="N2" s="13" t="s">
        <v>16</v>
      </c>
      <c r="O2" s="15" t="s">
        <v>17</v>
      </c>
      <c r="P2" s="16" t="s">
        <v>18</v>
      </c>
      <c r="Q2" s="16" t="s">
        <v>19</v>
      </c>
      <c r="R2" s="16" t="s">
        <v>20</v>
      </c>
      <c r="S2" s="16" t="s">
        <v>21</v>
      </c>
      <c r="T2" s="17" t="s">
        <v>22</v>
      </c>
      <c r="U2" s="18" t="s">
        <v>23</v>
      </c>
      <c r="V2" s="19" t="s">
        <v>24</v>
      </c>
      <c r="W2" s="5" t="s">
        <v>25</v>
      </c>
      <c r="X2" s="20" t="s">
        <v>26</v>
      </c>
      <c r="Y2" s="20" t="s">
        <v>27</v>
      </c>
      <c r="Z2" s="20" t="s">
        <v>28</v>
      </c>
      <c r="AA2" s="20" t="s">
        <v>29</v>
      </c>
      <c r="AB2" s="20" t="s">
        <v>30</v>
      </c>
      <c r="AC2" s="20" t="s">
        <v>31</v>
      </c>
      <c r="AD2" s="20" t="s">
        <v>32</v>
      </c>
      <c r="AE2" s="20" t="s">
        <v>33</v>
      </c>
      <c r="AF2" s="5" t="s">
        <v>34</v>
      </c>
      <c r="AG2" s="21" t="s">
        <v>35</v>
      </c>
      <c r="AH2" s="21" t="s">
        <v>36</v>
      </c>
      <c r="AI2" s="6" t="s">
        <v>37</v>
      </c>
    </row>
    <row r="3">
      <c r="A3" s="22">
        <v>46204</v>
      </c>
      <c r="B3" s="23" t="s">
        <v>38</v>
      </c>
      <c r="C3" s="24" t="s">
        <v>39</v>
      </c>
      <c r="D3" s="25">
        <v>2836.08</v>
      </c>
      <c r="E3" s="26">
        <v>3</v>
      </c>
      <c r="F3" s="26">
        <v>2</v>
      </c>
      <c r="G3" s="27">
        <v>2</v>
      </c>
      <c r="H3" s="25">
        <v>902</v>
      </c>
      <c r="I3" s="26">
        <v>0</v>
      </c>
      <c r="J3" s="28">
        <f t="shared" ref="J3:J25" si="220">H3/D3</f>
      </c>
      <c r="K3" s="29">
        <f t="shared" ref="K3:K25" si="182">D3/F3</f>
      </c>
      <c r="L3" s="29">
        <f t="shared" ref="L3:L25" si="144">D3/G3</f>
      </c>
      <c r="M3" s="30">
        <f t="shared" ref="M3:M25" si="106">F3/E3</f>
      </c>
      <c r="N3" s="29">
        <f t="shared" ref="N3:N25" si="57">H3/F3</f>
      </c>
      <c r="O3" s="29">
        <f t="shared" ref="O3:O25" si="38">D3/Y3</f>
      </c>
      <c r="P3" s="30">
        <f t="shared" ref="P3:P25" si="19">T3/X3*1</f>
      </c>
      <c r="Q3" s="30">
        <f t="shared" ref="Q3:Q25" si="0">Y3/X3</f>
      </c>
      <c r="R3" s="30">
        <f t="shared" ref="R3:R25" si="239">AA3/X3</f>
      </c>
      <c r="S3" s="30">
        <f t="shared" ref="S3:S25" si="201">AB3/AA3</f>
      </c>
      <c r="T3" s="31">
        <f t="shared" ref="T3:T25" si="163">Z3/U3</f>
      </c>
      <c r="U3" s="32">
        <v>0.0285</v>
      </c>
      <c r="V3" s="33">
        <v>40</v>
      </c>
      <c r="W3" s="29">
        <f t="shared" ref="W3:W25" si="125">(D3/X3)*1000</f>
      </c>
      <c r="X3" s="33">
        <v>16593</v>
      </c>
      <c r="Y3" s="33">
        <v>618</v>
      </c>
      <c r="Z3" s="31">
        <v>84</v>
      </c>
      <c r="AA3" s="31">
        <v>1077</v>
      </c>
      <c r="AB3" s="31">
        <v>54</v>
      </c>
      <c r="AC3" s="31">
        <v>14</v>
      </c>
      <c r="AD3" s="33">
        <v>2</v>
      </c>
      <c r="AE3" s="33">
        <v>14</v>
      </c>
      <c r="AF3" s="29">
        <f t="shared" ref="AF3:AF24" si="76">AI3*1000/D3</f>
      </c>
      <c r="AG3" s="34" t="s">
        <v>40</v>
      </c>
      <c r="AH3" s="35" t="s">
        <v>41</v>
      </c>
      <c r="AI3" s="33">
        <v>30</v>
      </c>
    </row>
    <row r="4">
      <c r="A4" s="22"/>
      <c r="B4" s="23" t="s">
        <v>38</v>
      </c>
      <c r="C4" s="24" t="s">
        <v>42</v>
      </c>
      <c r="D4" s="25">
        <v>3209.43</v>
      </c>
      <c r="E4" s="26">
        <v>9</v>
      </c>
      <c r="F4" s="26">
        <v>5</v>
      </c>
      <c r="G4" s="27">
        <v>5</v>
      </c>
      <c r="H4" s="25">
        <v>3786.2000000000007</v>
      </c>
      <c r="I4" s="26">
        <v>1</v>
      </c>
      <c r="J4" s="28">
        <f t="shared" si="220"/>
      </c>
      <c r="K4" s="29">
        <f t="shared" si="182"/>
      </c>
      <c r="L4" s="29">
        <f t="shared" si="144"/>
      </c>
      <c r="M4" s="30">
        <f t="shared" si="106"/>
      </c>
      <c r="N4" s="29">
        <f t="shared" si="57"/>
      </c>
      <c r="O4" s="29">
        <f t="shared" si="38"/>
      </c>
      <c r="P4" s="30">
        <f t="shared" si="19"/>
      </c>
      <c r="Q4" s="30">
        <f t="shared" si="0"/>
      </c>
      <c r="R4" s="30">
        <f t="shared" si="239"/>
      </c>
      <c r="S4" s="30">
        <f t="shared" si="201"/>
      </c>
      <c r="T4" s="31">
        <f t="shared" si="163"/>
      </c>
      <c r="U4" s="32">
        <v>0.0393</v>
      </c>
      <c r="V4" s="33">
        <v>46</v>
      </c>
      <c r="W4" s="29">
        <f t="shared" si="125"/>
      </c>
      <c r="X4" s="33">
        <v>23472</v>
      </c>
      <c r="Y4" s="33">
        <v>698</v>
      </c>
      <c r="Z4" s="31">
        <v>119</v>
      </c>
      <c r="AA4" s="31">
        <v>1298</v>
      </c>
      <c r="AB4" s="33">
        <v>111</v>
      </c>
      <c r="AC4" s="31">
        <v>6</v>
      </c>
      <c r="AD4" s="33">
        <v>1</v>
      </c>
      <c r="AE4" s="33">
        <v>28</v>
      </c>
      <c r="AF4" s="29">
        <f t="shared" si="76"/>
      </c>
      <c r="AG4" s="34" t="s">
        <v>40</v>
      </c>
      <c r="AH4" s="35" t="s">
        <v>41</v>
      </c>
      <c r="AI4" s="33">
        <v>36</v>
      </c>
    </row>
    <row r="5">
      <c r="A5" s="22"/>
      <c r="B5" s="23" t="s">
        <v>38</v>
      </c>
      <c r="C5" s="24" t="s">
        <v>43</v>
      </c>
      <c r="D5" s="25">
        <v>2756.08</v>
      </c>
      <c r="E5" s="26">
        <v>6</v>
      </c>
      <c r="F5" s="26">
        <v>4</v>
      </c>
      <c r="G5" s="27">
        <v>2</v>
      </c>
      <c r="H5" s="25">
        <v>1803.999999999999</v>
      </c>
      <c r="I5" s="26">
        <v>0</v>
      </c>
      <c r="J5" s="28">
        <f t="shared" si="220"/>
      </c>
      <c r="K5" s="29">
        <f t="shared" si="182"/>
      </c>
      <c r="L5" s="29">
        <f t="shared" si="144"/>
      </c>
      <c r="M5" s="30">
        <f t="shared" si="106"/>
      </c>
      <c r="N5" s="29">
        <f t="shared" si="57"/>
      </c>
      <c r="O5" s="29">
        <f t="shared" si="38"/>
      </c>
      <c r="P5" s="30">
        <f t="shared" si="19"/>
      </c>
      <c r="Q5" s="30">
        <f t="shared" si="0"/>
      </c>
      <c r="R5" s="30">
        <f t="shared" si="239"/>
      </c>
      <c r="S5" s="30">
        <f t="shared" si="201"/>
      </c>
      <c r="T5" s="31">
        <f t="shared" si="163"/>
      </c>
      <c r="U5" s="32">
        <v>0.0512</v>
      </c>
      <c r="V5" s="33">
        <v>48</v>
      </c>
      <c r="W5" s="29">
        <f t="shared" si="125"/>
      </c>
      <c r="X5" s="33">
        <v>19543</v>
      </c>
      <c r="Y5" s="33">
        <v>481</v>
      </c>
      <c r="Z5" s="31">
        <v>97</v>
      </c>
      <c r="AA5" s="31">
        <v>867</v>
      </c>
      <c r="AB5" s="33">
        <v>102</v>
      </c>
      <c r="AC5" s="31">
        <v>4</v>
      </c>
      <c r="AD5" s="33">
        <v>0</v>
      </c>
      <c r="AE5" s="33">
        <v>11</v>
      </c>
      <c r="AF5" s="29">
        <f t="shared" si="76"/>
      </c>
      <c r="AG5" s="34" t="s">
        <v>40</v>
      </c>
      <c r="AH5" s="35" t="s">
        <v>41</v>
      </c>
      <c r="AI5" s="33">
        <v>38</v>
      </c>
    </row>
    <row r="6">
      <c r="A6" s="22"/>
      <c r="B6" s="23" t="s">
        <v>38</v>
      </c>
      <c r="C6" s="36" t="s">
        <v>44</v>
      </c>
      <c r="D6" s="25">
        <v>1559.39</v>
      </c>
      <c r="E6" s="26">
        <v>2</v>
      </c>
      <c r="F6" s="26">
        <v>1</v>
      </c>
      <c r="G6" s="27">
        <v>1</v>
      </c>
      <c r="H6" s="25">
        <v>1483.9000000000005</v>
      </c>
      <c r="I6" s="26">
        <v>1</v>
      </c>
      <c r="J6" s="28">
        <f t="shared" si="220"/>
      </c>
      <c r="K6" s="29">
        <f t="shared" si="182"/>
      </c>
      <c r="L6" s="29">
        <f t="shared" si="144"/>
      </c>
      <c r="M6" s="30">
        <f t="shared" si="106"/>
      </c>
      <c r="N6" s="29">
        <f t="shared" si="57"/>
      </c>
      <c r="O6" s="29">
        <f t="shared" si="38"/>
      </c>
      <c r="P6" s="30">
        <f t="shared" si="19"/>
      </c>
      <c r="Q6" s="30">
        <f t="shared" si="0"/>
      </c>
      <c r="R6" s="30">
        <f t="shared" si="239"/>
      </c>
      <c r="S6" s="30">
        <f t="shared" si="201"/>
      </c>
      <c r="T6" s="31">
        <f t="shared" si="163"/>
      </c>
      <c r="U6" s="32">
        <v>0.023</v>
      </c>
      <c r="V6" s="33">
        <v>48</v>
      </c>
      <c r="W6" s="29">
        <f t="shared" si="125"/>
      </c>
      <c r="X6" s="33">
        <v>9746</v>
      </c>
      <c r="Y6" s="33">
        <v>346</v>
      </c>
      <c r="Z6" s="33">
        <v>38</v>
      </c>
      <c r="AA6" s="33">
        <v>737</v>
      </c>
      <c r="AB6" s="33">
        <v>46</v>
      </c>
      <c r="AC6" s="33">
        <v>4</v>
      </c>
      <c r="AD6" s="33">
        <v>0</v>
      </c>
      <c r="AE6" s="33">
        <v>6</v>
      </c>
      <c r="AF6" s="29">
        <f t="shared" si="76"/>
      </c>
      <c r="AG6" s="34" t="s">
        <v>40</v>
      </c>
      <c r="AH6" s="35" t="s">
        <v>41</v>
      </c>
      <c r="AI6" s="33">
        <v>36</v>
      </c>
    </row>
    <row r="7">
      <c r="A7" s="22"/>
      <c r="B7" s="23" t="s">
        <v>38</v>
      </c>
      <c r="C7" s="24" t="s">
        <v>45</v>
      </c>
      <c r="D7" s="37">
        <v>1321.83</v>
      </c>
      <c r="E7" s="38">
        <v>5</v>
      </c>
      <c r="F7" s="38">
        <v>4</v>
      </c>
      <c r="G7" s="39">
        <v>3</v>
      </c>
      <c r="H7" s="37">
        <v>2134</v>
      </c>
      <c r="I7" s="38">
        <v>0</v>
      </c>
      <c r="J7" s="29">
        <f t="shared" si="220"/>
      </c>
      <c r="K7" s="29">
        <f t="shared" si="182"/>
      </c>
      <c r="L7" s="29">
        <f t="shared" si="144"/>
      </c>
      <c r="M7" s="30">
        <f t="shared" si="106"/>
      </c>
      <c r="N7" s="29">
        <f t="shared" si="57"/>
      </c>
      <c r="O7" s="29">
        <f t="shared" si="38"/>
      </c>
      <c r="P7" s="30">
        <f t="shared" si="19"/>
      </c>
      <c r="Q7" s="30">
        <f t="shared" si="0"/>
      </c>
      <c r="R7" s="30">
        <f t="shared" si="239"/>
      </c>
      <c r="S7" s="30">
        <f t="shared" si="201"/>
      </c>
      <c r="T7" s="31">
        <f t="shared" si="163"/>
      </c>
      <c r="U7" s="32">
        <v>0.0371</v>
      </c>
      <c r="V7" s="33">
        <v>47</v>
      </c>
      <c r="W7" s="29">
        <f t="shared" si="125"/>
      </c>
      <c r="X7" s="31">
        <v>7800</v>
      </c>
      <c r="Y7" s="31">
        <v>352</v>
      </c>
      <c r="Z7" s="31">
        <v>56</v>
      </c>
      <c r="AA7" s="31">
        <v>665</v>
      </c>
      <c r="AB7" s="31">
        <v>28</v>
      </c>
      <c r="AC7" s="31">
        <v>2</v>
      </c>
      <c r="AD7" s="31">
        <v>0</v>
      </c>
      <c r="AE7" s="33">
        <v>4</v>
      </c>
      <c r="AF7" s="29">
        <f t="shared" si="76"/>
      </c>
      <c r="AG7" s="34" t="s">
        <v>40</v>
      </c>
      <c r="AH7" s="35" t="s">
        <v>41</v>
      </c>
      <c r="AI7" s="33">
        <v>17</v>
      </c>
    </row>
    <row r="8">
      <c r="A8" s="22"/>
      <c r="B8" s="40" t="s">
        <v>46</v>
      </c>
      <c r="C8" s="40"/>
      <c r="D8" s="41">
        <f>SUM(D3:D7)</f>
      </c>
      <c r="E8" s="42">
        <f>SUM(E3:E7)</f>
      </c>
      <c r="F8" s="42">
        <f>SUM(F3:F7)</f>
      </c>
      <c r="G8" s="43">
        <f>SUM(G3:G7)</f>
      </c>
      <c r="H8" s="41">
        <f>SUM(H3:H7)</f>
      </c>
      <c r="I8" s="44">
        <f>SUM(I3:I7)</f>
      </c>
      <c r="J8" s="45">
        <f t="shared" si="220"/>
      </c>
      <c r="K8" s="45">
        <f t="shared" si="182"/>
      </c>
      <c r="L8" s="45">
        <f t="shared" si="144"/>
      </c>
      <c r="M8" s="46">
        <f t="shared" si="106"/>
      </c>
      <c r="N8" s="45">
        <f t="shared" si="57"/>
      </c>
      <c r="O8" s="45">
        <f t="shared" si="38"/>
      </c>
      <c r="P8" s="46">
        <f t="shared" si="19"/>
      </c>
      <c r="Q8" s="46">
        <f t="shared" si="0"/>
      </c>
      <c r="R8" s="46">
        <f t="shared" si="239"/>
      </c>
      <c r="S8" s="46">
        <f t="shared" si="201"/>
      </c>
      <c r="T8" s="42">
        <f t="shared" si="163"/>
      </c>
      <c r="U8" s="46">
        <f>AVERAGE(U3:U7)</f>
      </c>
      <c r="V8" s="41">
        <f>AVERAGE(V3:V7)</f>
      </c>
      <c r="W8" s="45">
        <f t="shared" si="125"/>
      </c>
      <c r="X8" s="42">
        <f>SUM(X3:X7)</f>
      </c>
      <c r="Y8" s="42">
        <f>SUM(Y3:Y7)</f>
      </c>
      <c r="Z8" s="42">
        <f>SUM(Z3:Z7)</f>
      </c>
      <c r="AA8" s="42">
        <f>SUM(AA3:AA7)</f>
      </c>
      <c r="AB8" s="42">
        <f>SUM(AB3:AB7)</f>
      </c>
      <c r="AC8" s="42">
        <f>SUM(AC3:AC7)</f>
      </c>
      <c r="AD8" s="42">
        <f>SUM(AD3:AD7)</f>
      </c>
      <c r="AE8" s="42">
        <f>SUM(AE3:AE7)</f>
      </c>
      <c r="AF8" s="47">
        <f t="shared" si="76"/>
      </c>
      <c r="AG8" s="48"/>
      <c r="AH8" s="48"/>
      <c r="AI8" s="43">
        <f>SUM(AI3:AI7)</f>
      </c>
    </row>
    <row customHeight="true" ht="18.452380952380953" r="9">
      <c r="A9" s="22"/>
      <c r="B9" s="49" t="s">
        <v>47</v>
      </c>
      <c r="C9" s="23" t="s">
        <v>48</v>
      </c>
      <c r="D9" s="50">
        <v>1597.9</v>
      </c>
      <c r="E9" s="51">
        <v>4</v>
      </c>
      <c r="F9" s="51">
        <v>2</v>
      </c>
      <c r="G9" s="52">
        <v>2</v>
      </c>
      <c r="H9" s="53">
        <v>1934.8999999999996</v>
      </c>
      <c r="I9" s="54">
        <v>0</v>
      </c>
      <c r="J9" s="55">
        <f t="shared" si="220"/>
      </c>
      <c r="K9" s="55">
        <f t="shared" si="182"/>
      </c>
      <c r="L9" s="55">
        <f t="shared" si="144"/>
      </c>
      <c r="M9" s="56">
        <f t="shared" si="106"/>
      </c>
      <c r="N9" s="55">
        <f t="shared" si="57"/>
      </c>
      <c r="O9" s="55">
        <f t="shared" si="38"/>
      </c>
      <c r="P9" s="56">
        <f t="shared" si="19"/>
      </c>
      <c r="Q9" s="56">
        <f t="shared" si="0"/>
      </c>
      <c r="R9" s="56">
        <f t="shared" si="239"/>
      </c>
      <c r="S9" s="56">
        <f t="shared" si="201"/>
      </c>
      <c r="T9" s="57">
        <f t="shared" si="163"/>
      </c>
      <c r="U9" s="58">
        <v>0.0346</v>
      </c>
      <c r="V9" s="59">
        <v>47</v>
      </c>
      <c r="W9" s="55">
        <f t="shared" si="125"/>
      </c>
      <c r="X9" s="57">
        <v>9011</v>
      </c>
      <c r="Y9" s="57">
        <v>315</v>
      </c>
      <c r="Z9" s="57">
        <v>51</v>
      </c>
      <c r="AA9" s="57">
        <v>613</v>
      </c>
      <c r="AB9" s="57">
        <v>42</v>
      </c>
      <c r="AC9" s="57">
        <v>11</v>
      </c>
      <c r="AD9" s="57">
        <v>0</v>
      </c>
      <c r="AE9" s="57">
        <v>6</v>
      </c>
      <c r="AF9" s="55">
        <f t="shared" si="76"/>
      </c>
      <c r="AG9" s="34" t="s">
        <v>40</v>
      </c>
      <c r="AH9" s="35" t="s">
        <v>41</v>
      </c>
      <c r="AI9" s="59">
        <v>18</v>
      </c>
    </row>
    <row r="10">
      <c r="A10" s="22"/>
      <c r="B10" s="49" t="s">
        <v>47</v>
      </c>
      <c r="C10" s="60" t="s">
        <v>49</v>
      </c>
      <c r="D10" s="50">
        <v>1632.07</v>
      </c>
      <c r="E10" s="51">
        <v>6</v>
      </c>
      <c r="F10" s="51">
        <v>6</v>
      </c>
      <c r="G10" s="52">
        <v>5</v>
      </c>
      <c r="H10" s="53">
        <v>2706</v>
      </c>
      <c r="I10" s="54">
        <v>0</v>
      </c>
      <c r="J10" s="55">
        <f t="shared" si="220"/>
      </c>
      <c r="K10" s="55">
        <f t="shared" si="182"/>
      </c>
      <c r="L10" s="55">
        <f t="shared" si="144"/>
      </c>
      <c r="M10" s="56">
        <f t="shared" si="106"/>
      </c>
      <c r="N10" s="55">
        <f t="shared" si="57"/>
      </c>
      <c r="O10" s="55">
        <f t="shared" si="38"/>
      </c>
      <c r="P10" s="56">
        <f t="shared" si="19"/>
      </c>
      <c r="Q10" s="56">
        <f t="shared" si="0"/>
      </c>
      <c r="R10" s="56">
        <f t="shared" si="239"/>
      </c>
      <c r="S10" s="56">
        <f t="shared" si="201"/>
      </c>
      <c r="T10" s="57">
        <f t="shared" si="163"/>
      </c>
      <c r="U10" s="58">
        <v>0.0237</v>
      </c>
      <c r="V10" s="59">
        <v>49</v>
      </c>
      <c r="W10" s="55">
        <f t="shared" si="125"/>
      </c>
      <c r="X10" s="57">
        <v>10537</v>
      </c>
      <c r="Y10" s="57">
        <v>413</v>
      </c>
      <c r="Z10" s="57">
        <v>46</v>
      </c>
      <c r="AA10" s="57">
        <v>719</v>
      </c>
      <c r="AB10" s="57">
        <v>57</v>
      </c>
      <c r="AC10" s="57">
        <v>9</v>
      </c>
      <c r="AD10" s="57">
        <v>0</v>
      </c>
      <c r="AE10" s="57">
        <v>8</v>
      </c>
      <c r="AF10" s="55">
        <f t="shared" si="76"/>
      </c>
      <c r="AG10" s="34" t="s">
        <v>40</v>
      </c>
      <c r="AH10" s="35" t="s">
        <v>41</v>
      </c>
      <c r="AI10" s="59">
        <v>18</v>
      </c>
    </row>
    <row r="11">
      <c r="A11" s="22"/>
      <c r="B11" s="49" t="s">
        <v>47</v>
      </c>
      <c r="C11" s="61" t="s">
        <v>50</v>
      </c>
      <c r="D11" s="62">
        <v>2832.66</v>
      </c>
      <c r="E11" s="63">
        <v>13</v>
      </c>
      <c r="F11" s="63">
        <v>11</v>
      </c>
      <c r="G11" s="64">
        <v>8</v>
      </c>
      <c r="H11" s="53">
        <v>7059.799999999999</v>
      </c>
      <c r="I11" s="54">
        <v>1</v>
      </c>
      <c r="J11" s="55">
        <f t="shared" si="220"/>
      </c>
      <c r="K11" s="55">
        <f t="shared" si="182"/>
      </c>
      <c r="L11" s="55">
        <f t="shared" si="144"/>
      </c>
      <c r="M11" s="56">
        <f t="shared" si="106"/>
      </c>
      <c r="N11" s="55">
        <f t="shared" si="57"/>
      </c>
      <c r="O11" s="55">
        <f t="shared" si="38"/>
      </c>
      <c r="P11" s="56">
        <f t="shared" si="19"/>
      </c>
      <c r="Q11" s="56">
        <f t="shared" si="0"/>
      </c>
      <c r="R11" s="56">
        <f t="shared" si="239"/>
      </c>
      <c r="S11" s="56">
        <f t="shared" si="201"/>
      </c>
      <c r="T11" s="57">
        <f t="shared" si="163"/>
      </c>
      <c r="U11" s="58">
        <v>0.0373</v>
      </c>
      <c r="V11" s="59">
        <v>51</v>
      </c>
      <c r="W11" s="55">
        <f t="shared" si="125"/>
      </c>
      <c r="X11" s="57">
        <v>18101</v>
      </c>
      <c r="Y11" s="57">
        <v>487</v>
      </c>
      <c r="Z11" s="57">
        <v>75</v>
      </c>
      <c r="AA11" s="57">
        <v>884</v>
      </c>
      <c r="AB11" s="57">
        <v>75</v>
      </c>
      <c r="AC11" s="57">
        <v>10</v>
      </c>
      <c r="AD11" s="57">
        <v>1</v>
      </c>
      <c r="AE11" s="57">
        <v>17</v>
      </c>
      <c r="AF11" s="55">
        <f t="shared" si="76"/>
      </c>
      <c r="AG11" s="34" t="s">
        <v>40</v>
      </c>
      <c r="AH11" s="35" t="s">
        <v>41</v>
      </c>
      <c r="AI11" s="59">
        <v>33</v>
      </c>
    </row>
    <row r="12">
      <c r="A12" s="22"/>
      <c r="B12" s="49" t="s">
        <v>47</v>
      </c>
      <c r="C12" s="60" t="s">
        <v>51</v>
      </c>
      <c r="D12" s="50">
        <v>3375.77</v>
      </c>
      <c r="E12" s="63">
        <v>3</v>
      </c>
      <c r="F12" s="63">
        <v>3</v>
      </c>
      <c r="G12" s="64">
        <v>2</v>
      </c>
      <c r="H12" s="50">
        <v>2416.7000000000007</v>
      </c>
      <c r="I12" s="65">
        <v>1</v>
      </c>
      <c r="J12" s="55">
        <f t="shared" si="220"/>
      </c>
      <c r="K12" s="55">
        <f t="shared" si="182"/>
      </c>
      <c r="L12" s="55">
        <f t="shared" si="144"/>
      </c>
      <c r="M12" s="56">
        <f t="shared" si="106"/>
      </c>
      <c r="N12" s="55">
        <f t="shared" si="57"/>
      </c>
      <c r="O12" s="55">
        <f t="shared" si="38"/>
      </c>
      <c r="P12" s="56">
        <f t="shared" si="19"/>
      </c>
      <c r="Q12" s="56">
        <f t="shared" si="0"/>
      </c>
      <c r="R12" s="56">
        <f t="shared" si="239"/>
      </c>
      <c r="S12" s="56">
        <f t="shared" si="201"/>
      </c>
      <c r="T12" s="57">
        <f t="shared" si="163"/>
      </c>
      <c r="U12" s="58">
        <v>0.0357</v>
      </c>
      <c r="V12" s="59">
        <v>53</v>
      </c>
      <c r="W12" s="55">
        <f t="shared" si="125"/>
      </c>
      <c r="X12" s="57">
        <v>24343</v>
      </c>
      <c r="Y12" s="57">
        <v>519</v>
      </c>
      <c r="Z12" s="57">
        <v>71</v>
      </c>
      <c r="AA12" s="57">
        <v>972</v>
      </c>
      <c r="AB12" s="57">
        <v>99</v>
      </c>
      <c r="AC12" s="57">
        <v>4</v>
      </c>
      <c r="AD12" s="57">
        <v>0</v>
      </c>
      <c r="AE12" s="59">
        <v>30</v>
      </c>
      <c r="AF12" s="55">
        <f t="shared" si="76"/>
      </c>
      <c r="AG12" s="34" t="s">
        <v>40</v>
      </c>
      <c r="AH12" s="66" t="s">
        <v>52</v>
      </c>
      <c r="AI12" s="59">
        <v>103</v>
      </c>
    </row>
    <row r="13">
      <c r="A13" s="22"/>
      <c r="B13" s="49" t="s">
        <v>47</v>
      </c>
      <c r="C13" s="49" t="s">
        <v>53</v>
      </c>
      <c r="D13" s="50">
        <v>3796.47</v>
      </c>
      <c r="E13" s="65">
        <v>13</v>
      </c>
      <c r="F13" s="65">
        <v>12</v>
      </c>
      <c r="G13" s="52">
        <v>10</v>
      </c>
      <c r="H13" s="50">
        <v>6883.800000000003</v>
      </c>
      <c r="I13" s="65">
        <v>2</v>
      </c>
      <c r="J13" s="55">
        <f t="shared" si="220"/>
      </c>
      <c r="K13" s="55">
        <f t="shared" si="182"/>
      </c>
      <c r="L13" s="55">
        <f t="shared" si="144"/>
      </c>
      <c r="M13" s="56">
        <f t="shared" si="106"/>
      </c>
      <c r="N13" s="55">
        <f t="shared" si="57"/>
      </c>
      <c r="O13" s="55">
        <f t="shared" si="38"/>
      </c>
      <c r="P13" s="56">
        <f t="shared" si="19"/>
      </c>
      <c r="Q13" s="56">
        <f t="shared" si="0"/>
      </c>
      <c r="R13" s="56">
        <f t="shared" si="239"/>
      </c>
      <c r="S13" s="56">
        <f t="shared" si="201"/>
      </c>
      <c r="T13" s="57">
        <f t="shared" si="163"/>
      </c>
      <c r="U13" s="58">
        <v>0.0558</v>
      </c>
      <c r="V13" s="59">
        <v>55</v>
      </c>
      <c r="W13" s="55">
        <f t="shared" si="125"/>
      </c>
      <c r="X13" s="57">
        <v>23879</v>
      </c>
      <c r="Y13" s="57">
        <v>555</v>
      </c>
      <c r="Z13" s="57">
        <v>102</v>
      </c>
      <c r="AA13" s="57">
        <v>907</v>
      </c>
      <c r="AB13" s="57">
        <v>125</v>
      </c>
      <c r="AC13" s="57">
        <v>8</v>
      </c>
      <c r="AD13" s="57">
        <v>4</v>
      </c>
      <c r="AE13" s="57">
        <v>20</v>
      </c>
      <c r="AF13" s="55">
        <f t="shared" si="76"/>
      </c>
      <c r="AG13" s="34" t="s">
        <v>40</v>
      </c>
      <c r="AH13" s="66" t="s">
        <v>52</v>
      </c>
      <c r="AI13" s="59">
        <v>36</v>
      </c>
    </row>
    <row r="14">
      <c r="A14" s="22"/>
      <c r="B14" s="67" t="s">
        <v>46</v>
      </c>
      <c r="C14" s="67"/>
      <c r="D14" s="68">
        <f>SUM(D9:D13)</f>
      </c>
      <c r="E14" s="69">
        <f>SUM(E9:E13)</f>
      </c>
      <c r="F14" s="69">
        <f>SUM(F9:F13)</f>
      </c>
      <c r="G14" s="70">
        <f>SUM(G9:G13)</f>
      </c>
      <c r="H14" s="68">
        <f>SUM(H9:H13)</f>
      </c>
      <c r="I14" s="69">
        <f>SUM(I9:I13)</f>
      </c>
      <c r="J14" s="71">
        <f t="shared" si="220"/>
      </c>
      <c r="K14" s="71">
        <f t="shared" si="182"/>
      </c>
      <c r="L14" s="71">
        <f t="shared" si="144"/>
      </c>
      <c r="M14" s="72">
        <f t="shared" si="106"/>
      </c>
      <c r="N14" s="71">
        <f t="shared" si="57"/>
      </c>
      <c r="O14" s="71">
        <f t="shared" si="38"/>
      </c>
      <c r="P14" s="72">
        <f t="shared" si="19"/>
      </c>
      <c r="Q14" s="72">
        <f t="shared" si="0"/>
      </c>
      <c r="R14" s="72">
        <f t="shared" si="239"/>
      </c>
      <c r="S14" s="72">
        <f t="shared" si="201"/>
      </c>
      <c r="T14" s="73">
        <f t="shared" si="163"/>
      </c>
      <c r="U14" s="72">
        <f>AVERAGE(U10:U13)</f>
      </c>
      <c r="V14" s="41">
        <f>AVERAGE(V9:V13)</f>
      </c>
      <c r="W14" s="71">
        <f t="shared" si="125"/>
      </c>
      <c r="X14" s="73">
        <f>SUM(X9:X13)</f>
      </c>
      <c r="Y14" s="73">
        <f>SUM(Y9:Y13)</f>
      </c>
      <c r="Z14" s="73">
        <f>SUM(Z9:Z13)</f>
      </c>
      <c r="AA14" s="73">
        <f>SUM(AA9:AA13)</f>
      </c>
      <c r="AB14" s="73">
        <f>SUM(AB9:AB13)</f>
      </c>
      <c r="AC14" s="73">
        <f>SUM(AC9:AC13)</f>
      </c>
      <c r="AD14" s="73">
        <f>SUM(AD9:AD13)</f>
      </c>
      <c r="AE14" s="73">
        <f>SUM(AE9:AE13)</f>
      </c>
      <c r="AF14" s="74">
        <f t="shared" si="76"/>
      </c>
      <c r="AG14" s="75"/>
      <c r="AH14" s="75"/>
      <c r="AI14" s="70">
        <f>SUM(AI9:AI13)</f>
      </c>
    </row>
    <row r="15">
      <c r="A15" s="22"/>
      <c r="B15" s="60" t="s">
        <v>54</v>
      </c>
      <c r="C15" s="60" t="s">
        <v>55</v>
      </c>
      <c r="D15" s="23">
        <v>4184.56</v>
      </c>
      <c r="E15" s="26">
        <v>7</v>
      </c>
      <c r="F15" s="26">
        <v>5</v>
      </c>
      <c r="G15" s="27">
        <v>5</v>
      </c>
      <c r="H15" s="76">
        <v>3041.8499999999985</v>
      </c>
      <c r="I15" s="26">
        <v>0</v>
      </c>
      <c r="J15" s="29">
        <f t="shared" si="220"/>
      </c>
      <c r="K15" s="29">
        <f t="shared" si="182"/>
      </c>
      <c r="L15" s="29">
        <f t="shared" si="144"/>
      </c>
      <c r="M15" s="30">
        <f t="shared" si="106"/>
      </c>
      <c r="N15" s="29">
        <f t="shared" si="57"/>
      </c>
      <c r="O15" s="29">
        <f t="shared" si="38"/>
      </c>
      <c r="P15" s="30">
        <f t="shared" si="19"/>
      </c>
      <c r="Q15" s="30">
        <f t="shared" si="0"/>
      </c>
      <c r="R15" s="30">
        <f t="shared" si="239"/>
      </c>
      <c r="S15" s="30">
        <f t="shared" si="201"/>
      </c>
      <c r="T15" s="31">
        <f t="shared" si="163"/>
      </c>
      <c r="U15" s="32">
        <v>0.0656</v>
      </c>
      <c r="V15" s="33">
        <v>57</v>
      </c>
      <c r="W15" s="29">
        <f t="shared" si="125"/>
      </c>
      <c r="X15" s="33">
        <v>33450</v>
      </c>
      <c r="Y15" s="33">
        <v>565</v>
      </c>
      <c r="Z15" s="31">
        <v>104</v>
      </c>
      <c r="AA15" s="31">
        <v>853</v>
      </c>
      <c r="AB15" s="31">
        <v>113</v>
      </c>
      <c r="AC15" s="31">
        <v>9</v>
      </c>
      <c r="AD15" s="33">
        <v>9</v>
      </c>
      <c r="AE15" s="33">
        <v>39</v>
      </c>
      <c r="AF15" s="29">
        <f t="shared" si="76"/>
      </c>
      <c r="AG15" s="34" t="s">
        <v>56</v>
      </c>
      <c r="AH15" s="66" t="s">
        <v>52</v>
      </c>
      <c r="AI15" s="33">
        <v>52</v>
      </c>
    </row>
    <row r="16">
      <c r="A16" s="22"/>
      <c r="B16" s="60" t="s">
        <v>54</v>
      </c>
      <c r="C16" s="61" t="s">
        <v>57</v>
      </c>
      <c r="D16" s="23">
        <v>2482.77</v>
      </c>
      <c r="E16" s="26">
        <v>10</v>
      </c>
      <c r="F16" s="26">
        <v>8</v>
      </c>
      <c r="G16" s="27">
        <v>6</v>
      </c>
      <c r="H16" s="76">
        <v>6508.700000000004</v>
      </c>
      <c r="I16" s="26">
        <v>3</v>
      </c>
      <c r="J16" s="29">
        <f t="shared" si="220"/>
      </c>
      <c r="K16" s="29">
        <f t="shared" si="182"/>
      </c>
      <c r="L16" s="29">
        <f t="shared" si="144"/>
      </c>
      <c r="M16" s="30">
        <f t="shared" si="106"/>
      </c>
      <c r="N16" s="29">
        <f t="shared" si="57"/>
      </c>
      <c r="O16" s="29">
        <f t="shared" si="38"/>
      </c>
      <c r="P16" s="30">
        <f t="shared" si="19"/>
      </c>
      <c r="Q16" s="30">
        <f t="shared" si="0"/>
      </c>
      <c r="R16" s="30">
        <f t="shared" si="239"/>
      </c>
      <c r="S16" s="30">
        <f t="shared" si="201"/>
      </c>
      <c r="T16" s="31">
        <f t="shared" si="163"/>
      </c>
      <c r="U16" s="32">
        <v>0.0503</v>
      </c>
      <c r="V16" s="33">
        <v>58</v>
      </c>
      <c r="W16" s="29">
        <f t="shared" si="125"/>
      </c>
      <c r="X16" s="31">
        <v>20378</v>
      </c>
      <c r="Y16" s="31">
        <v>352</v>
      </c>
      <c r="Z16" s="31">
        <v>71</v>
      </c>
      <c r="AA16" s="31">
        <v>552</v>
      </c>
      <c r="AB16" s="31">
        <v>70</v>
      </c>
      <c r="AC16" s="31">
        <v>7</v>
      </c>
      <c r="AD16" s="31">
        <v>4</v>
      </c>
      <c r="AE16" s="33">
        <v>21</v>
      </c>
      <c r="AF16" s="29">
        <f t="shared" si="76"/>
      </c>
      <c r="AG16" s="34" t="s">
        <v>56</v>
      </c>
      <c r="AH16" s="66" t="s">
        <v>52</v>
      </c>
      <c r="AI16" s="33">
        <v>30</v>
      </c>
    </row>
    <row r="17">
      <c r="A17" s="22"/>
      <c r="B17" s="60" t="s">
        <v>54</v>
      </c>
      <c r="C17" s="60" t="s">
        <v>58</v>
      </c>
      <c r="D17" s="23">
        <v>3994.36</v>
      </c>
      <c r="E17" s="26">
        <v>8</v>
      </c>
      <c r="F17" s="26">
        <v>6</v>
      </c>
      <c r="G17" s="27">
        <v>6</v>
      </c>
      <c r="H17" s="76">
        <v>3441.899999999994</v>
      </c>
      <c r="I17" s="26">
        <v>1</v>
      </c>
      <c r="J17" s="29">
        <f t="shared" si="220"/>
      </c>
      <c r="K17" s="29">
        <f t="shared" si="182"/>
      </c>
      <c r="L17" s="29">
        <f t="shared" si="144"/>
      </c>
      <c r="M17" s="30">
        <f t="shared" si="106"/>
      </c>
      <c r="N17" s="29">
        <f t="shared" si="57"/>
      </c>
      <c r="O17" s="29">
        <f t="shared" si="38"/>
      </c>
      <c r="P17" s="30">
        <f t="shared" si="19"/>
      </c>
      <c r="Q17" s="30">
        <f t="shared" si="0"/>
      </c>
      <c r="R17" s="30">
        <f t="shared" si="239"/>
      </c>
      <c r="S17" s="30">
        <f t="shared" si="201"/>
      </c>
      <c r="T17" s="31">
        <f t="shared" si="163"/>
      </c>
      <c r="U17" s="32">
        <v>0.0543</v>
      </c>
      <c r="V17" s="33">
        <v>58</v>
      </c>
      <c r="W17" s="29">
        <f t="shared" si="125"/>
      </c>
      <c r="X17" s="33">
        <v>39053</v>
      </c>
      <c r="Y17" s="33">
        <v>554</v>
      </c>
      <c r="Z17" s="33">
        <v>97</v>
      </c>
      <c r="AA17" s="33">
        <v>818</v>
      </c>
      <c r="AB17" s="33">
        <v>112</v>
      </c>
      <c r="AC17" s="33">
        <v>17</v>
      </c>
      <c r="AD17" s="33">
        <v>3</v>
      </c>
      <c r="AE17" s="33">
        <v>64</v>
      </c>
      <c r="AF17" s="29">
        <f t="shared" si="76"/>
      </c>
      <c r="AG17" s="34" t="s">
        <v>56</v>
      </c>
      <c r="AH17" s="66" t="s">
        <v>52</v>
      </c>
      <c r="AI17" s="33">
        <v>50</v>
      </c>
    </row>
    <row r="18">
      <c r="A18" s="22"/>
      <c r="B18" s="60" t="s">
        <v>54</v>
      </c>
      <c r="C18" s="60" t="s">
        <v>59</v>
      </c>
      <c r="D18" s="23">
        <v>3944.55</v>
      </c>
      <c r="E18" s="26">
        <v>16</v>
      </c>
      <c r="F18" s="26">
        <v>10</v>
      </c>
      <c r="G18" s="27">
        <v>10</v>
      </c>
      <c r="H18" s="76">
        <v>6936.600000000006</v>
      </c>
      <c r="I18" s="26">
        <v>2</v>
      </c>
      <c r="J18" s="29">
        <f t="shared" si="220"/>
      </c>
      <c r="K18" s="29">
        <f t="shared" si="182"/>
      </c>
      <c r="L18" s="29">
        <f t="shared" si="144"/>
      </c>
      <c r="M18" s="30">
        <f t="shared" si="106"/>
      </c>
      <c r="N18" s="29">
        <f t="shared" si="57"/>
      </c>
      <c r="O18" s="29">
        <f t="shared" si="38"/>
      </c>
      <c r="P18" s="30">
        <f t="shared" si="19"/>
      </c>
      <c r="Q18" s="30">
        <f t="shared" si="0"/>
      </c>
      <c r="R18" s="30">
        <f t="shared" si="239"/>
      </c>
      <c r="S18" s="30">
        <f t="shared" si="201"/>
      </c>
      <c r="T18" s="31">
        <f t="shared" si="163"/>
      </c>
      <c r="U18" s="32">
        <v>0.0641</v>
      </c>
      <c r="V18" s="33">
        <v>61</v>
      </c>
      <c r="W18" s="29">
        <f t="shared" si="125"/>
      </c>
      <c r="X18" s="33">
        <v>37522</v>
      </c>
      <c r="Y18" s="33">
        <v>503</v>
      </c>
      <c r="Z18" s="31">
        <v>102</v>
      </c>
      <c r="AA18" s="31">
        <v>810</v>
      </c>
      <c r="AB18" s="31">
        <v>147</v>
      </c>
      <c r="AC18" s="31">
        <v>15</v>
      </c>
      <c r="AD18" s="33">
        <v>5</v>
      </c>
      <c r="AE18" s="33">
        <v>47</v>
      </c>
      <c r="AF18" s="29">
        <f t="shared" si="76"/>
      </c>
      <c r="AG18" s="34" t="s">
        <v>56</v>
      </c>
      <c r="AH18" s="66" t="s">
        <v>52</v>
      </c>
      <c r="AI18" s="33">
        <v>51</v>
      </c>
    </row>
    <row r="19">
      <c r="A19" s="22"/>
      <c r="B19" s="40" t="s">
        <v>46</v>
      </c>
      <c r="C19" s="40"/>
      <c r="D19" s="77">
        <f>SUM(D15:D18)</f>
      </c>
      <c r="E19" s="78">
        <f>SUM(E15:E18)</f>
      </c>
      <c r="F19" s="78">
        <f>SUM(F15:F18)</f>
      </c>
      <c r="G19" s="79">
        <f>SUM(G15:G18)</f>
      </c>
      <c r="H19" s="77">
        <f>SUM(H15:H18)</f>
      </c>
      <c r="I19" s="44">
        <f>SUM(I15:I18)</f>
      </c>
      <c r="J19" s="45">
        <f t="shared" si="220"/>
      </c>
      <c r="K19" s="45">
        <f t="shared" si="182"/>
      </c>
      <c r="L19" s="45">
        <f t="shared" si="144"/>
      </c>
      <c r="M19" s="46">
        <f t="shared" si="106"/>
      </c>
      <c r="N19" s="45">
        <f t="shared" si="57"/>
      </c>
      <c r="O19" s="45">
        <f t="shared" si="38"/>
      </c>
      <c r="P19" s="46">
        <f t="shared" si="19"/>
      </c>
      <c r="Q19" s="46">
        <f t="shared" si="0"/>
      </c>
      <c r="R19" s="46">
        <f t="shared" si="239"/>
      </c>
      <c r="S19" s="46">
        <f t="shared" si="201"/>
      </c>
      <c r="T19" s="42">
        <f t="shared" si="163"/>
      </c>
      <c r="U19" s="46">
        <f>AVERAGE(U15:U18)</f>
      </c>
      <c r="V19" s="41">
        <f>AVERAGE(V15:V18)</f>
      </c>
      <c r="W19" s="45">
        <f t="shared" si="125"/>
      </c>
      <c r="X19" s="42">
        <f>SUM(X15:X18)</f>
      </c>
      <c r="Y19" s="42">
        <f>SUM(Y15:Y18)</f>
      </c>
      <c r="Z19" s="42">
        <f>SUM(Z15:Z18)</f>
      </c>
      <c r="AA19" s="42">
        <f>SUM(AA15:AA18)</f>
      </c>
      <c r="AB19" s="42">
        <f>SUM(AB15:AB18)</f>
      </c>
      <c r="AC19" s="42">
        <f>SUM(AC15:AC18)</f>
      </c>
      <c r="AD19" s="42">
        <f>SUM(AD15:AD18)</f>
      </c>
      <c r="AE19" s="42">
        <f>SUM(AE15:AE18)</f>
      </c>
      <c r="AF19" s="47">
        <f t="shared" si="76"/>
      </c>
      <c r="AG19" s="48"/>
      <c r="AH19" s="48"/>
      <c r="AI19" s="42">
        <f>SUM(AI15:AI18)</f>
      </c>
    </row>
    <row r="20">
      <c r="A20" s="22"/>
      <c r="B20" s="49" t="s">
        <v>60</v>
      </c>
      <c r="C20" s="49" t="s">
        <v>61</v>
      </c>
      <c r="D20" s="80">
        <v>5571.46</v>
      </c>
      <c r="E20" s="51">
        <v>13</v>
      </c>
      <c r="F20" s="51">
        <v>12</v>
      </c>
      <c r="G20" s="52">
        <v>10</v>
      </c>
      <c r="H20" s="53">
        <v>9859.300000000003</v>
      </c>
      <c r="I20" s="54">
        <v>4</v>
      </c>
      <c r="J20" s="55">
        <f t="shared" si="220"/>
      </c>
      <c r="K20" s="55">
        <f t="shared" si="182"/>
      </c>
      <c r="L20" s="55">
        <f t="shared" si="144"/>
      </c>
      <c r="M20" s="56">
        <f t="shared" si="106"/>
      </c>
      <c r="N20" s="55">
        <f t="shared" si="57"/>
      </c>
      <c r="O20" s="55">
        <f t="shared" si="38"/>
      </c>
      <c r="P20" s="56">
        <f t="shared" si="19"/>
      </c>
      <c r="Q20" s="56">
        <f t="shared" si="0"/>
      </c>
      <c r="R20" s="56">
        <f t="shared" si="239"/>
      </c>
      <c r="S20" s="56">
        <f t="shared" si="201"/>
      </c>
      <c r="T20" s="57">
        <f t="shared" si="163"/>
      </c>
      <c r="U20" s="58">
        <v>0.0736</v>
      </c>
      <c r="V20" s="59">
        <v>62</v>
      </c>
      <c r="W20" s="55">
        <f t="shared" si="125"/>
      </c>
      <c r="X20" s="57">
        <v>56299</v>
      </c>
      <c r="Y20" s="57">
        <v>683</v>
      </c>
      <c r="Z20" s="57">
        <v>128</v>
      </c>
      <c r="AA20" s="57">
        <v>935</v>
      </c>
      <c r="AB20" s="57">
        <v>168</v>
      </c>
      <c r="AC20" s="57">
        <v>21</v>
      </c>
      <c r="AD20" s="57">
        <v>1</v>
      </c>
      <c r="AE20" s="57">
        <v>61</v>
      </c>
      <c r="AF20" s="55">
        <f t="shared" si="76"/>
      </c>
      <c r="AG20" s="34" t="s">
        <v>56</v>
      </c>
      <c r="AH20" s="66" t="s">
        <v>52</v>
      </c>
      <c r="AI20" s="59">
        <v>53</v>
      </c>
    </row>
    <row r="21">
      <c r="A21" s="22"/>
      <c r="B21" s="49" t="s">
        <v>60</v>
      </c>
      <c r="C21" s="49" t="s">
        <v>62</v>
      </c>
      <c r="D21" s="81">
        <v>7801.31</v>
      </c>
      <c r="E21" s="63">
        <v>24</v>
      </c>
      <c r="F21" s="63">
        <v>22</v>
      </c>
      <c r="G21" s="64">
        <v>17</v>
      </c>
      <c r="H21" s="53">
        <v>14183.4</v>
      </c>
      <c r="I21" s="54">
        <v>4</v>
      </c>
      <c r="J21" s="55">
        <f t="shared" si="220"/>
      </c>
      <c r="K21" s="55">
        <f t="shared" si="182"/>
      </c>
      <c r="L21" s="55">
        <f t="shared" si="144"/>
      </c>
      <c r="M21" s="56">
        <f t="shared" si="106"/>
      </c>
      <c r="N21" s="55">
        <f t="shared" si="57"/>
      </c>
      <c r="O21" s="55">
        <f t="shared" si="38"/>
      </c>
      <c r="P21" s="56">
        <f t="shared" si="19"/>
      </c>
      <c r="Q21" s="56">
        <f t="shared" si="0"/>
      </c>
      <c r="R21" s="56">
        <f t="shared" si="239"/>
      </c>
      <c r="S21" s="56">
        <f t="shared" si="201"/>
      </c>
      <c r="T21" s="57">
        <f t="shared" si="163"/>
      </c>
      <c r="U21" s="58">
        <v>0.0398</v>
      </c>
      <c r="V21" s="59">
        <v>62</v>
      </c>
      <c r="W21" s="55">
        <f t="shared" si="125"/>
      </c>
      <c r="X21" s="57">
        <v>73873</v>
      </c>
      <c r="Y21" s="57">
        <v>925</v>
      </c>
      <c r="Z21" s="57">
        <v>124</v>
      </c>
      <c r="AA21" s="57">
        <v>1508</v>
      </c>
      <c r="AB21" s="57">
        <v>172</v>
      </c>
      <c r="AC21" s="57">
        <v>19</v>
      </c>
      <c r="AD21" s="57">
        <v>9</v>
      </c>
      <c r="AE21" s="57">
        <v>68</v>
      </c>
      <c r="AF21" s="55">
        <f t="shared" si="76"/>
      </c>
      <c r="AG21" s="34" t="s">
        <v>56</v>
      </c>
      <c r="AH21" s="66" t="s">
        <v>52</v>
      </c>
      <c r="AI21" s="59">
        <v>74</v>
      </c>
    </row>
    <row r="22">
      <c r="A22" s="22"/>
      <c r="B22" s="49" t="s">
        <v>60</v>
      </c>
      <c r="C22" s="49" t="s">
        <v>63</v>
      </c>
      <c r="D22" s="80">
        <v>4685.85</v>
      </c>
      <c r="E22" s="63">
        <v>9</v>
      </c>
      <c r="F22" s="63">
        <v>5</v>
      </c>
      <c r="G22" s="64">
        <v>5</v>
      </c>
      <c r="H22" s="50">
        <v>2990.9000000000087</v>
      </c>
      <c r="I22" s="65">
        <v>1</v>
      </c>
      <c r="J22" s="55">
        <f t="shared" si="220"/>
      </c>
      <c r="K22" s="55">
        <f t="shared" si="182"/>
      </c>
      <c r="L22" s="55">
        <f t="shared" si="144"/>
      </c>
      <c r="M22" s="56">
        <f t="shared" si="106"/>
      </c>
      <c r="N22" s="55">
        <f t="shared" si="57"/>
      </c>
      <c r="O22" s="55">
        <f t="shared" si="38"/>
      </c>
      <c r="P22" s="56">
        <f t="shared" si="19"/>
      </c>
      <c r="Q22" s="56">
        <f t="shared" si="0"/>
      </c>
      <c r="R22" s="56">
        <f t="shared" si="239"/>
      </c>
      <c r="S22" s="56">
        <f t="shared" si="201"/>
      </c>
      <c r="T22" s="57">
        <f t="shared" si="163"/>
      </c>
      <c r="U22" s="58">
        <v>0.0567</v>
      </c>
      <c r="V22" s="59">
        <v>63</v>
      </c>
      <c r="W22" s="55">
        <f t="shared" si="125"/>
      </c>
      <c r="X22" s="57">
        <v>74583</v>
      </c>
      <c r="Y22" s="57">
        <v>508</v>
      </c>
      <c r="Z22" s="57">
        <v>118</v>
      </c>
      <c r="AA22" s="57">
        <v>667</v>
      </c>
      <c r="AB22" s="57">
        <v>77</v>
      </c>
      <c r="AC22" s="57">
        <v>16</v>
      </c>
      <c r="AD22" s="57">
        <v>4</v>
      </c>
      <c r="AE22" s="57">
        <v>79</v>
      </c>
      <c r="AF22" s="55">
        <f t="shared" si="76"/>
      </c>
      <c r="AG22" s="34" t="s">
        <v>56</v>
      </c>
      <c r="AH22" s="66" t="s">
        <v>52</v>
      </c>
      <c r="AI22" s="59">
        <v>49</v>
      </c>
    </row>
    <row r="23">
      <c r="A23" s="22"/>
      <c r="B23" s="49" t="s">
        <v>60</v>
      </c>
      <c r="C23" s="49" t="s">
        <v>64</v>
      </c>
      <c r="D23" s="80">
        <v>1792.16</v>
      </c>
      <c r="E23" s="65">
        <v>4</v>
      </c>
      <c r="F23" s="65">
        <v>4</v>
      </c>
      <c r="G23" s="52">
        <v>1</v>
      </c>
      <c r="H23" s="80">
        <v>1804</v>
      </c>
      <c r="I23" s="65">
        <v>0</v>
      </c>
      <c r="J23" s="55">
        <f t="shared" si="220"/>
      </c>
      <c r="K23" s="55">
        <f t="shared" si="182"/>
      </c>
      <c r="L23" s="55">
        <f t="shared" si="144"/>
      </c>
      <c r="M23" s="56">
        <f t="shared" si="106"/>
      </c>
      <c r="N23" s="55">
        <f t="shared" si="57"/>
      </c>
      <c r="O23" s="55">
        <f t="shared" si="38"/>
      </c>
      <c r="P23" s="56">
        <f t="shared" si="19"/>
      </c>
      <c r="Q23" s="56">
        <f t="shared" si="0"/>
      </c>
      <c r="R23" s="56">
        <f t="shared" si="239"/>
      </c>
      <c r="S23" s="56">
        <f t="shared" si="201"/>
      </c>
      <c r="T23" s="57">
        <f t="shared" si="163"/>
      </c>
      <c r="U23" s="58">
        <v>0.026</v>
      </c>
      <c r="V23" s="59">
        <v>63</v>
      </c>
      <c r="W23" s="55">
        <f t="shared" si="125"/>
      </c>
      <c r="X23" s="57">
        <v>19972</v>
      </c>
      <c r="Y23" s="57">
        <v>445</v>
      </c>
      <c r="Z23" s="57">
        <v>53</v>
      </c>
      <c r="AA23" s="57">
        <v>760</v>
      </c>
      <c r="AB23" s="57">
        <v>54</v>
      </c>
      <c r="AC23" s="57">
        <v>6</v>
      </c>
      <c r="AD23" s="57">
        <v>0</v>
      </c>
      <c r="AE23" s="59">
        <v>18</v>
      </c>
      <c r="AF23" s="55">
        <f t="shared" si="76"/>
      </c>
      <c r="AG23" s="34" t="s">
        <v>56</v>
      </c>
      <c r="AH23" s="66" t="s">
        <v>52</v>
      </c>
      <c r="AI23" s="59">
        <v>33</v>
      </c>
    </row>
    <row r="24">
      <c r="A24" s="22"/>
      <c r="B24" s="67" t="s">
        <v>46</v>
      </c>
      <c r="C24" s="67"/>
      <c r="D24" s="68">
        <f>SUM(D20:D23)</f>
      </c>
      <c r="E24" s="69">
        <f>SUM(E20:E23)</f>
      </c>
      <c r="F24" s="69">
        <f>SUM(F20:F23)</f>
      </c>
      <c r="G24" s="70">
        <f>SUM(G20:G23)</f>
      </c>
      <c r="H24" s="68">
        <f>SUM(H20:H23)</f>
      </c>
      <c r="I24" s="44">
        <f>SUM(I20:I23)</f>
      </c>
      <c r="J24" s="71">
        <f t="shared" si="220"/>
      </c>
      <c r="K24" s="71">
        <f t="shared" si="182"/>
      </c>
      <c r="L24" s="71">
        <f t="shared" si="144"/>
      </c>
      <c r="M24" s="72">
        <f t="shared" si="106"/>
      </c>
      <c r="N24" s="71">
        <f t="shared" si="57"/>
      </c>
      <c r="O24" s="71">
        <f t="shared" si="38"/>
      </c>
      <c r="P24" s="72">
        <f t="shared" si="19"/>
      </c>
      <c r="Q24" s="72">
        <f t="shared" si="0"/>
      </c>
      <c r="R24" s="72">
        <f t="shared" si="239"/>
      </c>
      <c r="S24" s="72">
        <f t="shared" si="201"/>
      </c>
      <c r="T24" s="73">
        <f t="shared" si="163"/>
      </c>
      <c r="U24" s="72">
        <f>AVERAGE(U20:U23)</f>
      </c>
      <c r="V24" s="68">
        <f>AVERAGE(V20:V23)</f>
      </c>
      <c r="W24" s="71">
        <f t="shared" si="125"/>
      </c>
      <c r="X24" s="73">
        <f>SUM(X20:X23)</f>
      </c>
      <c r="Y24" s="73">
        <f>SUM(Y20:Y23)</f>
      </c>
      <c r="Z24" s="73">
        <f>SUM(Z20:Z23)</f>
      </c>
      <c r="AA24" s="73">
        <f>SUM(AA20:AA23)</f>
      </c>
      <c r="AB24" s="73">
        <f>SUM(AB20:AB23)</f>
      </c>
      <c r="AC24" s="73">
        <f>SUM(AC20:AC23)</f>
      </c>
      <c r="AD24" s="73">
        <f>SUM(AD20:AD23)</f>
      </c>
      <c r="AE24" s="73">
        <f>SUM(AE20:AE23)</f>
      </c>
      <c r="AF24" s="74">
        <f t="shared" si="76"/>
      </c>
      <c r="AG24" s="75"/>
      <c r="AH24" s="75"/>
      <c r="AI24" s="70">
        <f>SUM(AI20:AI23)</f>
      </c>
    </row>
    <row r="25">
      <c r="A25" s="22"/>
      <c r="B25" s="82" t="s">
        <v>65</v>
      </c>
      <c r="C25" s="82"/>
      <c r="D25" s="83">
        <f>D8+D14+D19+D24</f>
      </c>
      <c r="E25" s="83">
        <f>E8+E14+E19+E24</f>
      </c>
      <c r="F25" s="83">
        <f>F8+F14+F19+F24</f>
      </c>
      <c r="G25" s="84">
        <f>G8+G14+G19+G24</f>
      </c>
      <c r="H25" s="83">
        <f>H8+H14+H19+H24</f>
      </c>
      <c r="I25" s="85">
        <f>I8+I14+I19+I24</f>
      </c>
      <c r="J25" s="86">
        <f t="shared" si="220"/>
      </c>
      <c r="K25" s="87">
        <f t="shared" si="182"/>
      </c>
      <c r="L25" s="87">
        <f t="shared" si="144"/>
      </c>
      <c r="M25" s="88">
        <f t="shared" si="106"/>
      </c>
      <c r="N25" s="87">
        <f t="shared" si="57"/>
      </c>
      <c r="O25" s="87">
        <f t="shared" si="38"/>
      </c>
      <c r="P25" s="88">
        <f t="shared" si="19"/>
      </c>
      <c r="Q25" s="88">
        <f t="shared" si="0"/>
      </c>
      <c r="R25" s="88">
        <f t="shared" si="239"/>
      </c>
      <c r="S25" s="88">
        <f t="shared" si="201"/>
      </c>
      <c r="T25" s="89">
        <f t="shared" si="163"/>
      </c>
      <c r="U25" s="88">
        <f>(U8+U19+U14+U24)/4</f>
      </c>
      <c r="V25" s="87">
        <f>(V8+V19+V14+V24)/4</f>
      </c>
      <c r="W25" s="90">
        <f t="shared" si="125"/>
      </c>
      <c r="X25" s="89">
        <f>X8+X14+X19+X24</f>
      </c>
      <c r="Y25" s="89">
        <f>Y8+Y14+Y19+Y24</f>
      </c>
      <c r="Z25" s="89">
        <f>Z8+Z14+Z19+Z24</f>
      </c>
      <c r="AA25" s="89">
        <f>AA8+AA14+AA19+AA24</f>
      </c>
      <c r="AB25" s="89">
        <f>AB8+AB14+AB19+AB24</f>
      </c>
      <c r="AC25" s="89">
        <f>AC8+AC14+AC19+AC24</f>
      </c>
      <c r="AD25" s="89">
        <f>AD8+AD14+AD19+AD24</f>
      </c>
      <c r="AE25" s="89">
        <f>AE8+AE14+AE19+AE24</f>
      </c>
      <c r="AF25" s="87">
        <f>AF8</f>
      </c>
      <c r="AG25" s="82"/>
      <c r="AH25" s="82"/>
      <c r="AI25" s="89">
        <f>AI8+AI14+AI19+AI24</f>
      </c>
    </row>
    <row r="26">
      <c r="A26" s="1" t="s">
        <v>66</v>
      </c>
      <c r="B26" s="2" t="s">
        <v>1</v>
      </c>
      <c r="C26" s="2"/>
      <c r="D26" s="3" t="s">
        <v>2</v>
      </c>
      <c r="E26" s="3"/>
      <c r="F26" s="3"/>
      <c r="G26" s="4"/>
      <c r="H26" s="3"/>
      <c r="I26" s="3"/>
      <c r="J26" s="3"/>
      <c r="K26" s="3"/>
      <c r="L26" s="3"/>
      <c r="M26" s="3"/>
      <c r="N26" s="3"/>
      <c r="O26" s="5" t="s">
        <v>3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</row>
    <row r="27">
      <c r="A27" s="1"/>
      <c r="B27" s="2" t="s">
        <v>4</v>
      </c>
      <c r="C27" s="7" t="s">
        <v>5</v>
      </c>
      <c r="D27" s="8" t="s">
        <v>6</v>
      </c>
      <c r="E27" s="9" t="s">
        <v>7</v>
      </c>
      <c r="F27" s="10" t="s">
        <v>8</v>
      </c>
      <c r="G27" s="11" t="s">
        <v>9</v>
      </c>
      <c r="H27" s="8" t="s">
        <v>10</v>
      </c>
      <c r="I27" s="12" t="s">
        <v>11</v>
      </c>
      <c r="J27" s="13" t="s">
        <v>12</v>
      </c>
      <c r="K27" s="13" t="s">
        <v>13</v>
      </c>
      <c r="L27" s="13" t="s">
        <v>14</v>
      </c>
      <c r="M27" s="14" t="s">
        <v>15</v>
      </c>
      <c r="N27" s="13" t="s">
        <v>16</v>
      </c>
      <c r="O27" s="15" t="s">
        <v>17</v>
      </c>
      <c r="P27" s="16" t="s">
        <v>18</v>
      </c>
      <c r="Q27" s="16" t="s">
        <v>19</v>
      </c>
      <c r="R27" s="16" t="s">
        <v>20</v>
      </c>
      <c r="S27" s="16" t="s">
        <v>21</v>
      </c>
      <c r="T27" s="17" t="s">
        <v>22</v>
      </c>
      <c r="U27" s="18" t="s">
        <v>23</v>
      </c>
      <c r="V27" s="19" t="s">
        <v>24</v>
      </c>
      <c r="W27" s="5" t="s">
        <v>25</v>
      </c>
      <c r="X27" s="20" t="s">
        <v>26</v>
      </c>
      <c r="Y27" s="20" t="s">
        <v>27</v>
      </c>
      <c r="Z27" s="20" t="s">
        <v>28</v>
      </c>
      <c r="AA27" s="20" t="s">
        <v>29</v>
      </c>
      <c r="AB27" s="20" t="s">
        <v>30</v>
      </c>
      <c r="AC27" s="20" t="s">
        <v>31</v>
      </c>
      <c r="AD27" s="20" t="s">
        <v>32</v>
      </c>
      <c r="AE27" s="20" t="s">
        <v>33</v>
      </c>
      <c r="AF27" s="5" t="s">
        <v>34</v>
      </c>
      <c r="AG27" s="21" t="s">
        <v>35</v>
      </c>
      <c r="AH27" s="21" t="s">
        <v>36</v>
      </c>
      <c r="AI27" s="6" t="s">
        <v>37</v>
      </c>
    </row>
    <row r="28">
      <c r="A28" s="22">
        <v>46205</v>
      </c>
      <c r="B28" s="49" t="s">
        <v>47</v>
      </c>
      <c r="C28" s="24" t="s">
        <v>39</v>
      </c>
      <c r="D28" s="25">
        <v>3898.77</v>
      </c>
      <c r="E28" s="26">
        <v>8</v>
      </c>
      <c r="F28" s="26">
        <v>4</v>
      </c>
      <c r="G28" s="27">
        <v>4</v>
      </c>
      <c r="H28" s="25">
        <v>2523.4</v>
      </c>
      <c r="I28" s="26">
        <v>1</v>
      </c>
      <c r="J28" s="28">
        <f t="shared" ref="J28:J50" si="221">H28/D28</f>
      </c>
      <c r="K28" s="29">
        <f t="shared" ref="K28:K50" si="183">D28/F28</f>
      </c>
      <c r="L28" s="29">
        <f t="shared" ref="L28:L50" si="145">D28/G28</f>
      </c>
      <c r="M28" s="30">
        <f t="shared" ref="M28:M50" si="107">F28/E28</f>
      </c>
      <c r="N28" s="29">
        <f t="shared" ref="N28:N50" si="58">H28/F28</f>
      </c>
      <c r="O28" s="29">
        <f t="shared" ref="O28:O50" si="39">D28/Y28</f>
      </c>
      <c r="P28" s="30">
        <f t="shared" ref="P28:P50" si="20">T28/X28*1</f>
      </c>
      <c r="Q28" s="30">
        <f t="shared" ref="Q28:Q50" si="1">Y28/X28</f>
      </c>
      <c r="R28" s="30">
        <f t="shared" ref="R28:R50" si="240">AA28/X28</f>
      </c>
      <c r="S28" s="30">
        <f t="shared" ref="S28:S50" si="202">AB28/AA28</f>
      </c>
      <c r="T28" s="31">
        <f t="shared" ref="T28:T50" si="164">Z28/U28</f>
      </c>
      <c r="U28" s="32">
        <v>0.0362</v>
      </c>
      <c r="V28" s="33">
        <v>43</v>
      </c>
      <c r="W28" s="29">
        <f t="shared" ref="W28:W50" si="126">(D28/X28)*1000</f>
      </c>
      <c r="X28" s="33">
        <v>28626</v>
      </c>
      <c r="Y28" s="33">
        <v>883</v>
      </c>
      <c r="Z28" s="31">
        <v>110</v>
      </c>
      <c r="AA28" s="31">
        <v>1392</v>
      </c>
      <c r="AB28" s="31">
        <v>117</v>
      </c>
      <c r="AC28" s="31">
        <v>8</v>
      </c>
      <c r="AD28" s="33">
        <v>1</v>
      </c>
      <c r="AE28" s="33">
        <v>48</v>
      </c>
      <c r="AF28" s="29">
        <f t="shared" ref="AF28:AF49" si="77">AI28*1000/D28</f>
      </c>
      <c r="AG28" s="34" t="s">
        <v>40</v>
      </c>
      <c r="AH28" s="35" t="s">
        <v>41</v>
      </c>
      <c r="AI28" s="33">
        <v>45</v>
      </c>
    </row>
    <row r="29">
      <c r="A29" s="22"/>
      <c r="B29" s="49" t="s">
        <v>47</v>
      </c>
      <c r="C29" s="24" t="s">
        <v>42</v>
      </c>
      <c r="D29" s="25">
        <v>2553.95</v>
      </c>
      <c r="E29" s="26">
        <v>10</v>
      </c>
      <c r="F29" s="26">
        <v>7</v>
      </c>
      <c r="G29" s="27">
        <v>7</v>
      </c>
      <c r="H29" s="25">
        <v>5379</v>
      </c>
      <c r="I29" s="26">
        <v>3</v>
      </c>
      <c r="J29" s="28">
        <f t="shared" si="221"/>
      </c>
      <c r="K29" s="29">
        <f t="shared" si="183"/>
      </c>
      <c r="L29" s="29">
        <f t="shared" si="145"/>
      </c>
      <c r="M29" s="30">
        <f t="shared" si="107"/>
      </c>
      <c r="N29" s="29">
        <f t="shared" si="58"/>
      </c>
      <c r="O29" s="29">
        <f t="shared" si="39"/>
      </c>
      <c r="P29" s="30">
        <f t="shared" si="20"/>
      </c>
      <c r="Q29" s="30">
        <f t="shared" si="1"/>
      </c>
      <c r="R29" s="30">
        <f t="shared" si="240"/>
      </c>
      <c r="S29" s="30">
        <f t="shared" si="202"/>
      </c>
      <c r="T29" s="31">
        <f t="shared" si="164"/>
      </c>
      <c r="U29" s="32">
        <v>0.0253</v>
      </c>
      <c r="V29" s="33">
        <v>48</v>
      </c>
      <c r="W29" s="29">
        <f t="shared" si="126"/>
      </c>
      <c r="X29" s="33">
        <v>19302</v>
      </c>
      <c r="Y29" s="33">
        <v>608</v>
      </c>
      <c r="Z29" s="31">
        <v>87</v>
      </c>
      <c r="AA29" s="31">
        <v>1024</v>
      </c>
      <c r="AB29" s="33">
        <v>87</v>
      </c>
      <c r="AC29" s="31">
        <v>13</v>
      </c>
      <c r="AD29" s="33">
        <v>0</v>
      </c>
      <c r="AE29" s="33">
        <v>28</v>
      </c>
      <c r="AF29" s="29">
        <f t="shared" si="77"/>
      </c>
      <c r="AG29" s="34" t="s">
        <v>40</v>
      </c>
      <c r="AH29" s="35" t="s">
        <v>41</v>
      </c>
      <c r="AI29" s="33">
        <v>40</v>
      </c>
    </row>
    <row r="30">
      <c r="A30" s="22"/>
      <c r="B30" s="49" t="s">
        <v>47</v>
      </c>
      <c r="C30" s="24" t="s">
        <v>43</v>
      </c>
      <c r="D30" s="25">
        <v>3395.82</v>
      </c>
      <c r="E30" s="26">
        <v>13</v>
      </c>
      <c r="F30" s="26">
        <v>10</v>
      </c>
      <c r="G30" s="27">
        <v>5</v>
      </c>
      <c r="H30" s="25">
        <v>7306.200000000001</v>
      </c>
      <c r="I30" s="26">
        <v>2</v>
      </c>
      <c r="J30" s="28">
        <f t="shared" si="221"/>
      </c>
      <c r="K30" s="29">
        <f t="shared" si="183"/>
      </c>
      <c r="L30" s="29">
        <f t="shared" si="145"/>
      </c>
      <c r="M30" s="30">
        <f t="shared" si="107"/>
      </c>
      <c r="N30" s="29">
        <f t="shared" si="58"/>
      </c>
      <c r="O30" s="29">
        <f t="shared" si="39"/>
      </c>
      <c r="P30" s="30">
        <f t="shared" si="20"/>
      </c>
      <c r="Q30" s="30">
        <f t="shared" si="1"/>
      </c>
      <c r="R30" s="30">
        <f t="shared" si="240"/>
      </c>
      <c r="S30" s="30">
        <f t="shared" si="202"/>
      </c>
      <c r="T30" s="31">
        <f t="shared" si="164"/>
      </c>
      <c r="U30" s="32">
        <v>0.0297</v>
      </c>
      <c r="V30" s="33">
        <v>52</v>
      </c>
      <c r="W30" s="29">
        <f t="shared" si="126"/>
      </c>
      <c r="X30" s="33">
        <v>23299</v>
      </c>
      <c r="Y30" s="33">
        <v>632</v>
      </c>
      <c r="Z30" s="31">
        <v>94</v>
      </c>
      <c r="AA30" s="31">
        <v>994</v>
      </c>
      <c r="AB30" s="33">
        <v>103</v>
      </c>
      <c r="AC30" s="31">
        <v>9</v>
      </c>
      <c r="AD30" s="33">
        <v>3</v>
      </c>
      <c r="AE30" s="33">
        <v>21</v>
      </c>
      <c r="AF30" s="29">
        <f t="shared" si="77"/>
      </c>
      <c r="AG30" s="34" t="s">
        <v>40</v>
      </c>
      <c r="AH30" s="35" t="s">
        <v>41</v>
      </c>
      <c r="AI30" s="33">
        <v>40</v>
      </c>
    </row>
    <row r="31">
      <c r="A31" s="22"/>
      <c r="B31" s="49" t="s">
        <v>47</v>
      </c>
      <c r="C31" s="36" t="s">
        <v>44</v>
      </c>
      <c r="D31" s="25">
        <v>4332.25</v>
      </c>
      <c r="E31" s="26">
        <v>17</v>
      </c>
      <c r="F31" s="26">
        <v>12</v>
      </c>
      <c r="G31" s="27">
        <v>9</v>
      </c>
      <c r="H31" s="25">
        <v>5772.800000000001</v>
      </c>
      <c r="I31" s="26">
        <v>1</v>
      </c>
      <c r="J31" s="28">
        <f t="shared" si="221"/>
      </c>
      <c r="K31" s="29">
        <f t="shared" si="183"/>
      </c>
      <c r="L31" s="29">
        <f t="shared" si="145"/>
      </c>
      <c r="M31" s="30">
        <f t="shared" si="107"/>
      </c>
      <c r="N31" s="29">
        <f t="shared" si="58"/>
      </c>
      <c r="O31" s="29">
        <f t="shared" si="39"/>
      </c>
      <c r="P31" s="30">
        <f t="shared" si="20"/>
      </c>
      <c r="Q31" s="30">
        <f t="shared" si="1"/>
      </c>
      <c r="R31" s="30">
        <f t="shared" si="240"/>
      </c>
      <c r="S31" s="30">
        <f t="shared" si="202"/>
      </c>
      <c r="T31" s="31">
        <f t="shared" si="164"/>
      </c>
      <c r="U31" s="32">
        <v>0.0346</v>
      </c>
      <c r="V31" s="33">
        <v>58</v>
      </c>
      <c r="W31" s="29">
        <f t="shared" si="126"/>
      </c>
      <c r="X31" s="33">
        <v>31749</v>
      </c>
      <c r="Y31" s="33">
        <v>1113</v>
      </c>
      <c r="Z31" s="33">
        <v>141</v>
      </c>
      <c r="AA31" s="33">
        <v>1656</v>
      </c>
      <c r="AB31" s="33">
        <v>164</v>
      </c>
      <c r="AC31" s="33">
        <v>25</v>
      </c>
      <c r="AD31" s="33">
        <v>2</v>
      </c>
      <c r="AE31" s="33">
        <v>28</v>
      </c>
      <c r="AF31" s="29">
        <f t="shared" si="77"/>
      </c>
      <c r="AG31" s="34" t="s">
        <v>40</v>
      </c>
      <c r="AH31" s="35" t="s">
        <v>41</v>
      </c>
      <c r="AI31" s="33">
        <v>61</v>
      </c>
    </row>
    <row r="32">
      <c r="A32" s="22"/>
      <c r="B32" s="49" t="s">
        <v>47</v>
      </c>
      <c r="C32" s="24" t="s">
        <v>45</v>
      </c>
      <c r="D32" s="37">
        <v>4859.2</v>
      </c>
      <c r="E32" s="38">
        <v>18</v>
      </c>
      <c r="F32" s="38">
        <v>13</v>
      </c>
      <c r="G32" s="39">
        <v>13</v>
      </c>
      <c r="H32" s="37">
        <v>9460.000000000004</v>
      </c>
      <c r="I32" s="38">
        <v>3</v>
      </c>
      <c r="J32" s="29">
        <f t="shared" si="221"/>
      </c>
      <c r="K32" s="29">
        <f t="shared" si="183"/>
      </c>
      <c r="L32" s="29">
        <f t="shared" si="145"/>
      </c>
      <c r="M32" s="30">
        <f t="shared" si="107"/>
      </c>
      <c r="N32" s="29">
        <f t="shared" si="58"/>
      </c>
      <c r="O32" s="29">
        <f t="shared" si="39"/>
      </c>
      <c r="P32" s="30">
        <f t="shared" si="20"/>
      </c>
      <c r="Q32" s="30">
        <f t="shared" si="1"/>
      </c>
      <c r="R32" s="30">
        <f t="shared" si="240"/>
      </c>
      <c r="S32" s="30">
        <f t="shared" si="202"/>
      </c>
      <c r="T32" s="31">
        <f t="shared" si="164"/>
      </c>
      <c r="U32" s="32">
        <v>0.0238</v>
      </c>
      <c r="V32" s="33">
        <v>61</v>
      </c>
      <c r="W32" s="29">
        <f t="shared" si="126"/>
      </c>
      <c r="X32" s="31">
        <v>35827</v>
      </c>
      <c r="Y32" s="31">
        <v>923</v>
      </c>
      <c r="Z32" s="31">
        <v>105</v>
      </c>
      <c r="AA32" s="31">
        <v>1439</v>
      </c>
      <c r="AB32" s="31">
        <v>142</v>
      </c>
      <c r="AC32" s="31">
        <v>16</v>
      </c>
      <c r="AD32" s="31">
        <v>3</v>
      </c>
      <c r="AE32" s="33">
        <v>39</v>
      </c>
      <c r="AF32" s="29">
        <f t="shared" si="77"/>
      </c>
      <c r="AG32" s="34" t="s">
        <v>40</v>
      </c>
      <c r="AH32" s="35" t="s">
        <v>41</v>
      </c>
      <c r="AI32" s="33">
        <v>56</v>
      </c>
    </row>
    <row r="33">
      <c r="A33" s="22"/>
      <c r="B33" s="40" t="s">
        <v>46</v>
      </c>
      <c r="C33" s="40"/>
      <c r="D33" s="41">
        <f>SUM(D28:D32)</f>
      </c>
      <c r="E33" s="42">
        <f>SUM(E28:E32)</f>
      </c>
      <c r="F33" s="42">
        <f>SUM(F28:F32)</f>
      </c>
      <c r="G33" s="43">
        <f>SUM(G28:G32)</f>
      </c>
      <c r="H33" s="41">
        <f>SUM(H28:H32)</f>
      </c>
      <c r="I33" s="44">
        <f>SUM(I28:I32)</f>
      </c>
      <c r="J33" s="45">
        <f t="shared" si="221"/>
      </c>
      <c r="K33" s="45">
        <f t="shared" si="183"/>
      </c>
      <c r="L33" s="45">
        <f t="shared" si="145"/>
      </c>
      <c r="M33" s="46">
        <f t="shared" si="107"/>
      </c>
      <c r="N33" s="45">
        <f t="shared" si="58"/>
      </c>
      <c r="O33" s="45">
        <f t="shared" si="39"/>
      </c>
      <c r="P33" s="46">
        <f t="shared" si="20"/>
      </c>
      <c r="Q33" s="46">
        <f t="shared" si="1"/>
      </c>
      <c r="R33" s="46">
        <f t="shared" si="240"/>
      </c>
      <c r="S33" s="46">
        <f t="shared" si="202"/>
      </c>
      <c r="T33" s="42">
        <f t="shared" si="164"/>
      </c>
      <c r="U33" s="46">
        <f>AVERAGE(U28:U32)</f>
      </c>
      <c r="V33" s="41">
        <f>AVERAGE(V28:V32)</f>
      </c>
      <c r="W33" s="45">
        <f t="shared" si="126"/>
      </c>
      <c r="X33" s="42">
        <f>SUM(X28:X32)</f>
      </c>
      <c r="Y33" s="42">
        <f>SUM(Y28:Y32)</f>
      </c>
      <c r="Z33" s="42">
        <f>SUM(Z28:Z32)</f>
      </c>
      <c r="AA33" s="42">
        <f>SUM(AA28:AA32)</f>
      </c>
      <c r="AB33" s="42">
        <f>SUM(AB28:AB32)</f>
      </c>
      <c r="AC33" s="42">
        <f>SUM(AC28:AC32)</f>
      </c>
      <c r="AD33" s="42">
        <f>SUM(AD28:AD32)</f>
      </c>
      <c r="AE33" s="42">
        <f>SUM(AE28:AE32)</f>
      </c>
      <c r="AF33" s="47">
        <f t="shared" si="77"/>
      </c>
      <c r="AG33" s="48"/>
      <c r="AH33" s="48"/>
      <c r="AI33" s="43">
        <f>SUM(AI28:AI32)</f>
      </c>
    </row>
    <row r="34">
      <c r="A34" s="22"/>
      <c r="B34" s="23" t="s">
        <v>38</v>
      </c>
      <c r="C34" s="23" t="s">
        <v>48</v>
      </c>
      <c r="D34" s="50">
        <v>8101.24</v>
      </c>
      <c r="E34" s="51">
        <v>16</v>
      </c>
      <c r="F34" s="51">
        <v>11</v>
      </c>
      <c r="G34" s="52">
        <v>10</v>
      </c>
      <c r="H34" s="53">
        <v>7389.799999999999</v>
      </c>
      <c r="I34" s="54">
        <v>2</v>
      </c>
      <c r="J34" s="55">
        <f t="shared" si="221"/>
      </c>
      <c r="K34" s="55">
        <f t="shared" si="183"/>
      </c>
      <c r="L34" s="55">
        <f t="shared" si="145"/>
      </c>
      <c r="M34" s="56">
        <f t="shared" si="107"/>
      </c>
      <c r="N34" s="55">
        <f t="shared" si="58"/>
      </c>
      <c r="O34" s="55">
        <f t="shared" si="39"/>
      </c>
      <c r="P34" s="56">
        <f t="shared" si="20"/>
      </c>
      <c r="Q34" s="56">
        <f t="shared" si="1"/>
      </c>
      <c r="R34" s="56">
        <f t="shared" si="240"/>
      </c>
      <c r="S34" s="56">
        <f t="shared" si="202"/>
      </c>
      <c r="T34" s="57">
        <f t="shared" si="164"/>
      </c>
      <c r="U34" s="58">
        <v>0.0426</v>
      </c>
      <c r="V34" s="59">
        <v>59</v>
      </c>
      <c r="W34" s="55">
        <f t="shared" si="126"/>
      </c>
      <c r="X34" s="57">
        <v>65555</v>
      </c>
      <c r="Y34" s="57">
        <v>1411</v>
      </c>
      <c r="Z34" s="57">
        <v>210</v>
      </c>
      <c r="AA34" s="57">
        <v>2125</v>
      </c>
      <c r="AB34" s="57">
        <v>185</v>
      </c>
      <c r="AC34" s="57">
        <v>28</v>
      </c>
      <c r="AD34" s="57">
        <v>5</v>
      </c>
      <c r="AE34" s="57">
        <v>106</v>
      </c>
      <c r="AF34" s="55">
        <f t="shared" si="77"/>
      </c>
      <c r="AG34" s="34" t="s">
        <v>40</v>
      </c>
      <c r="AH34" s="35" t="s">
        <v>41</v>
      </c>
      <c r="AI34" s="59">
        <v>82</v>
      </c>
    </row>
    <row r="35">
      <c r="A35" s="22"/>
      <c r="B35" s="23" t="s">
        <v>38</v>
      </c>
      <c r="C35" s="60" t="s">
        <v>49</v>
      </c>
      <c r="D35" s="50">
        <v>4573.39</v>
      </c>
      <c r="E35" s="51">
        <v>17</v>
      </c>
      <c r="F35" s="51">
        <v>14</v>
      </c>
      <c r="G35" s="52">
        <v>12</v>
      </c>
      <c r="H35" s="53">
        <v>9699.799999999996</v>
      </c>
      <c r="I35" s="54">
        <v>3</v>
      </c>
      <c r="J35" s="55">
        <f t="shared" si="221"/>
      </c>
      <c r="K35" s="55">
        <f t="shared" si="183"/>
      </c>
      <c r="L35" s="55">
        <f t="shared" si="145"/>
      </c>
      <c r="M35" s="56">
        <f t="shared" si="107"/>
      </c>
      <c r="N35" s="55">
        <f t="shared" si="58"/>
      </c>
      <c r="O35" s="55">
        <f t="shared" si="39"/>
      </c>
      <c r="P35" s="56">
        <f t="shared" si="20"/>
      </c>
      <c r="Q35" s="56">
        <f t="shared" si="1"/>
      </c>
      <c r="R35" s="56">
        <f t="shared" si="240"/>
      </c>
      <c r="S35" s="56">
        <f t="shared" si="202"/>
      </c>
      <c r="T35" s="57">
        <f t="shared" si="164"/>
      </c>
      <c r="U35" s="58">
        <v>0.0284</v>
      </c>
      <c r="V35" s="59">
        <v>60</v>
      </c>
      <c r="W35" s="55">
        <f t="shared" si="126"/>
      </c>
      <c r="X35" s="57">
        <v>43190</v>
      </c>
      <c r="Y35" s="57">
        <v>928</v>
      </c>
      <c r="Z35" s="57">
        <v>112</v>
      </c>
      <c r="AA35" s="57">
        <v>1458</v>
      </c>
      <c r="AB35" s="57">
        <v>95</v>
      </c>
      <c r="AC35" s="57">
        <v>11</v>
      </c>
      <c r="AD35" s="57">
        <v>1</v>
      </c>
      <c r="AE35" s="57">
        <v>64</v>
      </c>
      <c r="AF35" s="55">
        <f t="shared" si="77"/>
      </c>
      <c r="AG35" s="34" t="s">
        <v>40</v>
      </c>
      <c r="AH35" s="35" t="s">
        <v>41</v>
      </c>
      <c r="AI35" s="59">
        <v>39</v>
      </c>
    </row>
    <row r="36">
      <c r="A36" s="22"/>
      <c r="B36" s="23" t="s">
        <v>38</v>
      </c>
      <c r="C36" s="61" t="s">
        <v>50</v>
      </c>
      <c r="D36" s="62">
        <v>4067.29</v>
      </c>
      <c r="E36" s="63">
        <v>14</v>
      </c>
      <c r="F36" s="63">
        <v>10</v>
      </c>
      <c r="G36" s="64">
        <v>9</v>
      </c>
      <c r="H36" s="53">
        <v>5682.600000000006</v>
      </c>
      <c r="I36" s="54">
        <v>2</v>
      </c>
      <c r="J36" s="55">
        <f t="shared" si="221"/>
      </c>
      <c r="K36" s="55">
        <f t="shared" si="183"/>
      </c>
      <c r="L36" s="55">
        <f t="shared" si="145"/>
      </c>
      <c r="M36" s="56">
        <f t="shared" si="107"/>
      </c>
      <c r="N36" s="55">
        <f t="shared" si="58"/>
      </c>
      <c r="O36" s="55">
        <f t="shared" si="39"/>
      </c>
      <c r="P36" s="56">
        <f t="shared" si="20"/>
      </c>
      <c r="Q36" s="56">
        <f t="shared" si="1"/>
      </c>
      <c r="R36" s="56">
        <f t="shared" si="240"/>
      </c>
      <c r="S36" s="56">
        <f t="shared" si="202"/>
      </c>
      <c r="T36" s="57">
        <f t="shared" si="164"/>
      </c>
      <c r="U36" s="58">
        <v>0.0255</v>
      </c>
      <c r="V36" s="59">
        <v>59</v>
      </c>
      <c r="W36" s="55">
        <f t="shared" si="126"/>
      </c>
      <c r="X36" s="57">
        <v>42102</v>
      </c>
      <c r="Y36" s="57">
        <v>693</v>
      </c>
      <c r="Z36" s="57">
        <v>105</v>
      </c>
      <c r="AA36" s="57">
        <v>761</v>
      </c>
      <c r="AB36" s="57">
        <v>83</v>
      </c>
      <c r="AC36" s="57">
        <v>10</v>
      </c>
      <c r="AD36" s="57">
        <v>9</v>
      </c>
      <c r="AE36" s="57">
        <v>43</v>
      </c>
      <c r="AF36" s="55">
        <f t="shared" si="77"/>
      </c>
      <c r="AG36" s="34" t="s">
        <v>40</v>
      </c>
      <c r="AH36" s="35" t="s">
        <v>41</v>
      </c>
      <c r="AI36" s="59">
        <v>47</v>
      </c>
    </row>
    <row r="37">
      <c r="A37" s="22"/>
      <c r="B37" s="23" t="s">
        <v>38</v>
      </c>
      <c r="C37" s="60" t="s">
        <v>51</v>
      </c>
      <c r="D37" s="50">
        <v>5201.12</v>
      </c>
      <c r="E37" s="63">
        <v>15</v>
      </c>
      <c r="F37" s="63">
        <v>13</v>
      </c>
      <c r="G37" s="64">
        <v>13</v>
      </c>
      <c r="H37" s="50">
        <v>8025.600000000006</v>
      </c>
      <c r="I37" s="65">
        <v>2</v>
      </c>
      <c r="J37" s="55">
        <f t="shared" si="221"/>
      </c>
      <c r="K37" s="55">
        <f t="shared" si="183"/>
      </c>
      <c r="L37" s="55">
        <f t="shared" si="145"/>
      </c>
      <c r="M37" s="56">
        <f t="shared" si="107"/>
      </c>
      <c r="N37" s="55">
        <f t="shared" si="58"/>
      </c>
      <c r="O37" s="55">
        <f t="shared" si="39"/>
      </c>
      <c r="P37" s="56">
        <f t="shared" si="20"/>
      </c>
      <c r="Q37" s="56">
        <f t="shared" si="1"/>
      </c>
      <c r="R37" s="56">
        <f t="shared" si="240"/>
      </c>
      <c r="S37" s="56">
        <f t="shared" si="202"/>
      </c>
      <c r="T37" s="57">
        <f t="shared" si="164"/>
      </c>
      <c r="U37" s="58">
        <v>0.0243</v>
      </c>
      <c r="V37" s="59">
        <v>59</v>
      </c>
      <c r="W37" s="55">
        <f t="shared" si="126"/>
      </c>
      <c r="X37" s="57">
        <v>50511</v>
      </c>
      <c r="Y37" s="57">
        <v>1195</v>
      </c>
      <c r="Z37" s="57">
        <v>142</v>
      </c>
      <c r="AA37" s="57">
        <v>1821</v>
      </c>
      <c r="AB37" s="57">
        <v>107</v>
      </c>
      <c r="AC37" s="57">
        <v>18</v>
      </c>
      <c r="AD37" s="57">
        <v>2</v>
      </c>
      <c r="AE37" s="59">
        <v>79</v>
      </c>
      <c r="AF37" s="55">
        <f t="shared" si="77"/>
      </c>
      <c r="AG37" s="34" t="s">
        <v>40</v>
      </c>
      <c r="AH37" s="35" t="s">
        <v>41</v>
      </c>
      <c r="AI37" s="59">
        <v>42</v>
      </c>
    </row>
    <row r="38">
      <c r="A38" s="22"/>
      <c r="B38" s="23" t="s">
        <v>38</v>
      </c>
      <c r="C38" s="49" t="s">
        <v>53</v>
      </c>
      <c r="D38" s="50">
        <v>2585.77</v>
      </c>
      <c r="E38" s="65">
        <v>6</v>
      </c>
      <c r="F38" s="65">
        <v>4</v>
      </c>
      <c r="G38" s="52">
        <v>2</v>
      </c>
      <c r="H38" s="50">
        <v>3242.800000000003</v>
      </c>
      <c r="I38" s="65">
        <v>3</v>
      </c>
      <c r="J38" s="55">
        <f t="shared" si="221"/>
      </c>
      <c r="K38" s="55">
        <f t="shared" si="183"/>
      </c>
      <c r="L38" s="55">
        <f t="shared" si="145"/>
      </c>
      <c r="M38" s="56">
        <f t="shared" si="107"/>
      </c>
      <c r="N38" s="55">
        <f t="shared" si="58"/>
      </c>
      <c r="O38" s="55">
        <f t="shared" si="39"/>
      </c>
      <c r="P38" s="56">
        <f t="shared" si="20"/>
      </c>
      <c r="Q38" s="56">
        <f t="shared" si="1"/>
      </c>
      <c r="R38" s="56">
        <f t="shared" si="240"/>
      </c>
      <c r="S38" s="56">
        <f t="shared" si="202"/>
      </c>
      <c r="T38" s="57">
        <f t="shared" si="164"/>
      </c>
      <c r="U38" s="58">
        <v>0.0494</v>
      </c>
      <c r="V38" s="59">
        <v>61</v>
      </c>
      <c r="W38" s="55">
        <f t="shared" si="126"/>
      </c>
      <c r="X38" s="57">
        <v>38219</v>
      </c>
      <c r="Y38" s="57">
        <v>304</v>
      </c>
      <c r="Z38" s="57">
        <v>84</v>
      </c>
      <c r="AA38" s="57">
        <v>305</v>
      </c>
      <c r="AB38" s="57">
        <v>102</v>
      </c>
      <c r="AC38" s="57">
        <v>14</v>
      </c>
      <c r="AD38" s="57">
        <v>1</v>
      </c>
      <c r="AE38" s="57">
        <v>37</v>
      </c>
      <c r="AF38" s="55">
        <f t="shared" si="77"/>
      </c>
      <c r="AG38" s="34" t="s">
        <v>40</v>
      </c>
      <c r="AH38" s="35" t="s">
        <v>41</v>
      </c>
      <c r="AI38" s="59">
        <v>40</v>
      </c>
    </row>
    <row r="39">
      <c r="A39" s="22"/>
      <c r="B39" s="67" t="s">
        <v>46</v>
      </c>
      <c r="C39" s="67"/>
      <c r="D39" s="68">
        <f>SUM(D34:D38)</f>
      </c>
      <c r="E39" s="69">
        <f>SUM(E34:E38)</f>
      </c>
      <c r="F39" s="69">
        <f>SUM(F34:F38)</f>
      </c>
      <c r="G39" s="70">
        <f>SUM(G34:G38)</f>
      </c>
      <c r="H39" s="68">
        <f>SUM(H34:H38)</f>
      </c>
      <c r="I39" s="69">
        <f>SUM(I34:I38)</f>
      </c>
      <c r="J39" s="71">
        <f t="shared" si="221"/>
      </c>
      <c r="K39" s="71">
        <f t="shared" si="183"/>
      </c>
      <c r="L39" s="71">
        <f t="shared" si="145"/>
      </c>
      <c r="M39" s="72">
        <f t="shared" si="107"/>
      </c>
      <c r="N39" s="71">
        <f t="shared" si="58"/>
      </c>
      <c r="O39" s="71">
        <f t="shared" si="39"/>
      </c>
      <c r="P39" s="72">
        <f t="shared" si="20"/>
      </c>
      <c r="Q39" s="72">
        <f t="shared" si="1"/>
      </c>
      <c r="R39" s="72">
        <f t="shared" si="240"/>
      </c>
      <c r="S39" s="72">
        <f t="shared" si="202"/>
      </c>
      <c r="T39" s="73">
        <f t="shared" si="164"/>
      </c>
      <c r="U39" s="72">
        <f>AVERAGE(U35:U38)</f>
      </c>
      <c r="V39" s="41">
        <f>AVERAGE(V34:V38)</f>
      </c>
      <c r="W39" s="71">
        <f t="shared" si="126"/>
      </c>
      <c r="X39" s="73">
        <f>SUM(X34:X38)</f>
      </c>
      <c r="Y39" s="73">
        <f>SUM(Y34:Y38)</f>
      </c>
      <c r="Z39" s="73">
        <f>SUM(Z34:Z38)</f>
      </c>
      <c r="AA39" s="73">
        <f>SUM(AA34:AA38)</f>
      </c>
      <c r="AB39" s="73">
        <f>SUM(AB34:AB38)</f>
      </c>
      <c r="AC39" s="73">
        <f>SUM(AC34:AC38)</f>
      </c>
      <c r="AD39" s="73">
        <f>SUM(AD34:AD38)</f>
      </c>
      <c r="AE39" s="73">
        <f>SUM(AE34:AE38)</f>
      </c>
      <c r="AF39" s="74">
        <f t="shared" si="77"/>
      </c>
      <c r="AG39" s="75"/>
      <c r="AH39" s="75"/>
      <c r="AI39" s="70">
        <f>SUM(AI34:AI38)</f>
      </c>
    </row>
    <row r="40">
      <c r="A40" s="22"/>
      <c r="B40" s="49" t="s">
        <v>67</v>
      </c>
      <c r="C40" s="60" t="s">
        <v>55</v>
      </c>
      <c r="D40" s="23">
        <v>3881.81</v>
      </c>
      <c r="E40" s="26">
        <v>10</v>
      </c>
      <c r="F40" s="26">
        <v>7</v>
      </c>
      <c r="G40" s="27">
        <v>5</v>
      </c>
      <c r="H40" s="76">
        <v>4298.799999999988</v>
      </c>
      <c r="I40" s="26">
        <v>2</v>
      </c>
      <c r="J40" s="29">
        <f t="shared" si="221"/>
      </c>
      <c r="K40" s="29">
        <f t="shared" si="183"/>
      </c>
      <c r="L40" s="29">
        <f t="shared" si="145"/>
      </c>
      <c r="M40" s="30">
        <f t="shared" si="107"/>
      </c>
      <c r="N40" s="29">
        <f t="shared" si="58"/>
      </c>
      <c r="O40" s="29">
        <f t="shared" si="39"/>
      </c>
      <c r="P40" s="30">
        <f t="shared" si="20"/>
      </c>
      <c r="Q40" s="30">
        <f t="shared" si="1"/>
      </c>
      <c r="R40" s="30">
        <f t="shared" si="240"/>
      </c>
      <c r="S40" s="30">
        <f t="shared" si="202"/>
      </c>
      <c r="T40" s="31">
        <f t="shared" si="164"/>
      </c>
      <c r="U40" s="32">
        <v>0.0264</v>
      </c>
      <c r="V40" s="33">
        <v>60</v>
      </c>
      <c r="W40" s="29">
        <f t="shared" si="126"/>
      </c>
      <c r="X40" s="33">
        <v>53716</v>
      </c>
      <c r="Y40" s="33">
        <v>789</v>
      </c>
      <c r="Z40" s="31">
        <v>111</v>
      </c>
      <c r="AA40" s="31">
        <v>1072</v>
      </c>
      <c r="AB40" s="31">
        <v>61</v>
      </c>
      <c r="AC40" s="31">
        <v>10</v>
      </c>
      <c r="AD40" s="33">
        <v>4</v>
      </c>
      <c r="AE40" s="33">
        <v>53</v>
      </c>
      <c r="AF40" s="29">
        <f t="shared" si="77"/>
      </c>
      <c r="AG40" s="34" t="s">
        <v>56</v>
      </c>
      <c r="AH40" s="66" t="s">
        <v>52</v>
      </c>
      <c r="AI40" s="33">
        <v>46</v>
      </c>
    </row>
    <row r="41">
      <c r="A41" s="22"/>
      <c r="B41" s="49" t="s">
        <v>67</v>
      </c>
      <c r="C41" s="61" t="s">
        <v>57</v>
      </c>
      <c r="D41" s="23">
        <v>3395.14</v>
      </c>
      <c r="E41" s="26">
        <v>3</v>
      </c>
      <c r="F41" s="26">
        <v>1</v>
      </c>
      <c r="G41" s="27">
        <v>1</v>
      </c>
      <c r="H41" s="76">
        <v>1483.9</v>
      </c>
      <c r="I41" s="26">
        <v>1</v>
      </c>
      <c r="J41" s="29">
        <f t="shared" si="221"/>
      </c>
      <c r="K41" s="29">
        <f t="shared" si="183"/>
      </c>
      <c r="L41" s="29">
        <f t="shared" si="145"/>
      </c>
      <c r="M41" s="30">
        <f t="shared" si="107"/>
      </c>
      <c r="N41" s="29">
        <f t="shared" si="58"/>
      </c>
      <c r="O41" s="29">
        <f t="shared" si="39"/>
      </c>
      <c r="P41" s="30">
        <f t="shared" si="20"/>
      </c>
      <c r="Q41" s="30">
        <f t="shared" si="1"/>
      </c>
      <c r="R41" s="30">
        <f t="shared" si="240"/>
      </c>
      <c r="S41" s="30">
        <f t="shared" si="202"/>
      </c>
      <c r="T41" s="31">
        <f t="shared" si="164"/>
      </c>
      <c r="U41" s="32">
        <v>0.0289</v>
      </c>
      <c r="V41" s="33">
        <v>60</v>
      </c>
      <c r="W41" s="29">
        <f t="shared" si="126"/>
      </c>
      <c r="X41" s="31">
        <v>47317</v>
      </c>
      <c r="Y41" s="31">
        <v>463</v>
      </c>
      <c r="Z41" s="31">
        <v>72</v>
      </c>
      <c r="AA41" s="31">
        <v>572</v>
      </c>
      <c r="AB41" s="31">
        <v>43</v>
      </c>
      <c r="AC41" s="31">
        <v>10</v>
      </c>
      <c r="AD41" s="31">
        <v>1</v>
      </c>
      <c r="AE41" s="33">
        <v>48</v>
      </c>
      <c r="AF41" s="29">
        <f t="shared" si="77"/>
      </c>
      <c r="AG41" s="34" t="s">
        <v>56</v>
      </c>
      <c r="AH41" s="66" t="s">
        <v>52</v>
      </c>
      <c r="AI41" s="33">
        <v>32</v>
      </c>
    </row>
    <row r="42">
      <c r="A42" s="22"/>
      <c r="B42" s="49" t="s">
        <v>67</v>
      </c>
      <c r="C42" s="60" t="s">
        <v>58</v>
      </c>
      <c r="D42" s="23">
        <v>3330.63</v>
      </c>
      <c r="E42" s="26">
        <v>8</v>
      </c>
      <c r="F42" s="26">
        <v>7</v>
      </c>
      <c r="G42" s="27">
        <v>7</v>
      </c>
      <c r="H42" s="76">
        <v>3562.9</v>
      </c>
      <c r="I42" s="26">
        <v>1</v>
      </c>
      <c r="J42" s="29">
        <f t="shared" si="221"/>
      </c>
      <c r="K42" s="29">
        <f t="shared" si="183"/>
      </c>
      <c r="L42" s="29">
        <f t="shared" si="145"/>
      </c>
      <c r="M42" s="30">
        <f t="shared" si="107"/>
      </c>
      <c r="N42" s="29">
        <f t="shared" si="58"/>
      </c>
      <c r="O42" s="29">
        <f t="shared" si="39"/>
      </c>
      <c r="P42" s="30">
        <f t="shared" si="20"/>
      </c>
      <c r="Q42" s="30">
        <f t="shared" si="1"/>
      </c>
      <c r="R42" s="30">
        <f t="shared" si="240"/>
      </c>
      <c r="S42" s="30">
        <f t="shared" si="202"/>
      </c>
      <c r="T42" s="31">
        <f t="shared" si="164"/>
      </c>
      <c r="U42" s="32">
        <v>0.0202</v>
      </c>
      <c r="V42" s="33">
        <v>58</v>
      </c>
      <c r="W42" s="29">
        <f t="shared" si="126"/>
      </c>
      <c r="X42" s="33">
        <v>38444</v>
      </c>
      <c r="Y42" s="33">
        <v>700</v>
      </c>
      <c r="Z42" s="33">
        <v>76</v>
      </c>
      <c r="AA42" s="33">
        <v>1236</v>
      </c>
      <c r="AB42" s="33">
        <v>60</v>
      </c>
      <c r="AC42" s="33">
        <v>11</v>
      </c>
      <c r="AD42" s="33">
        <v>5</v>
      </c>
      <c r="AE42" s="33">
        <v>51</v>
      </c>
      <c r="AF42" s="29">
        <f t="shared" si="77"/>
      </c>
      <c r="AG42" s="34" t="s">
        <v>56</v>
      </c>
      <c r="AH42" s="66" t="s">
        <v>52</v>
      </c>
      <c r="AI42" s="33">
        <v>38</v>
      </c>
    </row>
    <row r="43">
      <c r="A43" s="22"/>
      <c r="B43" s="49" t="s">
        <v>67</v>
      </c>
      <c r="C43" s="60" t="s">
        <v>59</v>
      </c>
      <c r="D43" s="23">
        <v>2923.92</v>
      </c>
      <c r="E43" s="26">
        <v>6</v>
      </c>
      <c r="F43" s="26">
        <v>5</v>
      </c>
      <c r="G43" s="27">
        <v>3</v>
      </c>
      <c r="H43" s="76">
        <v>2990.9000000000087</v>
      </c>
      <c r="I43" s="26">
        <v>1</v>
      </c>
      <c r="J43" s="29">
        <f t="shared" si="221"/>
      </c>
      <c r="K43" s="29">
        <f t="shared" si="183"/>
      </c>
      <c r="L43" s="29">
        <f t="shared" si="145"/>
      </c>
      <c r="M43" s="30">
        <f t="shared" si="107"/>
      </c>
      <c r="N43" s="29">
        <f t="shared" si="58"/>
      </c>
      <c r="O43" s="29">
        <f t="shared" si="39"/>
      </c>
      <c r="P43" s="30">
        <f t="shared" si="20"/>
      </c>
      <c r="Q43" s="30">
        <f t="shared" si="1"/>
      </c>
      <c r="R43" s="30">
        <f t="shared" si="240"/>
      </c>
      <c r="S43" s="30">
        <f t="shared" si="202"/>
      </c>
      <c r="T43" s="31">
        <f t="shared" si="164"/>
      </c>
      <c r="U43" s="32">
        <v>0.0389</v>
      </c>
      <c r="V43" s="33">
        <v>58</v>
      </c>
      <c r="W43" s="29">
        <f t="shared" si="126"/>
      </c>
      <c r="X43" s="33">
        <v>29374</v>
      </c>
      <c r="Y43" s="33">
        <v>480</v>
      </c>
      <c r="Z43" s="31">
        <v>85</v>
      </c>
      <c r="AA43" s="31">
        <v>512</v>
      </c>
      <c r="AB43" s="31">
        <v>50</v>
      </c>
      <c r="AC43" s="31">
        <v>6</v>
      </c>
      <c r="AD43" s="33">
        <v>3</v>
      </c>
      <c r="AE43" s="33">
        <v>50</v>
      </c>
      <c r="AF43" s="29">
        <f t="shared" si="77"/>
      </c>
      <c r="AG43" s="34" t="s">
        <v>56</v>
      </c>
      <c r="AH43" s="66" t="s">
        <v>52</v>
      </c>
      <c r="AI43" s="33">
        <v>42</v>
      </c>
    </row>
    <row r="44">
      <c r="A44" s="22"/>
      <c r="B44" s="40" t="s">
        <v>46</v>
      </c>
      <c r="C44" s="40"/>
      <c r="D44" s="77">
        <f>SUM(D40:D43)</f>
      </c>
      <c r="E44" s="78">
        <f>SUM(E40:E43)</f>
      </c>
      <c r="F44" s="78">
        <f>SUM(F40:F43)</f>
      </c>
      <c r="G44" s="79">
        <f>SUM(G40:G43)</f>
      </c>
      <c r="H44" s="77">
        <f>SUM(H40:H43)</f>
      </c>
      <c r="I44" s="44">
        <f>SUM(I40:I43)</f>
      </c>
      <c r="J44" s="45">
        <f t="shared" si="221"/>
      </c>
      <c r="K44" s="45">
        <f t="shared" si="183"/>
      </c>
      <c r="L44" s="45">
        <f t="shared" si="145"/>
      </c>
      <c r="M44" s="46">
        <f t="shared" si="107"/>
      </c>
      <c r="N44" s="45">
        <f t="shared" si="58"/>
      </c>
      <c r="O44" s="45">
        <f t="shared" si="39"/>
      </c>
      <c r="P44" s="46">
        <f t="shared" si="20"/>
      </c>
      <c r="Q44" s="46">
        <f t="shared" si="1"/>
      </c>
      <c r="R44" s="46">
        <f t="shared" si="240"/>
      </c>
      <c r="S44" s="46">
        <f t="shared" si="202"/>
      </c>
      <c r="T44" s="42">
        <f t="shared" si="164"/>
      </c>
      <c r="U44" s="46">
        <f>AVERAGE(U40:U43)</f>
      </c>
      <c r="V44" s="41">
        <f>AVERAGE(V40:V43)</f>
      </c>
      <c r="W44" s="45">
        <f t="shared" si="126"/>
      </c>
      <c r="X44" s="42">
        <f>SUM(X40:X43)</f>
      </c>
      <c r="Y44" s="42">
        <f>SUM(Y40:Y43)</f>
      </c>
      <c r="Z44" s="42">
        <f>SUM(Z40:Z43)</f>
      </c>
      <c r="AA44" s="42">
        <f>SUM(AA40:AA43)</f>
      </c>
      <c r="AB44" s="42">
        <f>SUM(AB40:AB43)</f>
      </c>
      <c r="AC44" s="42">
        <f>SUM(AC40:AC43)</f>
      </c>
      <c r="AD44" s="42">
        <f>SUM(AD40:AD43)</f>
      </c>
      <c r="AE44" s="42">
        <f>SUM(AE40:AE43)</f>
      </c>
      <c r="AF44" s="47">
        <f t="shared" si="77"/>
      </c>
      <c r="AG44" s="48"/>
      <c r="AH44" s="48"/>
      <c r="AI44" s="42">
        <f>SUM(AI40:AI43)</f>
      </c>
    </row>
    <row r="45">
      <c r="A45" s="22"/>
      <c r="B45" s="60" t="s">
        <v>54</v>
      </c>
      <c r="C45" s="49" t="s">
        <v>61</v>
      </c>
      <c r="D45" s="80">
        <v>3651.68</v>
      </c>
      <c r="E45" s="51">
        <v>11</v>
      </c>
      <c r="F45" s="51">
        <v>10</v>
      </c>
      <c r="G45" s="52">
        <v>9</v>
      </c>
      <c r="H45" s="53">
        <v>7750.600000000006</v>
      </c>
      <c r="I45" s="54">
        <v>4</v>
      </c>
      <c r="J45" s="55">
        <f t="shared" si="221"/>
      </c>
      <c r="K45" s="55">
        <f t="shared" si="183"/>
      </c>
      <c r="L45" s="55">
        <f t="shared" si="145"/>
      </c>
      <c r="M45" s="56">
        <f t="shared" si="107"/>
      </c>
      <c r="N45" s="55">
        <f t="shared" si="58"/>
      </c>
      <c r="O45" s="55">
        <f t="shared" si="39"/>
      </c>
      <c r="P45" s="56">
        <f t="shared" si="20"/>
      </c>
      <c r="Q45" s="56">
        <f t="shared" si="1"/>
      </c>
      <c r="R45" s="56">
        <f t="shared" si="240"/>
      </c>
      <c r="S45" s="56">
        <f t="shared" si="202"/>
      </c>
      <c r="T45" s="57">
        <f t="shared" si="164"/>
      </c>
      <c r="U45" s="58">
        <v>0.0305</v>
      </c>
      <c r="V45" s="59">
        <v>59</v>
      </c>
      <c r="W45" s="55">
        <f t="shared" si="126"/>
      </c>
      <c r="X45" s="57">
        <v>36741</v>
      </c>
      <c r="Y45" s="57">
        <v>776</v>
      </c>
      <c r="Z45" s="57">
        <v>108</v>
      </c>
      <c r="AA45" s="57">
        <v>1290</v>
      </c>
      <c r="AB45" s="57">
        <v>125</v>
      </c>
      <c r="AC45" s="57">
        <v>20</v>
      </c>
      <c r="AD45" s="57">
        <v>1</v>
      </c>
      <c r="AE45" s="57">
        <v>55</v>
      </c>
      <c r="AF45" s="55">
        <f t="shared" si="77"/>
      </c>
      <c r="AG45" s="34" t="s">
        <v>56</v>
      </c>
      <c r="AH45" s="66" t="s">
        <v>52</v>
      </c>
      <c r="AI45" s="59">
        <v>56</v>
      </c>
    </row>
    <row r="46">
      <c r="A46" s="22"/>
      <c r="B46" s="60" t="s">
        <v>54</v>
      </c>
      <c r="C46" s="49" t="s">
        <v>62</v>
      </c>
      <c r="D46" s="81">
        <v>3003.15</v>
      </c>
      <c r="E46" s="63">
        <v>8</v>
      </c>
      <c r="F46" s="63">
        <v>7</v>
      </c>
      <c r="G46" s="64">
        <v>4</v>
      </c>
      <c r="H46" s="91">
        <v>3562.899999999994</v>
      </c>
      <c r="I46" s="54">
        <v>2</v>
      </c>
      <c r="J46" s="55">
        <f t="shared" si="221"/>
      </c>
      <c r="K46" s="55">
        <f t="shared" si="183"/>
      </c>
      <c r="L46" s="55">
        <f t="shared" si="145"/>
      </c>
      <c r="M46" s="56">
        <f t="shared" si="107"/>
      </c>
      <c r="N46" s="55">
        <f t="shared" si="58"/>
      </c>
      <c r="O46" s="55">
        <f t="shared" si="39"/>
      </c>
      <c r="P46" s="56">
        <f t="shared" si="20"/>
      </c>
      <c r="Q46" s="56">
        <f t="shared" si="1"/>
      </c>
      <c r="R46" s="56">
        <f t="shared" si="240"/>
      </c>
      <c r="S46" s="56">
        <f t="shared" si="202"/>
      </c>
      <c r="T46" s="57">
        <f t="shared" si="164"/>
      </c>
      <c r="U46" s="58">
        <v>0.0264</v>
      </c>
      <c r="V46" s="59">
        <v>60</v>
      </c>
      <c r="W46" s="55">
        <f t="shared" si="126"/>
      </c>
      <c r="X46" s="57">
        <v>31445</v>
      </c>
      <c r="Y46" s="57">
        <v>479</v>
      </c>
      <c r="Z46" s="57">
        <v>89</v>
      </c>
      <c r="AA46" s="57">
        <v>517</v>
      </c>
      <c r="AB46" s="57">
        <v>60</v>
      </c>
      <c r="AC46" s="57">
        <v>11</v>
      </c>
      <c r="AD46" s="57">
        <v>2</v>
      </c>
      <c r="AE46" s="57">
        <v>45</v>
      </c>
      <c r="AF46" s="55">
        <f t="shared" si="77"/>
      </c>
      <c r="AG46" s="34" t="s">
        <v>56</v>
      </c>
      <c r="AH46" s="66" t="s">
        <v>52</v>
      </c>
      <c r="AI46" s="59">
        <v>50</v>
      </c>
    </row>
    <row r="47">
      <c r="A47" s="22"/>
      <c r="B47" s="60" t="s">
        <v>54</v>
      </c>
      <c r="C47" s="49" t="s">
        <v>63</v>
      </c>
      <c r="D47" s="80">
        <v>2333.21</v>
      </c>
      <c r="E47" s="63">
        <v>2</v>
      </c>
      <c r="F47" s="63">
        <v>2</v>
      </c>
      <c r="G47" s="64">
        <v>2</v>
      </c>
      <c r="H47" s="50">
        <v>902</v>
      </c>
      <c r="I47" s="65">
        <v>0</v>
      </c>
      <c r="J47" s="55">
        <f t="shared" si="221"/>
      </c>
      <c r="K47" s="55">
        <f t="shared" si="183"/>
      </c>
      <c r="L47" s="55">
        <f t="shared" si="145"/>
      </c>
      <c r="M47" s="56">
        <f t="shared" si="107"/>
      </c>
      <c r="N47" s="55">
        <f t="shared" si="58"/>
      </c>
      <c r="O47" s="55">
        <f t="shared" si="39"/>
      </c>
      <c r="P47" s="56">
        <f t="shared" si="20"/>
      </c>
      <c r="Q47" s="56">
        <f t="shared" si="1"/>
      </c>
      <c r="R47" s="56">
        <f t="shared" si="240"/>
      </c>
      <c r="S47" s="56">
        <f t="shared" si="202"/>
      </c>
      <c r="T47" s="57">
        <f t="shared" si="164"/>
      </c>
      <c r="U47" s="58">
        <v>0.036</v>
      </c>
      <c r="V47" s="59">
        <v>61</v>
      </c>
      <c r="W47" s="55">
        <f t="shared" si="126"/>
      </c>
      <c r="X47" s="57">
        <v>23425</v>
      </c>
      <c r="Y47" s="57">
        <v>234</v>
      </c>
      <c r="Z47" s="57">
        <v>48</v>
      </c>
      <c r="AA47" s="57">
        <v>230</v>
      </c>
      <c r="AB47" s="57">
        <v>29</v>
      </c>
      <c r="AC47" s="57">
        <v>10</v>
      </c>
      <c r="AD47" s="57">
        <v>1</v>
      </c>
      <c r="AE47" s="57">
        <v>37</v>
      </c>
      <c r="AF47" s="55">
        <f t="shared" si="77"/>
      </c>
      <c r="AG47" s="34" t="s">
        <v>56</v>
      </c>
      <c r="AH47" s="66" t="s">
        <v>52</v>
      </c>
      <c r="AI47" s="59">
        <v>22</v>
      </c>
    </row>
    <row r="48">
      <c r="A48" s="22"/>
      <c r="B48" s="60" t="s">
        <v>54</v>
      </c>
      <c r="C48" s="49" t="s">
        <v>64</v>
      </c>
      <c r="D48" s="80">
        <v>1859.44</v>
      </c>
      <c r="E48" s="65">
        <v>7</v>
      </c>
      <c r="F48" s="65">
        <v>6</v>
      </c>
      <c r="G48" s="52">
        <v>4</v>
      </c>
      <c r="H48" s="80">
        <v>4398.899999999994</v>
      </c>
      <c r="I48" s="65">
        <v>1</v>
      </c>
      <c r="J48" s="55">
        <f t="shared" si="221"/>
      </c>
      <c r="K48" s="55">
        <f t="shared" si="183"/>
      </c>
      <c r="L48" s="55">
        <f t="shared" si="145"/>
      </c>
      <c r="M48" s="56">
        <f t="shared" si="107"/>
      </c>
      <c r="N48" s="55">
        <f t="shared" si="58"/>
      </c>
      <c r="O48" s="55">
        <f t="shared" si="39"/>
      </c>
      <c r="P48" s="56">
        <f t="shared" si="20"/>
      </c>
      <c r="Q48" s="56">
        <f t="shared" si="1"/>
      </c>
      <c r="R48" s="56">
        <f t="shared" si="240"/>
      </c>
      <c r="S48" s="56">
        <f t="shared" si="202"/>
      </c>
      <c r="T48" s="57">
        <f t="shared" si="164"/>
      </c>
      <c r="U48" s="58">
        <v>0.0243</v>
      </c>
      <c r="V48" s="59">
        <v>64</v>
      </c>
      <c r="W48" s="55">
        <f t="shared" si="126"/>
      </c>
      <c r="X48" s="57">
        <v>23312</v>
      </c>
      <c r="Y48" s="57">
        <v>611</v>
      </c>
      <c r="Z48" s="57">
        <v>90</v>
      </c>
      <c r="AA48" s="57">
        <v>706</v>
      </c>
      <c r="AB48" s="57">
        <v>160</v>
      </c>
      <c r="AC48" s="57">
        <v>18</v>
      </c>
      <c r="AD48" s="57">
        <v>3</v>
      </c>
      <c r="AE48" s="59">
        <v>31</v>
      </c>
      <c r="AF48" s="55">
        <f t="shared" si="77"/>
      </c>
      <c r="AG48" s="34" t="s">
        <v>56</v>
      </c>
      <c r="AH48" s="66" t="s">
        <v>52</v>
      </c>
      <c r="AI48" s="59">
        <v>32</v>
      </c>
    </row>
    <row r="49">
      <c r="A49" s="22"/>
      <c r="B49" s="67" t="s">
        <v>46</v>
      </c>
      <c r="C49" s="67"/>
      <c r="D49" s="68">
        <f>SUM(D45:D48)</f>
      </c>
      <c r="E49" s="69">
        <f>SUM(E45:E48)</f>
      </c>
      <c r="F49" s="69">
        <f>SUM(F45:F48)</f>
      </c>
      <c r="G49" s="70">
        <f>SUM(G45:G48)</f>
      </c>
      <c r="H49" s="68">
        <f>SUM(H45:H48)</f>
      </c>
      <c r="I49" s="44">
        <f>SUM(I45:I48)</f>
      </c>
      <c r="J49" s="71">
        <f t="shared" si="221"/>
      </c>
      <c r="K49" s="71">
        <f t="shared" si="183"/>
      </c>
      <c r="L49" s="71">
        <f t="shared" si="145"/>
      </c>
      <c r="M49" s="72">
        <f t="shared" si="107"/>
      </c>
      <c r="N49" s="71">
        <f t="shared" si="58"/>
      </c>
      <c r="O49" s="71">
        <f t="shared" si="39"/>
      </c>
      <c r="P49" s="72">
        <f t="shared" si="20"/>
      </c>
      <c r="Q49" s="72">
        <f t="shared" si="1"/>
      </c>
      <c r="R49" s="72">
        <f t="shared" si="240"/>
      </c>
      <c r="S49" s="72">
        <f t="shared" si="202"/>
      </c>
      <c r="T49" s="73">
        <f t="shared" si="164"/>
      </c>
      <c r="U49" s="72">
        <f>AVERAGE(U45:U48)</f>
      </c>
      <c r="V49" s="68">
        <f>AVERAGE(V45:V48)</f>
      </c>
      <c r="W49" s="71">
        <f t="shared" si="126"/>
      </c>
      <c r="X49" s="73">
        <f>SUM(X45:X48)</f>
      </c>
      <c r="Y49" s="73">
        <f>SUM(Y45:Y48)</f>
      </c>
      <c r="Z49" s="73">
        <f>SUM(Z45:Z48)</f>
      </c>
      <c r="AA49" s="73">
        <f>SUM(AA45:AA48)</f>
      </c>
      <c r="AB49" s="73">
        <f>SUM(AB45:AB48)</f>
      </c>
      <c r="AC49" s="73">
        <f>SUM(AC45:AC48)</f>
      </c>
      <c r="AD49" s="73">
        <f>SUM(AD45:AD48)</f>
      </c>
      <c r="AE49" s="73">
        <f>SUM(AE45:AE48)</f>
      </c>
      <c r="AF49" s="74">
        <f t="shared" si="77"/>
      </c>
      <c r="AG49" s="75"/>
      <c r="AH49" s="75"/>
      <c r="AI49" s="70">
        <f>SUM(AI45:AI48)</f>
      </c>
    </row>
    <row r="50">
      <c r="A50" s="22"/>
      <c r="B50" s="82" t="s">
        <v>65</v>
      </c>
      <c r="C50" s="82"/>
      <c r="D50" s="83">
        <f>D33+D39+D44+D49</f>
      </c>
      <c r="E50" s="83">
        <f>E33+E39+E44+E49</f>
      </c>
      <c r="F50" s="83">
        <f>F33+F39+F44+F49</f>
      </c>
      <c r="G50" s="84">
        <f>G33+G39+G44+G49</f>
      </c>
      <c r="H50" s="83">
        <f>H33+H39+H44+H49</f>
      </c>
      <c r="I50" s="85">
        <f>I33+I39+I44+I49</f>
      </c>
      <c r="J50" s="86">
        <f t="shared" si="221"/>
      </c>
      <c r="K50" s="87">
        <f t="shared" si="183"/>
      </c>
      <c r="L50" s="87">
        <f t="shared" si="145"/>
      </c>
      <c r="M50" s="88">
        <f t="shared" si="107"/>
      </c>
      <c r="N50" s="87">
        <f t="shared" si="58"/>
      </c>
      <c r="O50" s="87">
        <f t="shared" si="39"/>
      </c>
      <c r="P50" s="88">
        <f t="shared" si="20"/>
      </c>
      <c r="Q50" s="88">
        <f t="shared" si="1"/>
      </c>
      <c r="R50" s="88">
        <f t="shared" si="240"/>
      </c>
      <c r="S50" s="88">
        <f t="shared" si="202"/>
      </c>
      <c r="T50" s="89">
        <f t="shared" si="164"/>
      </c>
      <c r="U50" s="88">
        <f>(U33+U44+U39+U49)/4</f>
      </c>
      <c r="V50" s="87">
        <f>(V33+V44+V39+V49)/4</f>
      </c>
      <c r="W50" s="90">
        <f t="shared" si="126"/>
      </c>
      <c r="X50" s="89">
        <f>X33+X39+X44+X49</f>
      </c>
      <c r="Y50" s="89">
        <f>Y33+Y39+Y44+Y49</f>
      </c>
      <c r="Z50" s="89">
        <f>Z33+Z39+Z44+Z49</f>
      </c>
      <c r="AA50" s="89">
        <f>AA33+AA39+AA44+AA49</f>
      </c>
      <c r="AB50" s="89">
        <f>AB33+AB39+AB44+AB49</f>
      </c>
      <c r="AC50" s="89">
        <f>AC33+AC39+AC44+AC49</f>
      </c>
      <c r="AD50" s="89">
        <f>AD33+AD39+AD44+AD49</f>
      </c>
      <c r="AE50" s="89">
        <f>AE33+AE39+AE44+AE49</f>
      </c>
      <c r="AF50" s="87">
        <f>AF33</f>
      </c>
      <c r="AG50" s="82"/>
      <c r="AH50" s="82"/>
      <c r="AI50" s="89">
        <f>AI33+AI39+AI44+AI49</f>
      </c>
    </row>
    <row r="51">
      <c r="A51" s="1" t="s">
        <v>66</v>
      </c>
      <c r="B51" s="2" t="s">
        <v>1</v>
      </c>
      <c r="C51" s="2"/>
      <c r="D51" s="3" t="s">
        <v>2</v>
      </c>
      <c r="E51" s="3"/>
      <c r="F51" s="3"/>
      <c r="G51" s="4"/>
      <c r="H51" s="3"/>
      <c r="I51" s="3"/>
      <c r="J51" s="3"/>
      <c r="K51" s="3"/>
      <c r="L51" s="3"/>
      <c r="M51" s="3"/>
      <c r="N51" s="3"/>
      <c r="O51" s="5" t="s">
        <v>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6"/>
    </row>
    <row r="52">
      <c r="A52" s="1"/>
      <c r="B52" s="2" t="s">
        <v>4</v>
      </c>
      <c r="C52" s="7" t="s">
        <v>5</v>
      </c>
      <c r="D52" s="8" t="s">
        <v>6</v>
      </c>
      <c r="E52" s="9" t="s">
        <v>7</v>
      </c>
      <c r="F52" s="10" t="s">
        <v>8</v>
      </c>
      <c r="G52" s="11" t="s">
        <v>9</v>
      </c>
      <c r="H52" s="8" t="s">
        <v>10</v>
      </c>
      <c r="I52" s="12" t="s">
        <v>11</v>
      </c>
      <c r="J52" s="13" t="s">
        <v>12</v>
      </c>
      <c r="K52" s="13" t="s">
        <v>13</v>
      </c>
      <c r="L52" s="13" t="s">
        <v>14</v>
      </c>
      <c r="M52" s="14" t="s">
        <v>15</v>
      </c>
      <c r="N52" s="13" t="s">
        <v>16</v>
      </c>
      <c r="O52" s="15" t="s">
        <v>17</v>
      </c>
      <c r="P52" s="16" t="s">
        <v>18</v>
      </c>
      <c r="Q52" s="16" t="s">
        <v>19</v>
      </c>
      <c r="R52" s="16" t="s">
        <v>20</v>
      </c>
      <c r="S52" s="16" t="s">
        <v>21</v>
      </c>
      <c r="T52" s="17" t="s">
        <v>22</v>
      </c>
      <c r="U52" s="18" t="s">
        <v>23</v>
      </c>
      <c r="V52" s="19" t="s">
        <v>24</v>
      </c>
      <c r="W52" s="5" t="s">
        <v>25</v>
      </c>
      <c r="X52" s="20" t="s">
        <v>26</v>
      </c>
      <c r="Y52" s="20" t="s">
        <v>27</v>
      </c>
      <c r="Z52" s="20" t="s">
        <v>28</v>
      </c>
      <c r="AA52" s="20" t="s">
        <v>29</v>
      </c>
      <c r="AB52" s="20" t="s">
        <v>30</v>
      </c>
      <c r="AC52" s="20" t="s">
        <v>31</v>
      </c>
      <c r="AD52" s="20" t="s">
        <v>32</v>
      </c>
      <c r="AE52" s="20" t="s">
        <v>33</v>
      </c>
      <c r="AF52" s="5" t="s">
        <v>34</v>
      </c>
      <c r="AG52" s="21" t="s">
        <v>35</v>
      </c>
      <c r="AH52" s="21" t="s">
        <v>36</v>
      </c>
      <c r="AI52" s="6" t="s">
        <v>37</v>
      </c>
    </row>
    <row r="53">
      <c r="A53" s="22">
        <v>46206</v>
      </c>
      <c r="B53" s="49" t="s">
        <v>47</v>
      </c>
      <c r="C53" s="24" t="s">
        <v>39</v>
      </c>
      <c r="D53" s="25">
        <v>3898.77</v>
      </c>
      <c r="E53" s="26">
        <v>8</v>
      </c>
      <c r="F53" s="26">
        <v>4</v>
      </c>
      <c r="G53" s="27">
        <v>4</v>
      </c>
      <c r="H53" s="25">
        <v>2523.4</v>
      </c>
      <c r="I53" s="26">
        <v>1</v>
      </c>
      <c r="J53" s="28">
        <f t="shared" ref="J53:J75" si="222">H53/D53</f>
      </c>
      <c r="K53" s="29">
        <f t="shared" ref="K53:K75" si="184">D53/F53</f>
      </c>
      <c r="L53" s="29">
        <f t="shared" ref="L53:L75" si="146">D53/G53</f>
      </c>
      <c r="M53" s="30">
        <f t="shared" ref="M53:M75" si="108">F53/E53</f>
      </c>
      <c r="N53" s="29">
        <f t="shared" ref="N53:N75" si="59">H53/F53</f>
      </c>
      <c r="O53" s="29">
        <f t="shared" ref="O53:O75" si="40">D53/Y53</f>
      </c>
      <c r="P53" s="30">
        <f t="shared" ref="P53:P75" si="21">T53/X53*1</f>
      </c>
      <c r="Q53" s="30">
        <f t="shared" ref="Q53:Q75" si="2">Y53/X53</f>
      </c>
      <c r="R53" s="30">
        <f t="shared" ref="R53:R75" si="241">AA53/X53</f>
      </c>
      <c r="S53" s="30">
        <f t="shared" ref="S53:S75" si="203">AB53/AA53</f>
      </c>
      <c r="T53" s="31">
        <f t="shared" ref="T53:T75" si="165">Z53/U53</f>
      </c>
      <c r="U53" s="32">
        <v>0.0362</v>
      </c>
      <c r="V53" s="33">
        <v>43</v>
      </c>
      <c r="W53" s="29">
        <f t="shared" ref="W53:W75" si="127">(D53/X53)*1000</f>
      </c>
      <c r="X53" s="33">
        <v>28626</v>
      </c>
      <c r="Y53" s="33">
        <v>883</v>
      </c>
      <c r="Z53" s="31">
        <v>110</v>
      </c>
      <c r="AA53" s="31">
        <v>1392</v>
      </c>
      <c r="AB53" s="31">
        <v>117</v>
      </c>
      <c r="AC53" s="31">
        <v>8</v>
      </c>
      <c r="AD53" s="33">
        <v>1</v>
      </c>
      <c r="AE53" s="33">
        <v>48</v>
      </c>
      <c r="AF53" s="29">
        <f t="shared" ref="AF53:AF74" si="78">AI53*1000/D53</f>
      </c>
      <c r="AG53" s="34" t="s">
        <v>40</v>
      </c>
      <c r="AH53" s="35" t="s">
        <v>41</v>
      </c>
      <c r="AI53" s="33">
        <v>45</v>
      </c>
    </row>
    <row r="54">
      <c r="A54" s="22"/>
      <c r="B54" s="49" t="s">
        <v>47</v>
      </c>
      <c r="C54" s="24" t="s">
        <v>42</v>
      </c>
      <c r="D54" s="25">
        <v>2553.95</v>
      </c>
      <c r="E54" s="26">
        <v>10</v>
      </c>
      <c r="F54" s="26">
        <v>7</v>
      </c>
      <c r="G54" s="27">
        <v>7</v>
      </c>
      <c r="H54" s="25">
        <v>5379</v>
      </c>
      <c r="I54" s="26">
        <v>3</v>
      </c>
      <c r="J54" s="28">
        <f t="shared" si="222"/>
      </c>
      <c r="K54" s="29">
        <f t="shared" si="184"/>
      </c>
      <c r="L54" s="29">
        <f t="shared" si="146"/>
      </c>
      <c r="M54" s="30">
        <f t="shared" si="108"/>
      </c>
      <c r="N54" s="29">
        <f t="shared" si="59"/>
      </c>
      <c r="O54" s="29">
        <f t="shared" si="40"/>
      </c>
      <c r="P54" s="30">
        <f t="shared" si="21"/>
      </c>
      <c r="Q54" s="30">
        <f t="shared" si="2"/>
      </c>
      <c r="R54" s="30">
        <f t="shared" si="241"/>
      </c>
      <c r="S54" s="30">
        <f t="shared" si="203"/>
      </c>
      <c r="T54" s="31">
        <f t="shared" si="165"/>
      </c>
      <c r="U54" s="32">
        <v>0.0253</v>
      </c>
      <c r="V54" s="33">
        <v>48</v>
      </c>
      <c r="W54" s="29">
        <f t="shared" si="127"/>
      </c>
      <c r="X54" s="33">
        <v>19302</v>
      </c>
      <c r="Y54" s="33">
        <v>608</v>
      </c>
      <c r="Z54" s="31">
        <v>87</v>
      </c>
      <c r="AA54" s="31">
        <v>1024</v>
      </c>
      <c r="AB54" s="33">
        <v>87</v>
      </c>
      <c r="AC54" s="31">
        <v>13</v>
      </c>
      <c r="AD54" s="33">
        <v>0</v>
      </c>
      <c r="AE54" s="33">
        <v>28</v>
      </c>
      <c r="AF54" s="29">
        <f t="shared" si="78"/>
      </c>
      <c r="AG54" s="34" t="s">
        <v>40</v>
      </c>
      <c r="AH54" s="35" t="s">
        <v>41</v>
      </c>
      <c r="AI54" s="33">
        <v>40</v>
      </c>
    </row>
    <row r="55">
      <c r="A55" s="22"/>
      <c r="B55" s="49" t="s">
        <v>47</v>
      </c>
      <c r="C55" s="24" t="s">
        <v>43</v>
      </c>
      <c r="D55" s="25">
        <v>3395.82</v>
      </c>
      <c r="E55" s="26">
        <v>13</v>
      </c>
      <c r="F55" s="26">
        <v>10</v>
      </c>
      <c r="G55" s="27">
        <v>5</v>
      </c>
      <c r="H55" s="25">
        <v>7306.200000000001</v>
      </c>
      <c r="I55" s="26">
        <v>2</v>
      </c>
      <c r="J55" s="28">
        <f t="shared" si="222"/>
      </c>
      <c r="K55" s="29">
        <f t="shared" si="184"/>
      </c>
      <c r="L55" s="29">
        <f t="shared" si="146"/>
      </c>
      <c r="M55" s="30">
        <f t="shared" si="108"/>
      </c>
      <c r="N55" s="29">
        <f t="shared" si="59"/>
      </c>
      <c r="O55" s="29">
        <f t="shared" si="40"/>
      </c>
      <c r="P55" s="30">
        <f t="shared" si="21"/>
      </c>
      <c r="Q55" s="30">
        <f t="shared" si="2"/>
      </c>
      <c r="R55" s="30">
        <f t="shared" si="241"/>
      </c>
      <c r="S55" s="30">
        <f t="shared" si="203"/>
      </c>
      <c r="T55" s="31">
        <f t="shared" si="165"/>
      </c>
      <c r="U55" s="32">
        <v>0.0297</v>
      </c>
      <c r="V55" s="33">
        <v>52</v>
      </c>
      <c r="W55" s="29">
        <f t="shared" si="127"/>
      </c>
      <c r="X55" s="33">
        <v>23299</v>
      </c>
      <c r="Y55" s="33">
        <v>632</v>
      </c>
      <c r="Z55" s="31">
        <v>94</v>
      </c>
      <c r="AA55" s="31">
        <v>994</v>
      </c>
      <c r="AB55" s="33">
        <v>103</v>
      </c>
      <c r="AC55" s="31">
        <v>9</v>
      </c>
      <c r="AD55" s="33">
        <v>3</v>
      </c>
      <c r="AE55" s="33">
        <v>21</v>
      </c>
      <c r="AF55" s="29">
        <f t="shared" si="78"/>
      </c>
      <c r="AG55" s="34" t="s">
        <v>40</v>
      </c>
      <c r="AH55" s="35" t="s">
        <v>41</v>
      </c>
      <c r="AI55" s="33">
        <v>40</v>
      </c>
    </row>
    <row r="56">
      <c r="A56" s="22"/>
      <c r="B56" s="49" t="s">
        <v>47</v>
      </c>
      <c r="C56" s="36" t="s">
        <v>44</v>
      </c>
      <c r="D56" s="25">
        <v>4332.25</v>
      </c>
      <c r="E56" s="26">
        <v>17</v>
      </c>
      <c r="F56" s="26">
        <v>12</v>
      </c>
      <c r="G56" s="27">
        <v>9</v>
      </c>
      <c r="H56" s="25">
        <v>5772.800000000001</v>
      </c>
      <c r="I56" s="26">
        <v>1</v>
      </c>
      <c r="J56" s="28">
        <f t="shared" si="222"/>
      </c>
      <c r="K56" s="29">
        <f t="shared" si="184"/>
      </c>
      <c r="L56" s="29">
        <f t="shared" si="146"/>
      </c>
      <c r="M56" s="30">
        <f t="shared" si="108"/>
      </c>
      <c r="N56" s="29">
        <f t="shared" si="59"/>
      </c>
      <c r="O56" s="29">
        <f t="shared" si="40"/>
      </c>
      <c r="P56" s="30">
        <f t="shared" si="21"/>
      </c>
      <c r="Q56" s="30">
        <f t="shared" si="2"/>
      </c>
      <c r="R56" s="30">
        <f t="shared" si="241"/>
      </c>
      <c r="S56" s="30">
        <f t="shared" si="203"/>
      </c>
      <c r="T56" s="31">
        <f t="shared" si="165"/>
      </c>
      <c r="U56" s="32">
        <v>0.0346</v>
      </c>
      <c r="V56" s="33">
        <v>58</v>
      </c>
      <c r="W56" s="29">
        <f t="shared" si="127"/>
      </c>
      <c r="X56" s="33">
        <v>31749</v>
      </c>
      <c r="Y56" s="33">
        <v>1113</v>
      </c>
      <c r="Z56" s="33">
        <v>141</v>
      </c>
      <c r="AA56" s="33">
        <v>1656</v>
      </c>
      <c r="AB56" s="33">
        <v>164</v>
      </c>
      <c r="AC56" s="33">
        <v>25</v>
      </c>
      <c r="AD56" s="33">
        <v>2</v>
      </c>
      <c r="AE56" s="33">
        <v>28</v>
      </c>
      <c r="AF56" s="29">
        <f t="shared" si="78"/>
      </c>
      <c r="AG56" s="34" t="s">
        <v>40</v>
      </c>
      <c r="AH56" s="35" t="s">
        <v>41</v>
      </c>
      <c r="AI56" s="33">
        <v>61</v>
      </c>
    </row>
    <row r="57">
      <c r="A57" s="22"/>
      <c r="B57" s="49" t="s">
        <v>47</v>
      </c>
      <c r="C57" s="24" t="s">
        <v>45</v>
      </c>
      <c r="D57" s="37">
        <v>4859.2</v>
      </c>
      <c r="E57" s="38">
        <v>18</v>
      </c>
      <c r="F57" s="38">
        <v>13</v>
      </c>
      <c r="G57" s="39">
        <v>13</v>
      </c>
      <c r="H57" s="37">
        <v>9460.000000000004</v>
      </c>
      <c r="I57" s="38">
        <v>3</v>
      </c>
      <c r="J57" s="29">
        <f t="shared" si="222"/>
      </c>
      <c r="K57" s="29">
        <f t="shared" si="184"/>
      </c>
      <c r="L57" s="29">
        <f t="shared" si="146"/>
      </c>
      <c r="M57" s="30">
        <f t="shared" si="108"/>
      </c>
      <c r="N57" s="29">
        <f t="shared" si="59"/>
      </c>
      <c r="O57" s="29">
        <f t="shared" si="40"/>
      </c>
      <c r="P57" s="30">
        <f t="shared" si="21"/>
      </c>
      <c r="Q57" s="30">
        <f t="shared" si="2"/>
      </c>
      <c r="R57" s="30">
        <f t="shared" si="241"/>
      </c>
      <c r="S57" s="30">
        <f t="shared" si="203"/>
      </c>
      <c r="T57" s="31">
        <f t="shared" si="165"/>
      </c>
      <c r="U57" s="32">
        <v>0.0238</v>
      </c>
      <c r="V57" s="33">
        <v>61</v>
      </c>
      <c r="W57" s="29">
        <f t="shared" si="127"/>
      </c>
      <c r="X57" s="31">
        <v>35827</v>
      </c>
      <c r="Y57" s="31">
        <v>923</v>
      </c>
      <c r="Z57" s="31">
        <v>105</v>
      </c>
      <c r="AA57" s="31">
        <v>1439</v>
      </c>
      <c r="AB57" s="31">
        <v>142</v>
      </c>
      <c r="AC57" s="31">
        <v>16</v>
      </c>
      <c r="AD57" s="31">
        <v>3</v>
      </c>
      <c r="AE57" s="33">
        <v>39</v>
      </c>
      <c r="AF57" s="29">
        <f t="shared" si="78"/>
      </c>
      <c r="AG57" s="34" t="s">
        <v>40</v>
      </c>
      <c r="AH57" s="35" t="s">
        <v>41</v>
      </c>
      <c r="AI57" s="33">
        <v>56</v>
      </c>
    </row>
    <row r="58">
      <c r="A58" s="22"/>
      <c r="B58" s="40" t="s">
        <v>46</v>
      </c>
      <c r="C58" s="40"/>
      <c r="D58" s="41">
        <f>SUM(D53:D57)</f>
      </c>
      <c r="E58" s="42">
        <f>SUM(E53:E57)</f>
      </c>
      <c r="F58" s="42">
        <f>SUM(F53:F57)</f>
      </c>
      <c r="G58" s="43">
        <f>SUM(G53:G57)</f>
      </c>
      <c r="H58" s="41">
        <f>SUM(H53:H57)</f>
      </c>
      <c r="I58" s="44">
        <f>SUM(I53:I57)</f>
      </c>
      <c r="J58" s="45">
        <f t="shared" si="222"/>
      </c>
      <c r="K58" s="45">
        <f t="shared" si="184"/>
      </c>
      <c r="L58" s="45">
        <f t="shared" si="146"/>
      </c>
      <c r="M58" s="46">
        <f t="shared" si="108"/>
      </c>
      <c r="N58" s="45">
        <f t="shared" si="59"/>
      </c>
      <c r="O58" s="45">
        <f t="shared" si="40"/>
      </c>
      <c r="P58" s="46">
        <f t="shared" si="21"/>
      </c>
      <c r="Q58" s="46">
        <f t="shared" si="2"/>
      </c>
      <c r="R58" s="46">
        <f t="shared" si="241"/>
      </c>
      <c r="S58" s="46">
        <f t="shared" si="203"/>
      </c>
      <c r="T58" s="42">
        <f t="shared" si="165"/>
      </c>
      <c r="U58" s="46">
        <f>AVERAGE(U53:U57)</f>
      </c>
      <c r="V58" s="41">
        <f>AVERAGE(V53:V57)</f>
      </c>
      <c r="W58" s="45">
        <f t="shared" si="127"/>
      </c>
      <c r="X58" s="42">
        <f>SUM(X53:X57)</f>
      </c>
      <c r="Y58" s="42">
        <f>SUM(Y53:Y57)</f>
      </c>
      <c r="Z58" s="42">
        <f>SUM(Z53:Z57)</f>
      </c>
      <c r="AA58" s="42">
        <f>SUM(AA53:AA57)</f>
      </c>
      <c r="AB58" s="42">
        <f>SUM(AB53:AB57)</f>
      </c>
      <c r="AC58" s="42">
        <f>SUM(AC53:AC57)</f>
      </c>
      <c r="AD58" s="42">
        <f>SUM(AD53:AD57)</f>
      </c>
      <c r="AE58" s="42">
        <f>SUM(AE53:AE57)</f>
      </c>
      <c r="AF58" s="47">
        <f t="shared" si="78"/>
      </c>
      <c r="AG58" s="48"/>
      <c r="AH58" s="48"/>
      <c r="AI58" s="43">
        <f>SUM(AI53:AI57)</f>
      </c>
    </row>
    <row r="59">
      <c r="A59" s="22"/>
      <c r="B59" s="23" t="s">
        <v>38</v>
      </c>
      <c r="C59" s="23" t="s">
        <v>48</v>
      </c>
      <c r="D59" s="50">
        <v>8101.24</v>
      </c>
      <c r="E59" s="51">
        <v>16</v>
      </c>
      <c r="F59" s="51">
        <v>11</v>
      </c>
      <c r="G59" s="52">
        <v>10</v>
      </c>
      <c r="H59" s="53">
        <v>7389.799999999999</v>
      </c>
      <c r="I59" s="54">
        <v>2</v>
      </c>
      <c r="J59" s="55">
        <f t="shared" si="222"/>
      </c>
      <c r="K59" s="55">
        <f t="shared" si="184"/>
      </c>
      <c r="L59" s="55">
        <f t="shared" si="146"/>
      </c>
      <c r="M59" s="56">
        <f t="shared" si="108"/>
      </c>
      <c r="N59" s="55">
        <f t="shared" si="59"/>
      </c>
      <c r="O59" s="55">
        <f t="shared" si="40"/>
      </c>
      <c r="P59" s="56">
        <f t="shared" si="21"/>
      </c>
      <c r="Q59" s="56">
        <f t="shared" si="2"/>
      </c>
      <c r="R59" s="56">
        <f t="shared" si="241"/>
      </c>
      <c r="S59" s="56">
        <f t="shared" si="203"/>
      </c>
      <c r="T59" s="57">
        <f t="shared" si="165"/>
      </c>
      <c r="U59" s="58">
        <v>0.0426</v>
      </c>
      <c r="V59" s="59">
        <v>59</v>
      </c>
      <c r="W59" s="55">
        <f t="shared" si="127"/>
      </c>
      <c r="X59" s="57">
        <v>65555</v>
      </c>
      <c r="Y59" s="57">
        <v>1411</v>
      </c>
      <c r="Z59" s="57">
        <v>210</v>
      </c>
      <c r="AA59" s="57">
        <v>2125</v>
      </c>
      <c r="AB59" s="57">
        <v>185</v>
      </c>
      <c r="AC59" s="57">
        <v>28</v>
      </c>
      <c r="AD59" s="57">
        <v>5</v>
      </c>
      <c r="AE59" s="57">
        <v>106</v>
      </c>
      <c r="AF59" s="55">
        <f t="shared" si="78"/>
      </c>
      <c r="AG59" s="34" t="s">
        <v>40</v>
      </c>
      <c r="AH59" s="35" t="s">
        <v>41</v>
      </c>
      <c r="AI59" s="59">
        <v>82</v>
      </c>
    </row>
    <row r="60">
      <c r="A60" s="22"/>
      <c r="B60" s="23" t="s">
        <v>38</v>
      </c>
      <c r="C60" s="60" t="s">
        <v>49</v>
      </c>
      <c r="D60" s="50">
        <v>4573.39</v>
      </c>
      <c r="E60" s="51">
        <v>17</v>
      </c>
      <c r="F60" s="51">
        <v>14</v>
      </c>
      <c r="G60" s="52">
        <v>12</v>
      </c>
      <c r="H60" s="53">
        <v>9699.799999999996</v>
      </c>
      <c r="I60" s="54">
        <v>3</v>
      </c>
      <c r="J60" s="55">
        <f t="shared" si="222"/>
      </c>
      <c r="K60" s="55">
        <f t="shared" si="184"/>
      </c>
      <c r="L60" s="55">
        <f t="shared" si="146"/>
      </c>
      <c r="M60" s="56">
        <f t="shared" si="108"/>
      </c>
      <c r="N60" s="55">
        <f t="shared" si="59"/>
      </c>
      <c r="O60" s="55">
        <f t="shared" si="40"/>
      </c>
      <c r="P60" s="56">
        <f t="shared" si="21"/>
      </c>
      <c r="Q60" s="56">
        <f t="shared" si="2"/>
      </c>
      <c r="R60" s="56">
        <f t="shared" si="241"/>
      </c>
      <c r="S60" s="56">
        <f t="shared" si="203"/>
      </c>
      <c r="T60" s="57">
        <f t="shared" si="165"/>
      </c>
      <c r="U60" s="58">
        <v>0.0284</v>
      </c>
      <c r="V60" s="59">
        <v>60</v>
      </c>
      <c r="W60" s="55">
        <f t="shared" si="127"/>
      </c>
      <c r="X60" s="57">
        <v>43190</v>
      </c>
      <c r="Y60" s="57">
        <v>928</v>
      </c>
      <c r="Z60" s="57">
        <v>112</v>
      </c>
      <c r="AA60" s="57">
        <v>1458</v>
      </c>
      <c r="AB60" s="57">
        <v>95</v>
      </c>
      <c r="AC60" s="57">
        <v>11</v>
      </c>
      <c r="AD60" s="57">
        <v>1</v>
      </c>
      <c r="AE60" s="57">
        <v>64</v>
      </c>
      <c r="AF60" s="55">
        <f t="shared" si="78"/>
      </c>
      <c r="AG60" s="34" t="s">
        <v>40</v>
      </c>
      <c r="AH60" s="35" t="s">
        <v>41</v>
      </c>
      <c r="AI60" s="59">
        <v>39</v>
      </c>
    </row>
    <row r="61">
      <c r="A61" s="22"/>
      <c r="B61" s="23" t="s">
        <v>38</v>
      </c>
      <c r="C61" s="61" t="s">
        <v>50</v>
      </c>
      <c r="D61" s="62">
        <v>4067.29</v>
      </c>
      <c r="E61" s="63">
        <v>14</v>
      </c>
      <c r="F61" s="63">
        <v>10</v>
      </c>
      <c r="G61" s="64">
        <v>9</v>
      </c>
      <c r="H61" s="53">
        <v>5682.600000000006</v>
      </c>
      <c r="I61" s="54">
        <v>2</v>
      </c>
      <c r="J61" s="55">
        <f t="shared" si="222"/>
      </c>
      <c r="K61" s="55">
        <f t="shared" si="184"/>
      </c>
      <c r="L61" s="55">
        <f t="shared" si="146"/>
      </c>
      <c r="M61" s="56">
        <f t="shared" si="108"/>
      </c>
      <c r="N61" s="55">
        <f t="shared" si="59"/>
      </c>
      <c r="O61" s="55">
        <f t="shared" si="40"/>
      </c>
      <c r="P61" s="56">
        <f t="shared" si="21"/>
      </c>
      <c r="Q61" s="56">
        <f t="shared" si="2"/>
      </c>
      <c r="R61" s="56">
        <f t="shared" si="241"/>
      </c>
      <c r="S61" s="56">
        <f t="shared" si="203"/>
      </c>
      <c r="T61" s="57">
        <f t="shared" si="165"/>
      </c>
      <c r="U61" s="58">
        <v>0.0255</v>
      </c>
      <c r="V61" s="59">
        <v>59</v>
      </c>
      <c r="W61" s="55">
        <f t="shared" si="127"/>
      </c>
      <c r="X61" s="57">
        <v>42102</v>
      </c>
      <c r="Y61" s="57">
        <v>693</v>
      </c>
      <c r="Z61" s="57">
        <v>105</v>
      </c>
      <c r="AA61" s="57">
        <v>761</v>
      </c>
      <c r="AB61" s="57">
        <v>83</v>
      </c>
      <c r="AC61" s="57">
        <v>10</v>
      </c>
      <c r="AD61" s="57">
        <v>9</v>
      </c>
      <c r="AE61" s="57">
        <v>43</v>
      </c>
      <c r="AF61" s="55">
        <f t="shared" si="78"/>
      </c>
      <c r="AG61" s="34" t="s">
        <v>40</v>
      </c>
      <c r="AH61" s="35" t="s">
        <v>41</v>
      </c>
      <c r="AI61" s="59">
        <v>47</v>
      </c>
    </row>
    <row r="62">
      <c r="A62" s="22"/>
      <c r="B62" s="23" t="s">
        <v>38</v>
      </c>
      <c r="C62" s="60" t="s">
        <v>51</v>
      </c>
      <c r="D62" s="50">
        <v>5201.12</v>
      </c>
      <c r="E62" s="63">
        <v>15</v>
      </c>
      <c r="F62" s="63">
        <v>13</v>
      </c>
      <c r="G62" s="64">
        <v>13</v>
      </c>
      <c r="H62" s="50">
        <v>8025.600000000006</v>
      </c>
      <c r="I62" s="65">
        <v>2</v>
      </c>
      <c r="J62" s="55">
        <f t="shared" si="222"/>
      </c>
      <c r="K62" s="55">
        <f t="shared" si="184"/>
      </c>
      <c r="L62" s="55">
        <f t="shared" si="146"/>
      </c>
      <c r="M62" s="56">
        <f t="shared" si="108"/>
      </c>
      <c r="N62" s="55">
        <f t="shared" si="59"/>
      </c>
      <c r="O62" s="55">
        <f t="shared" si="40"/>
      </c>
      <c r="P62" s="56">
        <f t="shared" si="21"/>
      </c>
      <c r="Q62" s="56">
        <f t="shared" si="2"/>
      </c>
      <c r="R62" s="56">
        <f t="shared" si="241"/>
      </c>
      <c r="S62" s="56">
        <f t="shared" si="203"/>
      </c>
      <c r="T62" s="57">
        <f t="shared" si="165"/>
      </c>
      <c r="U62" s="58">
        <v>0.0243</v>
      </c>
      <c r="V62" s="59">
        <v>59</v>
      </c>
      <c r="W62" s="55">
        <f t="shared" si="127"/>
      </c>
      <c r="X62" s="57">
        <v>50511</v>
      </c>
      <c r="Y62" s="57">
        <v>1195</v>
      </c>
      <c r="Z62" s="57">
        <v>142</v>
      </c>
      <c r="AA62" s="57">
        <v>1821</v>
      </c>
      <c r="AB62" s="57">
        <v>107</v>
      </c>
      <c r="AC62" s="57">
        <v>18</v>
      </c>
      <c r="AD62" s="57">
        <v>2</v>
      </c>
      <c r="AE62" s="59">
        <v>79</v>
      </c>
      <c r="AF62" s="55">
        <f t="shared" si="78"/>
      </c>
      <c r="AG62" s="34" t="s">
        <v>40</v>
      </c>
      <c r="AH62" s="35" t="s">
        <v>41</v>
      </c>
      <c r="AI62" s="59">
        <v>42</v>
      </c>
    </row>
    <row r="63">
      <c r="A63" s="22"/>
      <c r="B63" s="23" t="s">
        <v>38</v>
      </c>
      <c r="C63" s="49" t="s">
        <v>53</v>
      </c>
      <c r="D63" s="50">
        <v>2585.77</v>
      </c>
      <c r="E63" s="65">
        <v>6</v>
      </c>
      <c r="F63" s="65">
        <v>4</v>
      </c>
      <c r="G63" s="52">
        <v>2</v>
      </c>
      <c r="H63" s="50">
        <v>3242.800000000003</v>
      </c>
      <c r="I63" s="65">
        <v>3</v>
      </c>
      <c r="J63" s="55">
        <f t="shared" si="222"/>
      </c>
      <c r="K63" s="55">
        <f t="shared" si="184"/>
      </c>
      <c r="L63" s="55">
        <f t="shared" si="146"/>
      </c>
      <c r="M63" s="56">
        <f t="shared" si="108"/>
      </c>
      <c r="N63" s="55">
        <f t="shared" si="59"/>
      </c>
      <c r="O63" s="55">
        <f t="shared" si="40"/>
      </c>
      <c r="P63" s="56">
        <f t="shared" si="21"/>
      </c>
      <c r="Q63" s="56">
        <f t="shared" si="2"/>
      </c>
      <c r="R63" s="56">
        <f t="shared" si="241"/>
      </c>
      <c r="S63" s="56">
        <f t="shared" si="203"/>
      </c>
      <c r="T63" s="57">
        <f t="shared" si="165"/>
      </c>
      <c r="U63" s="58">
        <v>0.0494</v>
      </c>
      <c r="V63" s="59">
        <v>61</v>
      </c>
      <c r="W63" s="55">
        <f t="shared" si="127"/>
      </c>
      <c r="X63" s="57">
        <v>38219</v>
      </c>
      <c r="Y63" s="57">
        <v>304</v>
      </c>
      <c r="Z63" s="57">
        <v>84</v>
      </c>
      <c r="AA63" s="57">
        <v>305</v>
      </c>
      <c r="AB63" s="57">
        <v>102</v>
      </c>
      <c r="AC63" s="57">
        <v>14</v>
      </c>
      <c r="AD63" s="57">
        <v>1</v>
      </c>
      <c r="AE63" s="57">
        <v>37</v>
      </c>
      <c r="AF63" s="55">
        <f t="shared" si="78"/>
      </c>
      <c r="AG63" s="34" t="s">
        <v>40</v>
      </c>
      <c r="AH63" s="35" t="s">
        <v>41</v>
      </c>
      <c r="AI63" s="59">
        <v>40</v>
      </c>
    </row>
    <row r="64">
      <c r="A64" s="22"/>
      <c r="B64" s="67" t="s">
        <v>46</v>
      </c>
      <c r="C64" s="67"/>
      <c r="D64" s="68">
        <f>SUM(D59:D63)</f>
      </c>
      <c r="E64" s="69">
        <f>SUM(E59:E63)</f>
      </c>
      <c r="F64" s="69">
        <f>SUM(F59:F63)</f>
      </c>
      <c r="G64" s="70">
        <f>SUM(G59:G63)</f>
      </c>
      <c r="H64" s="68">
        <f>SUM(H59:H63)</f>
      </c>
      <c r="I64" s="69">
        <f>SUM(I59:I63)</f>
      </c>
      <c r="J64" s="71">
        <f t="shared" si="222"/>
      </c>
      <c r="K64" s="71">
        <f t="shared" si="184"/>
      </c>
      <c r="L64" s="71">
        <f t="shared" si="146"/>
      </c>
      <c r="M64" s="72">
        <f t="shared" si="108"/>
      </c>
      <c r="N64" s="71">
        <f t="shared" si="59"/>
      </c>
      <c r="O64" s="71">
        <f t="shared" si="40"/>
      </c>
      <c r="P64" s="72">
        <f t="shared" si="21"/>
      </c>
      <c r="Q64" s="72">
        <f t="shared" si="2"/>
      </c>
      <c r="R64" s="72">
        <f t="shared" si="241"/>
      </c>
      <c r="S64" s="72">
        <f t="shared" si="203"/>
      </c>
      <c r="T64" s="73">
        <f t="shared" si="165"/>
      </c>
      <c r="U64" s="72">
        <f>AVERAGE(U60:U63)</f>
      </c>
      <c r="V64" s="41">
        <f>AVERAGE(V59:V63)</f>
      </c>
      <c r="W64" s="71">
        <f t="shared" si="127"/>
      </c>
      <c r="X64" s="73">
        <f>SUM(X59:X63)</f>
      </c>
      <c r="Y64" s="73">
        <f>SUM(Y59:Y63)</f>
      </c>
      <c r="Z64" s="73">
        <f>SUM(Z59:Z63)</f>
      </c>
      <c r="AA64" s="73">
        <f>SUM(AA59:AA63)</f>
      </c>
      <c r="AB64" s="73">
        <f>SUM(AB59:AB63)</f>
      </c>
      <c r="AC64" s="73">
        <f>SUM(AC59:AC63)</f>
      </c>
      <c r="AD64" s="73">
        <f>SUM(AD59:AD63)</f>
      </c>
      <c r="AE64" s="73">
        <f>SUM(AE59:AE63)</f>
      </c>
      <c r="AF64" s="74">
        <f t="shared" si="78"/>
      </c>
      <c r="AG64" s="75"/>
      <c r="AH64" s="75"/>
      <c r="AI64" s="70">
        <f>SUM(AI59:AI63)</f>
      </c>
    </row>
    <row r="65">
      <c r="A65" s="22"/>
      <c r="B65" s="49" t="s">
        <v>67</v>
      </c>
      <c r="C65" s="60" t="s">
        <v>55</v>
      </c>
      <c r="D65" s="23">
        <v>3881.81</v>
      </c>
      <c r="E65" s="26">
        <v>10</v>
      </c>
      <c r="F65" s="26">
        <v>7</v>
      </c>
      <c r="G65" s="27">
        <v>5</v>
      </c>
      <c r="H65" s="76">
        <v>4298.799999999988</v>
      </c>
      <c r="I65" s="26">
        <v>2</v>
      </c>
      <c r="J65" s="29">
        <f t="shared" si="222"/>
      </c>
      <c r="K65" s="29">
        <f t="shared" si="184"/>
      </c>
      <c r="L65" s="29">
        <f t="shared" si="146"/>
      </c>
      <c r="M65" s="30">
        <f t="shared" si="108"/>
      </c>
      <c r="N65" s="29">
        <f t="shared" si="59"/>
      </c>
      <c r="O65" s="29">
        <f t="shared" si="40"/>
      </c>
      <c r="P65" s="30">
        <f t="shared" si="21"/>
      </c>
      <c r="Q65" s="30">
        <f t="shared" si="2"/>
      </c>
      <c r="R65" s="30">
        <f t="shared" si="241"/>
      </c>
      <c r="S65" s="30">
        <f t="shared" si="203"/>
      </c>
      <c r="T65" s="31">
        <f t="shared" si="165"/>
      </c>
      <c r="U65" s="32">
        <v>0.0264</v>
      </c>
      <c r="V65" s="33">
        <v>60</v>
      </c>
      <c r="W65" s="29">
        <f t="shared" si="127"/>
      </c>
      <c r="X65" s="33">
        <v>53716</v>
      </c>
      <c r="Y65" s="33">
        <v>789</v>
      </c>
      <c r="Z65" s="31">
        <v>111</v>
      </c>
      <c r="AA65" s="31">
        <v>1072</v>
      </c>
      <c r="AB65" s="31">
        <v>61</v>
      </c>
      <c r="AC65" s="31">
        <v>10</v>
      </c>
      <c r="AD65" s="33">
        <v>4</v>
      </c>
      <c r="AE65" s="33">
        <v>53</v>
      </c>
      <c r="AF65" s="29">
        <f t="shared" si="78"/>
      </c>
      <c r="AG65" s="34" t="s">
        <v>56</v>
      </c>
      <c r="AH65" s="66" t="s">
        <v>52</v>
      </c>
      <c r="AI65" s="33">
        <v>46</v>
      </c>
    </row>
    <row r="66">
      <c r="A66" s="22"/>
      <c r="B66" s="49" t="s">
        <v>67</v>
      </c>
      <c r="C66" s="61" t="s">
        <v>57</v>
      </c>
      <c r="D66" s="23">
        <v>3395.14</v>
      </c>
      <c r="E66" s="26">
        <v>3</v>
      </c>
      <c r="F66" s="26">
        <v>1</v>
      </c>
      <c r="G66" s="27">
        <v>1</v>
      </c>
      <c r="H66" s="76">
        <v>1483.9</v>
      </c>
      <c r="I66" s="26">
        <v>1</v>
      </c>
      <c r="J66" s="29">
        <f t="shared" si="222"/>
      </c>
      <c r="K66" s="29">
        <f t="shared" si="184"/>
      </c>
      <c r="L66" s="29">
        <f t="shared" si="146"/>
      </c>
      <c r="M66" s="30">
        <f t="shared" si="108"/>
      </c>
      <c r="N66" s="29">
        <f t="shared" si="59"/>
      </c>
      <c r="O66" s="29">
        <f t="shared" si="40"/>
      </c>
      <c r="P66" s="30">
        <f t="shared" si="21"/>
      </c>
      <c r="Q66" s="30">
        <f t="shared" si="2"/>
      </c>
      <c r="R66" s="30">
        <f t="shared" si="241"/>
      </c>
      <c r="S66" s="30">
        <f t="shared" si="203"/>
      </c>
      <c r="T66" s="31">
        <f t="shared" si="165"/>
      </c>
      <c r="U66" s="32">
        <v>0.0289</v>
      </c>
      <c r="V66" s="33">
        <v>60</v>
      </c>
      <c r="W66" s="29">
        <f t="shared" si="127"/>
      </c>
      <c r="X66" s="31">
        <v>47317</v>
      </c>
      <c r="Y66" s="31">
        <v>463</v>
      </c>
      <c r="Z66" s="31">
        <v>72</v>
      </c>
      <c r="AA66" s="31">
        <v>572</v>
      </c>
      <c r="AB66" s="31">
        <v>43</v>
      </c>
      <c r="AC66" s="31">
        <v>10</v>
      </c>
      <c r="AD66" s="31">
        <v>1</v>
      </c>
      <c r="AE66" s="33">
        <v>48</v>
      </c>
      <c r="AF66" s="29">
        <f t="shared" si="78"/>
      </c>
      <c r="AG66" s="34" t="s">
        <v>56</v>
      </c>
      <c r="AH66" s="66" t="s">
        <v>52</v>
      </c>
      <c r="AI66" s="33">
        <v>32</v>
      </c>
    </row>
    <row r="67">
      <c r="A67" s="22"/>
      <c r="B67" s="49" t="s">
        <v>67</v>
      </c>
      <c r="C67" s="60" t="s">
        <v>58</v>
      </c>
      <c r="D67" s="23">
        <v>3330.63</v>
      </c>
      <c r="E67" s="26">
        <v>8</v>
      </c>
      <c r="F67" s="26">
        <v>7</v>
      </c>
      <c r="G67" s="27">
        <v>7</v>
      </c>
      <c r="H67" s="76">
        <v>3562.9</v>
      </c>
      <c r="I67" s="26">
        <v>1</v>
      </c>
      <c r="J67" s="29">
        <f t="shared" si="222"/>
      </c>
      <c r="K67" s="29">
        <f t="shared" si="184"/>
      </c>
      <c r="L67" s="29">
        <f t="shared" si="146"/>
      </c>
      <c r="M67" s="30">
        <f t="shared" si="108"/>
      </c>
      <c r="N67" s="29">
        <f t="shared" si="59"/>
      </c>
      <c r="O67" s="29">
        <f t="shared" si="40"/>
      </c>
      <c r="P67" s="30">
        <f t="shared" si="21"/>
      </c>
      <c r="Q67" s="30">
        <f t="shared" si="2"/>
      </c>
      <c r="R67" s="30">
        <f t="shared" si="241"/>
      </c>
      <c r="S67" s="30">
        <f t="shared" si="203"/>
      </c>
      <c r="T67" s="31">
        <f t="shared" si="165"/>
      </c>
      <c r="U67" s="32">
        <v>0.0202</v>
      </c>
      <c r="V67" s="33">
        <v>58</v>
      </c>
      <c r="W67" s="29">
        <f t="shared" si="127"/>
      </c>
      <c r="X67" s="33">
        <v>38444</v>
      </c>
      <c r="Y67" s="33">
        <v>700</v>
      </c>
      <c r="Z67" s="33">
        <v>76</v>
      </c>
      <c r="AA67" s="33">
        <v>1236</v>
      </c>
      <c r="AB67" s="33">
        <v>60</v>
      </c>
      <c r="AC67" s="33">
        <v>11</v>
      </c>
      <c r="AD67" s="33">
        <v>5</v>
      </c>
      <c r="AE67" s="33">
        <v>51</v>
      </c>
      <c r="AF67" s="29">
        <f t="shared" si="78"/>
      </c>
      <c r="AG67" s="34" t="s">
        <v>56</v>
      </c>
      <c r="AH67" s="66" t="s">
        <v>52</v>
      </c>
      <c r="AI67" s="33">
        <v>38</v>
      </c>
    </row>
    <row r="68">
      <c r="A68" s="22"/>
      <c r="B68" s="49" t="s">
        <v>67</v>
      </c>
      <c r="C68" s="60" t="s">
        <v>59</v>
      </c>
      <c r="D68" s="23">
        <v>2923.92</v>
      </c>
      <c r="E68" s="26">
        <v>6</v>
      </c>
      <c r="F68" s="26">
        <v>5</v>
      </c>
      <c r="G68" s="27">
        <v>3</v>
      </c>
      <c r="H68" s="76">
        <v>2990.9000000000087</v>
      </c>
      <c r="I68" s="26">
        <v>1</v>
      </c>
      <c r="J68" s="29">
        <f t="shared" si="222"/>
      </c>
      <c r="K68" s="29">
        <f t="shared" si="184"/>
      </c>
      <c r="L68" s="29">
        <f t="shared" si="146"/>
      </c>
      <c r="M68" s="30">
        <f t="shared" si="108"/>
      </c>
      <c r="N68" s="29">
        <f t="shared" si="59"/>
      </c>
      <c r="O68" s="29">
        <f t="shared" si="40"/>
      </c>
      <c r="P68" s="30">
        <f t="shared" si="21"/>
      </c>
      <c r="Q68" s="30">
        <f t="shared" si="2"/>
      </c>
      <c r="R68" s="30">
        <f t="shared" si="241"/>
      </c>
      <c r="S68" s="30">
        <f t="shared" si="203"/>
      </c>
      <c r="T68" s="31">
        <f t="shared" si="165"/>
      </c>
      <c r="U68" s="32">
        <v>0.0389</v>
      </c>
      <c r="V68" s="33">
        <v>58</v>
      </c>
      <c r="W68" s="29">
        <f t="shared" si="127"/>
      </c>
      <c r="X68" s="33">
        <v>29374</v>
      </c>
      <c r="Y68" s="33">
        <v>480</v>
      </c>
      <c r="Z68" s="31">
        <v>85</v>
      </c>
      <c r="AA68" s="31">
        <v>512</v>
      </c>
      <c r="AB68" s="31">
        <v>50</v>
      </c>
      <c r="AC68" s="31">
        <v>6</v>
      </c>
      <c r="AD68" s="33">
        <v>3</v>
      </c>
      <c r="AE68" s="33">
        <v>50</v>
      </c>
      <c r="AF68" s="29">
        <f t="shared" si="78"/>
      </c>
      <c r="AG68" s="34" t="s">
        <v>56</v>
      </c>
      <c r="AH68" s="66" t="s">
        <v>52</v>
      </c>
      <c r="AI68" s="33">
        <v>42</v>
      </c>
    </row>
    <row r="69">
      <c r="A69" s="22"/>
      <c r="B69" s="40" t="s">
        <v>46</v>
      </c>
      <c r="C69" s="40"/>
      <c r="D69" s="77">
        <f>SUM(D65:D68)</f>
      </c>
      <c r="E69" s="78">
        <f>SUM(E65:E68)</f>
      </c>
      <c r="F69" s="78">
        <f>SUM(F65:F68)</f>
      </c>
      <c r="G69" s="79">
        <f>SUM(G65:G68)</f>
      </c>
      <c r="H69" s="77">
        <f>SUM(H65:H68)</f>
      </c>
      <c r="I69" s="44">
        <f>SUM(I65:I68)</f>
      </c>
      <c r="J69" s="45">
        <f t="shared" si="222"/>
      </c>
      <c r="K69" s="45">
        <f t="shared" si="184"/>
      </c>
      <c r="L69" s="45">
        <f t="shared" si="146"/>
      </c>
      <c r="M69" s="46">
        <f t="shared" si="108"/>
      </c>
      <c r="N69" s="45">
        <f t="shared" si="59"/>
      </c>
      <c r="O69" s="45">
        <f t="shared" si="40"/>
      </c>
      <c r="P69" s="46">
        <f t="shared" si="21"/>
      </c>
      <c r="Q69" s="46">
        <f t="shared" si="2"/>
      </c>
      <c r="R69" s="46">
        <f t="shared" si="241"/>
      </c>
      <c r="S69" s="46">
        <f t="shared" si="203"/>
      </c>
      <c r="T69" s="42">
        <f t="shared" si="165"/>
      </c>
      <c r="U69" s="46">
        <f>AVERAGE(U65:U68)</f>
      </c>
      <c r="V69" s="41">
        <f>AVERAGE(V65:V68)</f>
      </c>
      <c r="W69" s="45">
        <f t="shared" si="127"/>
      </c>
      <c r="X69" s="42">
        <f>SUM(X65:X68)</f>
      </c>
      <c r="Y69" s="42">
        <f>SUM(Y65:Y68)</f>
      </c>
      <c r="Z69" s="42">
        <f>SUM(Z65:Z68)</f>
      </c>
      <c r="AA69" s="42">
        <f>SUM(AA65:AA68)</f>
      </c>
      <c r="AB69" s="42">
        <f>SUM(AB65:AB68)</f>
      </c>
      <c r="AC69" s="42">
        <f>SUM(AC65:AC68)</f>
      </c>
      <c r="AD69" s="42">
        <f>SUM(AD65:AD68)</f>
      </c>
      <c r="AE69" s="42">
        <f>SUM(AE65:AE68)</f>
      </c>
      <c r="AF69" s="47">
        <f t="shared" si="78"/>
      </c>
      <c r="AG69" s="48"/>
      <c r="AH69" s="48"/>
      <c r="AI69" s="42">
        <f>SUM(AI65:AI68)</f>
      </c>
    </row>
    <row r="70">
      <c r="A70" s="22"/>
      <c r="B70" s="60" t="s">
        <v>54</v>
      </c>
      <c r="C70" s="49" t="s">
        <v>61</v>
      </c>
      <c r="D70" s="80">
        <v>3651.68</v>
      </c>
      <c r="E70" s="51">
        <v>11</v>
      </c>
      <c r="F70" s="51">
        <v>10</v>
      </c>
      <c r="G70" s="52">
        <v>9</v>
      </c>
      <c r="H70" s="53">
        <v>7750.600000000006</v>
      </c>
      <c r="I70" s="54">
        <v>4</v>
      </c>
      <c r="J70" s="55">
        <f t="shared" si="222"/>
      </c>
      <c r="K70" s="55">
        <f t="shared" si="184"/>
      </c>
      <c r="L70" s="55">
        <f t="shared" si="146"/>
      </c>
      <c r="M70" s="56">
        <f t="shared" si="108"/>
      </c>
      <c r="N70" s="55">
        <f t="shared" si="59"/>
      </c>
      <c r="O70" s="55">
        <f t="shared" si="40"/>
      </c>
      <c r="P70" s="56">
        <f t="shared" si="21"/>
      </c>
      <c r="Q70" s="56">
        <f t="shared" si="2"/>
      </c>
      <c r="R70" s="56">
        <f t="shared" si="241"/>
      </c>
      <c r="S70" s="56">
        <f t="shared" si="203"/>
      </c>
      <c r="T70" s="57">
        <f t="shared" si="165"/>
      </c>
      <c r="U70" s="58">
        <v>0.0305</v>
      </c>
      <c r="V70" s="59">
        <v>59</v>
      </c>
      <c r="W70" s="55">
        <f t="shared" si="127"/>
      </c>
      <c r="X70" s="57">
        <v>36741</v>
      </c>
      <c r="Y70" s="57">
        <v>776</v>
      </c>
      <c r="Z70" s="57">
        <v>108</v>
      </c>
      <c r="AA70" s="57">
        <v>1290</v>
      </c>
      <c r="AB70" s="57">
        <v>125</v>
      </c>
      <c r="AC70" s="57">
        <v>20</v>
      </c>
      <c r="AD70" s="57">
        <v>1</v>
      </c>
      <c r="AE70" s="57">
        <v>55</v>
      </c>
      <c r="AF70" s="55">
        <f t="shared" si="78"/>
      </c>
      <c r="AG70" s="34" t="s">
        <v>56</v>
      </c>
      <c r="AH70" s="66" t="s">
        <v>52</v>
      </c>
      <c r="AI70" s="59">
        <v>56</v>
      </c>
    </row>
    <row r="71">
      <c r="A71" s="22"/>
      <c r="B71" s="60" t="s">
        <v>54</v>
      </c>
      <c r="C71" s="49" t="s">
        <v>62</v>
      </c>
      <c r="D71" s="81">
        <v>3003.15</v>
      </c>
      <c r="E71" s="63">
        <v>8</v>
      </c>
      <c r="F71" s="63">
        <v>7</v>
      </c>
      <c r="G71" s="64">
        <v>4</v>
      </c>
      <c r="H71" s="91">
        <v>3562.899999999994</v>
      </c>
      <c r="I71" s="54">
        <v>2</v>
      </c>
      <c r="J71" s="55">
        <f t="shared" si="222"/>
      </c>
      <c r="K71" s="55">
        <f t="shared" si="184"/>
      </c>
      <c r="L71" s="55">
        <f t="shared" si="146"/>
      </c>
      <c r="M71" s="56">
        <f t="shared" si="108"/>
      </c>
      <c r="N71" s="55">
        <f t="shared" si="59"/>
      </c>
      <c r="O71" s="55">
        <f t="shared" si="40"/>
      </c>
      <c r="P71" s="56">
        <f t="shared" si="21"/>
      </c>
      <c r="Q71" s="56">
        <f t="shared" si="2"/>
      </c>
      <c r="R71" s="56">
        <f t="shared" si="241"/>
      </c>
      <c r="S71" s="56">
        <f t="shared" si="203"/>
      </c>
      <c r="T71" s="57">
        <f t="shared" si="165"/>
      </c>
      <c r="U71" s="58">
        <v>0.0264</v>
      </c>
      <c r="V71" s="59">
        <v>60</v>
      </c>
      <c r="W71" s="55">
        <f t="shared" si="127"/>
      </c>
      <c r="X71" s="57">
        <v>31445</v>
      </c>
      <c r="Y71" s="57">
        <v>479</v>
      </c>
      <c r="Z71" s="57">
        <v>89</v>
      </c>
      <c r="AA71" s="57">
        <v>517</v>
      </c>
      <c r="AB71" s="57">
        <v>60</v>
      </c>
      <c r="AC71" s="57">
        <v>11</v>
      </c>
      <c r="AD71" s="57">
        <v>2</v>
      </c>
      <c r="AE71" s="57">
        <v>45</v>
      </c>
      <c r="AF71" s="55">
        <f t="shared" si="78"/>
      </c>
      <c r="AG71" s="34" t="s">
        <v>56</v>
      </c>
      <c r="AH71" s="66" t="s">
        <v>52</v>
      </c>
      <c r="AI71" s="59">
        <v>50</v>
      </c>
    </row>
    <row r="72">
      <c r="A72" s="22"/>
      <c r="B72" s="60" t="s">
        <v>54</v>
      </c>
      <c r="C72" s="49" t="s">
        <v>63</v>
      </c>
      <c r="D72" s="80">
        <v>2333.21</v>
      </c>
      <c r="E72" s="63">
        <v>2</v>
      </c>
      <c r="F72" s="63">
        <v>2</v>
      </c>
      <c r="G72" s="64">
        <v>2</v>
      </c>
      <c r="H72" s="50">
        <v>902</v>
      </c>
      <c r="I72" s="65">
        <v>0</v>
      </c>
      <c r="J72" s="55">
        <f t="shared" si="222"/>
      </c>
      <c r="K72" s="55">
        <f t="shared" si="184"/>
      </c>
      <c r="L72" s="55">
        <f t="shared" si="146"/>
      </c>
      <c r="M72" s="56">
        <f t="shared" si="108"/>
      </c>
      <c r="N72" s="55">
        <f t="shared" si="59"/>
      </c>
      <c r="O72" s="55">
        <f t="shared" si="40"/>
      </c>
      <c r="P72" s="56">
        <f t="shared" si="21"/>
      </c>
      <c r="Q72" s="56">
        <f t="shared" si="2"/>
      </c>
      <c r="R72" s="56">
        <f t="shared" si="241"/>
      </c>
      <c r="S72" s="56">
        <f t="shared" si="203"/>
      </c>
      <c r="T72" s="57">
        <f t="shared" si="165"/>
      </c>
      <c r="U72" s="58">
        <v>0.036</v>
      </c>
      <c r="V72" s="59">
        <v>61</v>
      </c>
      <c r="W72" s="55">
        <f t="shared" si="127"/>
      </c>
      <c r="X72" s="57">
        <v>23425</v>
      </c>
      <c r="Y72" s="57">
        <v>234</v>
      </c>
      <c r="Z72" s="57">
        <v>48</v>
      </c>
      <c r="AA72" s="57">
        <v>230</v>
      </c>
      <c r="AB72" s="57">
        <v>29</v>
      </c>
      <c r="AC72" s="57">
        <v>10</v>
      </c>
      <c r="AD72" s="57">
        <v>1</v>
      </c>
      <c r="AE72" s="57">
        <v>37</v>
      </c>
      <c r="AF72" s="55">
        <f t="shared" si="78"/>
      </c>
      <c r="AG72" s="34" t="s">
        <v>56</v>
      </c>
      <c r="AH72" s="66" t="s">
        <v>52</v>
      </c>
      <c r="AI72" s="59">
        <v>22</v>
      </c>
    </row>
    <row r="73">
      <c r="A73" s="22"/>
      <c r="B73" s="60" t="s">
        <v>54</v>
      </c>
      <c r="C73" s="49" t="s">
        <v>64</v>
      </c>
      <c r="D73" s="80">
        <v>1859.44</v>
      </c>
      <c r="E73" s="65">
        <v>7</v>
      </c>
      <c r="F73" s="65">
        <v>6</v>
      </c>
      <c r="G73" s="52">
        <v>4</v>
      </c>
      <c r="H73" s="80">
        <v>4398.899999999994</v>
      </c>
      <c r="I73" s="65">
        <v>1</v>
      </c>
      <c r="J73" s="55">
        <f t="shared" si="222"/>
      </c>
      <c r="K73" s="55">
        <f t="shared" si="184"/>
      </c>
      <c r="L73" s="55">
        <f t="shared" si="146"/>
      </c>
      <c r="M73" s="56">
        <f t="shared" si="108"/>
      </c>
      <c r="N73" s="55">
        <f t="shared" si="59"/>
      </c>
      <c r="O73" s="55">
        <f t="shared" si="40"/>
      </c>
      <c r="P73" s="56">
        <f t="shared" si="21"/>
      </c>
      <c r="Q73" s="56">
        <f t="shared" si="2"/>
      </c>
      <c r="R73" s="56">
        <f t="shared" si="241"/>
      </c>
      <c r="S73" s="56">
        <f t="shared" si="203"/>
      </c>
      <c r="T73" s="57">
        <f t="shared" si="165"/>
      </c>
      <c r="U73" s="58">
        <v>0.0243</v>
      </c>
      <c r="V73" s="59">
        <v>64</v>
      </c>
      <c r="W73" s="55">
        <f t="shared" si="127"/>
      </c>
      <c r="X73" s="57">
        <v>23312</v>
      </c>
      <c r="Y73" s="57">
        <v>611</v>
      </c>
      <c r="Z73" s="57">
        <v>90</v>
      </c>
      <c r="AA73" s="57">
        <v>706</v>
      </c>
      <c r="AB73" s="57">
        <v>160</v>
      </c>
      <c r="AC73" s="57">
        <v>18</v>
      </c>
      <c r="AD73" s="57">
        <v>3</v>
      </c>
      <c r="AE73" s="59">
        <v>31</v>
      </c>
      <c r="AF73" s="55">
        <f t="shared" si="78"/>
      </c>
      <c r="AG73" s="34" t="s">
        <v>56</v>
      </c>
      <c r="AH73" s="66" t="s">
        <v>52</v>
      </c>
      <c r="AI73" s="59">
        <v>32</v>
      </c>
    </row>
    <row r="74">
      <c r="A74" s="22"/>
      <c r="B74" s="67" t="s">
        <v>46</v>
      </c>
      <c r="C74" s="67"/>
      <c r="D74" s="68">
        <f>SUM(D70:D73)</f>
      </c>
      <c r="E74" s="69">
        <f>SUM(E70:E73)</f>
      </c>
      <c r="F74" s="69">
        <f>SUM(F70:F73)</f>
      </c>
      <c r="G74" s="70">
        <f>SUM(G70:G73)</f>
      </c>
      <c r="H74" s="68">
        <f>SUM(H70:H73)</f>
      </c>
      <c r="I74" s="44">
        <f>SUM(I70:I73)</f>
      </c>
      <c r="J74" s="71">
        <f t="shared" si="222"/>
      </c>
      <c r="K74" s="71">
        <f t="shared" si="184"/>
      </c>
      <c r="L74" s="71">
        <f t="shared" si="146"/>
      </c>
      <c r="M74" s="72">
        <f t="shared" si="108"/>
      </c>
      <c r="N74" s="71">
        <f t="shared" si="59"/>
      </c>
      <c r="O74" s="71">
        <f t="shared" si="40"/>
      </c>
      <c r="P74" s="72">
        <f t="shared" si="21"/>
      </c>
      <c r="Q74" s="72">
        <f t="shared" si="2"/>
      </c>
      <c r="R74" s="72">
        <f t="shared" si="241"/>
      </c>
      <c r="S74" s="72">
        <f t="shared" si="203"/>
      </c>
      <c r="T74" s="73">
        <f t="shared" si="165"/>
      </c>
      <c r="U74" s="72">
        <f>AVERAGE(U70:U73)</f>
      </c>
      <c r="V74" s="68">
        <f>AVERAGE(V70:V73)</f>
      </c>
      <c r="W74" s="71">
        <f t="shared" si="127"/>
      </c>
      <c r="X74" s="73">
        <f>SUM(X70:X73)</f>
      </c>
      <c r="Y74" s="73">
        <f>SUM(Y70:Y73)</f>
      </c>
      <c r="Z74" s="73">
        <f>SUM(Z70:Z73)</f>
      </c>
      <c r="AA74" s="73">
        <f>SUM(AA70:AA73)</f>
      </c>
      <c r="AB74" s="73">
        <f>SUM(AB70:AB73)</f>
      </c>
      <c r="AC74" s="73">
        <f>SUM(AC70:AC73)</f>
      </c>
      <c r="AD74" s="73">
        <f>SUM(AD70:AD73)</f>
      </c>
      <c r="AE74" s="73">
        <f>SUM(AE70:AE73)</f>
      </c>
      <c r="AF74" s="74">
        <f t="shared" si="78"/>
      </c>
      <c r="AG74" s="75"/>
      <c r="AH74" s="75"/>
      <c r="AI74" s="70">
        <f>SUM(AI70:AI73)</f>
      </c>
    </row>
    <row r="75">
      <c r="A75" s="22"/>
      <c r="B75" s="82" t="s">
        <v>65</v>
      </c>
      <c r="C75" s="82"/>
      <c r="D75" s="83">
        <f>D58+D64+D69+D74</f>
      </c>
      <c r="E75" s="83">
        <f>E58+E64+E69+E74</f>
      </c>
      <c r="F75" s="83">
        <f>F58+F64+F69+F74</f>
      </c>
      <c r="G75" s="84">
        <f>G58+G64+G69+G74</f>
      </c>
      <c r="H75" s="83">
        <f>H58+H64+H69+H74</f>
      </c>
      <c r="I75" s="85">
        <f>I58+I64+I69+I74</f>
      </c>
      <c r="J75" s="86">
        <f t="shared" si="222"/>
      </c>
      <c r="K75" s="87">
        <f t="shared" si="184"/>
      </c>
      <c r="L75" s="87">
        <f t="shared" si="146"/>
      </c>
      <c r="M75" s="88">
        <f t="shared" si="108"/>
      </c>
      <c r="N75" s="87">
        <f t="shared" si="59"/>
      </c>
      <c r="O75" s="87">
        <f t="shared" si="40"/>
      </c>
      <c r="P75" s="88">
        <f t="shared" si="21"/>
      </c>
      <c r="Q75" s="88">
        <f t="shared" si="2"/>
      </c>
      <c r="R75" s="88">
        <f t="shared" si="241"/>
      </c>
      <c r="S75" s="88">
        <f t="shared" si="203"/>
      </c>
      <c r="T75" s="89">
        <f t="shared" si="165"/>
      </c>
      <c r="U75" s="88">
        <f>(U58+U69+U64+U74)/4</f>
      </c>
      <c r="V75" s="87">
        <f>(V58+V69+V64+V74)/4</f>
      </c>
      <c r="W75" s="90">
        <f t="shared" si="127"/>
      </c>
      <c r="X75" s="89">
        <f>X58+X64+X69+X74</f>
      </c>
      <c r="Y75" s="89">
        <f>Y58+Y64+Y69+Y74</f>
      </c>
      <c r="Z75" s="89">
        <f>Z58+Z64+Z69+Z74</f>
      </c>
      <c r="AA75" s="89">
        <f>AA58+AA64+AA69+AA74</f>
      </c>
      <c r="AB75" s="89">
        <f>AB58+AB64+AB69+AB74</f>
      </c>
      <c r="AC75" s="89">
        <f>AC58+AC64+AC69+AC74</f>
      </c>
      <c r="AD75" s="89">
        <f>AD58+AD64+AD69+AD74</f>
      </c>
      <c r="AE75" s="89">
        <f>AE58+AE64+AE69+AE74</f>
      </c>
      <c r="AF75" s="87">
        <f>AF58</f>
      </c>
      <c r="AG75" s="82"/>
      <c r="AH75" s="82"/>
      <c r="AI75" s="89">
        <f>AI58+AI64+AI69+AI74</f>
      </c>
    </row>
    <row r="76">
      <c r="A76" s="1" t="s">
        <v>66</v>
      </c>
      <c r="B76" s="2" t="s">
        <v>1</v>
      </c>
      <c r="C76" s="2"/>
      <c r="D76" s="92" t="s">
        <v>2</v>
      </c>
      <c r="E76" s="92"/>
      <c r="F76" s="92"/>
      <c r="G76" s="93"/>
      <c r="H76" s="92"/>
      <c r="I76" s="92"/>
      <c r="J76" s="92"/>
      <c r="K76" s="92"/>
      <c r="L76" s="92"/>
      <c r="M76" s="92"/>
      <c r="N76" s="92"/>
      <c r="O76" s="5" t="s">
        <v>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6"/>
    </row>
    <row r="77">
      <c r="A77" s="1"/>
      <c r="B77" s="94" t="s">
        <v>4</v>
      </c>
      <c r="C77" s="95" t="s">
        <v>5</v>
      </c>
      <c r="D77" s="96" t="s">
        <v>6</v>
      </c>
      <c r="E77" s="97" t="s">
        <v>7</v>
      </c>
      <c r="F77" s="98" t="s">
        <v>8</v>
      </c>
      <c r="G77" s="99" t="s">
        <v>9</v>
      </c>
      <c r="H77" s="100" t="s">
        <v>10</v>
      </c>
      <c r="I77" s="12" t="s">
        <v>11</v>
      </c>
      <c r="J77" s="13" t="s">
        <v>12</v>
      </c>
      <c r="K77" s="13" t="s">
        <v>13</v>
      </c>
      <c r="L77" s="13" t="s">
        <v>14</v>
      </c>
      <c r="M77" s="14" t="s">
        <v>15</v>
      </c>
      <c r="N77" s="13" t="s">
        <v>16</v>
      </c>
      <c r="O77" s="15" t="s">
        <v>17</v>
      </c>
      <c r="P77" s="16" t="s">
        <v>18</v>
      </c>
      <c r="Q77" s="16" t="s">
        <v>19</v>
      </c>
      <c r="R77" s="16" t="s">
        <v>20</v>
      </c>
      <c r="S77" s="16" t="s">
        <v>21</v>
      </c>
      <c r="T77" s="17" t="s">
        <v>22</v>
      </c>
      <c r="U77" s="18" t="s">
        <v>23</v>
      </c>
      <c r="V77" s="19" t="s">
        <v>24</v>
      </c>
      <c r="W77" s="5" t="s">
        <v>25</v>
      </c>
      <c r="X77" s="20" t="s">
        <v>26</v>
      </c>
      <c r="Y77" s="20" t="s">
        <v>27</v>
      </c>
      <c r="Z77" s="20" t="s">
        <v>28</v>
      </c>
      <c r="AA77" s="20" t="s">
        <v>29</v>
      </c>
      <c r="AB77" s="20" t="s">
        <v>30</v>
      </c>
      <c r="AC77" s="20" t="s">
        <v>31</v>
      </c>
      <c r="AD77" s="20" t="s">
        <v>32</v>
      </c>
      <c r="AE77" s="20" t="s">
        <v>33</v>
      </c>
      <c r="AF77" s="5" t="s">
        <v>34</v>
      </c>
      <c r="AG77" s="21" t="s">
        <v>35</v>
      </c>
      <c r="AH77" s="21" t="s">
        <v>36</v>
      </c>
      <c r="AI77" s="6" t="s">
        <v>37</v>
      </c>
    </row>
    <row r="78">
      <c r="A78" s="22">
        <v>46207</v>
      </c>
      <c r="B78" s="23" t="s">
        <v>47</v>
      </c>
      <c r="C78" s="24" t="s">
        <v>39</v>
      </c>
      <c r="D78" s="62">
        <v>3000</v>
      </c>
      <c r="E78" s="63">
        <v>5</v>
      </c>
      <c r="F78" s="63">
        <v>2</v>
      </c>
      <c r="G78" s="64">
        <v>2</v>
      </c>
      <c r="H78" s="53">
        <v>902</v>
      </c>
      <c r="I78" s="54">
        <v>0</v>
      </c>
      <c r="J78" s="55">
        <f t="shared" ref="J78:J101" si="223">H78/D78</f>
      </c>
      <c r="K78" s="55">
        <f t="shared" ref="K78:K101" si="185">D78/F78</f>
      </c>
      <c r="L78" s="55">
        <f t="shared" ref="L78:L101" si="147">D78/G78</f>
      </c>
      <c r="M78" s="56">
        <f t="shared" ref="M78:M101" si="109">F78/E78</f>
      </c>
      <c r="N78" s="55">
        <f t="shared" ref="N78:N101" si="60">H78/F78</f>
      </c>
      <c r="O78" s="55">
        <f t="shared" ref="O78:O101" si="41">D78/Y78</f>
      </c>
      <c r="P78" s="56">
        <f t="shared" ref="P78:P101" si="22">T78/X78*1</f>
      </c>
      <c r="Q78" s="56">
        <f t="shared" ref="Q78:Q101" si="3">Y78/X78</f>
      </c>
      <c r="R78" s="56">
        <f t="shared" ref="R78:R101" si="242">AA78/X78</f>
      </c>
      <c r="S78" s="56">
        <f t="shared" ref="S78:S101" si="204">AB78/AA78</f>
      </c>
      <c r="T78" s="57">
        <f t="shared" ref="T78:T101" si="166">Z78/U78</f>
      </c>
      <c r="U78" s="58">
        <v>0.0172</v>
      </c>
      <c r="V78" s="59">
        <v>38</v>
      </c>
      <c r="W78" s="55">
        <f t="shared" ref="W78:W101" si="128">(D78/X78)*1000</f>
      </c>
      <c r="X78" s="57">
        <v>31604</v>
      </c>
      <c r="Y78" s="57">
        <v>1260</v>
      </c>
      <c r="Z78" s="57">
        <v>85</v>
      </c>
      <c r="AA78" s="57">
        <v>2150</v>
      </c>
      <c r="AB78" s="57">
        <v>91</v>
      </c>
      <c r="AC78" s="57">
        <v>20</v>
      </c>
      <c r="AD78" s="57">
        <v>0</v>
      </c>
      <c r="AE78" s="57">
        <v>50</v>
      </c>
      <c r="AF78" s="55">
        <f t="shared" ref="AF78:AF100" si="79">AI78*1000/D78</f>
      </c>
      <c r="AG78" s="34" t="s">
        <v>40</v>
      </c>
      <c r="AH78" s="66" t="s">
        <v>68</v>
      </c>
      <c r="AI78" s="59">
        <v>44</v>
      </c>
    </row>
    <row r="79">
      <c r="A79" s="22"/>
      <c r="B79" s="23" t="s">
        <v>47</v>
      </c>
      <c r="C79" s="24" t="s">
        <v>42</v>
      </c>
      <c r="D79" s="50">
        <v>2985.4</v>
      </c>
      <c r="E79" s="63">
        <v>8</v>
      </c>
      <c r="F79" s="63">
        <v>6</v>
      </c>
      <c r="G79" s="64">
        <v>5</v>
      </c>
      <c r="H79" s="50">
        <v>2706</v>
      </c>
      <c r="I79" s="65">
        <v>0</v>
      </c>
      <c r="J79" s="55">
        <f t="shared" si="223"/>
      </c>
      <c r="K79" s="55">
        <f t="shared" si="185"/>
      </c>
      <c r="L79" s="55">
        <f t="shared" si="147"/>
      </c>
      <c r="M79" s="56">
        <f t="shared" si="109"/>
      </c>
      <c r="N79" s="55">
        <f t="shared" si="60"/>
      </c>
      <c r="O79" s="55">
        <f t="shared" si="41"/>
      </c>
      <c r="P79" s="56">
        <f t="shared" si="22"/>
      </c>
      <c r="Q79" s="56">
        <f t="shared" si="3"/>
      </c>
      <c r="R79" s="56">
        <f t="shared" si="242"/>
      </c>
      <c r="S79" s="56">
        <f t="shared" si="204"/>
      </c>
      <c r="T79" s="57">
        <f t="shared" si="166"/>
      </c>
      <c r="U79" s="58">
        <v>0.0197</v>
      </c>
      <c r="V79" s="59">
        <v>46</v>
      </c>
      <c r="W79" s="55">
        <f t="shared" si="128"/>
      </c>
      <c r="X79" s="57">
        <v>25311</v>
      </c>
      <c r="Y79" s="57">
        <v>510</v>
      </c>
      <c r="Z79" s="57">
        <v>94</v>
      </c>
      <c r="AA79" s="57">
        <v>547</v>
      </c>
      <c r="AB79" s="57">
        <v>73</v>
      </c>
      <c r="AC79" s="57">
        <v>6</v>
      </c>
      <c r="AD79" s="57">
        <v>5</v>
      </c>
      <c r="AE79" s="59">
        <v>29</v>
      </c>
      <c r="AF79" s="55">
        <f t="shared" si="79"/>
      </c>
      <c r="AG79" s="34" t="s">
        <v>40</v>
      </c>
      <c r="AH79" s="66" t="s">
        <v>68</v>
      </c>
      <c r="AI79" s="59">
        <v>37</v>
      </c>
    </row>
    <row r="80">
      <c r="A80" s="22"/>
      <c r="B80" s="23" t="s">
        <v>47</v>
      </c>
      <c r="C80" s="24" t="s">
        <v>43</v>
      </c>
      <c r="D80" s="50">
        <v>2413.28</v>
      </c>
      <c r="E80" s="63">
        <v>8</v>
      </c>
      <c r="F80" s="63">
        <v>4</v>
      </c>
      <c r="G80" s="64">
        <v>4</v>
      </c>
      <c r="H80" s="50">
        <v>2134</v>
      </c>
      <c r="I80" s="65">
        <v>0</v>
      </c>
      <c r="J80" s="55">
        <f t="shared" si="223"/>
      </c>
      <c r="K80" s="55">
        <f t="shared" si="185"/>
      </c>
      <c r="L80" s="55">
        <f t="shared" si="147"/>
      </c>
      <c r="M80" s="56">
        <f t="shared" si="109"/>
      </c>
      <c r="N80" s="55">
        <f t="shared" si="60"/>
      </c>
      <c r="O80" s="55">
        <f t="shared" si="41"/>
      </c>
      <c r="P80" s="56">
        <f t="shared" si="22"/>
      </c>
      <c r="Q80" s="56">
        <f t="shared" si="3"/>
      </c>
      <c r="R80" s="56">
        <f t="shared" si="242"/>
      </c>
      <c r="S80" s="56">
        <f t="shared" si="204"/>
      </c>
      <c r="T80" s="57">
        <f t="shared" si="166"/>
      </c>
      <c r="U80" s="58">
        <v>0.0257</v>
      </c>
      <c r="V80" s="59">
        <v>57</v>
      </c>
      <c r="W80" s="55">
        <f t="shared" si="128"/>
      </c>
      <c r="X80" s="57">
        <v>21370</v>
      </c>
      <c r="Y80" s="57">
        <v>372</v>
      </c>
      <c r="Z80" s="57">
        <v>86</v>
      </c>
      <c r="AA80" s="57">
        <v>379</v>
      </c>
      <c r="AB80" s="57">
        <v>113</v>
      </c>
      <c r="AC80" s="57">
        <v>12</v>
      </c>
      <c r="AD80" s="57">
        <v>1</v>
      </c>
      <c r="AE80" s="59">
        <v>20</v>
      </c>
      <c r="AF80" s="55">
        <f t="shared" si="79"/>
      </c>
      <c r="AG80" s="34" t="s">
        <v>40</v>
      </c>
      <c r="AH80" s="66" t="s">
        <v>41</v>
      </c>
      <c r="AI80" s="59">
        <v>38</v>
      </c>
    </row>
    <row r="81">
      <c r="A81" s="22"/>
      <c r="B81" s="23" t="s">
        <v>47</v>
      </c>
      <c r="C81" s="36" t="s">
        <v>44</v>
      </c>
      <c r="D81" s="50">
        <v>2706.89</v>
      </c>
      <c r="E81" s="65">
        <v>17</v>
      </c>
      <c r="F81" s="65">
        <v>12</v>
      </c>
      <c r="G81" s="52">
        <v>9</v>
      </c>
      <c r="H81" s="50">
        <v>6402</v>
      </c>
      <c r="I81" s="65">
        <v>0</v>
      </c>
      <c r="J81" s="55">
        <f t="shared" si="223"/>
      </c>
      <c r="K81" s="55">
        <f t="shared" si="185"/>
      </c>
      <c r="L81" s="55">
        <f t="shared" si="147"/>
      </c>
      <c r="M81" s="56">
        <f t="shared" si="109"/>
      </c>
      <c r="N81" s="55">
        <f t="shared" si="60"/>
      </c>
      <c r="O81" s="55">
        <f t="shared" si="41"/>
      </c>
      <c r="P81" s="56">
        <f t="shared" si="22"/>
      </c>
      <c r="Q81" s="56">
        <f t="shared" si="3"/>
      </c>
      <c r="R81" s="56">
        <f t="shared" si="242"/>
      </c>
      <c r="S81" s="56">
        <f t="shared" si="204"/>
      </c>
      <c r="T81" s="57">
        <f t="shared" si="166"/>
      </c>
      <c r="U81" s="58">
        <v>0.0181</v>
      </c>
      <c r="V81" s="59">
        <v>54</v>
      </c>
      <c r="W81" s="55">
        <f t="shared" si="128"/>
      </c>
      <c r="X81" s="57">
        <v>26468</v>
      </c>
      <c r="Y81" s="57">
        <v>610</v>
      </c>
      <c r="Z81" s="57">
        <v>73</v>
      </c>
      <c r="AA81" s="57">
        <v>1193</v>
      </c>
      <c r="AB81" s="57">
        <v>76</v>
      </c>
      <c r="AC81" s="57">
        <v>19</v>
      </c>
      <c r="AD81" s="57">
        <v>1</v>
      </c>
      <c r="AE81" s="57">
        <v>16</v>
      </c>
      <c r="AF81" s="55">
        <f t="shared" si="79"/>
      </c>
      <c r="AG81" s="34" t="s">
        <v>40</v>
      </c>
      <c r="AH81" s="66" t="s">
        <v>41</v>
      </c>
      <c r="AI81" s="59">
        <v>35</v>
      </c>
    </row>
    <row r="82">
      <c r="A82" s="22"/>
      <c r="B82" s="67" t="s">
        <v>46</v>
      </c>
      <c r="C82" s="67"/>
      <c r="D82" s="68">
        <f>SUM(D78:D81)</f>
      </c>
      <c r="E82" s="69">
        <f>SUM(E78:E81)</f>
      </c>
      <c r="F82" s="69">
        <f>SUM(F78:F81)</f>
      </c>
      <c r="G82" s="70">
        <f>SUM(G78:G81)</f>
      </c>
      <c r="H82" s="68">
        <f>SUM(H78:H81)</f>
      </c>
      <c r="I82" s="44">
        <f>SUM(I78:I81)</f>
      </c>
      <c r="J82" s="71">
        <f t="shared" si="223"/>
      </c>
      <c r="K82" s="71">
        <f t="shared" si="185"/>
      </c>
      <c r="L82" s="71">
        <f t="shared" si="147"/>
      </c>
      <c r="M82" s="72">
        <f t="shared" si="109"/>
      </c>
      <c r="N82" s="71">
        <f t="shared" si="60"/>
      </c>
      <c r="O82" s="71">
        <f t="shared" si="41"/>
      </c>
      <c r="P82" s="72">
        <f t="shared" si="22"/>
      </c>
      <c r="Q82" s="72">
        <f t="shared" si="3"/>
      </c>
      <c r="R82" s="72">
        <f t="shared" si="242"/>
      </c>
      <c r="S82" s="72">
        <f t="shared" si="204"/>
      </c>
      <c r="T82" s="73">
        <f t="shared" si="166"/>
      </c>
      <c r="U82" s="72">
        <f>AVERAGE(U78:U81)</f>
      </c>
      <c r="V82" s="68">
        <f>AVERAGE(V78:V81)</f>
      </c>
      <c r="W82" s="71">
        <f t="shared" si="128"/>
      </c>
      <c r="X82" s="73">
        <f>SUM(X78:X81)</f>
      </c>
      <c r="Y82" s="73">
        <f>SUM(Y78:Y81)</f>
      </c>
      <c r="Z82" s="73">
        <f>SUM(Z78:Z81)</f>
      </c>
      <c r="AA82" s="73">
        <f>SUM(AA78:AA81)</f>
      </c>
      <c r="AB82" s="73">
        <f>SUM(AB78:AB81)</f>
      </c>
      <c r="AC82" s="73">
        <f>SUM(AC78:AC81)</f>
      </c>
      <c r="AD82" s="73">
        <f>SUM(AD78:AD81)</f>
      </c>
      <c r="AE82" s="73">
        <f>SUM(AE78:AE81)</f>
      </c>
      <c r="AF82" s="74">
        <f t="shared" si="79"/>
      </c>
      <c r="AG82" s="75"/>
      <c r="AH82" s="75"/>
      <c r="AI82" s="70">
        <f>SUM(AI78:AI81)</f>
      </c>
    </row>
    <row r="83">
      <c r="A83" s="22"/>
      <c r="B83" s="23" t="s">
        <v>69</v>
      </c>
      <c r="C83" s="24" t="s">
        <v>45</v>
      </c>
      <c r="D83" s="23">
        <v>2971.37</v>
      </c>
      <c r="E83" s="26">
        <v>12</v>
      </c>
      <c r="F83" s="26">
        <v>8</v>
      </c>
      <c r="G83" s="27">
        <v>8</v>
      </c>
      <c r="H83" s="76">
        <v>4343.9000000000015</v>
      </c>
      <c r="I83" s="26">
        <v>1</v>
      </c>
      <c r="J83" s="29">
        <f t="shared" si="223"/>
      </c>
      <c r="K83" s="29">
        <f t="shared" si="185"/>
      </c>
      <c r="L83" s="29">
        <f t="shared" si="147"/>
      </c>
      <c r="M83" s="30">
        <f t="shared" si="109"/>
      </c>
      <c r="N83" s="29">
        <f t="shared" si="60"/>
      </c>
      <c r="O83" s="29">
        <f t="shared" si="41"/>
      </c>
      <c r="P83" s="30">
        <f t="shared" si="22"/>
      </c>
      <c r="Q83" s="30">
        <f t="shared" si="3"/>
      </c>
      <c r="R83" s="30">
        <f t="shared" si="242"/>
      </c>
      <c r="S83" s="30">
        <f t="shared" si="204"/>
      </c>
      <c r="T83" s="31">
        <f t="shared" si="166"/>
      </c>
      <c r="U83" s="32">
        <v>0.0145</v>
      </c>
      <c r="V83" s="33">
        <v>49</v>
      </c>
      <c r="W83" s="29">
        <f t="shared" si="128"/>
      </c>
      <c r="X83" s="33">
        <v>28748</v>
      </c>
      <c r="Y83" s="33">
        <v>929</v>
      </c>
      <c r="Z83" s="31">
        <v>89</v>
      </c>
      <c r="AA83" s="31">
        <v>1709</v>
      </c>
      <c r="AB83" s="31">
        <v>125</v>
      </c>
      <c r="AC83" s="31">
        <v>9</v>
      </c>
      <c r="AD83" s="33">
        <v>4</v>
      </c>
      <c r="AE83" s="33">
        <v>29</v>
      </c>
      <c r="AF83" s="29">
        <f t="shared" si="79"/>
      </c>
      <c r="AG83" s="34" t="s">
        <v>40</v>
      </c>
      <c r="AH83" s="66" t="s">
        <v>41</v>
      </c>
      <c r="AI83" s="33">
        <v>49</v>
      </c>
    </row>
    <row r="84">
      <c r="A84" s="22"/>
      <c r="B84" s="23" t="s">
        <v>69</v>
      </c>
      <c r="C84" s="23" t="s">
        <v>48</v>
      </c>
      <c r="D84" s="23">
        <v>5011.31</v>
      </c>
      <c r="E84" s="26">
        <v>18</v>
      </c>
      <c r="F84" s="26">
        <v>15</v>
      </c>
      <c r="G84" s="27">
        <v>10</v>
      </c>
      <c r="H84" s="76">
        <v>12295.799999999996</v>
      </c>
      <c r="I84" s="26">
        <v>3</v>
      </c>
      <c r="J84" s="29">
        <f t="shared" si="223"/>
      </c>
      <c r="K84" s="29">
        <f t="shared" si="185"/>
      </c>
      <c r="L84" s="29">
        <f t="shared" si="147"/>
      </c>
      <c r="M84" s="30">
        <f t="shared" si="109"/>
      </c>
      <c r="N84" s="29">
        <f t="shared" si="60"/>
      </c>
      <c r="O84" s="29">
        <f t="shared" si="41"/>
      </c>
      <c r="P84" s="30">
        <f t="shared" si="22"/>
      </c>
      <c r="Q84" s="30">
        <f t="shared" si="3"/>
      </c>
      <c r="R84" s="30">
        <f t="shared" si="242"/>
      </c>
      <c r="S84" s="30">
        <f t="shared" si="204"/>
      </c>
      <c r="T84" s="31">
        <f t="shared" si="166"/>
      </c>
      <c r="U84" s="32">
        <v>0.0118</v>
      </c>
      <c r="V84" s="33">
        <v>45</v>
      </c>
      <c r="W84" s="29">
        <f t="shared" si="128"/>
      </c>
      <c r="X84" s="33">
        <v>49162</v>
      </c>
      <c r="Y84" s="33">
        <v>1717</v>
      </c>
      <c r="Z84" s="31">
        <v>147</v>
      </c>
      <c r="AA84" s="31">
        <v>2725</v>
      </c>
      <c r="AB84" s="31">
        <v>120</v>
      </c>
      <c r="AC84" s="31">
        <v>14</v>
      </c>
      <c r="AD84" s="33">
        <v>5</v>
      </c>
      <c r="AE84" s="33">
        <v>28</v>
      </c>
      <c r="AF84" s="29">
        <f t="shared" si="79"/>
      </c>
      <c r="AG84" s="34" t="s">
        <v>40</v>
      </c>
      <c r="AH84" s="66" t="s">
        <v>41</v>
      </c>
      <c r="AI84" s="33">
        <v>53</v>
      </c>
    </row>
    <row r="85">
      <c r="A85" s="22"/>
      <c r="B85" s="40" t="s">
        <v>46</v>
      </c>
      <c r="C85" s="40"/>
      <c r="D85" s="77">
        <f>SUM(D83:D84)</f>
      </c>
      <c r="E85" s="78">
        <f>SUM(E83:E84)</f>
      </c>
      <c r="F85" s="78">
        <f>SUM(F83:F84)</f>
      </c>
      <c r="G85" s="79">
        <f>SUM(G83:G84)</f>
      </c>
      <c r="H85" s="77">
        <f>SUM(H83:H84)</f>
      </c>
      <c r="I85" s="44">
        <f>SUM(I83:I84)</f>
      </c>
      <c r="J85" s="45">
        <f t="shared" si="223"/>
      </c>
      <c r="K85" s="45">
        <f t="shared" si="185"/>
      </c>
      <c r="L85" s="45">
        <f t="shared" si="147"/>
      </c>
      <c r="M85" s="46">
        <f t="shared" si="109"/>
      </c>
      <c r="N85" s="45">
        <f t="shared" si="60"/>
      </c>
      <c r="O85" s="45">
        <f t="shared" si="41"/>
      </c>
      <c r="P85" s="46">
        <f t="shared" si="22"/>
      </c>
      <c r="Q85" s="46">
        <f t="shared" si="3"/>
      </c>
      <c r="R85" s="46">
        <f t="shared" si="242"/>
      </c>
      <c r="S85" s="46">
        <f t="shared" si="204"/>
      </c>
      <c r="T85" s="42">
        <f t="shared" si="166"/>
      </c>
      <c r="U85" s="46">
        <f>AVERAGE(U83:U84)</f>
      </c>
      <c r="V85" s="41">
        <f>AVERAGE(V83:V84)</f>
      </c>
      <c r="W85" s="45">
        <f t="shared" si="128"/>
      </c>
      <c r="X85" s="42">
        <f>SUM(X83:X84)</f>
      </c>
      <c r="Y85" s="42">
        <f>SUM(Y83:Y84)</f>
      </c>
      <c r="Z85" s="42">
        <f>SUM(Z83:Z84)</f>
      </c>
      <c r="AA85" s="42">
        <f>SUM(AA83:AA84)</f>
      </c>
      <c r="AB85" s="42">
        <f>SUM(AB83:AB84)</f>
      </c>
      <c r="AC85" s="42">
        <f>SUM(AC83:AC84)</f>
      </c>
      <c r="AD85" s="42">
        <f>SUM(AD83:AD84)</f>
      </c>
      <c r="AE85" s="42">
        <f>SUM(AE83:AE84)</f>
      </c>
      <c r="AF85" s="47">
        <f t="shared" si="79"/>
      </c>
      <c r="AG85" s="48"/>
      <c r="AH85" s="48"/>
      <c r="AI85" s="42">
        <f>SUM(AI83:AI84)</f>
      </c>
    </row>
    <row r="86">
      <c r="A86" s="22"/>
      <c r="B86" s="23" t="s">
        <v>38</v>
      </c>
      <c r="C86" s="60" t="s">
        <v>49</v>
      </c>
      <c r="D86" s="23">
        <v>4408.58</v>
      </c>
      <c r="E86" s="26">
        <v>17</v>
      </c>
      <c r="F86" s="26">
        <v>12</v>
      </c>
      <c r="G86" s="27">
        <v>11</v>
      </c>
      <c r="H86" s="76">
        <v>6477.9000000000015</v>
      </c>
      <c r="I86" s="26">
        <v>1</v>
      </c>
      <c r="J86" s="29">
        <f t="shared" si="223"/>
      </c>
      <c r="K86" s="29">
        <f t="shared" si="185"/>
      </c>
      <c r="L86" s="29">
        <f t="shared" si="147"/>
      </c>
      <c r="M86" s="30">
        <f t="shared" si="109"/>
      </c>
      <c r="N86" s="29">
        <f t="shared" si="60"/>
      </c>
      <c r="O86" s="29">
        <f t="shared" si="41"/>
      </c>
      <c r="P86" s="30">
        <f t="shared" si="22"/>
      </c>
      <c r="Q86" s="30">
        <f t="shared" si="3"/>
      </c>
      <c r="R86" s="30">
        <f t="shared" si="242"/>
      </c>
      <c r="S86" s="30">
        <f t="shared" si="204"/>
      </c>
      <c r="T86" s="31">
        <f t="shared" si="166"/>
      </c>
      <c r="U86" s="32">
        <v>0.0118</v>
      </c>
      <c r="V86" s="33">
        <v>45</v>
      </c>
      <c r="W86" s="29">
        <f t="shared" si="128"/>
      </c>
      <c r="X86" s="33">
        <v>45760</v>
      </c>
      <c r="Y86" s="33">
        <v>1805</v>
      </c>
      <c r="Z86" s="31">
        <v>151</v>
      </c>
      <c r="AA86" s="31">
        <v>2929</v>
      </c>
      <c r="AB86" s="31">
        <v>147</v>
      </c>
      <c r="AC86" s="31">
        <v>21</v>
      </c>
      <c r="AD86" s="33">
        <v>4</v>
      </c>
      <c r="AE86" s="33">
        <v>29</v>
      </c>
      <c r="AF86" s="29">
        <f t="shared" si="79"/>
      </c>
      <c r="AG86" s="34" t="s">
        <v>40</v>
      </c>
      <c r="AH86" s="66" t="s">
        <v>41</v>
      </c>
      <c r="AI86" s="33">
        <v>60</v>
      </c>
    </row>
    <row r="87">
      <c r="A87" s="22"/>
      <c r="B87" s="23" t="s">
        <v>38</v>
      </c>
      <c r="C87" s="61" t="s">
        <v>50</v>
      </c>
      <c r="D87" s="23">
        <v>2473.89</v>
      </c>
      <c r="E87" s="26">
        <v>13</v>
      </c>
      <c r="F87" s="26">
        <v>9</v>
      </c>
      <c r="G87" s="27">
        <v>9</v>
      </c>
      <c r="H87" s="76">
        <v>6362.4000000000015</v>
      </c>
      <c r="I87" s="26">
        <v>1</v>
      </c>
      <c r="J87" s="29">
        <f t="shared" si="223"/>
      </c>
      <c r="K87" s="29">
        <f t="shared" si="185"/>
      </c>
      <c r="L87" s="29">
        <f t="shared" si="147"/>
      </c>
      <c r="M87" s="30">
        <f t="shared" si="109"/>
      </c>
      <c r="N87" s="29">
        <f t="shared" si="60"/>
      </c>
      <c r="O87" s="29">
        <f t="shared" si="41"/>
      </c>
      <c r="P87" s="30">
        <f t="shared" si="22"/>
      </c>
      <c r="Q87" s="30">
        <f t="shared" si="3"/>
      </c>
      <c r="R87" s="30">
        <f t="shared" si="242"/>
      </c>
      <c r="S87" s="30">
        <f t="shared" si="204"/>
      </c>
      <c r="T87" s="31">
        <f t="shared" si="166"/>
      </c>
      <c r="U87" s="32">
        <v>0.0134</v>
      </c>
      <c r="V87" s="33">
        <v>46</v>
      </c>
      <c r="W87" s="29">
        <f t="shared" si="128"/>
      </c>
      <c r="X87" s="31">
        <v>26793</v>
      </c>
      <c r="Y87" s="31">
        <v>816</v>
      </c>
      <c r="Z87" s="31">
        <v>88</v>
      </c>
      <c r="AA87" s="31">
        <v>1129</v>
      </c>
      <c r="AB87" s="31">
        <v>91</v>
      </c>
      <c r="AC87" s="31">
        <v>14</v>
      </c>
      <c r="AD87" s="31">
        <v>2</v>
      </c>
      <c r="AE87" s="33">
        <v>20</v>
      </c>
      <c r="AF87" s="29">
        <f t="shared" si="79"/>
      </c>
      <c r="AG87" s="34" t="s">
        <v>40</v>
      </c>
      <c r="AH87" s="66" t="s">
        <v>41</v>
      </c>
      <c r="AI87" s="33">
        <v>33</v>
      </c>
    </row>
    <row r="88">
      <c r="A88" s="22"/>
      <c r="B88" s="23" t="s">
        <v>38</v>
      </c>
      <c r="C88" s="60" t="s">
        <v>51</v>
      </c>
      <c r="D88" s="23">
        <v>3529.28</v>
      </c>
      <c r="E88" s="26">
        <v>10</v>
      </c>
      <c r="F88" s="26">
        <v>7</v>
      </c>
      <c r="G88" s="27">
        <v>7</v>
      </c>
      <c r="H88" s="76">
        <v>5177.699999999997</v>
      </c>
      <c r="I88" s="26">
        <v>1</v>
      </c>
      <c r="J88" s="29">
        <f t="shared" si="223"/>
      </c>
      <c r="K88" s="29">
        <f t="shared" si="185"/>
      </c>
      <c r="L88" s="29">
        <f t="shared" si="147"/>
      </c>
      <c r="M88" s="30">
        <f t="shared" si="109"/>
      </c>
      <c r="N88" s="29">
        <f t="shared" si="60"/>
      </c>
      <c r="O88" s="29">
        <f t="shared" si="41"/>
      </c>
      <c r="P88" s="30">
        <f t="shared" si="22"/>
      </c>
      <c r="Q88" s="30">
        <f t="shared" si="3"/>
      </c>
      <c r="R88" s="30">
        <f t="shared" si="242"/>
      </c>
      <c r="S88" s="30">
        <f t="shared" si="204"/>
      </c>
      <c r="T88" s="31">
        <f t="shared" si="166"/>
      </c>
      <c r="U88" s="32">
        <v>0.0157</v>
      </c>
      <c r="V88" s="33">
        <v>48</v>
      </c>
      <c r="W88" s="29">
        <f t="shared" si="128"/>
      </c>
      <c r="X88" s="33">
        <v>34870</v>
      </c>
      <c r="Y88" s="33">
        <v>989</v>
      </c>
      <c r="Z88" s="33">
        <v>105</v>
      </c>
      <c r="AA88" s="33">
        <v>1437</v>
      </c>
      <c r="AB88" s="33">
        <v>62</v>
      </c>
      <c r="AC88" s="33">
        <v>9</v>
      </c>
      <c r="AD88" s="33">
        <v>4</v>
      </c>
      <c r="AE88" s="33">
        <v>32</v>
      </c>
      <c r="AF88" s="29">
        <f t="shared" si="79"/>
      </c>
      <c r="AG88" s="34" t="s">
        <v>40</v>
      </c>
      <c r="AH88" s="66" t="s">
        <v>41</v>
      </c>
      <c r="AI88" s="33">
        <v>41</v>
      </c>
    </row>
    <row r="89">
      <c r="A89" s="22"/>
      <c r="B89" s="23" t="s">
        <v>38</v>
      </c>
      <c r="C89" s="49" t="s">
        <v>53</v>
      </c>
      <c r="D89" s="23">
        <v>3960.7</v>
      </c>
      <c r="E89" s="26">
        <v>8</v>
      </c>
      <c r="F89" s="26">
        <v>6</v>
      </c>
      <c r="G89" s="27">
        <v>4</v>
      </c>
      <c r="H89" s="76">
        <v>4068.9000000000015</v>
      </c>
      <c r="I89" s="26">
        <v>1</v>
      </c>
      <c r="J89" s="29">
        <f t="shared" si="223"/>
      </c>
      <c r="K89" s="29">
        <f t="shared" si="185"/>
      </c>
      <c r="L89" s="29">
        <f t="shared" si="147"/>
      </c>
      <c r="M89" s="30">
        <f t="shared" si="109"/>
      </c>
      <c r="N89" s="29">
        <f t="shared" si="60"/>
      </c>
      <c r="O89" s="29">
        <f t="shared" si="41"/>
      </c>
      <c r="P89" s="30">
        <f t="shared" si="22"/>
      </c>
      <c r="Q89" s="30">
        <f t="shared" si="3"/>
      </c>
      <c r="R89" s="30">
        <f t="shared" si="242"/>
      </c>
      <c r="S89" s="30">
        <f t="shared" si="204"/>
      </c>
      <c r="T89" s="31">
        <f t="shared" si="166"/>
      </c>
      <c r="U89" s="32">
        <v>0.0223</v>
      </c>
      <c r="V89" s="33">
        <v>49</v>
      </c>
      <c r="W89" s="29">
        <f t="shared" si="128"/>
      </c>
      <c r="X89" s="33">
        <v>52229</v>
      </c>
      <c r="Y89" s="33">
        <v>691</v>
      </c>
      <c r="Z89" s="31">
        <v>111</v>
      </c>
      <c r="AA89" s="31">
        <v>731</v>
      </c>
      <c r="AB89" s="31">
        <v>71</v>
      </c>
      <c r="AC89" s="31">
        <v>9</v>
      </c>
      <c r="AD89" s="33">
        <v>4</v>
      </c>
      <c r="AE89" s="33">
        <v>79</v>
      </c>
      <c r="AF89" s="29">
        <f t="shared" si="79"/>
      </c>
      <c r="AG89" s="34" t="s">
        <v>40</v>
      </c>
      <c r="AH89" s="66" t="s">
        <v>41</v>
      </c>
      <c r="AI89" s="33">
        <v>46</v>
      </c>
    </row>
    <row r="90">
      <c r="A90" s="22"/>
      <c r="B90" s="40" t="s">
        <v>46</v>
      </c>
      <c r="C90" s="40"/>
      <c r="D90" s="77">
        <f>SUM(D86:D89)</f>
      </c>
      <c r="E90" s="78">
        <f>SUM(E86:E89)</f>
      </c>
      <c r="F90" s="78">
        <f>SUM(F86:F89)</f>
      </c>
      <c r="G90" s="79">
        <f>SUM(G86:G89)</f>
      </c>
      <c r="H90" s="77">
        <f>SUM(H86:H89)</f>
      </c>
      <c r="I90" s="44">
        <f>SUM(I86:I89)</f>
      </c>
      <c r="J90" s="45">
        <f t="shared" si="223"/>
      </c>
      <c r="K90" s="45">
        <f t="shared" si="185"/>
      </c>
      <c r="L90" s="45">
        <f t="shared" si="147"/>
      </c>
      <c r="M90" s="46">
        <f t="shared" si="109"/>
      </c>
      <c r="N90" s="45">
        <f t="shared" si="60"/>
      </c>
      <c r="O90" s="45">
        <f t="shared" si="41"/>
      </c>
      <c r="P90" s="46">
        <f t="shared" si="22"/>
      </c>
      <c r="Q90" s="46">
        <f t="shared" si="3"/>
      </c>
      <c r="R90" s="46">
        <f t="shared" si="242"/>
      </c>
      <c r="S90" s="46">
        <f t="shared" si="204"/>
      </c>
      <c r="T90" s="42">
        <f t="shared" si="166"/>
      </c>
      <c r="U90" s="46">
        <f>AVERAGE(U86:U89)</f>
      </c>
      <c r="V90" s="41">
        <f>AVERAGE(V86:V89)</f>
      </c>
      <c r="W90" s="45">
        <f t="shared" si="128"/>
      </c>
      <c r="X90" s="42">
        <f>SUM(X86:X89)</f>
      </c>
      <c r="Y90" s="42">
        <f>SUM(Y86:Y89)</f>
      </c>
      <c r="Z90" s="42">
        <f>SUM(Z86:Z89)</f>
      </c>
      <c r="AA90" s="42">
        <f>SUM(AA86:AA89)</f>
      </c>
      <c r="AB90" s="42">
        <f>SUM(AB86:AB89)</f>
      </c>
      <c r="AC90" s="42">
        <f>SUM(AC86:AC89)</f>
      </c>
      <c r="AD90" s="42">
        <f>SUM(AD86:AD89)</f>
      </c>
      <c r="AE90" s="42">
        <f>SUM(AE86:AE89)</f>
      </c>
      <c r="AF90" s="47">
        <f t="shared" si="79"/>
      </c>
      <c r="AG90" s="48"/>
      <c r="AH90" s="48"/>
      <c r="AI90" s="42">
        <f>SUM(AI86:AI89)</f>
      </c>
    </row>
    <row r="91">
      <c r="A91" s="22"/>
      <c r="B91" s="60" t="s">
        <v>54</v>
      </c>
      <c r="C91" s="60" t="s">
        <v>55</v>
      </c>
      <c r="D91" s="101">
        <v>3445.88</v>
      </c>
      <c r="E91" s="65">
        <v>11</v>
      </c>
      <c r="F91" s="65">
        <v>10</v>
      </c>
      <c r="G91" s="52">
        <v>9</v>
      </c>
      <c r="H91" s="102">
        <v>6608.799999999996</v>
      </c>
      <c r="I91" s="65">
        <v>2</v>
      </c>
      <c r="J91" s="55">
        <f t="shared" si="223"/>
      </c>
      <c r="K91" s="55">
        <f t="shared" si="185"/>
      </c>
      <c r="L91" s="55">
        <f t="shared" si="147"/>
      </c>
      <c r="M91" s="56">
        <f t="shared" si="109"/>
      </c>
      <c r="N91" s="55">
        <f t="shared" si="60"/>
      </c>
      <c r="O91" s="55">
        <f t="shared" si="41"/>
      </c>
      <c r="P91" s="56">
        <f t="shared" si="22"/>
      </c>
      <c r="Q91" s="56">
        <f t="shared" si="3"/>
      </c>
      <c r="R91" s="56">
        <f t="shared" si="242"/>
      </c>
      <c r="S91" s="56">
        <f t="shared" si="204"/>
      </c>
      <c r="T91" s="57">
        <f t="shared" si="166"/>
      </c>
      <c r="U91" s="58">
        <v>0.0183</v>
      </c>
      <c r="V91" s="59">
        <v>52</v>
      </c>
      <c r="W91" s="55">
        <f t="shared" si="128"/>
      </c>
      <c r="X91" s="57">
        <v>48677</v>
      </c>
      <c r="Y91" s="57">
        <v>918</v>
      </c>
      <c r="Z91" s="57">
        <v>120</v>
      </c>
      <c r="AA91" s="57">
        <v>1003</v>
      </c>
      <c r="AB91" s="57">
        <v>132</v>
      </c>
      <c r="AC91" s="57">
        <v>14</v>
      </c>
      <c r="AD91" s="57">
        <v>7</v>
      </c>
      <c r="AE91" s="57">
        <v>39</v>
      </c>
      <c r="AF91" s="55">
        <f t="shared" si="79"/>
      </c>
      <c r="AG91" s="34" t="s">
        <v>56</v>
      </c>
      <c r="AH91" s="66" t="s">
        <v>52</v>
      </c>
      <c r="AI91" s="59">
        <v>56</v>
      </c>
    </row>
    <row r="92">
      <c r="A92" s="22"/>
      <c r="B92" s="60" t="s">
        <v>54</v>
      </c>
      <c r="C92" s="61" t="s">
        <v>57</v>
      </c>
      <c r="D92" s="101">
        <v>4002.8</v>
      </c>
      <c r="E92" s="65">
        <v>4</v>
      </c>
      <c r="F92" s="65">
        <v>2</v>
      </c>
      <c r="G92" s="52">
        <v>1</v>
      </c>
      <c r="H92" s="102">
        <v>2654.300000000003</v>
      </c>
      <c r="I92" s="65">
        <v>2</v>
      </c>
      <c r="J92" s="55">
        <f t="shared" si="223"/>
      </c>
      <c r="K92" s="55">
        <f t="shared" si="185"/>
      </c>
      <c r="L92" s="55">
        <f t="shared" si="147"/>
      </c>
      <c r="M92" s="56">
        <f t="shared" si="109"/>
      </c>
      <c r="N92" s="55">
        <f t="shared" si="60"/>
      </c>
      <c r="O92" s="55">
        <f t="shared" si="41"/>
      </c>
      <c r="P92" s="56">
        <f t="shared" si="22"/>
      </c>
      <c r="Q92" s="56">
        <f t="shared" si="3"/>
      </c>
      <c r="R92" s="56">
        <f t="shared" si="242"/>
      </c>
      <c r="S92" s="56">
        <f t="shared" si="204"/>
      </c>
      <c r="T92" s="57">
        <f t="shared" si="166"/>
      </c>
      <c r="U92" s="58">
        <v>0.0168</v>
      </c>
      <c r="V92" s="59">
        <v>51</v>
      </c>
      <c r="W92" s="55">
        <f t="shared" si="128"/>
      </c>
      <c r="X92" s="57">
        <v>49924</v>
      </c>
      <c r="Y92" s="57">
        <v>940</v>
      </c>
      <c r="Z92" s="57">
        <v>121</v>
      </c>
      <c r="AA92" s="57">
        <v>1090</v>
      </c>
      <c r="AB92" s="57">
        <v>81</v>
      </c>
      <c r="AC92" s="57">
        <v>14</v>
      </c>
      <c r="AD92" s="57">
        <v>5</v>
      </c>
      <c r="AE92" s="57">
        <v>47</v>
      </c>
      <c r="AF92" s="55">
        <f t="shared" si="79"/>
      </c>
      <c r="AG92" s="34" t="s">
        <v>56</v>
      </c>
      <c r="AH92" s="66" t="s">
        <v>52</v>
      </c>
      <c r="AI92" s="59">
        <v>44</v>
      </c>
    </row>
    <row r="93">
      <c r="A93" s="22"/>
      <c r="B93" s="60" t="s">
        <v>54</v>
      </c>
      <c r="C93" s="60" t="s">
        <v>58</v>
      </c>
      <c r="D93" s="101">
        <v>4509.95</v>
      </c>
      <c r="E93" s="65">
        <v>11</v>
      </c>
      <c r="F93" s="65">
        <v>6</v>
      </c>
      <c r="G93" s="52">
        <v>5</v>
      </c>
      <c r="H93" s="102">
        <v>4068.9000000000015</v>
      </c>
      <c r="I93" s="65">
        <v>1</v>
      </c>
      <c r="J93" s="55">
        <f t="shared" si="223"/>
      </c>
      <c r="K93" s="55">
        <f t="shared" si="185"/>
      </c>
      <c r="L93" s="55">
        <f t="shared" si="147"/>
      </c>
      <c r="M93" s="56">
        <f t="shared" si="109"/>
      </c>
      <c r="N93" s="55">
        <f t="shared" si="60"/>
      </c>
      <c r="O93" s="55">
        <f t="shared" si="41"/>
      </c>
      <c r="P93" s="56">
        <f t="shared" si="22"/>
      </c>
      <c r="Q93" s="56">
        <f t="shared" si="3"/>
      </c>
      <c r="R93" s="56">
        <f t="shared" si="242"/>
      </c>
      <c r="S93" s="56">
        <f t="shared" si="204"/>
      </c>
      <c r="T93" s="57">
        <f t="shared" si="166"/>
      </c>
      <c r="U93" s="58">
        <v>0.0142</v>
      </c>
      <c r="V93" s="59">
        <v>53</v>
      </c>
      <c r="W93" s="55">
        <f t="shared" si="128"/>
      </c>
      <c r="X93" s="57">
        <v>48593</v>
      </c>
      <c r="Y93" s="57">
        <v>1798</v>
      </c>
      <c r="Z93" s="57">
        <v>141</v>
      </c>
      <c r="AA93" s="57">
        <v>2885</v>
      </c>
      <c r="AB93" s="57">
        <v>206</v>
      </c>
      <c r="AC93" s="57">
        <v>31</v>
      </c>
      <c r="AD93" s="57">
        <v>11</v>
      </c>
      <c r="AE93" s="57">
        <v>40</v>
      </c>
      <c r="AF93" s="55">
        <f t="shared" si="79"/>
      </c>
      <c r="AG93" s="34" t="s">
        <v>56</v>
      </c>
      <c r="AH93" s="66" t="s">
        <v>52</v>
      </c>
      <c r="AI93" s="59">
        <v>50</v>
      </c>
    </row>
    <row r="94">
      <c r="A94" s="22"/>
      <c r="B94" s="60" t="s">
        <v>54</v>
      </c>
      <c r="C94" s="60" t="s">
        <v>59</v>
      </c>
      <c r="D94" s="101">
        <v>2467.74</v>
      </c>
      <c r="E94" s="65">
        <v>11</v>
      </c>
      <c r="F94" s="65">
        <v>9</v>
      </c>
      <c r="G94" s="52">
        <v>7</v>
      </c>
      <c r="H94" s="102">
        <v>5438.4000000000015</v>
      </c>
      <c r="I94" s="65">
        <v>1</v>
      </c>
      <c r="J94" s="55">
        <f t="shared" si="223"/>
      </c>
      <c r="K94" s="55">
        <f t="shared" si="185"/>
      </c>
      <c r="L94" s="55">
        <f t="shared" si="147"/>
      </c>
      <c r="M94" s="56">
        <f t="shared" si="109"/>
      </c>
      <c r="N94" s="55">
        <f t="shared" si="60"/>
      </c>
      <c r="O94" s="55">
        <f t="shared" si="41"/>
      </c>
      <c r="P94" s="56">
        <f t="shared" si="22"/>
      </c>
      <c r="Q94" s="56">
        <f t="shared" si="3"/>
      </c>
      <c r="R94" s="56">
        <f t="shared" si="242"/>
      </c>
      <c r="S94" s="56">
        <f t="shared" si="204"/>
      </c>
      <c r="T94" s="57">
        <f t="shared" si="166"/>
      </c>
      <c r="U94" s="58">
        <v>0.0142</v>
      </c>
      <c r="V94" s="59">
        <v>54</v>
      </c>
      <c r="W94" s="55">
        <f t="shared" si="128"/>
      </c>
      <c r="X94" s="57">
        <v>26765</v>
      </c>
      <c r="Y94" s="57">
        <v>726</v>
      </c>
      <c r="Z94" s="57">
        <v>88</v>
      </c>
      <c r="AA94" s="57">
        <v>964</v>
      </c>
      <c r="AB94" s="57">
        <v>163</v>
      </c>
      <c r="AC94" s="57">
        <v>19</v>
      </c>
      <c r="AD94" s="57">
        <v>4</v>
      </c>
      <c r="AE94" s="57">
        <v>17</v>
      </c>
      <c r="AF94" s="55">
        <f t="shared" si="79"/>
      </c>
      <c r="AG94" s="34" t="s">
        <v>56</v>
      </c>
      <c r="AH94" s="66" t="s">
        <v>52</v>
      </c>
      <c r="AI94" s="59">
        <v>53</v>
      </c>
    </row>
    <row r="95">
      <c r="A95" s="22"/>
      <c r="B95" s="67" t="s">
        <v>46</v>
      </c>
      <c r="C95" s="67"/>
      <c r="D95" s="103">
        <f>SUM(D91:D94)</f>
      </c>
      <c r="E95" s="104">
        <f>SUM(E91:E94)</f>
      </c>
      <c r="F95" s="104">
        <f>SUM(F91:F94)</f>
      </c>
      <c r="G95" s="105">
        <f>SUM(G91:G94)</f>
      </c>
      <c r="H95" s="103">
        <f>SUM(H91:H94)</f>
      </c>
      <c r="I95" s="69">
        <f>SUM(I91:I94)</f>
      </c>
      <c r="J95" s="71">
        <f t="shared" si="223"/>
      </c>
      <c r="K95" s="71">
        <f t="shared" si="185"/>
      </c>
      <c r="L95" s="71">
        <f t="shared" si="147"/>
      </c>
      <c r="M95" s="72">
        <f t="shared" si="109"/>
      </c>
      <c r="N95" s="71">
        <f t="shared" si="60"/>
      </c>
      <c r="O95" s="71">
        <f t="shared" si="41"/>
      </c>
      <c r="P95" s="72">
        <f t="shared" si="22"/>
      </c>
      <c r="Q95" s="72">
        <f t="shared" si="3"/>
      </c>
      <c r="R95" s="72">
        <f t="shared" si="242"/>
      </c>
      <c r="S95" s="72">
        <f t="shared" si="204"/>
      </c>
      <c r="T95" s="73">
        <f t="shared" si="166"/>
      </c>
      <c r="U95" s="72">
        <f>AVERAGE(U91:U94)</f>
      </c>
      <c r="V95" s="68">
        <f>AVERAGE(V91:V94)</f>
      </c>
      <c r="W95" s="71">
        <f t="shared" si="128"/>
      </c>
      <c r="X95" s="73">
        <f>SUM(X91:X94)</f>
      </c>
      <c r="Y95" s="73">
        <f>SUM(Y91:Y94)</f>
      </c>
      <c r="Z95" s="73">
        <f>SUM(Z91:Z94)</f>
      </c>
      <c r="AA95" s="73">
        <f>SUM(AA91:AA94)</f>
      </c>
      <c r="AB95" s="73">
        <f>SUM(AB91:AB94)</f>
      </c>
      <c r="AC95" s="73">
        <f>SUM(AC91:AC94)</f>
      </c>
      <c r="AD95" s="73">
        <f>SUM(AD91:AD94)</f>
      </c>
      <c r="AE95" s="73">
        <f>SUM(AE91:AE94)</f>
      </c>
      <c r="AF95" s="74">
        <f t="shared" si="79"/>
      </c>
      <c r="AG95" s="75"/>
      <c r="AH95" s="75"/>
      <c r="AI95" s="73">
        <f>SUM(AI91:AI94)</f>
      </c>
    </row>
    <row r="96">
      <c r="A96" s="22"/>
      <c r="B96" s="49" t="s">
        <v>60</v>
      </c>
      <c r="C96" s="49" t="s">
        <v>61</v>
      </c>
      <c r="D96" s="80">
        <v>3088.55</v>
      </c>
      <c r="E96" s="51">
        <v>7</v>
      </c>
      <c r="F96" s="51">
        <v>3</v>
      </c>
      <c r="G96" s="52">
        <v>2</v>
      </c>
      <c r="H96" s="53">
        <v>1758.8999999999942</v>
      </c>
      <c r="I96" s="54">
        <v>1</v>
      </c>
      <c r="J96" s="55">
        <f t="shared" si="223"/>
      </c>
      <c r="K96" s="55">
        <f t="shared" si="185"/>
      </c>
      <c r="L96" s="55">
        <f t="shared" si="147"/>
      </c>
      <c r="M96" s="56">
        <f t="shared" si="109"/>
      </c>
      <c r="N96" s="55">
        <f t="shared" si="60"/>
      </c>
      <c r="O96" s="55">
        <f t="shared" si="41"/>
      </c>
      <c r="P96" s="56">
        <f t="shared" si="22"/>
      </c>
      <c r="Q96" s="56">
        <f t="shared" si="3"/>
      </c>
      <c r="R96" s="56">
        <f t="shared" si="242"/>
      </c>
      <c r="S96" s="56">
        <f t="shared" si="204"/>
      </c>
      <c r="T96" s="57">
        <f t="shared" si="166"/>
      </c>
      <c r="U96" s="58">
        <v>0.0104</v>
      </c>
      <c r="V96" s="59">
        <v>52</v>
      </c>
      <c r="W96" s="55">
        <f t="shared" si="128"/>
      </c>
      <c r="X96" s="57">
        <v>33846</v>
      </c>
      <c r="Y96" s="57">
        <v>1337</v>
      </c>
      <c r="Z96" s="57">
        <v>92</v>
      </c>
      <c r="AA96" s="57">
        <v>1685</v>
      </c>
      <c r="AB96" s="57">
        <v>101</v>
      </c>
      <c r="AC96" s="57">
        <v>10</v>
      </c>
      <c r="AD96" s="57">
        <v>2</v>
      </c>
      <c r="AE96" s="57">
        <v>24</v>
      </c>
      <c r="AF96" s="55">
        <f t="shared" si="79"/>
      </c>
      <c r="AG96" s="34" t="s">
        <v>56</v>
      </c>
      <c r="AH96" s="66" t="s">
        <v>52</v>
      </c>
      <c r="AI96" s="59">
        <v>38</v>
      </c>
    </row>
    <row r="97">
      <c r="A97" s="22"/>
      <c r="B97" s="49" t="s">
        <v>60</v>
      </c>
      <c r="C97" s="49" t="s">
        <v>62</v>
      </c>
      <c r="D97" s="81">
        <v>2965.98</v>
      </c>
      <c r="E97" s="63">
        <v>6</v>
      </c>
      <c r="F97" s="63">
        <v>6</v>
      </c>
      <c r="G97" s="64">
        <v>6</v>
      </c>
      <c r="H97" s="91">
        <v>4068.9000000000087</v>
      </c>
      <c r="I97" s="54">
        <v>1</v>
      </c>
      <c r="J97" s="55">
        <f t="shared" si="223"/>
      </c>
      <c r="K97" s="55">
        <f t="shared" si="185"/>
      </c>
      <c r="L97" s="55">
        <f t="shared" si="147"/>
      </c>
      <c r="M97" s="56">
        <f t="shared" si="109"/>
      </c>
      <c r="N97" s="55">
        <f t="shared" si="60"/>
      </c>
      <c r="O97" s="55">
        <f t="shared" si="41"/>
      </c>
      <c r="P97" s="56">
        <f t="shared" si="22"/>
      </c>
      <c r="Q97" s="56">
        <f t="shared" si="3"/>
      </c>
      <c r="R97" s="56">
        <f t="shared" si="242"/>
      </c>
      <c r="S97" s="56">
        <f t="shared" si="204"/>
      </c>
      <c r="T97" s="57">
        <f t="shared" si="166"/>
      </c>
      <c r="U97" s="58">
        <v>0.023</v>
      </c>
      <c r="V97" s="59">
        <v>53</v>
      </c>
      <c r="W97" s="55">
        <f t="shared" si="128"/>
      </c>
      <c r="X97" s="57">
        <v>50451</v>
      </c>
      <c r="Y97" s="57">
        <v>515</v>
      </c>
      <c r="Z97" s="57">
        <v>93</v>
      </c>
      <c r="AA97" s="57">
        <v>565</v>
      </c>
      <c r="AB97" s="57">
        <v>92</v>
      </c>
      <c r="AC97" s="57">
        <v>10</v>
      </c>
      <c r="AD97" s="57">
        <v>3</v>
      </c>
      <c r="AE97" s="57">
        <v>43</v>
      </c>
      <c r="AF97" s="55">
        <f t="shared" si="79"/>
      </c>
      <c r="AG97" s="34" t="s">
        <v>56</v>
      </c>
      <c r="AH97" s="66" t="s">
        <v>52</v>
      </c>
      <c r="AI97" s="59">
        <v>42</v>
      </c>
    </row>
    <row r="98">
      <c r="A98" s="22"/>
      <c r="B98" s="49" t="s">
        <v>60</v>
      </c>
      <c r="C98" s="49" t="s">
        <v>63</v>
      </c>
      <c r="D98" s="80">
        <v>2826.64</v>
      </c>
      <c r="E98" s="63">
        <v>9</v>
      </c>
      <c r="F98" s="63">
        <v>7</v>
      </c>
      <c r="G98" s="64">
        <v>6</v>
      </c>
      <c r="H98" s="50">
        <v>4519.899999999994</v>
      </c>
      <c r="I98" s="65">
        <v>1</v>
      </c>
      <c r="J98" s="55">
        <f t="shared" si="223"/>
      </c>
      <c r="K98" s="55">
        <f t="shared" si="185"/>
      </c>
      <c r="L98" s="55">
        <f t="shared" si="147"/>
      </c>
      <c r="M98" s="56">
        <f t="shared" si="109"/>
      </c>
      <c r="N98" s="55">
        <f t="shared" si="60"/>
      </c>
      <c r="O98" s="55">
        <f t="shared" si="41"/>
      </c>
      <c r="P98" s="56">
        <f t="shared" si="22"/>
      </c>
      <c r="Q98" s="56">
        <f t="shared" si="3"/>
      </c>
      <c r="R98" s="56">
        <f t="shared" si="242"/>
      </c>
      <c r="S98" s="56">
        <f t="shared" si="204"/>
      </c>
      <c r="T98" s="57">
        <f t="shared" si="166"/>
      </c>
      <c r="U98" s="58">
        <v>0.0149</v>
      </c>
      <c r="V98" s="59">
        <v>52</v>
      </c>
      <c r="W98" s="55">
        <f t="shared" si="128"/>
      </c>
      <c r="X98" s="57">
        <v>35778</v>
      </c>
      <c r="Y98" s="57">
        <v>1000</v>
      </c>
      <c r="Z98" s="57">
        <v>116</v>
      </c>
      <c r="AA98" s="57">
        <v>1039</v>
      </c>
      <c r="AB98" s="57">
        <v>98</v>
      </c>
      <c r="AC98" s="57">
        <v>22</v>
      </c>
      <c r="AD98" s="57">
        <v>3</v>
      </c>
      <c r="AE98" s="57">
        <v>20</v>
      </c>
      <c r="AF98" s="55">
        <f t="shared" si="79"/>
      </c>
      <c r="AG98" s="34" t="s">
        <v>56</v>
      </c>
      <c r="AH98" s="66" t="s">
        <v>70</v>
      </c>
      <c r="AI98" s="59">
        <v>44</v>
      </c>
    </row>
    <row r="99">
      <c r="A99" s="22"/>
      <c r="B99" s="49" t="s">
        <v>60</v>
      </c>
      <c r="C99" s="49" t="s">
        <v>64</v>
      </c>
      <c r="D99" s="80">
        <v>3150.24</v>
      </c>
      <c r="E99" s="65">
        <v>6</v>
      </c>
      <c r="F99" s="65">
        <v>6</v>
      </c>
      <c r="G99" s="52">
        <v>5</v>
      </c>
      <c r="H99" s="50">
        <v>5454.900000000009</v>
      </c>
      <c r="I99" s="65">
        <v>2</v>
      </c>
      <c r="J99" s="55">
        <f t="shared" si="223"/>
      </c>
      <c r="K99" s="55">
        <f t="shared" si="185"/>
      </c>
      <c r="L99" s="55">
        <f t="shared" si="147"/>
      </c>
      <c r="M99" s="56">
        <f t="shared" si="109"/>
      </c>
      <c r="N99" s="55">
        <f t="shared" si="60"/>
      </c>
      <c r="O99" s="55">
        <f t="shared" si="41"/>
      </c>
      <c r="P99" s="56">
        <f t="shared" si="22"/>
      </c>
      <c r="Q99" s="56">
        <f t="shared" si="3"/>
      </c>
      <c r="R99" s="56">
        <f t="shared" si="242"/>
      </c>
      <c r="S99" s="56">
        <f t="shared" si="204"/>
      </c>
      <c r="T99" s="57">
        <f t="shared" si="166"/>
      </c>
      <c r="U99" s="58">
        <v>0.0109</v>
      </c>
      <c r="V99" s="59">
        <v>50</v>
      </c>
      <c r="W99" s="55">
        <f t="shared" si="128"/>
      </c>
      <c r="X99" s="57">
        <v>42934</v>
      </c>
      <c r="Y99" s="57">
        <v>2264</v>
      </c>
      <c r="Z99" s="57">
        <v>127</v>
      </c>
      <c r="AA99" s="57">
        <v>2665</v>
      </c>
      <c r="AB99" s="57">
        <v>123</v>
      </c>
      <c r="AC99" s="57">
        <v>10</v>
      </c>
      <c r="AD99" s="57">
        <v>3</v>
      </c>
      <c r="AE99" s="59">
        <v>15</v>
      </c>
      <c r="AF99" s="55">
        <f t="shared" si="79"/>
      </c>
      <c r="AG99" s="34" t="s">
        <v>56</v>
      </c>
      <c r="AH99" s="66" t="s">
        <v>70</v>
      </c>
      <c r="AI99" s="59">
        <v>45</v>
      </c>
    </row>
    <row r="100">
      <c r="A100" s="22"/>
      <c r="B100" s="67" t="s">
        <v>46</v>
      </c>
      <c r="C100" s="67"/>
      <c r="D100" s="68">
        <f>SUM(D96:D99)</f>
      </c>
      <c r="E100" s="69">
        <f>SUM(E96:E99)</f>
      </c>
      <c r="F100" s="69">
        <f>SUM(F96:F99)</f>
      </c>
      <c r="G100" s="70">
        <f>SUM(G96:G99)</f>
      </c>
      <c r="H100" s="68">
        <f>SUM(H96:H99)</f>
      </c>
      <c r="I100" s="44">
        <f>SUM(I96:I99)</f>
      </c>
      <c r="J100" s="71">
        <f t="shared" si="223"/>
      </c>
      <c r="K100" s="71">
        <f t="shared" si="185"/>
      </c>
      <c r="L100" s="71">
        <f t="shared" si="147"/>
      </c>
      <c r="M100" s="72">
        <f t="shared" si="109"/>
      </c>
      <c r="N100" s="71">
        <f t="shared" si="60"/>
      </c>
      <c r="O100" s="71">
        <f t="shared" si="41"/>
      </c>
      <c r="P100" s="72">
        <f t="shared" si="22"/>
      </c>
      <c r="Q100" s="72">
        <f t="shared" si="3"/>
      </c>
      <c r="R100" s="72">
        <f t="shared" si="242"/>
      </c>
      <c r="S100" s="72">
        <f t="shared" si="204"/>
      </c>
      <c r="T100" s="73">
        <f t="shared" si="166"/>
      </c>
      <c r="U100" s="72">
        <f>AVERAGE(U96:U99)</f>
      </c>
      <c r="V100" s="68">
        <f>AVERAGE(V96:V99)</f>
      </c>
      <c r="W100" s="71">
        <f t="shared" si="128"/>
      </c>
      <c r="X100" s="73">
        <f>SUM(X96:X99)</f>
      </c>
      <c r="Y100" s="73">
        <f>SUM(Y96:Y99)</f>
      </c>
      <c r="Z100" s="73">
        <f>SUM(Z96:Z99)</f>
      </c>
      <c r="AA100" s="73">
        <f>SUM(AA96:AA99)</f>
      </c>
      <c r="AB100" s="73">
        <f>SUM(AB96:AB99)</f>
      </c>
      <c r="AC100" s="73">
        <f>SUM(AC96:AC99)</f>
      </c>
      <c r="AD100" s="73">
        <f>SUM(AD96:AD99)</f>
      </c>
      <c r="AE100" s="73">
        <f>SUM(AE96:AE99)</f>
      </c>
      <c r="AF100" s="74">
        <f t="shared" si="79"/>
      </c>
      <c r="AG100" s="75"/>
      <c r="AH100" s="75"/>
      <c r="AI100" s="70">
        <f>SUM(AI96:AI99)</f>
      </c>
    </row>
    <row r="101">
      <c r="A101" s="22"/>
      <c r="B101" s="82" t="s">
        <v>65</v>
      </c>
      <c r="C101" s="82"/>
      <c r="D101" s="83">
        <f>D82+D85+D100+D95+D90</f>
      </c>
      <c r="E101" s="83">
        <f>E82+E85+E100+E95+E90</f>
      </c>
      <c r="F101" s="83">
        <f>F82+F85+F100+F95+F90</f>
      </c>
      <c r="G101" s="84">
        <f>G82+G85+G100+G95+G90</f>
      </c>
      <c r="H101" s="83">
        <f>H82+H85+H100+H95+H90</f>
      </c>
      <c r="I101" s="83">
        <f>I82+I85+I100+I95+I90</f>
      </c>
      <c r="J101" s="86">
        <f t="shared" si="223"/>
      </c>
      <c r="K101" s="87">
        <f t="shared" si="185"/>
      </c>
      <c r="L101" s="87">
        <f t="shared" si="147"/>
      </c>
      <c r="M101" s="88">
        <f t="shared" si="109"/>
      </c>
      <c r="N101" s="87">
        <f t="shared" si="60"/>
      </c>
      <c r="O101" s="87">
        <f t="shared" si="41"/>
      </c>
      <c r="P101" s="88">
        <f t="shared" si="22"/>
      </c>
      <c r="Q101" s="88">
        <f t="shared" si="3"/>
      </c>
      <c r="R101" s="88">
        <f t="shared" si="242"/>
      </c>
      <c r="S101" s="88">
        <f t="shared" si="204"/>
      </c>
      <c r="T101" s="89">
        <f t="shared" si="166"/>
      </c>
      <c r="U101" s="88">
        <f>(U90+U85+U82+U100)/4+U95</f>
      </c>
      <c r="V101" s="87">
        <f>(V90+V85+V82+V100)/4+V95</f>
      </c>
      <c r="W101" s="90">
        <f t="shared" si="128"/>
      </c>
      <c r="X101" s="89">
        <f>X82+X85+X100</f>
      </c>
      <c r="Y101" s="89">
        <f>Y82+Y85+Y100</f>
      </c>
      <c r="Z101" s="89">
        <f>Z82+Z85+Z100</f>
      </c>
      <c r="AA101" s="89">
        <f>AA82+AA85+AA100</f>
      </c>
      <c r="AB101" s="89">
        <f>AB82+AB85+AB100</f>
      </c>
      <c r="AC101" s="89">
        <f>AC82+AC85+AC100</f>
      </c>
      <c r="AD101" s="89">
        <f>AD82+AD85+AD100</f>
      </c>
      <c r="AE101" s="89">
        <f>AE95+AE82+AE85+AE100+AE90</f>
      </c>
      <c r="AF101" s="87">
        <f>AF82</f>
      </c>
      <c r="AG101" s="82"/>
      <c r="AH101" s="82"/>
      <c r="AI101" s="89">
        <f>AI82+AI85+AI90+AI95+AI100</f>
      </c>
    </row>
    <row r="102">
      <c r="A102" s="1" t="s">
        <v>66</v>
      </c>
      <c r="B102" s="2" t="s">
        <v>1</v>
      </c>
      <c r="C102" s="2"/>
      <c r="D102" s="3" t="s">
        <v>2</v>
      </c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5" t="s">
        <v>3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</row>
    <row r="103">
      <c r="A103" s="1"/>
      <c r="B103" s="2" t="s">
        <v>4</v>
      </c>
      <c r="C103" s="7" t="s">
        <v>5</v>
      </c>
      <c r="D103" s="8" t="s">
        <v>6</v>
      </c>
      <c r="E103" s="9" t="s">
        <v>7</v>
      </c>
      <c r="F103" s="10" t="s">
        <v>8</v>
      </c>
      <c r="G103" s="11" t="s">
        <v>9</v>
      </c>
      <c r="H103" s="8" t="s">
        <v>10</v>
      </c>
      <c r="I103" s="12" t="s">
        <v>11</v>
      </c>
      <c r="J103" s="13" t="s">
        <v>12</v>
      </c>
      <c r="K103" s="13" t="s">
        <v>13</v>
      </c>
      <c r="L103" s="13" t="s">
        <v>14</v>
      </c>
      <c r="M103" s="14" t="s">
        <v>15</v>
      </c>
      <c r="N103" s="13" t="s">
        <v>16</v>
      </c>
      <c r="O103" s="15" t="s">
        <v>17</v>
      </c>
      <c r="P103" s="16" t="s">
        <v>18</v>
      </c>
      <c r="Q103" s="16" t="s">
        <v>19</v>
      </c>
      <c r="R103" s="16" t="s">
        <v>20</v>
      </c>
      <c r="S103" s="16" t="s">
        <v>21</v>
      </c>
      <c r="T103" s="17" t="s">
        <v>22</v>
      </c>
      <c r="U103" s="18" t="s">
        <v>23</v>
      </c>
      <c r="V103" s="19" t="s">
        <v>24</v>
      </c>
      <c r="W103" s="5" t="s">
        <v>25</v>
      </c>
      <c r="X103" s="20" t="s">
        <v>26</v>
      </c>
      <c r="Y103" s="20" t="s">
        <v>27</v>
      </c>
      <c r="Z103" s="20" t="s">
        <v>28</v>
      </c>
      <c r="AA103" s="20" t="s">
        <v>29</v>
      </c>
      <c r="AB103" s="20" t="s">
        <v>30</v>
      </c>
      <c r="AC103" s="20" t="s">
        <v>31</v>
      </c>
      <c r="AD103" s="20" t="s">
        <v>32</v>
      </c>
      <c r="AE103" s="20" t="s">
        <v>33</v>
      </c>
      <c r="AF103" s="5" t="s">
        <v>34</v>
      </c>
      <c r="AG103" s="21" t="s">
        <v>35</v>
      </c>
      <c r="AH103" s="21" t="s">
        <v>36</v>
      </c>
      <c r="AI103" s="6" t="s">
        <v>37</v>
      </c>
    </row>
    <row r="104">
      <c r="A104" s="22">
        <v>46208</v>
      </c>
      <c r="B104" s="49" t="s">
        <v>47</v>
      </c>
      <c r="C104" s="24" t="s">
        <v>39</v>
      </c>
      <c r="D104" s="25">
        <v>3000</v>
      </c>
      <c r="E104" s="26">
        <v>9</v>
      </c>
      <c r="F104" s="26">
        <v>8</v>
      </c>
      <c r="G104" s="27">
        <v>8</v>
      </c>
      <c r="H104" s="25">
        <v>5333.9</v>
      </c>
      <c r="I104" s="26">
        <v>1</v>
      </c>
      <c r="J104" s="28">
        <f t="shared" ref="J104:J127" si="224">H104/D104</f>
      </c>
      <c r="K104" s="29">
        <f t="shared" ref="K104:K127" si="186">D104/F104</f>
      </c>
      <c r="L104" s="29">
        <f t="shared" ref="L104:L127" si="148">D104/G104</f>
      </c>
      <c r="M104" s="30">
        <f t="shared" ref="M104:M127" si="110">F104/E104</f>
      </c>
      <c r="N104" s="29">
        <f t="shared" ref="N104:N127" si="61">H104/F104</f>
      </c>
      <c r="O104" s="29">
        <f t="shared" ref="O104:O127" si="42">D104/Y104</f>
      </c>
      <c r="P104" s="30">
        <f t="shared" ref="P104:P127" si="23">T104/X104*1</f>
      </c>
      <c r="Q104" s="30">
        <f t="shared" ref="Q104:Q127" si="4">Y104/X104</f>
      </c>
      <c r="R104" s="30">
        <f t="shared" ref="R104:R127" si="243">AA104/X104</f>
      </c>
      <c r="S104" s="30">
        <f t="shared" ref="S104:S127" si="205">AB104/AA104</f>
      </c>
      <c r="T104" s="31">
        <f t="shared" ref="T104:T127" si="167">Z104/U104</f>
      </c>
      <c r="U104" s="32">
        <v>0.0106</v>
      </c>
      <c r="V104" s="33">
        <v>28</v>
      </c>
      <c r="W104" s="29">
        <f t="shared" ref="W104:W127" si="129">(D104/X104)*1000</f>
      </c>
      <c r="X104" s="33">
        <v>33025</v>
      </c>
      <c r="Y104" s="33">
        <v>2109</v>
      </c>
      <c r="Z104" s="31">
        <v>75</v>
      </c>
      <c r="AA104" s="31">
        <v>3368</v>
      </c>
      <c r="AB104" s="31">
        <v>79</v>
      </c>
      <c r="AC104" s="31">
        <v>22</v>
      </c>
      <c r="AD104" s="33">
        <v>6</v>
      </c>
      <c r="AE104" s="33">
        <v>34</v>
      </c>
      <c r="AF104" s="29">
        <f t="shared" ref="AF104:AF126" si="80">AI104*1000/D104</f>
      </c>
      <c r="AG104" s="34" t="s">
        <v>40</v>
      </c>
      <c r="AH104" s="35" t="s">
        <v>41</v>
      </c>
      <c r="AI104" s="33">
        <v>35</v>
      </c>
    </row>
    <row r="105">
      <c r="A105" s="22"/>
      <c r="B105" s="49" t="s">
        <v>47</v>
      </c>
      <c r="C105" s="24" t="s">
        <v>42</v>
      </c>
      <c r="D105" s="25">
        <v>3000</v>
      </c>
      <c r="E105" s="26">
        <v>9</v>
      </c>
      <c r="F105" s="26">
        <v>6</v>
      </c>
      <c r="G105" s="27">
        <v>5</v>
      </c>
      <c r="H105" s="25">
        <v>4068.8999999999996</v>
      </c>
      <c r="I105" s="26">
        <v>1</v>
      </c>
      <c r="J105" s="28">
        <f t="shared" si="224"/>
      </c>
      <c r="K105" s="29">
        <f t="shared" si="186"/>
      </c>
      <c r="L105" s="29">
        <f t="shared" si="148"/>
      </c>
      <c r="M105" s="30">
        <f t="shared" si="110"/>
      </c>
      <c r="N105" s="29">
        <f t="shared" si="61"/>
      </c>
      <c r="O105" s="29">
        <f t="shared" si="42"/>
      </c>
      <c r="P105" s="30">
        <f t="shared" si="23"/>
      </c>
      <c r="Q105" s="30">
        <f t="shared" si="4"/>
      </c>
      <c r="R105" s="30">
        <f t="shared" si="243"/>
      </c>
      <c r="S105" s="30">
        <f t="shared" si="205"/>
      </c>
      <c r="T105" s="31">
        <f t="shared" si="167"/>
      </c>
      <c r="U105" s="32">
        <v>0.0133</v>
      </c>
      <c r="V105" s="33">
        <v>34</v>
      </c>
      <c r="W105" s="29">
        <f t="shared" si="129"/>
      </c>
      <c r="X105" s="33">
        <v>38529</v>
      </c>
      <c r="Y105" s="33">
        <v>805</v>
      </c>
      <c r="Z105" s="31">
        <v>102</v>
      </c>
      <c r="AA105" s="31">
        <v>903</v>
      </c>
      <c r="AB105" s="33">
        <v>67</v>
      </c>
      <c r="AC105" s="31">
        <v>18</v>
      </c>
      <c r="AD105" s="33">
        <v>4</v>
      </c>
      <c r="AE105" s="33">
        <v>30</v>
      </c>
      <c r="AF105" s="29">
        <f t="shared" si="80"/>
      </c>
      <c r="AG105" s="34" t="s">
        <v>40</v>
      </c>
      <c r="AH105" s="35" t="s">
        <v>41</v>
      </c>
      <c r="AI105" s="33">
        <v>31</v>
      </c>
    </row>
    <row r="106">
      <c r="A106" s="22"/>
      <c r="B106" s="49" t="s">
        <v>47</v>
      </c>
      <c r="C106" s="24" t="s">
        <v>43</v>
      </c>
      <c r="D106" s="25">
        <v>0</v>
      </c>
      <c r="E106" s="26">
        <v>5</v>
      </c>
      <c r="F106" s="26">
        <v>5</v>
      </c>
      <c r="G106" s="27">
        <v>2</v>
      </c>
      <c r="H106" s="25">
        <v>2990.8999999999996</v>
      </c>
      <c r="I106" s="26">
        <v>1</v>
      </c>
      <c r="J106" s="28">
        <f t="shared" si="224"/>
      </c>
      <c r="K106" s="29">
        <f t="shared" si="186"/>
      </c>
      <c r="L106" s="29">
        <f t="shared" si="148"/>
      </c>
      <c r="M106" s="30">
        <f t="shared" si="110"/>
      </c>
      <c r="N106" s="29">
        <f t="shared" si="61"/>
      </c>
      <c r="O106" s="29">
        <f t="shared" si="42"/>
      </c>
      <c r="P106" s="30">
        <f t="shared" si="23"/>
      </c>
      <c r="Q106" s="30">
        <f t="shared" si="4"/>
      </c>
      <c r="R106" s="30">
        <f t="shared" si="243"/>
      </c>
      <c r="S106" s="30">
        <f t="shared" si="205"/>
      </c>
      <c r="T106" s="31">
        <f t="shared" si="167"/>
      </c>
      <c r="U106" s="32">
        <v>0.0111</v>
      </c>
      <c r="V106" s="33">
        <v>36</v>
      </c>
      <c r="W106" s="29">
        <f t="shared" si="129"/>
      </c>
      <c r="X106" s="33">
        <v>1693</v>
      </c>
      <c r="Y106" s="33">
        <v>29</v>
      </c>
      <c r="Z106" s="31">
        <v>4</v>
      </c>
      <c r="AA106" s="31">
        <v>44</v>
      </c>
      <c r="AB106" s="33">
        <v>39</v>
      </c>
      <c r="AC106" s="31">
        <v>3</v>
      </c>
      <c r="AD106" s="33">
        <v>0</v>
      </c>
      <c r="AE106" s="33">
        <v>0</v>
      </c>
      <c r="AF106" s="29">
        <f t="shared" si="80"/>
      </c>
      <c r="AG106" s="34" t="s">
        <v>40</v>
      </c>
      <c r="AH106" s="35" t="s">
        <v>41</v>
      </c>
      <c r="AI106" s="33">
        <v>3</v>
      </c>
    </row>
    <row r="107">
      <c r="A107" s="22"/>
      <c r="B107" s="49" t="s">
        <v>47</v>
      </c>
      <c r="C107" s="36" t="s">
        <v>44</v>
      </c>
      <c r="D107" s="25">
        <v>3739.09</v>
      </c>
      <c r="E107" s="26">
        <v>10</v>
      </c>
      <c r="F107" s="26">
        <v>7</v>
      </c>
      <c r="G107" s="27">
        <v>7</v>
      </c>
      <c r="H107" s="25">
        <v>3487</v>
      </c>
      <c r="I107" s="26">
        <v>0</v>
      </c>
      <c r="J107" s="28">
        <f t="shared" si="224"/>
      </c>
      <c r="K107" s="29">
        <f t="shared" si="186"/>
      </c>
      <c r="L107" s="29">
        <f t="shared" si="148"/>
      </c>
      <c r="M107" s="30">
        <f t="shared" si="110"/>
      </c>
      <c r="N107" s="29">
        <f t="shared" si="61"/>
      </c>
      <c r="O107" s="29">
        <f t="shared" si="42"/>
      </c>
      <c r="P107" s="30">
        <f t="shared" si="23"/>
      </c>
      <c r="Q107" s="30">
        <f t="shared" si="4"/>
      </c>
      <c r="R107" s="30">
        <f t="shared" si="243"/>
      </c>
      <c r="S107" s="30">
        <f t="shared" si="205"/>
      </c>
      <c r="T107" s="31">
        <f t="shared" si="167"/>
      </c>
      <c r="U107" s="32">
        <v>0.0152</v>
      </c>
      <c r="V107" s="33">
        <v>38</v>
      </c>
      <c r="W107" s="29">
        <f t="shared" si="129"/>
      </c>
      <c r="X107" s="33">
        <v>38773</v>
      </c>
      <c r="Y107" s="33">
        <v>956</v>
      </c>
      <c r="Z107" s="33">
        <v>127</v>
      </c>
      <c r="AA107" s="33">
        <v>1026</v>
      </c>
      <c r="AB107" s="33">
        <v>71</v>
      </c>
      <c r="AC107" s="33">
        <v>12</v>
      </c>
      <c r="AD107" s="33">
        <v>8</v>
      </c>
      <c r="AE107" s="33">
        <v>37</v>
      </c>
      <c r="AF107" s="29">
        <f t="shared" si="80"/>
      </c>
      <c r="AG107" s="34" t="s">
        <v>40</v>
      </c>
      <c r="AH107" s="35" t="s">
        <v>41</v>
      </c>
      <c r="AI107" s="33">
        <v>53</v>
      </c>
    </row>
    <row r="108">
      <c r="A108" s="22"/>
      <c r="B108" s="40" t="s">
        <v>46</v>
      </c>
      <c r="C108" s="40"/>
      <c r="D108" s="41">
        <f>SUM(D104:D107)</f>
      </c>
      <c r="E108" s="42">
        <f>SUM(E104:E107)</f>
      </c>
      <c r="F108" s="42">
        <f>SUM(F104:F107)</f>
      </c>
      <c r="G108" s="43">
        <f>SUM(G104:G107)</f>
      </c>
      <c r="H108" s="41">
        <f>SUM(H104:H107)</f>
      </c>
      <c r="I108" s="44">
        <f>SUM(I104:I107)</f>
      </c>
      <c r="J108" s="45">
        <f t="shared" si="224"/>
      </c>
      <c r="K108" s="45">
        <f t="shared" si="186"/>
      </c>
      <c r="L108" s="45">
        <f t="shared" si="148"/>
      </c>
      <c r="M108" s="46">
        <f t="shared" si="110"/>
      </c>
      <c r="N108" s="45">
        <f t="shared" si="61"/>
      </c>
      <c r="O108" s="45">
        <f t="shared" si="42"/>
      </c>
      <c r="P108" s="46">
        <f t="shared" si="23"/>
      </c>
      <c r="Q108" s="46">
        <f t="shared" si="4"/>
      </c>
      <c r="R108" s="46">
        <f t="shared" si="243"/>
      </c>
      <c r="S108" s="46">
        <f t="shared" si="205"/>
      </c>
      <c r="T108" s="42">
        <f t="shared" si="167"/>
      </c>
      <c r="U108" s="46">
        <f>AVERAGE(U104:U107)</f>
      </c>
      <c r="V108" s="41">
        <f>AVERAGE(V104:V107)</f>
      </c>
      <c r="W108" s="45">
        <f t="shared" si="129"/>
      </c>
      <c r="X108" s="42">
        <f>SUM(X104:X107)</f>
      </c>
      <c r="Y108" s="42">
        <f>SUM(Y104:Y107)</f>
      </c>
      <c r="Z108" s="42">
        <f>SUM(Z104:Z107)</f>
      </c>
      <c r="AA108" s="42">
        <f>SUM(AA104:AA107)</f>
      </c>
      <c r="AB108" s="42">
        <f>SUM(AB104:AB107)</f>
      </c>
      <c r="AC108" s="42">
        <f>SUM(AC104:AC107)</f>
      </c>
      <c r="AD108" s="42">
        <f>SUM(AD104:AD107)</f>
      </c>
      <c r="AE108" s="42">
        <f>SUM(AE104:AE107)</f>
      </c>
      <c r="AF108" s="47">
        <f t="shared" si="80"/>
      </c>
      <c r="AG108" s="48"/>
      <c r="AH108" s="48"/>
      <c r="AI108" s="43">
        <f>SUM(AI104:AI107)</f>
      </c>
    </row>
    <row r="109">
      <c r="A109" s="22"/>
      <c r="B109" s="60" t="s">
        <v>54</v>
      </c>
      <c r="C109" s="24" t="s">
        <v>45</v>
      </c>
      <c r="D109" s="50">
        <v>4560.91</v>
      </c>
      <c r="E109" s="51">
        <v>16</v>
      </c>
      <c r="F109" s="51">
        <v>12</v>
      </c>
      <c r="G109" s="52">
        <v>10</v>
      </c>
      <c r="H109" s="53">
        <v>5741.999999999998</v>
      </c>
      <c r="I109" s="54">
        <v>0</v>
      </c>
      <c r="J109" s="55">
        <f t="shared" si="224"/>
      </c>
      <c r="K109" s="55">
        <f t="shared" si="186"/>
      </c>
      <c r="L109" s="55">
        <f t="shared" si="148"/>
      </c>
      <c r="M109" s="56">
        <f t="shared" si="110"/>
      </c>
      <c r="N109" s="55">
        <f t="shared" si="61"/>
      </c>
      <c r="O109" s="55">
        <f t="shared" si="42"/>
      </c>
      <c r="P109" s="56">
        <f t="shared" si="23"/>
      </c>
      <c r="Q109" s="56">
        <f t="shared" si="4"/>
      </c>
      <c r="R109" s="56">
        <f t="shared" si="243"/>
      </c>
      <c r="S109" s="56">
        <f t="shared" si="205"/>
      </c>
      <c r="T109" s="57">
        <f t="shared" si="167"/>
      </c>
      <c r="U109" s="58">
        <v>0.0172</v>
      </c>
      <c r="V109" s="59">
        <v>45</v>
      </c>
      <c r="W109" s="55">
        <f t="shared" si="129"/>
      </c>
      <c r="X109" s="57">
        <v>54108</v>
      </c>
      <c r="Y109" s="57">
        <v>1235</v>
      </c>
      <c r="Z109" s="57">
        <v>141</v>
      </c>
      <c r="AA109" s="57">
        <v>1451</v>
      </c>
      <c r="AB109" s="57">
        <v>152</v>
      </c>
      <c r="AC109" s="57">
        <v>18</v>
      </c>
      <c r="AD109" s="57">
        <v>5</v>
      </c>
      <c r="AE109" s="57">
        <v>56</v>
      </c>
      <c r="AF109" s="55">
        <f t="shared" si="80"/>
      </c>
      <c r="AG109" s="34" t="s">
        <v>40</v>
      </c>
      <c r="AH109" s="35" t="s">
        <v>41</v>
      </c>
      <c r="AI109" s="59">
        <v>58</v>
      </c>
    </row>
    <row r="110">
      <c r="A110" s="22"/>
      <c r="B110" s="60" t="s">
        <v>54</v>
      </c>
      <c r="C110" s="23" t="s">
        <v>48</v>
      </c>
      <c r="D110" s="50">
        <v>3573.97</v>
      </c>
      <c r="E110" s="51">
        <v>18</v>
      </c>
      <c r="F110" s="51">
        <v>15</v>
      </c>
      <c r="G110" s="52">
        <v>11</v>
      </c>
      <c r="H110" s="53">
        <v>7755</v>
      </c>
      <c r="I110" s="54">
        <v>0</v>
      </c>
      <c r="J110" s="55">
        <f t="shared" si="224"/>
      </c>
      <c r="K110" s="55">
        <f t="shared" si="186"/>
      </c>
      <c r="L110" s="55">
        <f t="shared" si="148"/>
      </c>
      <c r="M110" s="56">
        <f t="shared" si="110"/>
      </c>
      <c r="N110" s="55">
        <f t="shared" si="61"/>
      </c>
      <c r="O110" s="55">
        <f t="shared" si="42"/>
      </c>
      <c r="P110" s="56">
        <f t="shared" si="23"/>
      </c>
      <c r="Q110" s="56">
        <f t="shared" si="4"/>
      </c>
      <c r="R110" s="56">
        <f t="shared" si="243"/>
      </c>
      <c r="S110" s="56">
        <f t="shared" si="205"/>
      </c>
      <c r="T110" s="57">
        <f t="shared" si="167"/>
      </c>
      <c r="U110" s="58">
        <v>0.0164</v>
      </c>
      <c r="V110" s="59">
        <v>49</v>
      </c>
      <c r="W110" s="55">
        <f t="shared" si="129"/>
      </c>
      <c r="X110" s="57">
        <v>47341</v>
      </c>
      <c r="Y110" s="57">
        <v>970</v>
      </c>
      <c r="Z110" s="57">
        <v>120</v>
      </c>
      <c r="AA110" s="57">
        <v>1017</v>
      </c>
      <c r="AB110" s="57">
        <v>113</v>
      </c>
      <c r="AC110" s="57">
        <v>20</v>
      </c>
      <c r="AD110" s="57">
        <v>3</v>
      </c>
      <c r="AE110" s="57">
        <v>28</v>
      </c>
      <c r="AF110" s="55">
        <f t="shared" si="80"/>
      </c>
      <c r="AG110" s="34" t="s">
        <v>40</v>
      </c>
      <c r="AH110" s="35" t="s">
        <v>41</v>
      </c>
      <c r="AI110" s="59">
        <v>54</v>
      </c>
    </row>
    <row r="111">
      <c r="A111" s="22"/>
      <c r="B111" s="60" t="s">
        <v>54</v>
      </c>
      <c r="C111" s="60" t="s">
        <v>49</v>
      </c>
      <c r="D111" s="62">
        <v>4222.21</v>
      </c>
      <c r="E111" s="63">
        <v>9</v>
      </c>
      <c r="F111" s="63">
        <v>6</v>
      </c>
      <c r="G111" s="64">
        <v>6</v>
      </c>
      <c r="H111" s="53">
        <v>3036</v>
      </c>
      <c r="I111" s="54">
        <v>0</v>
      </c>
      <c r="J111" s="55">
        <f t="shared" si="224"/>
      </c>
      <c r="K111" s="55">
        <f t="shared" si="186"/>
      </c>
      <c r="L111" s="55">
        <f t="shared" si="148"/>
      </c>
      <c r="M111" s="56">
        <f t="shared" si="110"/>
      </c>
      <c r="N111" s="55">
        <f t="shared" si="61"/>
      </c>
      <c r="O111" s="55">
        <f t="shared" si="42"/>
      </c>
      <c r="P111" s="56">
        <f t="shared" si="23"/>
      </c>
      <c r="Q111" s="56">
        <f t="shared" si="4"/>
      </c>
      <c r="R111" s="56">
        <f t="shared" si="243"/>
      </c>
      <c r="S111" s="56">
        <f t="shared" si="205"/>
      </c>
      <c r="T111" s="57">
        <f t="shared" si="167"/>
      </c>
      <c r="U111" s="58">
        <v>0.012</v>
      </c>
      <c r="V111" s="59">
        <v>50</v>
      </c>
      <c r="W111" s="55">
        <f t="shared" si="129"/>
      </c>
      <c r="X111" s="57">
        <v>57247</v>
      </c>
      <c r="Y111" s="57">
        <v>1079</v>
      </c>
      <c r="Z111" s="57">
        <v>111</v>
      </c>
      <c r="AA111" s="57">
        <v>1115</v>
      </c>
      <c r="AB111" s="57">
        <v>142</v>
      </c>
      <c r="AC111" s="57">
        <v>30</v>
      </c>
      <c r="AD111" s="57">
        <v>3</v>
      </c>
      <c r="AE111" s="57">
        <v>53</v>
      </c>
      <c r="AF111" s="55">
        <f t="shared" si="80"/>
      </c>
      <c r="AG111" s="34" t="s">
        <v>40</v>
      </c>
      <c r="AH111" s="35" t="s">
        <v>41</v>
      </c>
      <c r="AI111" s="59">
        <v>66</v>
      </c>
    </row>
    <row r="112">
      <c r="A112" s="22"/>
      <c r="B112" s="60" t="s">
        <v>54</v>
      </c>
      <c r="C112" s="61" t="s">
        <v>50</v>
      </c>
      <c r="D112" s="50">
        <v>3952.14</v>
      </c>
      <c r="E112" s="63">
        <v>18</v>
      </c>
      <c r="F112" s="63">
        <v>14</v>
      </c>
      <c r="G112" s="64">
        <v>11</v>
      </c>
      <c r="H112" s="50">
        <v>8115.800000000003</v>
      </c>
      <c r="I112" s="65">
        <v>2</v>
      </c>
      <c r="J112" s="55">
        <f t="shared" si="224"/>
      </c>
      <c r="K112" s="55">
        <f t="shared" si="186"/>
      </c>
      <c r="L112" s="55">
        <f t="shared" si="148"/>
      </c>
      <c r="M112" s="56">
        <f t="shared" si="110"/>
      </c>
      <c r="N112" s="55">
        <f t="shared" si="61"/>
      </c>
      <c r="O112" s="55">
        <f t="shared" si="42"/>
      </c>
      <c r="P112" s="56">
        <f t="shared" si="23"/>
      </c>
      <c r="Q112" s="56">
        <f t="shared" si="4"/>
      </c>
      <c r="R112" s="56">
        <f t="shared" si="243"/>
      </c>
      <c r="S112" s="56">
        <f t="shared" si="205"/>
      </c>
      <c r="T112" s="57">
        <f t="shared" si="167"/>
      </c>
      <c r="U112" s="58">
        <v>0.0108</v>
      </c>
      <c r="V112" s="59">
        <v>55</v>
      </c>
      <c r="W112" s="55">
        <f t="shared" si="129"/>
      </c>
      <c r="X112" s="57">
        <v>58665</v>
      </c>
      <c r="Y112" s="57">
        <v>1828</v>
      </c>
      <c r="Z112" s="57">
        <v>143</v>
      </c>
      <c r="AA112" s="57">
        <v>2066</v>
      </c>
      <c r="AB112" s="57">
        <v>163</v>
      </c>
      <c r="AC112" s="57">
        <v>27</v>
      </c>
      <c r="AD112" s="57">
        <v>5</v>
      </c>
      <c r="AE112" s="59">
        <v>39</v>
      </c>
      <c r="AF112" s="55">
        <f t="shared" si="80"/>
      </c>
      <c r="AG112" s="34" t="s">
        <v>40</v>
      </c>
      <c r="AH112" s="35" t="s">
        <v>41</v>
      </c>
      <c r="AI112" s="59">
        <v>54</v>
      </c>
    </row>
    <row r="113">
      <c r="A113" s="22"/>
      <c r="B113" s="67" t="s">
        <v>46</v>
      </c>
      <c r="C113" s="67"/>
      <c r="D113" s="68">
        <f>SUM(D109:D112)</f>
      </c>
      <c r="E113" s="69">
        <f>SUM(E109:E112)</f>
      </c>
      <c r="F113" s="69">
        <f>SUM(F109:F112)</f>
      </c>
      <c r="G113" s="70">
        <f>SUM(G109:G112)</f>
      </c>
      <c r="H113" s="68">
        <f>SUM(H109:H112)</f>
      </c>
      <c r="I113" s="69">
        <f>SUM(I109:I112)</f>
      </c>
      <c r="J113" s="71">
        <f t="shared" si="224"/>
      </c>
      <c r="K113" s="71">
        <f t="shared" si="186"/>
      </c>
      <c r="L113" s="71">
        <f t="shared" si="148"/>
      </c>
      <c r="M113" s="72">
        <f t="shared" si="110"/>
      </c>
      <c r="N113" s="71">
        <f t="shared" si="61"/>
      </c>
      <c r="O113" s="71">
        <f t="shared" si="42"/>
      </c>
      <c r="P113" s="72">
        <f t="shared" si="23"/>
      </c>
      <c r="Q113" s="72">
        <f t="shared" si="4"/>
      </c>
      <c r="R113" s="72">
        <f t="shared" si="243"/>
      </c>
      <c r="S113" s="72">
        <f t="shared" si="205"/>
      </c>
      <c r="T113" s="73">
        <f t="shared" si="167"/>
      </c>
      <c r="U113" s="72">
        <f>AVERAGE(U110:U112)</f>
      </c>
      <c r="V113" s="41">
        <f>AVERAGE(V108:V112)</f>
      </c>
      <c r="W113" s="71">
        <f t="shared" si="129"/>
      </c>
      <c r="X113" s="73">
        <f>SUM(X109:X112)</f>
      </c>
      <c r="Y113" s="73">
        <f>SUM(Y109:Y112)</f>
      </c>
      <c r="Z113" s="73">
        <f>SUM(Z109:Z112)</f>
      </c>
      <c r="AA113" s="73">
        <f>SUM(AA109:AA112)</f>
      </c>
      <c r="AB113" s="73">
        <f>SUM(AB109:AB112)</f>
      </c>
      <c r="AC113" s="73">
        <f>SUM(AC109:AC112)</f>
      </c>
      <c r="AD113" s="73">
        <f>SUM(AD109:AD112)</f>
      </c>
      <c r="AE113" s="73">
        <f>SUM(AE109:AE112)</f>
      </c>
      <c r="AF113" s="74">
        <f t="shared" si="80"/>
      </c>
      <c r="AG113" s="75"/>
      <c r="AH113" s="75"/>
      <c r="AI113" s="70">
        <f>SUM(AI109:AI112)</f>
      </c>
    </row>
    <row customHeight="true" ht="18.452380952380953" r="114">
      <c r="A114" s="22"/>
      <c r="B114" s="23" t="s">
        <v>69</v>
      </c>
      <c r="C114" s="60" t="s">
        <v>51</v>
      </c>
      <c r="D114" s="23">
        <v>2750.12</v>
      </c>
      <c r="E114" s="26">
        <v>5</v>
      </c>
      <c r="F114" s="26">
        <v>3</v>
      </c>
      <c r="G114" s="27">
        <v>1</v>
      </c>
      <c r="H114" s="76">
        <v>1353</v>
      </c>
      <c r="I114" s="26">
        <v>0</v>
      </c>
      <c r="J114" s="29">
        <f t="shared" si="224"/>
      </c>
      <c r="K114" s="29">
        <f t="shared" si="186"/>
      </c>
      <c r="L114" s="29">
        <f t="shared" si="148"/>
      </c>
      <c r="M114" s="30">
        <f t="shared" si="110"/>
      </c>
      <c r="N114" s="29">
        <f t="shared" si="61"/>
      </c>
      <c r="O114" s="29">
        <f t="shared" si="42"/>
      </c>
      <c r="P114" s="30">
        <f t="shared" si="23"/>
      </c>
      <c r="Q114" s="30">
        <f t="shared" si="4"/>
      </c>
      <c r="R114" s="30">
        <f t="shared" si="243"/>
      </c>
      <c r="S114" s="30">
        <f t="shared" si="205"/>
      </c>
      <c r="T114" s="31">
        <f t="shared" si="167"/>
      </c>
      <c r="U114" s="32">
        <v>0</v>
      </c>
      <c r="V114" s="33">
        <v>55</v>
      </c>
      <c r="W114" s="29">
        <f t="shared" si="129"/>
      </c>
      <c r="X114" s="33">
        <v>47019</v>
      </c>
      <c r="Y114" s="33">
        <v>470</v>
      </c>
      <c r="Z114" s="31">
        <v>85</v>
      </c>
      <c r="AA114" s="31">
        <v>483</v>
      </c>
      <c r="AB114" s="31">
        <v>102</v>
      </c>
      <c r="AC114" s="31">
        <v>6</v>
      </c>
      <c r="AD114" s="33">
        <v>4</v>
      </c>
      <c r="AE114" s="33">
        <v>40</v>
      </c>
      <c r="AF114" s="29">
        <f t="shared" si="80"/>
      </c>
      <c r="AG114" s="34" t="s">
        <v>40</v>
      </c>
      <c r="AH114" s="66" t="s">
        <v>41</v>
      </c>
      <c r="AI114" s="33">
        <v>99</v>
      </c>
    </row>
    <row customHeight="true" ht="18.452380952380953" r="115">
      <c r="A115" s="22"/>
      <c r="B115" s="23" t="s">
        <v>69</v>
      </c>
      <c r="C115" s="49" t="s">
        <v>53</v>
      </c>
      <c r="D115" s="23">
        <v>2170.21</v>
      </c>
      <c r="E115" s="26">
        <v>9</v>
      </c>
      <c r="F115" s="26">
        <v>8</v>
      </c>
      <c r="G115" s="27">
        <v>8</v>
      </c>
      <c r="H115" s="76">
        <v>7442.5999999999985</v>
      </c>
      <c r="I115" s="26">
        <v>4</v>
      </c>
      <c r="J115" s="29">
        <f t="shared" si="224"/>
      </c>
      <c r="K115" s="29">
        <f t="shared" si="186"/>
      </c>
      <c r="L115" s="29">
        <f t="shared" si="148"/>
      </c>
      <c r="M115" s="30">
        <f t="shared" si="110"/>
      </c>
      <c r="N115" s="29">
        <f t="shared" si="61"/>
      </c>
      <c r="O115" s="29">
        <f t="shared" si="42"/>
      </c>
      <c r="P115" s="30">
        <f t="shared" si="23"/>
      </c>
      <c r="Q115" s="30">
        <f t="shared" si="4"/>
      </c>
      <c r="R115" s="30">
        <f t="shared" si="243"/>
      </c>
      <c r="S115" s="30">
        <f t="shared" si="205"/>
      </c>
      <c r="T115" s="31">
        <f t="shared" si="167"/>
      </c>
      <c r="U115" s="32">
        <v>0.0164</v>
      </c>
      <c r="V115" s="33">
        <v>55</v>
      </c>
      <c r="W115" s="29">
        <f t="shared" si="129"/>
      </c>
      <c r="X115" s="33">
        <v>26297</v>
      </c>
      <c r="Y115" s="33">
        <v>747</v>
      </c>
      <c r="Z115" s="31">
        <v>69</v>
      </c>
      <c r="AA115" s="31">
        <v>1300</v>
      </c>
      <c r="AB115" s="31">
        <v>100</v>
      </c>
      <c r="AC115" s="31">
        <v>16</v>
      </c>
      <c r="AD115" s="33">
        <v>2</v>
      </c>
      <c r="AE115" s="33">
        <v>13</v>
      </c>
      <c r="AF115" s="29">
        <f t="shared" si="80"/>
      </c>
      <c r="AG115" s="34" t="s">
        <v>40</v>
      </c>
      <c r="AH115" s="66" t="s">
        <v>41</v>
      </c>
      <c r="AI115" s="33">
        <v>149</v>
      </c>
    </row>
    <row customHeight="true" ht="18.452380952380953" r="116">
      <c r="A116" s="22"/>
      <c r="B116" s="40" t="s">
        <v>46</v>
      </c>
      <c r="C116" s="40"/>
      <c r="D116" s="77">
        <f>SUM(D114:D115)</f>
      </c>
      <c r="E116" s="78">
        <f>SUM(E114:E115)</f>
      </c>
      <c r="F116" s="78">
        <f>SUM(F114:F115)</f>
      </c>
      <c r="G116" s="79">
        <f>SUM(G114:G115)</f>
      </c>
      <c r="H116" s="77">
        <f>SUM(H114:H115)</f>
      </c>
      <c r="I116" s="44">
        <f>SUM(I114:I115)</f>
      </c>
      <c r="J116" s="45">
        <f t="shared" si="224"/>
      </c>
      <c r="K116" s="45">
        <f t="shared" si="186"/>
      </c>
      <c r="L116" s="45">
        <f t="shared" si="148"/>
      </c>
      <c r="M116" s="46">
        <f t="shared" si="110"/>
      </c>
      <c r="N116" s="45">
        <f t="shared" si="61"/>
      </c>
      <c r="O116" s="45">
        <f t="shared" si="42"/>
      </c>
      <c r="P116" s="46">
        <f t="shared" si="23"/>
      </c>
      <c r="Q116" s="46">
        <f t="shared" si="4"/>
      </c>
      <c r="R116" s="46">
        <f t="shared" si="243"/>
      </c>
      <c r="S116" s="46">
        <f t="shared" si="205"/>
      </c>
      <c r="T116" s="42">
        <f t="shared" si="167"/>
      </c>
      <c r="U116" s="46">
        <f>AVERAGE(U114:U115)</f>
      </c>
      <c r="V116" s="41">
        <f>AVERAGE(V114:V115)</f>
      </c>
      <c r="W116" s="45">
        <f t="shared" si="129"/>
      </c>
      <c r="X116" s="42">
        <f>SUM(X114:X115)</f>
      </c>
      <c r="Y116" s="42">
        <f>SUM(Y114:Y115)</f>
      </c>
      <c r="Z116" s="42">
        <f>SUM(Z114:Z115)</f>
      </c>
      <c r="AA116" s="42">
        <f>SUM(AA114:AA115)</f>
      </c>
      <c r="AB116" s="42">
        <f>SUM(AB114:AB115)</f>
      </c>
      <c r="AC116" s="42">
        <f>SUM(AC114:AC115)</f>
      </c>
      <c r="AD116" s="42">
        <f>SUM(AD114:AD115)</f>
      </c>
      <c r="AE116" s="42">
        <f>SUM(AE114:AE115)</f>
      </c>
      <c r="AF116" s="47">
        <f t="shared" si="80"/>
      </c>
      <c r="AG116" s="48"/>
      <c r="AH116" s="48"/>
      <c r="AI116" s="42">
        <f>SUM(AI114:AI115)</f>
      </c>
    </row>
    <row r="117">
      <c r="A117" s="22"/>
      <c r="B117" s="60" t="s">
        <v>71</v>
      </c>
      <c r="C117" s="60" t="s">
        <v>55</v>
      </c>
      <c r="D117" s="23">
        <v>4434.06</v>
      </c>
      <c r="E117" s="26">
        <v>8</v>
      </c>
      <c r="F117" s="26">
        <v>6</v>
      </c>
      <c r="G117" s="27">
        <v>4</v>
      </c>
      <c r="H117" s="76">
        <v>4356</v>
      </c>
      <c r="I117" s="26">
        <v>2</v>
      </c>
      <c r="J117" s="29">
        <f t="shared" si="224"/>
      </c>
      <c r="K117" s="29">
        <f t="shared" si="186"/>
      </c>
      <c r="L117" s="29">
        <f t="shared" si="148"/>
      </c>
      <c r="M117" s="30">
        <f t="shared" si="110"/>
      </c>
      <c r="N117" s="29">
        <f t="shared" si="61"/>
      </c>
      <c r="O117" s="29">
        <f t="shared" si="42"/>
      </c>
      <c r="P117" s="30">
        <f t="shared" si="23"/>
      </c>
      <c r="Q117" s="30">
        <f t="shared" si="4"/>
      </c>
      <c r="R117" s="30">
        <f t="shared" si="243"/>
      </c>
      <c r="S117" s="30">
        <f t="shared" si="205"/>
      </c>
      <c r="T117" s="31">
        <f t="shared" si="167"/>
      </c>
      <c r="U117" s="32">
        <v>0.0182</v>
      </c>
      <c r="V117" s="33">
        <v>56</v>
      </c>
      <c r="W117" s="29">
        <f t="shared" si="129"/>
      </c>
      <c r="X117" s="33">
        <v>66663</v>
      </c>
      <c r="Y117" s="33">
        <v>652</v>
      </c>
      <c r="Z117" s="31">
        <v>113</v>
      </c>
      <c r="AA117" s="31">
        <v>699</v>
      </c>
      <c r="AB117" s="31">
        <v>111</v>
      </c>
      <c r="AC117" s="31">
        <v>9</v>
      </c>
      <c r="AD117" s="33">
        <v>1</v>
      </c>
      <c r="AE117" s="33">
        <v>48</v>
      </c>
      <c r="AF117" s="29">
        <f t="shared" si="80"/>
      </c>
      <c r="AG117" s="34" t="s">
        <v>56</v>
      </c>
      <c r="AH117" s="66" t="s">
        <v>72</v>
      </c>
      <c r="AI117" s="33">
        <v>66</v>
      </c>
    </row>
    <row r="118">
      <c r="A118" s="22"/>
      <c r="B118" s="60" t="s">
        <v>71</v>
      </c>
      <c r="C118" s="61" t="s">
        <v>57</v>
      </c>
      <c r="D118" s="23">
        <v>6017.86</v>
      </c>
      <c r="E118" s="26">
        <v>11</v>
      </c>
      <c r="F118" s="26">
        <v>9</v>
      </c>
      <c r="G118" s="27">
        <v>8</v>
      </c>
      <c r="H118" s="76">
        <v>5675.999999999993</v>
      </c>
      <c r="I118" s="26">
        <v>1</v>
      </c>
      <c r="J118" s="29">
        <f t="shared" si="224"/>
      </c>
      <c r="K118" s="29">
        <f t="shared" si="186"/>
      </c>
      <c r="L118" s="29">
        <f t="shared" si="148"/>
      </c>
      <c r="M118" s="30">
        <f t="shared" si="110"/>
      </c>
      <c r="N118" s="29">
        <f t="shared" si="61"/>
      </c>
      <c r="O118" s="29">
        <f t="shared" si="42"/>
      </c>
      <c r="P118" s="30">
        <f t="shared" si="23"/>
      </c>
      <c r="Q118" s="30">
        <f t="shared" si="4"/>
      </c>
      <c r="R118" s="30">
        <f t="shared" si="243"/>
      </c>
      <c r="S118" s="30">
        <f t="shared" si="205"/>
      </c>
      <c r="T118" s="31">
        <f t="shared" si="167"/>
      </c>
      <c r="U118" s="32">
        <v>0.0261</v>
      </c>
      <c r="V118" s="33">
        <v>57</v>
      </c>
      <c r="W118" s="29">
        <f t="shared" si="129"/>
      </c>
      <c r="X118" s="31">
        <v>113654</v>
      </c>
      <c r="Y118" s="31">
        <v>844</v>
      </c>
      <c r="Z118" s="31">
        <v>153</v>
      </c>
      <c r="AA118" s="31">
        <v>873</v>
      </c>
      <c r="AB118" s="31">
        <v>126</v>
      </c>
      <c r="AC118" s="31">
        <v>25</v>
      </c>
      <c r="AD118" s="31">
        <v>1</v>
      </c>
      <c r="AE118" s="33">
        <v>97</v>
      </c>
      <c r="AF118" s="29">
        <f t="shared" si="80"/>
      </c>
      <c r="AG118" s="34" t="s">
        <v>56</v>
      </c>
      <c r="AH118" s="66" t="s">
        <v>72</v>
      </c>
      <c r="AI118" s="33">
        <v>85</v>
      </c>
    </row>
    <row r="119">
      <c r="A119" s="22"/>
      <c r="B119" s="60" t="s">
        <v>71</v>
      </c>
      <c r="C119" s="60" t="s">
        <v>58</v>
      </c>
      <c r="D119" s="23">
        <v>3013.69</v>
      </c>
      <c r="E119" s="26">
        <v>6</v>
      </c>
      <c r="F119" s="26">
        <v>4</v>
      </c>
      <c r="G119" s="27">
        <v>4</v>
      </c>
      <c r="H119" s="76">
        <v>3777.4000000000087</v>
      </c>
      <c r="I119" s="26">
        <v>1</v>
      </c>
      <c r="J119" s="29">
        <f t="shared" si="224"/>
      </c>
      <c r="K119" s="29">
        <f t="shared" si="186"/>
      </c>
      <c r="L119" s="29">
        <f t="shared" si="148"/>
      </c>
      <c r="M119" s="30">
        <f t="shared" si="110"/>
      </c>
      <c r="N119" s="29">
        <f t="shared" si="61"/>
      </c>
      <c r="O119" s="29">
        <f t="shared" si="42"/>
      </c>
      <c r="P119" s="30">
        <f t="shared" si="23"/>
      </c>
      <c r="Q119" s="30">
        <f t="shared" si="4"/>
      </c>
      <c r="R119" s="30">
        <f t="shared" si="243"/>
      </c>
      <c r="S119" s="30">
        <f t="shared" si="205"/>
      </c>
      <c r="T119" s="31">
        <f t="shared" si="167"/>
      </c>
      <c r="U119" s="32">
        <v>0</v>
      </c>
      <c r="V119" s="33">
        <v>57</v>
      </c>
      <c r="W119" s="29">
        <f t="shared" si="129"/>
      </c>
      <c r="X119" s="33">
        <v>62374</v>
      </c>
      <c r="Y119" s="33">
        <v>710</v>
      </c>
      <c r="Z119" s="33">
        <v>73</v>
      </c>
      <c r="AA119" s="33">
        <v>737</v>
      </c>
      <c r="AB119" s="33">
        <v>66</v>
      </c>
      <c r="AC119" s="33">
        <v>6</v>
      </c>
      <c r="AD119" s="33">
        <v>2</v>
      </c>
      <c r="AE119" s="33">
        <v>43</v>
      </c>
      <c r="AF119" s="29">
        <f t="shared" si="80"/>
      </c>
      <c r="AG119" s="34" t="s">
        <v>56</v>
      </c>
      <c r="AH119" s="66" t="s">
        <v>72</v>
      </c>
      <c r="AI119" s="33">
        <v>47</v>
      </c>
    </row>
    <row r="120">
      <c r="A120" s="22"/>
      <c r="B120" s="60" t="s">
        <v>71</v>
      </c>
      <c r="C120" s="60" t="s">
        <v>59</v>
      </c>
      <c r="D120" s="23">
        <v>3529.38</v>
      </c>
      <c r="E120" s="26">
        <v>6</v>
      </c>
      <c r="F120" s="26">
        <v>4</v>
      </c>
      <c r="G120" s="27">
        <v>4</v>
      </c>
      <c r="H120" s="76">
        <v>1804</v>
      </c>
      <c r="I120" s="26">
        <v>0</v>
      </c>
      <c r="J120" s="29">
        <f t="shared" si="224"/>
      </c>
      <c r="K120" s="29">
        <f t="shared" si="186"/>
      </c>
      <c r="L120" s="29">
        <f t="shared" si="148"/>
      </c>
      <c r="M120" s="30">
        <f t="shared" si="110"/>
      </c>
      <c r="N120" s="29">
        <f t="shared" si="61"/>
      </c>
      <c r="O120" s="29">
        <f t="shared" si="42"/>
      </c>
      <c r="P120" s="30">
        <f t="shared" si="23"/>
      </c>
      <c r="Q120" s="30">
        <f t="shared" si="4"/>
      </c>
      <c r="R120" s="30">
        <f t="shared" si="243"/>
      </c>
      <c r="S120" s="30">
        <f t="shared" si="205"/>
      </c>
      <c r="T120" s="31">
        <f t="shared" si="167"/>
      </c>
      <c r="U120" s="32">
        <v>0</v>
      </c>
      <c r="V120" s="33">
        <v>57</v>
      </c>
      <c r="W120" s="29">
        <f t="shared" si="129"/>
      </c>
      <c r="X120" s="33">
        <v>57920</v>
      </c>
      <c r="Y120" s="33">
        <v>727</v>
      </c>
      <c r="Z120" s="31">
        <v>94</v>
      </c>
      <c r="AA120" s="31">
        <v>749</v>
      </c>
      <c r="AB120" s="31">
        <v>77</v>
      </c>
      <c r="AC120" s="31">
        <v>8</v>
      </c>
      <c r="AD120" s="33">
        <v>2</v>
      </c>
      <c r="AE120" s="33">
        <v>45</v>
      </c>
      <c r="AF120" s="29">
        <f t="shared" si="80"/>
      </c>
      <c r="AG120" s="34" t="s">
        <v>56</v>
      </c>
      <c r="AH120" s="66" t="s">
        <v>72</v>
      </c>
      <c r="AI120" s="33">
        <v>52</v>
      </c>
    </row>
    <row r="121">
      <c r="A121" s="22"/>
      <c r="B121" s="40" t="s">
        <v>46</v>
      </c>
      <c r="C121" s="40"/>
      <c r="D121" s="77">
        <f>SUM(D117:D120)</f>
      </c>
      <c r="E121" s="78">
        <f>SUM(E117:E120)</f>
      </c>
      <c r="F121" s="78">
        <f>SUM(F117:F120)</f>
      </c>
      <c r="G121" s="79">
        <f>SUM(G117:G120)</f>
      </c>
      <c r="H121" s="77">
        <f>SUM(H117:H120)</f>
      </c>
      <c r="I121" s="44">
        <f>SUM(I117:I120)</f>
      </c>
      <c r="J121" s="45">
        <f t="shared" si="224"/>
      </c>
      <c r="K121" s="45">
        <f t="shared" si="186"/>
      </c>
      <c r="L121" s="45">
        <f t="shared" si="148"/>
      </c>
      <c r="M121" s="46">
        <f t="shared" si="110"/>
      </c>
      <c r="N121" s="45">
        <f t="shared" si="61"/>
      </c>
      <c r="O121" s="45">
        <f t="shared" si="42"/>
      </c>
      <c r="P121" s="46">
        <f t="shared" si="23"/>
      </c>
      <c r="Q121" s="46">
        <f t="shared" si="4"/>
      </c>
      <c r="R121" s="46">
        <f t="shared" si="243"/>
      </c>
      <c r="S121" s="46">
        <f t="shared" si="205"/>
      </c>
      <c r="T121" s="42">
        <f t="shared" si="167"/>
      </c>
      <c r="U121" s="46">
        <f>AVERAGE(U117:U120)</f>
      </c>
      <c r="V121" s="41">
        <f>AVERAGE(V117:V120)</f>
      </c>
      <c r="W121" s="45">
        <f t="shared" si="129"/>
      </c>
      <c r="X121" s="42">
        <f>SUM(X117:X120)</f>
      </c>
      <c r="Y121" s="42">
        <f>SUM(Y117:Y120)</f>
      </c>
      <c r="Z121" s="42">
        <f>SUM(Z117:Z120)</f>
      </c>
      <c r="AA121" s="42">
        <f>SUM(AA117:AA120)</f>
      </c>
      <c r="AB121" s="42">
        <f>SUM(AB117:AB120)</f>
      </c>
      <c r="AC121" s="42">
        <f>SUM(AC117:AC120)</f>
      </c>
      <c r="AD121" s="42">
        <f>SUM(AD117:AD120)</f>
      </c>
      <c r="AE121" s="42">
        <f>SUM(AE117:AE120)</f>
      </c>
      <c r="AF121" s="47">
        <f t="shared" si="80"/>
      </c>
      <c r="AG121" s="48"/>
      <c r="AH121" s="48"/>
      <c r="AI121" s="42">
        <f>SUM(AI117:AI120)</f>
      </c>
    </row>
    <row r="122">
      <c r="A122" s="22"/>
      <c r="B122" s="49" t="s">
        <v>60</v>
      </c>
      <c r="C122" s="49" t="s">
        <v>61</v>
      </c>
      <c r="D122" s="80">
        <v>3201.94</v>
      </c>
      <c r="E122" s="51">
        <v>2</v>
      </c>
      <c r="F122" s="51">
        <v>2</v>
      </c>
      <c r="G122" s="52">
        <v>1</v>
      </c>
      <c r="H122" s="53">
        <v>902</v>
      </c>
      <c r="I122" s="54">
        <v>0</v>
      </c>
      <c r="J122" s="55">
        <f t="shared" si="224"/>
      </c>
      <c r="K122" s="55">
        <f t="shared" si="186"/>
      </c>
      <c r="L122" s="55">
        <f t="shared" si="148"/>
      </c>
      <c r="M122" s="56">
        <f t="shared" si="110"/>
      </c>
      <c r="N122" s="55">
        <f t="shared" si="61"/>
      </c>
      <c r="O122" s="55">
        <f t="shared" si="42"/>
      </c>
      <c r="P122" s="56">
        <f t="shared" si="23"/>
      </c>
      <c r="Q122" s="56">
        <f t="shared" si="4"/>
      </c>
      <c r="R122" s="56">
        <f t="shared" si="243"/>
      </c>
      <c r="S122" s="56">
        <f t="shared" si="205"/>
      </c>
      <c r="T122" s="57">
        <f t="shared" si="167"/>
      </c>
      <c r="U122" s="58">
        <v>0.0124</v>
      </c>
      <c r="V122" s="59">
        <v>57</v>
      </c>
      <c r="W122" s="55">
        <f t="shared" si="129"/>
      </c>
      <c r="X122" s="57">
        <v>40666</v>
      </c>
      <c r="Y122" s="57">
        <v>622</v>
      </c>
      <c r="Z122" s="57">
        <v>74</v>
      </c>
      <c r="AA122" s="57">
        <v>676</v>
      </c>
      <c r="AB122" s="57">
        <v>60</v>
      </c>
      <c r="AC122" s="57">
        <v>12</v>
      </c>
      <c r="AD122" s="57">
        <v>0</v>
      </c>
      <c r="AE122" s="57">
        <v>28</v>
      </c>
      <c r="AF122" s="55">
        <f t="shared" si="80"/>
      </c>
      <c r="AG122" s="34" t="s">
        <v>56</v>
      </c>
      <c r="AH122" s="66" t="s">
        <v>72</v>
      </c>
      <c r="AI122" s="59">
        <v>46</v>
      </c>
    </row>
    <row r="123">
      <c r="A123" s="22"/>
      <c r="B123" s="49" t="s">
        <v>60</v>
      </c>
      <c r="C123" s="49" t="s">
        <v>62</v>
      </c>
      <c r="D123" s="81">
        <v>5858.88</v>
      </c>
      <c r="E123" s="63">
        <v>15</v>
      </c>
      <c r="F123" s="63">
        <v>12</v>
      </c>
      <c r="G123" s="64">
        <v>10</v>
      </c>
      <c r="H123" s="91">
        <v>8011.300000000003</v>
      </c>
      <c r="I123" s="54">
        <v>3</v>
      </c>
      <c r="J123" s="55">
        <f t="shared" si="224"/>
      </c>
      <c r="K123" s="55">
        <f t="shared" si="186"/>
      </c>
      <c r="L123" s="55">
        <f t="shared" si="148"/>
      </c>
      <c r="M123" s="56">
        <f t="shared" si="110"/>
      </c>
      <c r="N123" s="55">
        <f t="shared" si="61"/>
      </c>
      <c r="O123" s="55">
        <f t="shared" si="42"/>
      </c>
      <c r="P123" s="56">
        <f t="shared" si="23"/>
      </c>
      <c r="Q123" s="56">
        <f t="shared" si="4"/>
      </c>
      <c r="R123" s="56">
        <f t="shared" si="243"/>
      </c>
      <c r="S123" s="56">
        <f t="shared" si="205"/>
      </c>
      <c r="T123" s="57">
        <f t="shared" si="167"/>
      </c>
      <c r="U123" s="58">
        <v>0.022</v>
      </c>
      <c r="V123" s="59">
        <v>58</v>
      </c>
      <c r="W123" s="55">
        <f t="shared" si="129"/>
      </c>
      <c r="X123" s="57">
        <v>92799</v>
      </c>
      <c r="Y123" s="57">
        <v>968</v>
      </c>
      <c r="Z123" s="57">
        <v>144</v>
      </c>
      <c r="AA123" s="57">
        <v>999</v>
      </c>
      <c r="AB123" s="57">
        <v>149</v>
      </c>
      <c r="AC123" s="57">
        <v>24</v>
      </c>
      <c r="AD123" s="57">
        <v>1</v>
      </c>
      <c r="AE123" s="57">
        <v>96</v>
      </c>
      <c r="AF123" s="55">
        <f t="shared" si="80"/>
      </c>
      <c r="AG123" s="34" t="s">
        <v>56</v>
      </c>
      <c r="AH123" s="66" t="s">
        <v>72</v>
      </c>
      <c r="AI123" s="59">
        <v>80</v>
      </c>
    </row>
    <row r="124">
      <c r="A124" s="22"/>
      <c r="B124" s="49" t="s">
        <v>60</v>
      </c>
      <c r="C124" s="49" t="s">
        <v>63</v>
      </c>
      <c r="D124" s="80">
        <v>4537.03</v>
      </c>
      <c r="E124" s="63">
        <v>5</v>
      </c>
      <c r="F124" s="63">
        <v>3</v>
      </c>
      <c r="G124" s="64">
        <v>2</v>
      </c>
      <c r="H124" s="50">
        <v>2449.699999999997</v>
      </c>
      <c r="I124" s="65">
        <v>1</v>
      </c>
      <c r="J124" s="55">
        <f t="shared" si="224"/>
      </c>
      <c r="K124" s="55">
        <f t="shared" si="186"/>
      </c>
      <c r="L124" s="55">
        <f t="shared" si="148"/>
      </c>
      <c r="M124" s="56">
        <f t="shared" si="110"/>
      </c>
      <c r="N124" s="55">
        <f t="shared" si="61"/>
      </c>
      <c r="O124" s="55">
        <f t="shared" si="42"/>
      </c>
      <c r="P124" s="56">
        <f t="shared" si="23"/>
      </c>
      <c r="Q124" s="56">
        <f t="shared" si="4"/>
      </c>
      <c r="R124" s="56">
        <f t="shared" si="243"/>
      </c>
      <c r="S124" s="56">
        <f t="shared" si="205"/>
      </c>
      <c r="T124" s="57">
        <f t="shared" si="167"/>
      </c>
      <c r="U124" s="58">
        <v>0.0392</v>
      </c>
      <c r="V124" s="59">
        <v>59</v>
      </c>
      <c r="W124" s="55">
        <f t="shared" si="129"/>
      </c>
      <c r="X124" s="57">
        <v>61248</v>
      </c>
      <c r="Y124" s="57">
        <v>433</v>
      </c>
      <c r="Z124" s="57">
        <v>86</v>
      </c>
      <c r="AA124" s="57">
        <v>404</v>
      </c>
      <c r="AB124" s="57">
        <v>78</v>
      </c>
      <c r="AC124" s="57">
        <v>12</v>
      </c>
      <c r="AD124" s="57">
        <v>0</v>
      </c>
      <c r="AE124" s="57">
        <v>83</v>
      </c>
      <c r="AF124" s="55">
        <f t="shared" si="80"/>
      </c>
      <c r="AG124" s="34" t="s">
        <v>56</v>
      </c>
      <c r="AH124" s="66" t="s">
        <v>72</v>
      </c>
      <c r="AI124" s="59">
        <v>39</v>
      </c>
    </row>
    <row r="125">
      <c r="A125" s="22"/>
      <c r="B125" s="49" t="s">
        <v>60</v>
      </c>
      <c r="C125" s="49" t="s">
        <v>64</v>
      </c>
      <c r="D125" s="80">
        <v>1483.41</v>
      </c>
      <c r="E125" s="65">
        <v>8</v>
      </c>
      <c r="F125" s="65">
        <v>6</v>
      </c>
      <c r="G125" s="52">
        <v>4</v>
      </c>
      <c r="H125" s="80">
        <v>4567.199999999997</v>
      </c>
      <c r="I125" s="65">
        <v>3</v>
      </c>
      <c r="J125" s="55">
        <f t="shared" si="224"/>
      </c>
      <c r="K125" s="55">
        <f t="shared" si="186"/>
      </c>
      <c r="L125" s="55">
        <f t="shared" si="148"/>
      </c>
      <c r="M125" s="56">
        <f t="shared" si="110"/>
      </c>
      <c r="N125" s="55">
        <f t="shared" si="61"/>
      </c>
      <c r="O125" s="55">
        <f t="shared" si="42"/>
      </c>
      <c r="P125" s="56">
        <f t="shared" si="23"/>
      </c>
      <c r="Q125" s="56">
        <f t="shared" si="4"/>
      </c>
      <c r="R125" s="56">
        <f t="shared" si="243"/>
      </c>
      <c r="S125" s="56">
        <f t="shared" si="205"/>
      </c>
      <c r="T125" s="57">
        <f t="shared" si="167"/>
      </c>
      <c r="U125" s="58">
        <v>0.1686</v>
      </c>
      <c r="V125" s="59">
        <v>60</v>
      </c>
      <c r="W125" s="55">
        <f t="shared" si="129"/>
      </c>
      <c r="X125" s="57">
        <v>31322</v>
      </c>
      <c r="Y125" s="57">
        <v>165</v>
      </c>
      <c r="Z125" s="57">
        <v>44</v>
      </c>
      <c r="AA125" s="57">
        <v>147</v>
      </c>
      <c r="AB125" s="57">
        <v>96</v>
      </c>
      <c r="AC125" s="57">
        <v>9</v>
      </c>
      <c r="AD125" s="57">
        <v>0</v>
      </c>
      <c r="AE125" s="59">
        <v>57</v>
      </c>
      <c r="AF125" s="55">
        <f t="shared" si="80"/>
      </c>
      <c r="AG125" s="34" t="s">
        <v>56</v>
      </c>
      <c r="AH125" s="66" t="s">
        <v>72</v>
      </c>
      <c r="AI125" s="59">
        <v>27</v>
      </c>
    </row>
    <row r="126">
      <c r="A126" s="22"/>
      <c r="B126" s="67" t="s">
        <v>46</v>
      </c>
      <c r="C126" s="67"/>
      <c r="D126" s="68">
        <f>SUM(D122:D125)</f>
      </c>
      <c r="E126" s="69">
        <f>SUM(E122:E125)</f>
      </c>
      <c r="F126" s="69">
        <f>SUM(F122:F125)</f>
      </c>
      <c r="G126" s="70">
        <f>SUM(G122:G125)</f>
      </c>
      <c r="H126" s="68">
        <f>SUM(H122:H125)</f>
      </c>
      <c r="I126" s="44">
        <f>SUM(I122:I125)</f>
      </c>
      <c r="J126" s="71">
        <f t="shared" si="224"/>
      </c>
      <c r="K126" s="71">
        <f t="shared" si="186"/>
      </c>
      <c r="L126" s="71">
        <f t="shared" si="148"/>
      </c>
      <c r="M126" s="72">
        <f t="shared" si="110"/>
      </c>
      <c r="N126" s="71">
        <f t="shared" si="61"/>
      </c>
      <c r="O126" s="71">
        <f t="shared" si="42"/>
      </c>
      <c r="P126" s="72">
        <f t="shared" si="23"/>
      </c>
      <c r="Q126" s="72">
        <f t="shared" si="4"/>
      </c>
      <c r="R126" s="72">
        <f t="shared" si="243"/>
      </c>
      <c r="S126" s="72">
        <f t="shared" si="205"/>
      </c>
      <c r="T126" s="73">
        <f t="shared" si="167"/>
      </c>
      <c r="U126" s="72">
        <f>AVERAGE(U122:U125)</f>
      </c>
      <c r="V126" s="68">
        <f>AVERAGE(V122:V125)</f>
      </c>
      <c r="W126" s="71">
        <f t="shared" si="129"/>
      </c>
      <c r="X126" s="73">
        <f>SUM(X122:X125)</f>
      </c>
      <c r="Y126" s="73">
        <f>SUM(Y122:Y125)</f>
      </c>
      <c r="Z126" s="73">
        <f>SUM(Z122:Z125)</f>
      </c>
      <c r="AA126" s="73">
        <f>SUM(AA122:AA125)</f>
      </c>
      <c r="AB126" s="73">
        <f>SUM(AB122:AB125)</f>
      </c>
      <c r="AC126" s="73">
        <f>SUM(AC122:AC125)</f>
      </c>
      <c r="AD126" s="73">
        <f>SUM(AD122:AD125)</f>
      </c>
      <c r="AE126" s="73">
        <f>SUM(AE122:AE125)</f>
      </c>
      <c r="AF126" s="74">
        <f t="shared" si="80"/>
      </c>
      <c r="AG126" s="75"/>
      <c r="AH126" s="75"/>
      <c r="AI126" s="70">
        <f>SUM(AI122:AI125)</f>
      </c>
    </row>
    <row r="127">
      <c r="A127" s="22"/>
      <c r="B127" s="82" t="s">
        <v>65</v>
      </c>
      <c r="C127" s="82"/>
      <c r="D127" s="83">
        <f>D108+D113+D121+D126+D116</f>
      </c>
      <c r="E127" s="85">
        <f>E108+E113+E121+E126+E116</f>
      </c>
      <c r="F127" s="85">
        <f>F108+F113+F121+F126+F116</f>
      </c>
      <c r="G127" s="84">
        <f>G108+G113+G121+G126+G116</f>
      </c>
      <c r="H127" s="83">
        <f>H108+H113+H121+H126+H116</f>
      </c>
      <c r="I127" s="85">
        <f>I108+I113+I121+I126+I116</f>
      </c>
      <c r="J127" s="86">
        <f t="shared" si="224"/>
      </c>
      <c r="K127" s="87">
        <f t="shared" si="186"/>
      </c>
      <c r="L127" s="87">
        <f t="shared" si="148"/>
      </c>
      <c r="M127" s="88">
        <f t="shared" si="110"/>
      </c>
      <c r="N127" s="87">
        <f t="shared" si="61"/>
      </c>
      <c r="O127" s="87">
        <f t="shared" si="42"/>
      </c>
      <c r="P127" s="88">
        <f t="shared" si="23"/>
      </c>
      <c r="Q127" s="88">
        <f t="shared" si="4"/>
      </c>
      <c r="R127" s="88">
        <f t="shared" si="243"/>
      </c>
      <c r="S127" s="88">
        <f t="shared" si="205"/>
      </c>
      <c r="T127" s="89">
        <f t="shared" si="167"/>
      </c>
      <c r="U127" s="88">
        <f>(U108+U121+U113+U126)/4</f>
      </c>
      <c r="V127" s="87">
        <f>(V108+V121+V113+V126)/4</f>
      </c>
      <c r="W127" s="90">
        <f t="shared" si="129"/>
      </c>
      <c r="X127" s="89">
        <f>X108+X113+X121+X126+X116</f>
      </c>
      <c r="Y127" s="89">
        <f>Y108+Y113+Y121+Y126+Y116</f>
      </c>
      <c r="Z127" s="89">
        <f>Z108+Z113+Z121+Z126+Z116</f>
      </c>
      <c r="AA127" s="89">
        <f>AA108+AA113+AA121+AA126+AA116</f>
      </c>
      <c r="AB127" s="89">
        <f>AB108+AB113+AB121+AB126+AB116</f>
      </c>
      <c r="AC127" s="89">
        <f>AC108+AC113+AC121+AC126+AC116</f>
      </c>
      <c r="AD127" s="89">
        <f>AD108+AD113+AD121+AD126+AD116</f>
      </c>
      <c r="AE127" s="89">
        <f>AE108+AE113+AE121+AE126+AE116</f>
      </c>
      <c r="AF127" s="87">
        <f>AF108</f>
      </c>
      <c r="AG127" s="82"/>
      <c r="AH127" s="82"/>
      <c r="AI127" s="89">
        <f>AI108+AI113+AI121+AI126+AI116</f>
      </c>
    </row>
    <row r="128">
      <c r="A128" s="1" t="s">
        <v>66</v>
      </c>
      <c r="B128" s="2" t="s">
        <v>1</v>
      </c>
      <c r="C128" s="2"/>
      <c r="D128" s="3" t="s">
        <v>2</v>
      </c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5" t="s">
        <v>3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</row>
    <row r="129">
      <c r="A129" s="1"/>
      <c r="B129" s="2" t="s">
        <v>4</v>
      </c>
      <c r="C129" s="7" t="s">
        <v>5</v>
      </c>
      <c r="D129" s="8" t="s">
        <v>6</v>
      </c>
      <c r="E129" s="9" t="s">
        <v>7</v>
      </c>
      <c r="F129" s="10" t="s">
        <v>8</v>
      </c>
      <c r="G129" s="11" t="s">
        <v>9</v>
      </c>
      <c r="H129" s="8" t="s">
        <v>10</v>
      </c>
      <c r="I129" s="12" t="s">
        <v>11</v>
      </c>
      <c r="J129" s="13" t="s">
        <v>12</v>
      </c>
      <c r="K129" s="13" t="s">
        <v>13</v>
      </c>
      <c r="L129" s="13" t="s">
        <v>14</v>
      </c>
      <c r="M129" s="14" t="s">
        <v>15</v>
      </c>
      <c r="N129" s="13" t="s">
        <v>16</v>
      </c>
      <c r="O129" s="15" t="s">
        <v>17</v>
      </c>
      <c r="P129" s="16" t="s">
        <v>18</v>
      </c>
      <c r="Q129" s="16" t="s">
        <v>19</v>
      </c>
      <c r="R129" s="16" t="s">
        <v>20</v>
      </c>
      <c r="S129" s="16" t="s">
        <v>21</v>
      </c>
      <c r="T129" s="17" t="s">
        <v>22</v>
      </c>
      <c r="U129" s="18" t="s">
        <v>23</v>
      </c>
      <c r="V129" s="19" t="s">
        <v>24</v>
      </c>
      <c r="W129" s="5" t="s">
        <v>25</v>
      </c>
      <c r="X129" s="20" t="s">
        <v>26</v>
      </c>
      <c r="Y129" s="20" t="s">
        <v>27</v>
      </c>
      <c r="Z129" s="20" t="s">
        <v>28</v>
      </c>
      <c r="AA129" s="20" t="s">
        <v>29</v>
      </c>
      <c r="AB129" s="20" t="s">
        <v>30</v>
      </c>
      <c r="AC129" s="20" t="s">
        <v>31</v>
      </c>
      <c r="AD129" s="20" t="s">
        <v>32</v>
      </c>
      <c r="AE129" s="20" t="s">
        <v>33</v>
      </c>
      <c r="AF129" s="5" t="s">
        <v>34</v>
      </c>
      <c r="AG129" s="21" t="s">
        <v>35</v>
      </c>
      <c r="AH129" s="21" t="s">
        <v>36</v>
      </c>
      <c r="AI129" s="6" t="s">
        <v>37</v>
      </c>
    </row>
    <row r="130">
      <c r="A130" s="22">
        <v>46209</v>
      </c>
      <c r="B130" s="49" t="s">
        <v>47</v>
      </c>
      <c r="C130" s="24" t="s">
        <v>39</v>
      </c>
      <c r="D130" s="25">
        <v>3000</v>
      </c>
      <c r="E130" s="26">
        <v>14</v>
      </c>
      <c r="F130" s="26">
        <v>8</v>
      </c>
      <c r="G130" s="27">
        <v>6</v>
      </c>
      <c r="H130" s="25">
        <v>5647.4</v>
      </c>
      <c r="I130" s="26">
        <v>1</v>
      </c>
      <c r="J130" s="28">
        <f t="shared" ref="J130:J152" si="225">H130/D130</f>
      </c>
      <c r="K130" s="29">
        <f t="shared" ref="K130:K152" si="187">D130/F130</f>
      </c>
      <c r="L130" s="29">
        <f t="shared" ref="L130:L152" si="149">D130/G130</f>
      </c>
      <c r="M130" s="30">
        <f t="shared" ref="M130:M152" si="111">F130/E130</f>
      </c>
      <c r="N130" s="29">
        <f t="shared" ref="N130:N152" si="62">H130/F130</f>
      </c>
      <c r="O130" s="29">
        <f t="shared" ref="O130:O152" si="43">D130/Y130</f>
      </c>
      <c r="P130" s="30">
        <f t="shared" ref="P130:P152" si="24">T130/X130*1</f>
      </c>
      <c r="Q130" s="30">
        <f t="shared" ref="Q130:Q152" si="5">Y130/X130</f>
      </c>
      <c r="R130" s="30">
        <f t="shared" ref="R130:R152" si="244">AA130/X130</f>
      </c>
      <c r="S130" s="30">
        <f t="shared" ref="S130:S152" si="206">AB130/AA130</f>
      </c>
      <c r="T130" s="31">
        <f t="shared" ref="T130:T152" si="168">Z130/U130</f>
      </c>
      <c r="U130" s="32">
        <v>0.009</v>
      </c>
      <c r="V130" s="33">
        <v>30</v>
      </c>
      <c r="W130" s="29">
        <f t="shared" ref="W130:W152" si="130">(D130/X130)*1000</f>
      </c>
      <c r="X130" s="33">
        <v>39596</v>
      </c>
      <c r="Y130" s="33">
        <v>2473</v>
      </c>
      <c r="Z130" s="31">
        <v>95</v>
      </c>
      <c r="AA130" s="31">
        <v>4041</v>
      </c>
      <c r="AB130" s="31">
        <v>107</v>
      </c>
      <c r="AC130" s="31">
        <v>18</v>
      </c>
      <c r="AD130" s="33">
        <v>2</v>
      </c>
      <c r="AE130" s="33">
        <v>27</v>
      </c>
      <c r="AF130" s="29">
        <f t="shared" ref="AF130:AF151" si="81">AI130*1000/D130</f>
      </c>
      <c r="AG130" s="34" t="s">
        <v>40</v>
      </c>
      <c r="AH130" s="106" t="s">
        <v>73</v>
      </c>
      <c r="AI130" s="33">
        <v>30</v>
      </c>
    </row>
    <row r="131">
      <c r="A131" s="22"/>
      <c r="B131" s="49" t="s">
        <v>47</v>
      </c>
      <c r="C131" s="24" t="s">
        <v>42</v>
      </c>
      <c r="D131" s="25">
        <v>3026.18</v>
      </c>
      <c r="E131" s="26">
        <v>9</v>
      </c>
      <c r="F131" s="26">
        <v>7</v>
      </c>
      <c r="G131" s="27">
        <v>6</v>
      </c>
      <c r="H131" s="25">
        <v>3487</v>
      </c>
      <c r="I131" s="26">
        <v>0</v>
      </c>
      <c r="J131" s="28">
        <f t="shared" si="225"/>
      </c>
      <c r="K131" s="29">
        <f t="shared" si="187"/>
      </c>
      <c r="L131" s="29">
        <f t="shared" si="149"/>
      </c>
      <c r="M131" s="30">
        <f t="shared" si="111"/>
      </c>
      <c r="N131" s="29">
        <f t="shared" si="62"/>
      </c>
      <c r="O131" s="29">
        <f t="shared" si="43"/>
      </c>
      <c r="P131" s="30">
        <f t="shared" si="24"/>
      </c>
      <c r="Q131" s="30">
        <f t="shared" si="5"/>
      </c>
      <c r="R131" s="30">
        <f t="shared" si="244"/>
      </c>
      <c r="S131" s="30">
        <f t="shared" si="206"/>
      </c>
      <c r="T131" s="31">
        <f t="shared" si="168"/>
      </c>
      <c r="U131" s="32">
        <v>0.0084</v>
      </c>
      <c r="V131" s="33">
        <v>38</v>
      </c>
      <c r="W131" s="29">
        <f t="shared" si="130"/>
      </c>
      <c r="X131" s="33">
        <v>49428</v>
      </c>
      <c r="Y131" s="33">
        <v>1023</v>
      </c>
      <c r="Z131" s="31">
        <v>101</v>
      </c>
      <c r="AA131" s="31">
        <v>1162</v>
      </c>
      <c r="AB131" s="33">
        <v>91</v>
      </c>
      <c r="AC131" s="31">
        <v>25</v>
      </c>
      <c r="AD131" s="33">
        <v>1</v>
      </c>
      <c r="AE131" s="33">
        <v>27</v>
      </c>
      <c r="AF131" s="29">
        <f t="shared" si="81"/>
      </c>
      <c r="AG131" s="34" t="s">
        <v>40</v>
      </c>
      <c r="AH131" s="106" t="s">
        <v>73</v>
      </c>
      <c r="AI131" s="33">
        <v>40</v>
      </c>
    </row>
    <row customHeight="true" ht="18.452380952380953" r="132">
      <c r="A132" s="22"/>
      <c r="B132" s="49" t="s">
        <v>47</v>
      </c>
      <c r="C132" s="24" t="s">
        <v>43</v>
      </c>
      <c r="D132" s="25">
        <v>3460.09</v>
      </c>
      <c r="E132" s="26">
        <v>11</v>
      </c>
      <c r="F132" s="26">
        <v>9</v>
      </c>
      <c r="G132" s="27">
        <v>5</v>
      </c>
      <c r="H132" s="25">
        <v>5514.299999999999</v>
      </c>
      <c r="I132" s="26">
        <v>2</v>
      </c>
      <c r="J132" s="28">
        <f t="shared" si="225"/>
      </c>
      <c r="K132" s="29">
        <f t="shared" si="187"/>
      </c>
      <c r="L132" s="29">
        <f t="shared" si="149"/>
      </c>
      <c r="M132" s="30">
        <f t="shared" si="111"/>
      </c>
      <c r="N132" s="29">
        <f t="shared" si="62"/>
      </c>
      <c r="O132" s="29">
        <f t="shared" si="43"/>
      </c>
      <c r="P132" s="30">
        <f t="shared" si="24"/>
      </c>
      <c r="Q132" s="30">
        <f t="shared" si="5"/>
      </c>
      <c r="R132" s="30">
        <f t="shared" si="244"/>
      </c>
      <c r="S132" s="30">
        <f t="shared" si="206"/>
      </c>
      <c r="T132" s="31">
        <f t="shared" si="168"/>
      </c>
      <c r="U132" s="32">
        <v>0.0087</v>
      </c>
      <c r="V132" s="33">
        <v>42</v>
      </c>
      <c r="W132" s="29">
        <f t="shared" si="130"/>
      </c>
      <c r="X132" s="33">
        <v>64970</v>
      </c>
      <c r="Y132" s="33">
        <v>1427</v>
      </c>
      <c r="Z132" s="31">
        <v>117</v>
      </c>
      <c r="AA132" s="31">
        <v>1509</v>
      </c>
      <c r="AB132" s="33">
        <v>117</v>
      </c>
      <c r="AC132" s="31">
        <v>27</v>
      </c>
      <c r="AD132" s="33">
        <v>5</v>
      </c>
      <c r="AE132" s="33">
        <v>47</v>
      </c>
      <c r="AF132" s="29">
        <f t="shared" si="81"/>
      </c>
      <c r="AG132" s="34" t="s">
        <v>40</v>
      </c>
      <c r="AH132" s="35" t="s">
        <v>41</v>
      </c>
      <c r="AI132" s="33">
        <v>56</v>
      </c>
    </row>
    <row r="133">
      <c r="A133" s="22"/>
      <c r="B133" s="49" t="s">
        <v>47</v>
      </c>
      <c r="C133" s="36" t="s">
        <v>44</v>
      </c>
      <c r="D133" s="25">
        <v>3479.8</v>
      </c>
      <c r="E133" s="26">
        <v>10</v>
      </c>
      <c r="F133" s="26">
        <v>9</v>
      </c>
      <c r="G133" s="27">
        <v>6</v>
      </c>
      <c r="H133" s="25">
        <v>8912.200000000003</v>
      </c>
      <c r="I133" s="26">
        <v>5</v>
      </c>
      <c r="J133" s="28">
        <f t="shared" si="225"/>
      </c>
      <c r="K133" s="29">
        <f t="shared" si="187"/>
      </c>
      <c r="L133" s="29">
        <f t="shared" si="149"/>
      </c>
      <c r="M133" s="30">
        <f t="shared" si="111"/>
      </c>
      <c r="N133" s="29">
        <f t="shared" si="62"/>
      </c>
      <c r="O133" s="29">
        <f t="shared" si="43"/>
      </c>
      <c r="P133" s="30">
        <f t="shared" si="24"/>
      </c>
      <c r="Q133" s="30">
        <f t="shared" si="5"/>
      </c>
      <c r="R133" s="30">
        <f t="shared" si="244"/>
      </c>
      <c r="S133" s="30">
        <f t="shared" si="206"/>
      </c>
      <c r="T133" s="31">
        <f t="shared" si="168"/>
      </c>
      <c r="U133" s="32">
        <v>0.0102</v>
      </c>
      <c r="V133" s="33">
        <v>46</v>
      </c>
      <c r="W133" s="29">
        <f t="shared" si="130"/>
      </c>
      <c r="X133" s="33">
        <v>65941</v>
      </c>
      <c r="Y133" s="33">
        <v>1360</v>
      </c>
      <c r="Z133" s="31">
        <v>110</v>
      </c>
      <c r="AA133" s="31">
        <v>1479</v>
      </c>
      <c r="AB133" s="33">
        <v>132</v>
      </c>
      <c r="AC133" s="31">
        <v>16</v>
      </c>
      <c r="AD133" s="33">
        <v>0</v>
      </c>
      <c r="AE133" s="33">
        <v>39</v>
      </c>
      <c r="AF133" s="29">
        <f t="shared" si="81"/>
      </c>
      <c r="AG133" s="34" t="s">
        <v>40</v>
      </c>
      <c r="AH133" s="35" t="s">
        <v>41</v>
      </c>
      <c r="AI133" s="33">
        <v>59</v>
      </c>
    </row>
    <row r="134">
      <c r="A134" s="22"/>
      <c r="B134" s="49" t="s">
        <v>47</v>
      </c>
      <c r="C134" s="24" t="s">
        <v>45</v>
      </c>
      <c r="D134" s="25">
        <v>3533.93</v>
      </c>
      <c r="E134" s="26">
        <v>17</v>
      </c>
      <c r="F134" s="26">
        <v>14</v>
      </c>
      <c r="G134" s="27">
        <v>11</v>
      </c>
      <c r="H134" s="25">
        <v>11515.900000000001</v>
      </c>
      <c r="I134" s="26">
        <v>4</v>
      </c>
      <c r="J134" s="28">
        <f t="shared" si="225"/>
      </c>
      <c r="K134" s="29">
        <f t="shared" si="187"/>
      </c>
      <c r="L134" s="29">
        <f t="shared" si="149"/>
      </c>
      <c r="M134" s="30">
        <f t="shared" si="111"/>
      </c>
      <c r="N134" s="29">
        <f t="shared" si="62"/>
      </c>
      <c r="O134" s="29">
        <f t="shared" si="43"/>
      </c>
      <c r="P134" s="30">
        <f t="shared" si="24"/>
      </c>
      <c r="Q134" s="30">
        <f t="shared" si="5"/>
      </c>
      <c r="R134" s="30">
        <f t="shared" si="244"/>
      </c>
      <c r="S134" s="30">
        <f t="shared" si="206"/>
      </c>
      <c r="T134" s="31">
        <f t="shared" si="168"/>
      </c>
      <c r="U134" s="32">
        <v>0.0135</v>
      </c>
      <c r="V134" s="33">
        <v>49</v>
      </c>
      <c r="W134" s="29">
        <f t="shared" si="130"/>
      </c>
      <c r="X134" s="33">
        <v>59979</v>
      </c>
      <c r="Y134" s="33">
        <v>1325</v>
      </c>
      <c r="Z134" s="33">
        <v>144</v>
      </c>
      <c r="AA134" s="33">
        <v>1449</v>
      </c>
      <c r="AB134" s="33">
        <v>130</v>
      </c>
      <c r="AC134" s="33">
        <v>14</v>
      </c>
      <c r="AD134" s="33">
        <v>5</v>
      </c>
      <c r="AE134" s="33">
        <v>38</v>
      </c>
      <c r="AF134" s="29">
        <f t="shared" si="81"/>
      </c>
      <c r="AG134" s="34" t="s">
        <v>40</v>
      </c>
      <c r="AH134" s="35" t="s">
        <v>41</v>
      </c>
      <c r="AI134" s="33">
        <v>68</v>
      </c>
    </row>
    <row r="135">
      <c r="A135" s="22"/>
      <c r="B135" s="40" t="s">
        <v>46</v>
      </c>
      <c r="C135" s="40"/>
      <c r="D135" s="41">
        <f>SUM(D130:D134)</f>
      </c>
      <c r="E135" s="42">
        <f>SUM(E130:E134)</f>
      </c>
      <c r="F135" s="42">
        <f>SUM(F130:F134)</f>
      </c>
      <c r="G135" s="43">
        <f>SUM(G130:G134)</f>
      </c>
      <c r="H135" s="41">
        <f>SUM(H130:H134)</f>
      </c>
      <c r="I135" s="44">
        <f>SUM(I130:I134)</f>
      </c>
      <c r="J135" s="45">
        <f t="shared" si="225"/>
      </c>
      <c r="K135" s="45">
        <f t="shared" si="187"/>
      </c>
      <c r="L135" s="45">
        <f t="shared" si="149"/>
      </c>
      <c r="M135" s="46">
        <f t="shared" si="111"/>
      </c>
      <c r="N135" s="45">
        <f t="shared" si="62"/>
      </c>
      <c r="O135" s="45">
        <f t="shared" si="43"/>
      </c>
      <c r="P135" s="46">
        <f t="shared" si="24"/>
      </c>
      <c r="Q135" s="46">
        <f t="shared" si="5"/>
      </c>
      <c r="R135" s="46">
        <f t="shared" si="244"/>
      </c>
      <c r="S135" s="46">
        <f t="shared" si="206"/>
      </c>
      <c r="T135" s="42">
        <f t="shared" si="168"/>
      </c>
      <c r="U135" s="46">
        <f>AVERAGE(U130:U134)</f>
      </c>
      <c r="V135" s="41">
        <f>AVERAGE(V130:V134)</f>
      </c>
      <c r="W135" s="45">
        <f t="shared" si="130"/>
      </c>
      <c r="X135" s="42">
        <f>SUM(X130:X134)</f>
      </c>
      <c r="Y135" s="42">
        <f>SUM(Y130:Y134)</f>
      </c>
      <c r="Z135" s="42">
        <f>SUM(Z130:Z134)</f>
      </c>
      <c r="AA135" s="42">
        <f>SUM(AA130:AA134)</f>
      </c>
      <c r="AB135" s="42">
        <f>SUM(AB130:AB134)</f>
      </c>
      <c r="AC135" s="42">
        <f>SUM(AC130:AC134)</f>
      </c>
      <c r="AD135" s="42">
        <f>SUM(AD130:AD134)</f>
      </c>
      <c r="AE135" s="42">
        <f>SUM(AE130:AE134)</f>
      </c>
      <c r="AF135" s="47">
        <f t="shared" si="81"/>
      </c>
      <c r="AG135" s="48"/>
      <c r="AH135" s="48"/>
      <c r="AI135" s="43">
        <f>SUM(AI130:AI134)</f>
      </c>
    </row>
    <row r="136">
      <c r="A136" s="22"/>
      <c r="B136" s="49" t="s">
        <v>38</v>
      </c>
      <c r="C136" s="23" t="s">
        <v>48</v>
      </c>
      <c r="D136" s="50">
        <v>3500</v>
      </c>
      <c r="E136" s="51">
        <v>13</v>
      </c>
      <c r="F136" s="51">
        <v>10</v>
      </c>
      <c r="G136" s="52">
        <v>8</v>
      </c>
      <c r="H136" s="53">
        <v>5542.900000000009</v>
      </c>
      <c r="I136" s="54">
        <v>1</v>
      </c>
      <c r="J136" s="55">
        <f t="shared" si="225"/>
      </c>
      <c r="K136" s="55">
        <f t="shared" si="187"/>
      </c>
      <c r="L136" s="55">
        <f t="shared" si="149"/>
      </c>
      <c r="M136" s="56">
        <f t="shared" si="111"/>
      </c>
      <c r="N136" s="55">
        <f t="shared" si="62"/>
      </c>
      <c r="O136" s="55">
        <f t="shared" si="43"/>
      </c>
      <c r="P136" s="56">
        <f t="shared" si="24"/>
      </c>
      <c r="Q136" s="56">
        <f t="shared" si="5"/>
      </c>
      <c r="R136" s="56">
        <f t="shared" si="244"/>
      </c>
      <c r="S136" s="56">
        <f t="shared" si="206"/>
      </c>
      <c r="T136" s="57">
        <f t="shared" si="168"/>
      </c>
      <c r="U136" s="58">
        <v>0.0094</v>
      </c>
      <c r="V136" s="59">
        <v>51</v>
      </c>
      <c r="W136" s="55">
        <f t="shared" si="130"/>
      </c>
      <c r="X136" s="57">
        <v>51176</v>
      </c>
      <c r="Y136" s="57">
        <v>1277</v>
      </c>
      <c r="Z136" s="57">
        <v>123</v>
      </c>
      <c r="AA136" s="57">
        <v>1396</v>
      </c>
      <c r="AB136" s="57">
        <v>86</v>
      </c>
      <c r="AC136" s="57">
        <v>21</v>
      </c>
      <c r="AD136" s="57">
        <v>6</v>
      </c>
      <c r="AE136" s="57">
        <v>35</v>
      </c>
      <c r="AF136" s="55">
        <f t="shared" si="81"/>
      </c>
      <c r="AG136" s="34" t="s">
        <v>40</v>
      </c>
      <c r="AH136" s="35" t="s">
        <v>41</v>
      </c>
      <c r="AI136" s="59">
        <v>54</v>
      </c>
    </row>
    <row r="137">
      <c r="A137" s="22"/>
      <c r="B137" s="49" t="s">
        <v>38</v>
      </c>
      <c r="C137" s="60" t="s">
        <v>49</v>
      </c>
      <c r="D137" s="50">
        <v>4991.83</v>
      </c>
      <c r="E137" s="51">
        <v>16</v>
      </c>
      <c r="F137" s="51">
        <v>10</v>
      </c>
      <c r="G137" s="52">
        <v>7</v>
      </c>
      <c r="H137" s="53">
        <v>5245.899999999994</v>
      </c>
      <c r="I137" s="54">
        <v>1</v>
      </c>
      <c r="J137" s="55">
        <f t="shared" si="225"/>
      </c>
      <c r="K137" s="55">
        <f t="shared" si="187"/>
      </c>
      <c r="L137" s="55">
        <f t="shared" si="149"/>
      </c>
      <c r="M137" s="56">
        <f t="shared" si="111"/>
      </c>
      <c r="N137" s="55">
        <f t="shared" si="62"/>
      </c>
      <c r="O137" s="55">
        <f t="shared" si="43"/>
      </c>
      <c r="P137" s="56">
        <f t="shared" si="24"/>
      </c>
      <c r="Q137" s="56">
        <f t="shared" si="5"/>
      </c>
      <c r="R137" s="56">
        <f t="shared" si="244"/>
      </c>
      <c r="S137" s="56">
        <f t="shared" si="206"/>
      </c>
      <c r="T137" s="57">
        <f t="shared" si="168"/>
      </c>
      <c r="U137" s="58">
        <v>0.012</v>
      </c>
      <c r="V137" s="59">
        <v>53</v>
      </c>
      <c r="W137" s="55">
        <f t="shared" si="130"/>
      </c>
      <c r="X137" s="57">
        <v>84518</v>
      </c>
      <c r="Y137" s="57">
        <v>1223</v>
      </c>
      <c r="Z137" s="57">
        <v>149</v>
      </c>
      <c r="AA137" s="57">
        <v>1331</v>
      </c>
      <c r="AB137" s="57">
        <v>107</v>
      </c>
      <c r="AC137" s="57">
        <v>52</v>
      </c>
      <c r="AD137" s="57">
        <v>7</v>
      </c>
      <c r="AE137" s="57">
        <v>64</v>
      </c>
      <c r="AF137" s="55">
        <f t="shared" si="81"/>
      </c>
      <c r="AG137" s="34" t="s">
        <v>40</v>
      </c>
      <c r="AH137" s="35" t="s">
        <v>41</v>
      </c>
      <c r="AI137" s="59">
        <v>66</v>
      </c>
    </row>
    <row customHeight="true" ht="18.452380952380953" r="138">
      <c r="A138" s="22"/>
      <c r="B138" s="49" t="s">
        <v>38</v>
      </c>
      <c r="C138" s="61" t="s">
        <v>50</v>
      </c>
      <c r="D138" s="62">
        <v>3999.39</v>
      </c>
      <c r="E138" s="63">
        <v>10</v>
      </c>
      <c r="F138" s="63">
        <v>8</v>
      </c>
      <c r="G138" s="64">
        <v>6</v>
      </c>
      <c r="H138" s="53">
        <v>5364.700000000004</v>
      </c>
      <c r="I138" s="54">
        <v>1</v>
      </c>
      <c r="J138" s="28">
        <f t="shared" si="225"/>
      </c>
      <c r="K138" s="29">
        <f t="shared" si="187"/>
      </c>
      <c r="L138" s="29">
        <f t="shared" si="149"/>
      </c>
      <c r="M138" s="30">
        <f t="shared" si="111"/>
      </c>
      <c r="N138" s="29">
        <f t="shared" si="62"/>
      </c>
      <c r="O138" s="29">
        <f t="shared" si="43"/>
      </c>
      <c r="P138" s="30">
        <f t="shared" si="24"/>
      </c>
      <c r="Q138" s="30">
        <f t="shared" si="5"/>
      </c>
      <c r="R138" s="30">
        <f t="shared" si="244"/>
      </c>
      <c r="S138" s="30">
        <f t="shared" si="206"/>
      </c>
      <c r="T138" s="31">
        <f t="shared" si="168"/>
      </c>
      <c r="U138" s="32">
        <v>0.009</v>
      </c>
      <c r="V138" s="33">
        <v>53</v>
      </c>
      <c r="W138" s="29">
        <f t="shared" si="130"/>
      </c>
      <c r="X138" s="33">
        <v>68587</v>
      </c>
      <c r="Y138" s="33">
        <v>1272</v>
      </c>
      <c r="Z138" s="31">
        <v>113</v>
      </c>
      <c r="AA138" s="31">
        <v>1648</v>
      </c>
      <c r="AB138" s="33">
        <v>77</v>
      </c>
      <c r="AC138" s="31">
        <v>12</v>
      </c>
      <c r="AD138" s="33">
        <v>2</v>
      </c>
      <c r="AE138" s="33">
        <v>45</v>
      </c>
      <c r="AF138" s="29">
        <f t="shared" si="81"/>
      </c>
      <c r="AG138" s="34" t="s">
        <v>40</v>
      </c>
      <c r="AH138" s="35" t="s">
        <v>41</v>
      </c>
      <c r="AI138" s="33">
        <v>47</v>
      </c>
    </row>
    <row r="139">
      <c r="A139" s="22"/>
      <c r="B139" s="49" t="s">
        <v>38</v>
      </c>
      <c r="C139" s="60" t="s">
        <v>51</v>
      </c>
      <c r="D139" s="62">
        <v>3488.58</v>
      </c>
      <c r="E139" s="63">
        <v>8</v>
      </c>
      <c r="F139" s="63">
        <v>5</v>
      </c>
      <c r="G139" s="64">
        <v>3</v>
      </c>
      <c r="H139" s="53">
        <v>2915</v>
      </c>
      <c r="I139" s="54">
        <v>0</v>
      </c>
      <c r="J139" s="55">
        <f t="shared" si="225"/>
      </c>
      <c r="K139" s="55">
        <f t="shared" si="187"/>
      </c>
      <c r="L139" s="55">
        <f t="shared" si="149"/>
      </c>
      <c r="M139" s="56">
        <f t="shared" si="111"/>
      </c>
      <c r="N139" s="55">
        <f t="shared" si="62"/>
      </c>
      <c r="O139" s="55">
        <f t="shared" si="43"/>
      </c>
      <c r="P139" s="56">
        <f t="shared" si="24"/>
      </c>
      <c r="Q139" s="56">
        <f t="shared" si="5"/>
      </c>
      <c r="R139" s="56">
        <f t="shared" si="244"/>
      </c>
      <c r="S139" s="56">
        <f t="shared" si="206"/>
      </c>
      <c r="T139" s="57">
        <f t="shared" si="168"/>
      </c>
      <c r="U139" s="58">
        <v>0.0159</v>
      </c>
      <c r="V139" s="59">
        <v>54</v>
      </c>
      <c r="W139" s="55">
        <f t="shared" si="130"/>
      </c>
      <c r="X139" s="57">
        <v>58570</v>
      </c>
      <c r="Y139" s="57">
        <v>941</v>
      </c>
      <c r="Z139" s="57">
        <v>135</v>
      </c>
      <c r="AA139" s="57">
        <v>1292</v>
      </c>
      <c r="AB139" s="57">
        <v>79</v>
      </c>
      <c r="AC139" s="57">
        <v>18</v>
      </c>
      <c r="AD139" s="57">
        <v>3</v>
      </c>
      <c r="AE139" s="57">
        <v>44</v>
      </c>
      <c r="AF139" s="55">
        <f t="shared" si="81"/>
      </c>
      <c r="AG139" s="34" t="s">
        <v>40</v>
      </c>
      <c r="AH139" s="35" t="s">
        <v>41</v>
      </c>
      <c r="AI139" s="59">
        <v>49</v>
      </c>
    </row>
    <row r="140">
      <c r="A140" s="22"/>
      <c r="B140" s="49" t="s">
        <v>38</v>
      </c>
      <c r="C140" s="49" t="s">
        <v>53</v>
      </c>
      <c r="D140" s="50">
        <v>3515.78</v>
      </c>
      <c r="E140" s="63">
        <v>13</v>
      </c>
      <c r="F140" s="63">
        <v>10</v>
      </c>
      <c r="G140" s="64">
        <v>7</v>
      </c>
      <c r="H140" s="50">
        <v>5829.999999999993</v>
      </c>
      <c r="I140" s="65">
        <v>0</v>
      </c>
      <c r="J140" s="55">
        <f t="shared" si="225"/>
      </c>
      <c r="K140" s="55">
        <f t="shared" si="187"/>
      </c>
      <c r="L140" s="55">
        <f t="shared" si="149"/>
      </c>
      <c r="M140" s="56">
        <f t="shared" si="111"/>
      </c>
      <c r="N140" s="55">
        <f t="shared" si="62"/>
      </c>
      <c r="O140" s="55">
        <f t="shared" si="43"/>
      </c>
      <c r="P140" s="56">
        <f t="shared" si="24"/>
      </c>
      <c r="Q140" s="56">
        <f t="shared" si="5"/>
      </c>
      <c r="R140" s="56">
        <f t="shared" si="244"/>
      </c>
      <c r="S140" s="56">
        <f t="shared" si="206"/>
      </c>
      <c r="T140" s="57">
        <f t="shared" si="168"/>
      </c>
      <c r="U140" s="58">
        <v>0.0166</v>
      </c>
      <c r="V140" s="59">
        <v>57</v>
      </c>
      <c r="W140" s="55">
        <f t="shared" si="130"/>
      </c>
      <c r="X140" s="57">
        <v>48227</v>
      </c>
      <c r="Y140" s="57">
        <v>966</v>
      </c>
      <c r="Z140" s="57">
        <v>144</v>
      </c>
      <c r="AA140" s="57">
        <v>1061</v>
      </c>
      <c r="AB140" s="57">
        <v>100</v>
      </c>
      <c r="AC140" s="57">
        <v>17</v>
      </c>
      <c r="AD140" s="57">
        <v>3</v>
      </c>
      <c r="AE140" s="59">
        <v>64</v>
      </c>
      <c r="AF140" s="55">
        <f t="shared" si="81"/>
      </c>
      <c r="AG140" s="34" t="s">
        <v>40</v>
      </c>
      <c r="AH140" s="35" t="s">
        <v>41</v>
      </c>
      <c r="AI140" s="59">
        <v>54</v>
      </c>
    </row>
    <row r="141">
      <c r="A141" s="22"/>
      <c r="B141" s="67" t="s">
        <v>46</v>
      </c>
      <c r="C141" s="67"/>
      <c r="D141" s="68">
        <f>SUM(D136:D140)</f>
      </c>
      <c r="E141" s="69">
        <f>SUM(E136:E140)</f>
      </c>
      <c r="F141" s="69">
        <f>SUM(F136:F140)</f>
      </c>
      <c r="G141" s="70">
        <f>SUM(G136:G140)</f>
      </c>
      <c r="H141" s="68">
        <f>SUM(H136:H140)</f>
      </c>
      <c r="I141" s="69">
        <f>SUM(I136:I140)</f>
      </c>
      <c r="J141" s="71">
        <f t="shared" si="225"/>
      </c>
      <c r="K141" s="71">
        <f t="shared" si="187"/>
      </c>
      <c r="L141" s="71">
        <f t="shared" si="149"/>
      </c>
      <c r="M141" s="72">
        <f t="shared" si="111"/>
      </c>
      <c r="N141" s="71">
        <f t="shared" si="62"/>
      </c>
      <c r="O141" s="71">
        <f t="shared" si="43"/>
      </c>
      <c r="P141" s="72">
        <f t="shared" si="24"/>
      </c>
      <c r="Q141" s="72">
        <f t="shared" si="5"/>
      </c>
      <c r="R141" s="72">
        <f t="shared" si="244"/>
      </c>
      <c r="S141" s="72">
        <f t="shared" si="206"/>
      </c>
      <c r="T141" s="73">
        <f t="shared" si="168"/>
      </c>
      <c r="U141" s="72">
        <f>AVERAGE(U137:U140)</f>
      </c>
      <c r="V141" s="41">
        <f>AVERAGE(V136:V140)</f>
      </c>
      <c r="W141" s="71">
        <f t="shared" si="130"/>
      </c>
      <c r="X141" s="73">
        <f>SUM(X136:X140)</f>
      </c>
      <c r="Y141" s="73">
        <f>SUM(Y136:Y140)</f>
      </c>
      <c r="Z141" s="73">
        <f>SUM(Z136:Z140)</f>
      </c>
      <c r="AA141" s="73">
        <f>SUM(AA136:AA140)</f>
      </c>
      <c r="AB141" s="73">
        <f>SUM(AB136:AB140)</f>
      </c>
      <c r="AC141" s="73">
        <f>SUM(AC136:AC140)</f>
      </c>
      <c r="AD141" s="73">
        <f>SUM(AD136:AD140)</f>
      </c>
      <c r="AE141" s="73">
        <f>SUM(AE136:AE140)</f>
      </c>
      <c r="AF141" s="74">
        <f t="shared" si="81"/>
      </c>
      <c r="AG141" s="75"/>
      <c r="AH141" s="75"/>
      <c r="AI141" s="70">
        <f>SUM(AI136:AI140)</f>
      </c>
    </row>
    <row r="142">
      <c r="A142" s="22"/>
      <c r="B142" s="23" t="s">
        <v>69</v>
      </c>
      <c r="C142" s="60" t="s">
        <v>55</v>
      </c>
      <c r="D142" s="23">
        <v>3999.79</v>
      </c>
      <c r="E142" s="26">
        <v>11</v>
      </c>
      <c r="F142" s="26">
        <v>7</v>
      </c>
      <c r="G142" s="27">
        <v>4</v>
      </c>
      <c r="H142" s="76">
        <v>4626.5999999999985</v>
      </c>
      <c r="I142" s="26">
        <v>2</v>
      </c>
      <c r="J142" s="29">
        <f t="shared" si="225"/>
      </c>
      <c r="K142" s="29">
        <f t="shared" si="187"/>
      </c>
      <c r="L142" s="29">
        <f t="shared" si="149"/>
      </c>
      <c r="M142" s="30">
        <f t="shared" si="111"/>
      </c>
      <c r="N142" s="29">
        <f t="shared" si="62"/>
      </c>
      <c r="O142" s="29">
        <f t="shared" si="43"/>
      </c>
      <c r="P142" s="30">
        <f t="shared" si="24"/>
      </c>
      <c r="Q142" s="30">
        <f t="shared" si="5"/>
      </c>
      <c r="R142" s="30">
        <f t="shared" si="244"/>
      </c>
      <c r="S142" s="30">
        <f t="shared" si="206"/>
      </c>
      <c r="T142" s="31">
        <f t="shared" si="168"/>
      </c>
      <c r="U142" s="32">
        <v>0.0109</v>
      </c>
      <c r="V142" s="33">
        <v>57</v>
      </c>
      <c r="W142" s="29">
        <f t="shared" si="130"/>
      </c>
      <c r="X142" s="33">
        <v>54504</v>
      </c>
      <c r="Y142" s="33">
        <v>1257</v>
      </c>
      <c r="Z142" s="31">
        <v>131</v>
      </c>
      <c r="AA142" s="31">
        <v>1388</v>
      </c>
      <c r="AB142" s="31">
        <v>120</v>
      </c>
      <c r="AC142" s="31">
        <v>24</v>
      </c>
      <c r="AD142" s="33">
        <v>1</v>
      </c>
      <c r="AE142" s="33">
        <v>40</v>
      </c>
      <c r="AF142" s="29">
        <f t="shared" si="81"/>
      </c>
      <c r="AG142" s="34" t="s">
        <v>56</v>
      </c>
      <c r="AH142" s="66" t="s">
        <v>72</v>
      </c>
      <c r="AI142" s="33">
        <v>62</v>
      </c>
    </row>
    <row r="143">
      <c r="A143" s="22"/>
      <c r="B143" s="23" t="s">
        <v>69</v>
      </c>
      <c r="C143" s="61" t="s">
        <v>57</v>
      </c>
      <c r="D143" s="23">
        <v>2990.77</v>
      </c>
      <c r="E143" s="26">
        <v>6</v>
      </c>
      <c r="F143" s="26">
        <v>5</v>
      </c>
      <c r="G143" s="27">
        <v>5</v>
      </c>
      <c r="H143" s="76">
        <v>4562.80000000001</v>
      </c>
      <c r="I143" s="26">
        <v>1</v>
      </c>
      <c r="J143" s="29">
        <f t="shared" si="225"/>
      </c>
      <c r="K143" s="29">
        <f t="shared" si="187"/>
      </c>
      <c r="L143" s="29">
        <f t="shared" si="149"/>
      </c>
      <c r="M143" s="30">
        <f t="shared" si="111"/>
      </c>
      <c r="N143" s="29">
        <f t="shared" si="62"/>
      </c>
      <c r="O143" s="29">
        <f t="shared" si="43"/>
      </c>
      <c r="P143" s="30">
        <f t="shared" si="24"/>
      </c>
      <c r="Q143" s="30">
        <f t="shared" si="5"/>
      </c>
      <c r="R143" s="30">
        <f t="shared" si="244"/>
      </c>
      <c r="S143" s="30">
        <f t="shared" si="206"/>
      </c>
      <c r="T143" s="31">
        <f t="shared" si="168"/>
      </c>
      <c r="U143" s="32">
        <v>0.0077</v>
      </c>
      <c r="V143" s="33">
        <v>57</v>
      </c>
      <c r="W143" s="29">
        <f t="shared" si="130"/>
      </c>
      <c r="X143" s="31">
        <v>42676</v>
      </c>
      <c r="Y143" s="31">
        <v>1111</v>
      </c>
      <c r="Z143" s="31">
        <v>96</v>
      </c>
      <c r="AA143" s="31">
        <v>1522</v>
      </c>
      <c r="AB143" s="31">
        <v>127</v>
      </c>
      <c r="AC143" s="31">
        <v>10</v>
      </c>
      <c r="AD143" s="31">
        <v>3</v>
      </c>
      <c r="AE143" s="33">
        <v>16</v>
      </c>
      <c r="AF143" s="29">
        <f t="shared" si="81"/>
      </c>
      <c r="AG143" s="34" t="s">
        <v>56</v>
      </c>
      <c r="AH143" s="66" t="s">
        <v>72</v>
      </c>
      <c r="AI143" s="33">
        <v>45</v>
      </c>
    </row>
    <row r="144">
      <c r="A144" s="22"/>
      <c r="B144" s="23" t="s">
        <v>69</v>
      </c>
      <c r="C144" s="60" t="s">
        <v>58</v>
      </c>
      <c r="D144" s="23">
        <v>2834.04</v>
      </c>
      <c r="E144" s="26">
        <v>8</v>
      </c>
      <c r="F144" s="26">
        <v>5</v>
      </c>
      <c r="G144" s="27">
        <v>5</v>
      </c>
      <c r="H144" s="76">
        <v>2585</v>
      </c>
      <c r="I144" s="26">
        <v>1</v>
      </c>
      <c r="J144" s="29">
        <f t="shared" si="225"/>
      </c>
      <c r="K144" s="29">
        <f t="shared" si="187"/>
      </c>
      <c r="L144" s="29">
        <f t="shared" si="149"/>
      </c>
      <c r="M144" s="30">
        <f t="shared" si="111"/>
      </c>
      <c r="N144" s="29">
        <f t="shared" si="62"/>
      </c>
      <c r="O144" s="29">
        <f t="shared" si="43"/>
      </c>
      <c r="P144" s="30">
        <f t="shared" si="24"/>
      </c>
      <c r="Q144" s="30">
        <f t="shared" si="5"/>
      </c>
      <c r="R144" s="30">
        <f t="shared" si="244"/>
      </c>
      <c r="S144" s="30">
        <f t="shared" si="206"/>
      </c>
      <c r="T144" s="31">
        <f t="shared" si="168"/>
      </c>
      <c r="U144" s="32">
        <v>0.0078</v>
      </c>
      <c r="V144" s="33">
        <v>54</v>
      </c>
      <c r="W144" s="29">
        <f t="shared" si="130"/>
      </c>
      <c r="X144" s="33">
        <v>40307</v>
      </c>
      <c r="Y144" s="33">
        <v>1063</v>
      </c>
      <c r="Z144" s="33">
        <v>82</v>
      </c>
      <c r="AA144" s="33">
        <v>1656</v>
      </c>
      <c r="AB144" s="33">
        <v>81</v>
      </c>
      <c r="AC144" s="33">
        <v>6</v>
      </c>
      <c r="AD144" s="33">
        <v>2</v>
      </c>
      <c r="AE144" s="33">
        <v>30</v>
      </c>
      <c r="AF144" s="29">
        <f t="shared" si="81"/>
      </c>
      <c r="AG144" s="34" t="s">
        <v>56</v>
      </c>
      <c r="AH144" s="66" t="s">
        <v>72</v>
      </c>
      <c r="AI144" s="33">
        <v>32</v>
      </c>
    </row>
    <row r="145">
      <c r="A145" s="22"/>
      <c r="B145" s="23" t="s">
        <v>69</v>
      </c>
      <c r="C145" s="60" t="s">
        <v>59</v>
      </c>
      <c r="D145" s="23">
        <v>3153.8</v>
      </c>
      <c r="E145" s="26">
        <v>17</v>
      </c>
      <c r="F145" s="26">
        <v>15</v>
      </c>
      <c r="G145" s="27">
        <v>11</v>
      </c>
      <c r="H145" s="76">
        <v>10534.699999999997</v>
      </c>
      <c r="I145" s="26">
        <v>2</v>
      </c>
      <c r="J145" s="29">
        <f t="shared" si="225"/>
      </c>
      <c r="K145" s="29">
        <f t="shared" si="187"/>
      </c>
      <c r="L145" s="29">
        <f t="shared" si="149"/>
      </c>
      <c r="M145" s="30">
        <f t="shared" si="111"/>
      </c>
      <c r="N145" s="29">
        <f t="shared" si="62"/>
      </c>
      <c r="O145" s="29">
        <f t="shared" si="43"/>
      </c>
      <c r="P145" s="30">
        <f t="shared" si="24"/>
      </c>
      <c r="Q145" s="30">
        <f t="shared" si="5"/>
      </c>
      <c r="R145" s="30">
        <f t="shared" si="244"/>
      </c>
      <c r="S145" s="30">
        <f t="shared" si="206"/>
      </c>
      <c r="T145" s="31">
        <f t="shared" si="168"/>
      </c>
      <c r="U145" s="32">
        <v>0.0073</v>
      </c>
      <c r="V145" s="33">
        <v>50</v>
      </c>
      <c r="W145" s="29">
        <f t="shared" si="130"/>
      </c>
      <c r="X145" s="33">
        <v>47255</v>
      </c>
      <c r="Y145" s="33">
        <v>1846</v>
      </c>
      <c r="Z145" s="31">
        <v>102</v>
      </c>
      <c r="AA145" s="31">
        <v>4312</v>
      </c>
      <c r="AB145" s="31">
        <v>167</v>
      </c>
      <c r="AC145" s="31">
        <v>13</v>
      </c>
      <c r="AD145" s="33">
        <v>2</v>
      </c>
      <c r="AE145" s="33">
        <v>17</v>
      </c>
      <c r="AF145" s="29">
        <f t="shared" si="81"/>
      </c>
      <c r="AG145" s="34" t="s">
        <v>56</v>
      </c>
      <c r="AH145" s="66" t="s">
        <v>72</v>
      </c>
      <c r="AI145" s="33">
        <v>53</v>
      </c>
    </row>
    <row r="146">
      <c r="A146" s="22"/>
      <c r="B146" s="40" t="s">
        <v>46</v>
      </c>
      <c r="C146" s="40"/>
      <c r="D146" s="77">
        <f>SUM(D142:D145)</f>
      </c>
      <c r="E146" s="78">
        <f>SUM(E142:E145)</f>
      </c>
      <c r="F146" s="78">
        <f>SUM(F142:F145)</f>
      </c>
      <c r="G146" s="79">
        <f>SUM(G142:G145)</f>
      </c>
      <c r="H146" s="77">
        <f>SUM(H142:H145)</f>
      </c>
      <c r="I146" s="44">
        <f>SUM(I142:I145)</f>
      </c>
      <c r="J146" s="45">
        <f t="shared" si="225"/>
      </c>
      <c r="K146" s="45">
        <f t="shared" si="187"/>
      </c>
      <c r="L146" s="45">
        <f t="shared" si="149"/>
      </c>
      <c r="M146" s="46">
        <f t="shared" si="111"/>
      </c>
      <c r="N146" s="45">
        <f t="shared" si="62"/>
      </c>
      <c r="O146" s="45">
        <f t="shared" si="43"/>
      </c>
      <c r="P146" s="46">
        <f t="shared" si="24"/>
      </c>
      <c r="Q146" s="46">
        <f t="shared" si="5"/>
      </c>
      <c r="R146" s="46">
        <f t="shared" si="244"/>
      </c>
      <c r="S146" s="46">
        <f t="shared" si="206"/>
      </c>
      <c r="T146" s="42">
        <f t="shared" si="168"/>
      </c>
      <c r="U146" s="46">
        <f>AVERAGE(U142:U145)</f>
      </c>
      <c r="V146" s="41">
        <f>AVERAGE(V142:V145)</f>
      </c>
      <c r="W146" s="45">
        <f t="shared" si="130"/>
      </c>
      <c r="X146" s="42">
        <f>SUM(X142:X145)</f>
      </c>
      <c r="Y146" s="42">
        <f>SUM(Y142:Y145)</f>
      </c>
      <c r="Z146" s="42">
        <f>SUM(Z142:Z145)</f>
      </c>
      <c r="AA146" s="42">
        <f>SUM(AA142:AA145)</f>
      </c>
      <c r="AB146" s="42">
        <f>SUM(AB142:AB145)</f>
      </c>
      <c r="AC146" s="42">
        <f>SUM(AC142:AC145)</f>
      </c>
      <c r="AD146" s="42">
        <f>SUM(AD142:AD145)</f>
      </c>
      <c r="AE146" s="42">
        <f>SUM(AE142:AE145)</f>
      </c>
      <c r="AF146" s="47">
        <f t="shared" si="81"/>
      </c>
      <c r="AG146" s="48"/>
      <c r="AH146" s="48"/>
      <c r="AI146" s="42">
        <f>SUM(AI142:AI145)</f>
      </c>
    </row>
    <row r="147">
      <c r="A147" s="22"/>
      <c r="B147" s="49" t="s">
        <v>54</v>
      </c>
      <c r="C147" s="49" t="s">
        <v>61</v>
      </c>
      <c r="D147" s="80">
        <v>2967.03</v>
      </c>
      <c r="E147" s="51">
        <v>7</v>
      </c>
      <c r="F147" s="51">
        <v>7</v>
      </c>
      <c r="G147" s="52">
        <v>6</v>
      </c>
      <c r="H147" s="53">
        <v>4189.899999999994</v>
      </c>
      <c r="I147" s="54">
        <v>1</v>
      </c>
      <c r="J147" s="55">
        <f t="shared" si="225"/>
      </c>
      <c r="K147" s="55">
        <f t="shared" si="187"/>
      </c>
      <c r="L147" s="55">
        <f t="shared" si="149"/>
      </c>
      <c r="M147" s="56">
        <f t="shared" si="111"/>
      </c>
      <c r="N147" s="55">
        <f t="shared" si="62"/>
      </c>
      <c r="O147" s="55">
        <f t="shared" si="43"/>
      </c>
      <c r="P147" s="56">
        <f t="shared" si="24"/>
      </c>
      <c r="Q147" s="56">
        <f t="shared" si="5"/>
      </c>
      <c r="R147" s="56">
        <f t="shared" si="244"/>
      </c>
      <c r="S147" s="56">
        <f t="shared" si="206"/>
      </c>
      <c r="T147" s="57">
        <f t="shared" si="168"/>
      </c>
      <c r="U147" s="58">
        <v>0.0127</v>
      </c>
      <c r="V147" s="59">
        <v>50</v>
      </c>
      <c r="W147" s="55">
        <f t="shared" si="130"/>
      </c>
      <c r="X147" s="57">
        <v>42482</v>
      </c>
      <c r="Y147" s="57">
        <v>705</v>
      </c>
      <c r="Z147" s="57">
        <v>78</v>
      </c>
      <c r="AA147" s="57">
        <v>756</v>
      </c>
      <c r="AB147" s="57">
        <v>50</v>
      </c>
      <c r="AC147" s="57">
        <v>8</v>
      </c>
      <c r="AD147" s="57">
        <v>2</v>
      </c>
      <c r="AE147" s="57">
        <v>32</v>
      </c>
      <c r="AF147" s="55">
        <f t="shared" si="81"/>
      </c>
      <c r="AG147" s="34" t="s">
        <v>56</v>
      </c>
      <c r="AH147" s="66" t="s">
        <v>72</v>
      </c>
      <c r="AI147" s="59">
        <v>22</v>
      </c>
    </row>
    <row r="148">
      <c r="A148" s="22"/>
      <c r="B148" s="49" t="s">
        <v>54</v>
      </c>
      <c r="C148" s="49" t="s">
        <v>62</v>
      </c>
      <c r="D148" s="81">
        <v>5049.19</v>
      </c>
      <c r="E148" s="63">
        <v>13</v>
      </c>
      <c r="F148" s="63">
        <v>11</v>
      </c>
      <c r="G148" s="64">
        <v>10</v>
      </c>
      <c r="H148" s="91">
        <v>6102.800000000003</v>
      </c>
      <c r="I148" s="54">
        <v>2</v>
      </c>
      <c r="J148" s="55">
        <f t="shared" si="225"/>
      </c>
      <c r="K148" s="55">
        <f t="shared" si="187"/>
      </c>
      <c r="L148" s="55">
        <f t="shared" si="149"/>
      </c>
      <c r="M148" s="56">
        <f t="shared" si="111"/>
      </c>
      <c r="N148" s="55">
        <f t="shared" si="62"/>
      </c>
      <c r="O148" s="55">
        <f t="shared" si="43"/>
      </c>
      <c r="P148" s="56">
        <f t="shared" si="24"/>
      </c>
      <c r="Q148" s="56">
        <f t="shared" si="5"/>
      </c>
      <c r="R148" s="56">
        <f t="shared" si="244"/>
      </c>
      <c r="S148" s="56">
        <f t="shared" si="206"/>
      </c>
      <c r="T148" s="57">
        <f t="shared" si="168"/>
      </c>
      <c r="U148" s="58">
        <v>0.0122</v>
      </c>
      <c r="V148" s="59">
        <v>52</v>
      </c>
      <c r="W148" s="55">
        <f t="shared" si="130"/>
      </c>
      <c r="X148" s="57">
        <v>80926</v>
      </c>
      <c r="Y148" s="57">
        <v>1450</v>
      </c>
      <c r="Z148" s="57">
        <v>174</v>
      </c>
      <c r="AA148" s="57">
        <v>1591</v>
      </c>
      <c r="AB148" s="57">
        <v>172</v>
      </c>
      <c r="AC148" s="57">
        <v>26</v>
      </c>
      <c r="AD148" s="57">
        <v>3</v>
      </c>
      <c r="AE148" s="57">
        <v>88</v>
      </c>
      <c r="AF148" s="55">
        <f t="shared" si="81"/>
      </c>
      <c r="AG148" s="34" t="s">
        <v>56</v>
      </c>
      <c r="AH148" s="66" t="s">
        <v>72</v>
      </c>
      <c r="AI148" s="59">
        <v>71</v>
      </c>
    </row>
    <row r="149">
      <c r="A149" s="22"/>
      <c r="B149" s="49" t="s">
        <v>54</v>
      </c>
      <c r="C149" s="49" t="s">
        <v>63</v>
      </c>
      <c r="D149" s="80">
        <v>3005.29</v>
      </c>
      <c r="E149" s="63">
        <v>4</v>
      </c>
      <c r="F149" s="63">
        <v>3</v>
      </c>
      <c r="G149" s="64">
        <v>3</v>
      </c>
      <c r="H149" s="50">
        <v>1353</v>
      </c>
      <c r="I149" s="65">
        <v>0</v>
      </c>
      <c r="J149" s="55">
        <f t="shared" si="225"/>
      </c>
      <c r="K149" s="55">
        <f t="shared" si="187"/>
      </c>
      <c r="L149" s="55">
        <f t="shared" si="149"/>
      </c>
      <c r="M149" s="56">
        <f t="shared" si="111"/>
      </c>
      <c r="N149" s="55">
        <f t="shared" si="62"/>
      </c>
      <c r="O149" s="55">
        <f t="shared" si="43"/>
      </c>
      <c r="P149" s="56">
        <f t="shared" si="24"/>
      </c>
      <c r="Q149" s="56">
        <f t="shared" si="5"/>
      </c>
      <c r="R149" s="56">
        <f t="shared" si="244"/>
      </c>
      <c r="S149" s="56">
        <f t="shared" si="206"/>
      </c>
      <c r="T149" s="57">
        <f t="shared" si="168"/>
      </c>
      <c r="U149" s="58">
        <v>0.011</v>
      </c>
      <c r="V149" s="59">
        <v>53</v>
      </c>
      <c r="W149" s="55">
        <f t="shared" si="130"/>
      </c>
      <c r="X149" s="57">
        <v>42894</v>
      </c>
      <c r="Y149" s="57">
        <v>553</v>
      </c>
      <c r="Z149" s="57">
        <v>79</v>
      </c>
      <c r="AA149" s="57">
        <v>576</v>
      </c>
      <c r="AB149" s="57">
        <v>82</v>
      </c>
      <c r="AC149" s="57">
        <v>13</v>
      </c>
      <c r="AD149" s="57">
        <v>8</v>
      </c>
      <c r="AE149" s="57">
        <v>36</v>
      </c>
      <c r="AF149" s="55">
        <f t="shared" si="81"/>
      </c>
      <c r="AG149" s="34" t="s">
        <v>56</v>
      </c>
      <c r="AH149" s="66" t="s">
        <v>72</v>
      </c>
      <c r="AI149" s="59">
        <v>33</v>
      </c>
    </row>
    <row r="150">
      <c r="A150" s="22"/>
      <c r="B150" s="49" t="s">
        <v>54</v>
      </c>
      <c r="C150" s="49" t="s">
        <v>64</v>
      </c>
      <c r="D150" s="50">
        <v>1500</v>
      </c>
      <c r="E150" s="65">
        <v>8</v>
      </c>
      <c r="F150" s="65">
        <v>6</v>
      </c>
      <c r="G150" s="52">
        <v>4</v>
      </c>
      <c r="H150" s="80">
        <v>3111.9000000000087</v>
      </c>
      <c r="I150" s="65">
        <v>1</v>
      </c>
      <c r="J150" s="55">
        <f t="shared" si="225"/>
      </c>
      <c r="K150" s="55">
        <f t="shared" si="187"/>
      </c>
      <c r="L150" s="55">
        <f t="shared" si="149"/>
      </c>
      <c r="M150" s="56">
        <f t="shared" si="111"/>
      </c>
      <c r="N150" s="55">
        <f t="shared" si="62"/>
      </c>
      <c r="O150" s="55">
        <f t="shared" si="43"/>
      </c>
      <c r="P150" s="56">
        <f t="shared" si="24"/>
      </c>
      <c r="Q150" s="56">
        <f t="shared" si="5"/>
      </c>
      <c r="R150" s="56">
        <f t="shared" si="244"/>
      </c>
      <c r="S150" s="56">
        <f t="shared" si="206"/>
      </c>
      <c r="T150" s="57">
        <f t="shared" si="168"/>
      </c>
      <c r="U150" s="58">
        <v>0</v>
      </c>
      <c r="V150" s="59">
        <v>54</v>
      </c>
      <c r="W150" s="55">
        <f t="shared" si="130"/>
      </c>
      <c r="X150" s="57">
        <v>20876</v>
      </c>
      <c r="Y150" s="57">
        <v>95</v>
      </c>
      <c r="Z150" s="57">
        <v>34</v>
      </c>
      <c r="AA150" s="57">
        <v>96</v>
      </c>
      <c r="AB150" s="57">
        <v>75</v>
      </c>
      <c r="AC150" s="57">
        <v>9</v>
      </c>
      <c r="AD150" s="57">
        <v>0</v>
      </c>
      <c r="AE150" s="59">
        <v>36</v>
      </c>
      <c r="AF150" s="55">
        <f t="shared" si="81"/>
      </c>
      <c r="AG150" s="34" t="s">
        <v>56</v>
      </c>
      <c r="AH150" s="66" t="s">
        <v>72</v>
      </c>
      <c r="AI150" s="59">
        <v>13</v>
      </c>
    </row>
    <row r="151">
      <c r="A151" s="22"/>
      <c r="B151" s="67" t="s">
        <v>46</v>
      </c>
      <c r="C151" s="67"/>
      <c r="D151" s="68">
        <f>SUM(D147:D150)</f>
      </c>
      <c r="E151" s="69">
        <f>SUM(E147:E150)</f>
      </c>
      <c r="F151" s="69">
        <f>SUM(F147:F150)</f>
      </c>
      <c r="G151" s="70">
        <f>SUM(G147:G150)</f>
      </c>
      <c r="H151" s="68">
        <f>SUM(H147:H150)</f>
      </c>
      <c r="I151" s="44">
        <f>SUM(I147:I150)</f>
      </c>
      <c r="J151" s="71">
        <f t="shared" si="225"/>
      </c>
      <c r="K151" s="71">
        <f t="shared" si="187"/>
      </c>
      <c r="L151" s="71">
        <f t="shared" si="149"/>
      </c>
      <c r="M151" s="72">
        <f t="shared" si="111"/>
      </c>
      <c r="N151" s="71">
        <f t="shared" si="62"/>
      </c>
      <c r="O151" s="71">
        <f t="shared" si="43"/>
      </c>
      <c r="P151" s="72">
        <f t="shared" si="24"/>
      </c>
      <c r="Q151" s="72">
        <f t="shared" si="5"/>
      </c>
      <c r="R151" s="72">
        <f t="shared" si="244"/>
      </c>
      <c r="S151" s="72">
        <f t="shared" si="206"/>
      </c>
      <c r="T151" s="73">
        <f t="shared" si="168"/>
      </c>
      <c r="U151" s="72">
        <f>AVERAGE(U147:U150)</f>
      </c>
      <c r="V151" s="68">
        <f>AVERAGE(V147:V150)</f>
      </c>
      <c r="W151" s="71">
        <f t="shared" si="130"/>
      </c>
      <c r="X151" s="73">
        <f>SUM(X147:X150)</f>
      </c>
      <c r="Y151" s="73">
        <f>SUM(Y147:Y150)</f>
      </c>
      <c r="Z151" s="73">
        <f>SUM(Z147:Z150)</f>
      </c>
      <c r="AA151" s="73">
        <f>SUM(AA147:AA150)</f>
      </c>
      <c r="AB151" s="73">
        <f>SUM(AB147:AB150)</f>
      </c>
      <c r="AC151" s="73">
        <f>SUM(AC147:AC150)</f>
      </c>
      <c r="AD151" s="73">
        <f>SUM(AD147:AD150)</f>
      </c>
      <c r="AE151" s="73">
        <f>SUM(AE147:AE150)</f>
      </c>
      <c r="AF151" s="74">
        <f t="shared" si="81"/>
      </c>
      <c r="AG151" s="75"/>
      <c r="AH151" s="75"/>
      <c r="AI151" s="70">
        <f>SUM(AI147:AI150)</f>
      </c>
    </row>
    <row r="152">
      <c r="A152" s="22"/>
      <c r="B152" s="82" t="s">
        <v>65</v>
      </c>
      <c r="C152" s="82"/>
      <c r="D152" s="83">
        <f>D135+D141+D146+D151</f>
      </c>
      <c r="E152" s="84">
        <f>E135+E141+E146+E151</f>
      </c>
      <c r="F152" s="84">
        <f>F135+F141+F146+F151</f>
      </c>
      <c r="G152" s="84">
        <f>G135+G141+G146+G151</f>
      </c>
      <c r="H152" s="83">
        <f>H135+H141+H146+H151</f>
      </c>
      <c r="I152" s="84">
        <f>I135+I141+I146+I151</f>
      </c>
      <c r="J152" s="86">
        <f t="shared" si="225"/>
      </c>
      <c r="K152" s="87">
        <f t="shared" si="187"/>
      </c>
      <c r="L152" s="87">
        <f t="shared" si="149"/>
      </c>
      <c r="M152" s="88">
        <f t="shared" si="111"/>
      </c>
      <c r="N152" s="87">
        <f t="shared" si="62"/>
      </c>
      <c r="O152" s="87">
        <f t="shared" si="43"/>
      </c>
      <c r="P152" s="88">
        <f t="shared" si="24"/>
      </c>
      <c r="Q152" s="88">
        <f t="shared" si="5"/>
      </c>
      <c r="R152" s="88">
        <f t="shared" si="244"/>
      </c>
      <c r="S152" s="88">
        <f t="shared" si="206"/>
      </c>
      <c r="T152" s="89">
        <f t="shared" si="168"/>
      </c>
      <c r="U152" s="88">
        <f>(U135+U146+U141+U151)/4</f>
      </c>
      <c r="V152" s="87">
        <f>(V135+V146+V141+V151)/4</f>
      </c>
      <c r="W152" s="90">
        <f t="shared" si="130"/>
      </c>
      <c r="X152" s="84">
        <f>X135+X141+X146+X151</f>
      </c>
      <c r="Y152" s="84">
        <f>Y135+Y141+Y146+Y151</f>
      </c>
      <c r="Z152" s="84">
        <f>Z135+Z141+Z146+Z151</f>
      </c>
      <c r="AA152" s="84">
        <f>AA135+AA141+AA146+AA151</f>
      </c>
      <c r="AB152" s="84">
        <f>AB135+AB141+AB146+AB151</f>
      </c>
      <c r="AC152" s="84">
        <f>AC135+AC141+AC146+AC151</f>
      </c>
      <c r="AD152" s="84">
        <f>AD135+AD141+AD146+AD151</f>
      </c>
      <c r="AE152" s="84">
        <f>AE135+AE141+AE146+AE151</f>
      </c>
      <c r="AF152" s="87">
        <f>AF135</f>
      </c>
      <c r="AG152" s="82"/>
      <c r="AH152" s="82"/>
      <c r="AI152" s="84">
        <f>AI135+AI141+AI146+AI151</f>
      </c>
    </row>
    <row r="153">
      <c r="A153" s="1" t="s">
        <v>66</v>
      </c>
      <c r="B153" s="2" t="s">
        <v>1</v>
      </c>
      <c r="C153" s="2"/>
      <c r="D153" s="3" t="s">
        <v>2</v>
      </c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5" t="s">
        <v>3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6"/>
    </row>
    <row r="154">
      <c r="A154" s="1"/>
      <c r="B154" s="2" t="s">
        <v>4</v>
      </c>
      <c r="C154" s="7" t="s">
        <v>5</v>
      </c>
      <c r="D154" s="8" t="s">
        <v>6</v>
      </c>
      <c r="E154" s="9" t="s">
        <v>7</v>
      </c>
      <c r="F154" s="10" t="s">
        <v>8</v>
      </c>
      <c r="G154" s="11" t="s">
        <v>9</v>
      </c>
      <c r="H154" s="8" t="s">
        <v>10</v>
      </c>
      <c r="I154" s="12" t="s">
        <v>11</v>
      </c>
      <c r="J154" s="13" t="s">
        <v>12</v>
      </c>
      <c r="K154" s="13" t="s">
        <v>13</v>
      </c>
      <c r="L154" s="13" t="s">
        <v>14</v>
      </c>
      <c r="M154" s="14" t="s">
        <v>15</v>
      </c>
      <c r="N154" s="13" t="s">
        <v>16</v>
      </c>
      <c r="O154" s="15" t="s">
        <v>17</v>
      </c>
      <c r="P154" s="16" t="s">
        <v>18</v>
      </c>
      <c r="Q154" s="16" t="s">
        <v>19</v>
      </c>
      <c r="R154" s="16" t="s">
        <v>20</v>
      </c>
      <c r="S154" s="16" t="s">
        <v>21</v>
      </c>
      <c r="T154" s="17" t="s">
        <v>22</v>
      </c>
      <c r="U154" s="18" t="s">
        <v>23</v>
      </c>
      <c r="V154" s="19" t="s">
        <v>24</v>
      </c>
      <c r="W154" s="5" t="s">
        <v>25</v>
      </c>
      <c r="X154" s="20" t="s">
        <v>26</v>
      </c>
      <c r="Y154" s="20" t="s">
        <v>27</v>
      </c>
      <c r="Z154" s="20" t="s">
        <v>28</v>
      </c>
      <c r="AA154" s="20" t="s">
        <v>29</v>
      </c>
      <c r="AB154" s="20" t="s">
        <v>30</v>
      </c>
      <c r="AC154" s="20" t="s">
        <v>31</v>
      </c>
      <c r="AD154" s="20" t="s">
        <v>32</v>
      </c>
      <c r="AE154" s="20" t="s">
        <v>33</v>
      </c>
      <c r="AF154" s="5" t="s">
        <v>34</v>
      </c>
      <c r="AG154" s="21" t="s">
        <v>35</v>
      </c>
      <c r="AH154" s="21" t="s">
        <v>36</v>
      </c>
      <c r="AI154" s="6" t="s">
        <v>37</v>
      </c>
    </row>
    <row r="155">
      <c r="A155" s="22">
        <v>46210</v>
      </c>
      <c r="B155" s="49" t="s">
        <v>47</v>
      </c>
      <c r="C155" s="24" t="s">
        <v>39</v>
      </c>
      <c r="D155" s="25">
        <v>3000</v>
      </c>
      <c r="E155" s="26">
        <v>12</v>
      </c>
      <c r="F155" s="26">
        <v>9</v>
      </c>
      <c r="G155" s="27">
        <v>7</v>
      </c>
      <c r="H155" s="25">
        <v>5454.9</v>
      </c>
      <c r="I155" s="26">
        <v>1</v>
      </c>
      <c r="J155" s="28">
        <f t="shared" ref="J155:J177" si="226">H155/D155</f>
      </c>
      <c r="K155" s="29">
        <f t="shared" ref="K155:K177" si="188">D155/F155</f>
      </c>
      <c r="L155" s="29">
        <f t="shared" ref="L155:L177" si="150">D155/G155</f>
      </c>
      <c r="M155" s="30">
        <f t="shared" ref="M155:M177" si="112">F155/E155</f>
      </c>
      <c r="N155" s="29">
        <f t="shared" ref="N155:N177" si="63">H155/F155</f>
      </c>
      <c r="O155" s="29">
        <f t="shared" ref="O155:O177" si="44">D155/Y155</f>
      </c>
      <c r="P155" s="30">
        <f t="shared" ref="P155:P177" si="25">T155/X155*1</f>
      </c>
      <c r="Q155" s="30">
        <f t="shared" ref="Q155:Q177" si="6">Y155/X155</f>
      </c>
      <c r="R155" s="30">
        <f t="shared" ref="R155:R177" si="245">AA155/X155</f>
      </c>
      <c r="S155" s="30">
        <f t="shared" ref="S155:S177" si="207">AB155/AA155</f>
      </c>
      <c r="T155" s="31">
        <f t="shared" ref="T155:T177" si="169">Z155/U155</f>
      </c>
      <c r="U155" s="32">
        <v>0.0065</v>
      </c>
      <c r="V155" s="33">
        <v>39</v>
      </c>
      <c r="W155" s="29">
        <f t="shared" ref="W155:W177" si="131">(D155/X155)*1000</f>
      </c>
      <c r="X155" s="33">
        <v>42695</v>
      </c>
      <c r="Y155" s="33">
        <v>2524</v>
      </c>
      <c r="Z155" s="31">
        <v>80</v>
      </c>
      <c r="AA155" s="31">
        <v>4290</v>
      </c>
      <c r="AB155" s="31">
        <v>96</v>
      </c>
      <c r="AC155" s="31">
        <v>29</v>
      </c>
      <c r="AD155" s="33">
        <v>6</v>
      </c>
      <c r="AE155" s="33">
        <v>26</v>
      </c>
      <c r="AF155" s="29">
        <f t="shared" ref="AF155:AF176" si="82">AI155*1000/D155</f>
      </c>
      <c r="AG155" s="34" t="s">
        <v>40</v>
      </c>
      <c r="AH155" s="35" t="s">
        <v>41</v>
      </c>
      <c r="AI155" s="33">
        <v>42</v>
      </c>
    </row>
    <row r="156">
      <c r="A156" s="22"/>
      <c r="B156" s="49" t="s">
        <v>47</v>
      </c>
      <c r="C156" s="24" t="s">
        <v>42</v>
      </c>
      <c r="D156" s="25">
        <v>3500</v>
      </c>
      <c r="E156" s="26">
        <v>14</v>
      </c>
      <c r="F156" s="26">
        <v>10</v>
      </c>
      <c r="G156" s="27">
        <v>9</v>
      </c>
      <c r="H156" s="25">
        <v>7546.000000000002</v>
      </c>
      <c r="I156" s="26">
        <v>4</v>
      </c>
      <c r="J156" s="28">
        <f t="shared" si="226"/>
      </c>
      <c r="K156" s="29">
        <f t="shared" si="188"/>
      </c>
      <c r="L156" s="29">
        <f t="shared" si="150"/>
      </c>
      <c r="M156" s="30">
        <f t="shared" si="112"/>
      </c>
      <c r="N156" s="29">
        <f t="shared" si="63"/>
      </c>
      <c r="O156" s="29">
        <f t="shared" si="44"/>
      </c>
      <c r="P156" s="30">
        <f t="shared" si="25"/>
      </c>
      <c r="Q156" s="30">
        <f t="shared" si="6"/>
      </c>
      <c r="R156" s="30">
        <f t="shared" si="245"/>
      </c>
      <c r="S156" s="30">
        <f t="shared" si="207"/>
      </c>
      <c r="T156" s="31">
        <f t="shared" si="169"/>
      </c>
      <c r="U156" s="32">
        <v>0.0077</v>
      </c>
      <c r="V156" s="33">
        <v>42</v>
      </c>
      <c r="W156" s="29">
        <f t="shared" si="131"/>
      </c>
      <c r="X156" s="33">
        <v>52590</v>
      </c>
      <c r="Y156" s="33">
        <v>1960</v>
      </c>
      <c r="Z156" s="31">
        <v>121</v>
      </c>
      <c r="AA156" s="31">
        <v>2335</v>
      </c>
      <c r="AB156" s="33">
        <v>132</v>
      </c>
      <c r="AC156" s="31">
        <v>21</v>
      </c>
      <c r="AD156" s="33">
        <v>2</v>
      </c>
      <c r="AE156" s="33">
        <v>42</v>
      </c>
      <c r="AF156" s="29">
        <f t="shared" si="82"/>
      </c>
      <c r="AG156" s="34" t="s">
        <v>40</v>
      </c>
      <c r="AH156" s="35" t="s">
        <v>41</v>
      </c>
      <c r="AI156" s="33">
        <v>59</v>
      </c>
    </row>
    <row r="157">
      <c r="A157" s="22"/>
      <c r="B157" s="49" t="s">
        <v>47</v>
      </c>
      <c r="C157" s="24" t="s">
        <v>43</v>
      </c>
      <c r="D157" s="25">
        <v>4491.68</v>
      </c>
      <c r="E157" s="26">
        <v>13</v>
      </c>
      <c r="F157" s="26">
        <v>10</v>
      </c>
      <c r="G157" s="27">
        <v>9</v>
      </c>
      <c r="H157" s="25">
        <v>5245.9000000000015</v>
      </c>
      <c r="I157" s="26">
        <v>1</v>
      </c>
      <c r="J157" s="28">
        <f t="shared" si="226"/>
      </c>
      <c r="K157" s="29">
        <f t="shared" si="188"/>
      </c>
      <c r="L157" s="29">
        <f t="shared" si="150"/>
      </c>
      <c r="M157" s="30">
        <f t="shared" si="112"/>
      </c>
      <c r="N157" s="29">
        <f t="shared" si="63"/>
      </c>
      <c r="O157" s="29">
        <f t="shared" si="44"/>
      </c>
      <c r="P157" s="30">
        <f t="shared" si="25"/>
      </c>
      <c r="Q157" s="30">
        <f t="shared" si="6"/>
      </c>
      <c r="R157" s="30">
        <f t="shared" si="245"/>
      </c>
      <c r="S157" s="30">
        <f t="shared" si="207"/>
      </c>
      <c r="T157" s="31">
        <f t="shared" si="169"/>
      </c>
      <c r="U157" s="32">
        <v>0.0091</v>
      </c>
      <c r="V157" s="33">
        <v>43</v>
      </c>
      <c r="W157" s="29">
        <f t="shared" si="131"/>
      </c>
      <c r="X157" s="33">
        <v>68177</v>
      </c>
      <c r="Y157" s="33">
        <v>2056</v>
      </c>
      <c r="Z157" s="31">
        <v>133</v>
      </c>
      <c r="AA157" s="31">
        <v>2200</v>
      </c>
      <c r="AB157" s="33">
        <v>168</v>
      </c>
      <c r="AC157" s="31">
        <v>29</v>
      </c>
      <c r="AD157" s="33">
        <v>7</v>
      </c>
      <c r="AE157" s="33">
        <v>48</v>
      </c>
      <c r="AF157" s="29">
        <f t="shared" si="82"/>
      </c>
      <c r="AG157" s="34" t="s">
        <v>40</v>
      </c>
      <c r="AH157" s="35" t="s">
        <v>41</v>
      </c>
      <c r="AI157" s="33">
        <v>74</v>
      </c>
    </row>
    <row r="158">
      <c r="A158" s="22"/>
      <c r="B158" s="49" t="s">
        <v>47</v>
      </c>
      <c r="C158" s="36" t="s">
        <v>44</v>
      </c>
      <c r="D158" s="25">
        <v>3506.59</v>
      </c>
      <c r="E158" s="26">
        <v>11</v>
      </c>
      <c r="F158" s="26">
        <v>7</v>
      </c>
      <c r="G158" s="27">
        <v>5</v>
      </c>
      <c r="H158" s="25">
        <v>3892.899999999998</v>
      </c>
      <c r="I158" s="26">
        <v>1</v>
      </c>
      <c r="J158" s="28">
        <f t="shared" si="226"/>
      </c>
      <c r="K158" s="29">
        <f t="shared" si="188"/>
      </c>
      <c r="L158" s="29">
        <f t="shared" si="150"/>
      </c>
      <c r="M158" s="30">
        <f t="shared" si="112"/>
      </c>
      <c r="N158" s="29">
        <f t="shared" si="63"/>
      </c>
      <c r="O158" s="29">
        <f t="shared" si="44"/>
      </c>
      <c r="P158" s="30">
        <f t="shared" si="25"/>
      </c>
      <c r="Q158" s="30">
        <f t="shared" si="6"/>
      </c>
      <c r="R158" s="30">
        <f t="shared" si="245"/>
      </c>
      <c r="S158" s="30">
        <f t="shared" si="207"/>
      </c>
      <c r="T158" s="31">
        <f t="shared" si="169"/>
      </c>
      <c r="U158" s="32">
        <v>0.0079</v>
      </c>
      <c r="V158" s="33">
        <v>44</v>
      </c>
      <c r="W158" s="29">
        <f t="shared" si="131"/>
      </c>
      <c r="X158" s="33">
        <v>60792</v>
      </c>
      <c r="Y158" s="33">
        <v>1450</v>
      </c>
      <c r="Z158" s="31">
        <v>92</v>
      </c>
      <c r="AA158" s="31">
        <v>1596</v>
      </c>
      <c r="AB158" s="33">
        <v>121</v>
      </c>
      <c r="AC158" s="31">
        <v>23</v>
      </c>
      <c r="AD158" s="33">
        <v>2</v>
      </c>
      <c r="AE158" s="33">
        <v>27</v>
      </c>
      <c r="AF158" s="29">
        <f t="shared" si="82"/>
      </c>
      <c r="AG158" s="34" t="s">
        <v>40</v>
      </c>
      <c r="AH158" s="35" t="s">
        <v>41</v>
      </c>
      <c r="AI158" s="33">
        <v>61</v>
      </c>
    </row>
    <row r="159">
      <c r="A159" s="22"/>
      <c r="B159" s="49" t="s">
        <v>47</v>
      </c>
      <c r="C159" s="24" t="s">
        <v>45</v>
      </c>
      <c r="D159" s="25">
        <v>3501.73</v>
      </c>
      <c r="E159" s="26">
        <v>6</v>
      </c>
      <c r="F159" s="26">
        <v>4</v>
      </c>
      <c r="G159" s="27">
        <v>4</v>
      </c>
      <c r="H159" s="25">
        <v>3166.899999999998</v>
      </c>
      <c r="I159" s="26">
        <v>1</v>
      </c>
      <c r="J159" s="28">
        <f t="shared" si="226"/>
      </c>
      <c r="K159" s="29">
        <f t="shared" si="188"/>
      </c>
      <c r="L159" s="29">
        <f t="shared" si="150"/>
      </c>
      <c r="M159" s="30">
        <f t="shared" si="112"/>
      </c>
      <c r="N159" s="29">
        <f t="shared" si="63"/>
      </c>
      <c r="O159" s="29">
        <f t="shared" si="44"/>
      </c>
      <c r="P159" s="30">
        <f t="shared" si="25"/>
      </c>
      <c r="Q159" s="30">
        <f t="shared" si="6"/>
      </c>
      <c r="R159" s="30">
        <f t="shared" si="245"/>
      </c>
      <c r="S159" s="30">
        <f t="shared" si="207"/>
      </c>
      <c r="T159" s="31">
        <f t="shared" si="169"/>
      </c>
      <c r="U159" s="32">
        <v>0.0101</v>
      </c>
      <c r="V159" s="33">
        <v>45</v>
      </c>
      <c r="W159" s="29">
        <f t="shared" si="131"/>
      </c>
      <c r="X159" s="33">
        <v>70042</v>
      </c>
      <c r="Y159" s="33">
        <v>1993</v>
      </c>
      <c r="Z159" s="33">
        <v>126</v>
      </c>
      <c r="AA159" s="33">
        <v>2250</v>
      </c>
      <c r="AB159" s="33">
        <v>109</v>
      </c>
      <c r="AC159" s="33">
        <v>24</v>
      </c>
      <c r="AD159" s="33">
        <v>3</v>
      </c>
      <c r="AE159" s="33">
        <v>31</v>
      </c>
      <c r="AF159" s="29">
        <f t="shared" si="82"/>
      </c>
      <c r="AG159" s="34" t="s">
        <v>40</v>
      </c>
      <c r="AH159" s="35" t="s">
        <v>41</v>
      </c>
      <c r="AI159" s="33">
        <v>58</v>
      </c>
    </row>
    <row r="160">
      <c r="A160" s="22"/>
      <c r="B160" s="40" t="s">
        <v>46</v>
      </c>
      <c r="C160" s="40"/>
      <c r="D160" s="41">
        <f>SUM(D155:D159)</f>
      </c>
      <c r="E160" s="42">
        <f>SUM(E155:E159)</f>
      </c>
      <c r="F160" s="42">
        <f>SUM(F155:F159)</f>
      </c>
      <c r="G160" s="43">
        <f>SUM(G155:G159)</f>
      </c>
      <c r="H160" s="41">
        <f>SUM(H155:H159)</f>
      </c>
      <c r="I160" s="44">
        <f>SUM(I155:I159)</f>
      </c>
      <c r="J160" s="45">
        <f t="shared" si="226"/>
      </c>
      <c r="K160" s="45">
        <f t="shared" si="188"/>
      </c>
      <c r="L160" s="45">
        <f t="shared" si="150"/>
      </c>
      <c r="M160" s="46">
        <f t="shared" si="112"/>
      </c>
      <c r="N160" s="45">
        <f t="shared" si="63"/>
      </c>
      <c r="O160" s="45">
        <f t="shared" si="44"/>
      </c>
      <c r="P160" s="46">
        <f t="shared" si="25"/>
      </c>
      <c r="Q160" s="46">
        <f t="shared" si="6"/>
      </c>
      <c r="R160" s="46">
        <f t="shared" si="245"/>
      </c>
      <c r="S160" s="46">
        <f t="shared" si="207"/>
      </c>
      <c r="T160" s="42">
        <f t="shared" si="169"/>
      </c>
      <c r="U160" s="46">
        <f>AVERAGE(U155:U159)</f>
      </c>
      <c r="V160" s="41">
        <f>AVERAGE(V155:V159)</f>
      </c>
      <c r="W160" s="45">
        <f t="shared" si="131"/>
      </c>
      <c r="X160" s="42">
        <f>SUM(X155:X159)</f>
      </c>
      <c r="Y160" s="42">
        <f>SUM(Y155:Y159)</f>
      </c>
      <c r="Z160" s="42">
        <f>SUM(Z155:Z159)</f>
      </c>
      <c r="AA160" s="42">
        <f>SUM(AA155:AA159)</f>
      </c>
      <c r="AB160" s="42">
        <f>SUM(AB155:AB159)</f>
      </c>
      <c r="AC160" s="42">
        <f>SUM(AC155:AC159)</f>
      </c>
      <c r="AD160" s="42">
        <f>SUM(AD155:AD159)</f>
      </c>
      <c r="AE160" s="42">
        <f>SUM(AE155:AE159)</f>
      </c>
      <c r="AF160" s="47">
        <f t="shared" si="82"/>
      </c>
      <c r="AG160" s="48"/>
      <c r="AH160" s="48"/>
      <c r="AI160" s="43">
        <f>SUM(AI155:AI159)</f>
      </c>
    </row>
    <row r="161">
      <c r="A161" s="22"/>
      <c r="B161" s="23" t="s">
        <v>69</v>
      </c>
      <c r="C161" s="23" t="s">
        <v>48</v>
      </c>
      <c r="D161" s="50">
        <v>2990.17</v>
      </c>
      <c r="E161" s="51">
        <v>12</v>
      </c>
      <c r="F161" s="51">
        <v>7</v>
      </c>
      <c r="G161" s="52">
        <v>4</v>
      </c>
      <c r="H161" s="53">
        <v>4189.9000000000015</v>
      </c>
      <c r="I161" s="54">
        <v>1</v>
      </c>
      <c r="J161" s="55">
        <f t="shared" si="226"/>
      </c>
      <c r="K161" s="55">
        <f t="shared" si="188"/>
      </c>
      <c r="L161" s="55">
        <f t="shared" si="150"/>
      </c>
      <c r="M161" s="56">
        <f t="shared" si="112"/>
      </c>
      <c r="N161" s="55">
        <f t="shared" si="63"/>
      </c>
      <c r="O161" s="55">
        <f t="shared" si="44"/>
      </c>
      <c r="P161" s="56">
        <f t="shared" si="25"/>
      </c>
      <c r="Q161" s="56">
        <f t="shared" si="6"/>
      </c>
      <c r="R161" s="56">
        <f t="shared" si="245"/>
      </c>
      <c r="S161" s="56">
        <f t="shared" si="207"/>
      </c>
      <c r="T161" s="57">
        <f t="shared" si="169"/>
      </c>
      <c r="U161" s="58">
        <v>0.0067</v>
      </c>
      <c r="V161" s="59">
        <v>45</v>
      </c>
      <c r="W161" s="55">
        <f t="shared" si="131"/>
      </c>
      <c r="X161" s="57">
        <v>70915</v>
      </c>
      <c r="Y161" s="57">
        <v>1728</v>
      </c>
      <c r="Z161" s="57">
        <v>85</v>
      </c>
      <c r="AA161" s="57">
        <v>1962</v>
      </c>
      <c r="AB161" s="57">
        <v>142</v>
      </c>
      <c r="AC161" s="57">
        <v>12</v>
      </c>
      <c r="AD161" s="57">
        <v>4</v>
      </c>
      <c r="AE161" s="57">
        <v>40</v>
      </c>
      <c r="AF161" s="55">
        <f t="shared" si="82"/>
      </c>
      <c r="AG161" s="34" t="s">
        <v>40</v>
      </c>
      <c r="AH161" s="35" t="s">
        <v>41</v>
      </c>
      <c r="AI161" s="59">
        <v>52</v>
      </c>
    </row>
    <row r="162">
      <c r="A162" s="22"/>
      <c r="B162" s="23" t="s">
        <v>69</v>
      </c>
      <c r="C162" s="60" t="s">
        <v>49</v>
      </c>
      <c r="D162" s="50">
        <v>2979.59</v>
      </c>
      <c r="E162" s="51">
        <v>5</v>
      </c>
      <c r="F162" s="51">
        <v>5</v>
      </c>
      <c r="G162" s="52">
        <v>5</v>
      </c>
      <c r="H162" s="53">
        <v>3320.9000000000015</v>
      </c>
      <c r="I162" s="54">
        <v>1</v>
      </c>
      <c r="J162" s="55">
        <f t="shared" si="226"/>
      </c>
      <c r="K162" s="55">
        <f t="shared" si="188"/>
      </c>
      <c r="L162" s="55">
        <f t="shared" si="150"/>
      </c>
      <c r="M162" s="56">
        <f t="shared" si="112"/>
      </c>
      <c r="N162" s="55">
        <f t="shared" si="63"/>
      </c>
      <c r="O162" s="55">
        <f t="shared" si="44"/>
      </c>
      <c r="P162" s="56">
        <f t="shared" si="25"/>
      </c>
      <c r="Q162" s="56">
        <f t="shared" si="6"/>
      </c>
      <c r="R162" s="56">
        <f t="shared" si="245"/>
      </c>
      <c r="S162" s="56">
        <f t="shared" si="207"/>
      </c>
      <c r="T162" s="57">
        <f t="shared" si="169"/>
      </c>
      <c r="U162" s="58">
        <v>0.0067</v>
      </c>
      <c r="V162" s="59">
        <v>45</v>
      </c>
      <c r="W162" s="55">
        <f t="shared" si="131"/>
      </c>
      <c r="X162" s="57">
        <v>45439</v>
      </c>
      <c r="Y162" s="57">
        <v>1214</v>
      </c>
      <c r="Z162" s="57">
        <v>94</v>
      </c>
      <c r="AA162" s="57">
        <v>1355</v>
      </c>
      <c r="AB162" s="57">
        <v>83</v>
      </c>
      <c r="AC162" s="57">
        <v>14</v>
      </c>
      <c r="AD162" s="57">
        <v>2</v>
      </c>
      <c r="AE162" s="57">
        <v>14</v>
      </c>
      <c r="AF162" s="55">
        <f t="shared" si="82"/>
      </c>
      <c r="AG162" s="34" t="s">
        <v>40</v>
      </c>
      <c r="AH162" s="35" t="s">
        <v>41</v>
      </c>
      <c r="AI162" s="59">
        <v>40</v>
      </c>
    </row>
    <row r="163">
      <c r="A163" s="22"/>
      <c r="B163" s="23" t="s">
        <v>69</v>
      </c>
      <c r="C163" s="61" t="s">
        <v>50</v>
      </c>
      <c r="D163" s="62">
        <v>3487.63</v>
      </c>
      <c r="E163" s="63">
        <v>4</v>
      </c>
      <c r="F163" s="63">
        <v>3</v>
      </c>
      <c r="G163" s="64">
        <v>2</v>
      </c>
      <c r="H163" s="53">
        <v>2164.7999999999956</v>
      </c>
      <c r="I163" s="54">
        <v>2</v>
      </c>
      <c r="J163" s="28">
        <f t="shared" si="226"/>
      </c>
      <c r="K163" s="29">
        <f t="shared" si="188"/>
      </c>
      <c r="L163" s="29">
        <f t="shared" si="150"/>
      </c>
      <c r="M163" s="30">
        <f t="shared" si="112"/>
      </c>
      <c r="N163" s="29">
        <f t="shared" si="63"/>
      </c>
      <c r="O163" s="29">
        <f t="shared" si="44"/>
      </c>
      <c r="P163" s="30">
        <f t="shared" si="25"/>
      </c>
      <c r="Q163" s="30">
        <f t="shared" si="6"/>
      </c>
      <c r="R163" s="30">
        <f t="shared" si="245"/>
      </c>
      <c r="S163" s="30">
        <f t="shared" si="207"/>
      </c>
      <c r="T163" s="31">
        <f t="shared" si="169"/>
      </c>
      <c r="U163" s="32">
        <v>0.0072</v>
      </c>
      <c r="V163" s="33">
        <v>45</v>
      </c>
      <c r="W163" s="29">
        <f t="shared" si="131"/>
      </c>
      <c r="X163" s="33">
        <v>56531</v>
      </c>
      <c r="Y163" s="33">
        <v>1822</v>
      </c>
      <c r="Z163" s="31">
        <v>124</v>
      </c>
      <c r="AA163" s="31">
        <v>2393</v>
      </c>
      <c r="AB163" s="33">
        <v>123</v>
      </c>
      <c r="AC163" s="31">
        <v>16</v>
      </c>
      <c r="AD163" s="33">
        <v>3</v>
      </c>
      <c r="AE163" s="33">
        <v>33</v>
      </c>
      <c r="AF163" s="29">
        <f t="shared" si="82"/>
      </c>
      <c r="AG163" s="34" t="s">
        <v>40</v>
      </c>
      <c r="AH163" s="35" t="s">
        <v>41</v>
      </c>
      <c r="AI163" s="33">
        <v>52</v>
      </c>
    </row>
    <row r="164">
      <c r="A164" s="22"/>
      <c r="B164" s="23" t="s">
        <v>69</v>
      </c>
      <c r="C164" s="60" t="s">
        <v>51</v>
      </c>
      <c r="D164" s="62">
        <v>3503.71</v>
      </c>
      <c r="E164" s="63">
        <v>16</v>
      </c>
      <c r="F164" s="63">
        <v>10</v>
      </c>
      <c r="G164" s="64">
        <v>7</v>
      </c>
      <c r="H164" s="53">
        <v>6553.800000000003</v>
      </c>
      <c r="I164" s="54">
        <v>1</v>
      </c>
      <c r="J164" s="55">
        <f t="shared" si="226"/>
      </c>
      <c r="K164" s="55">
        <f t="shared" si="188"/>
      </c>
      <c r="L164" s="55">
        <f t="shared" si="150"/>
      </c>
      <c r="M164" s="56">
        <f t="shared" si="112"/>
      </c>
      <c r="N164" s="55">
        <f t="shared" si="63"/>
      </c>
      <c r="O164" s="55">
        <f t="shared" si="44"/>
      </c>
      <c r="P164" s="56">
        <f t="shared" si="25"/>
      </c>
      <c r="Q164" s="56">
        <f t="shared" si="6"/>
      </c>
      <c r="R164" s="56">
        <f t="shared" si="245"/>
      </c>
      <c r="S164" s="56">
        <f t="shared" si="207"/>
      </c>
      <c r="T164" s="57">
        <f t="shared" si="169"/>
      </c>
      <c r="U164" s="58">
        <v>0.0088</v>
      </c>
      <c r="V164" s="59">
        <v>44</v>
      </c>
      <c r="W164" s="55">
        <f t="shared" si="131"/>
      </c>
      <c r="X164" s="57">
        <v>44534</v>
      </c>
      <c r="Y164" s="57">
        <v>1540</v>
      </c>
      <c r="Z164" s="57">
        <v>111</v>
      </c>
      <c r="AA164" s="57">
        <v>2803</v>
      </c>
      <c r="AB164" s="57">
        <v>118</v>
      </c>
      <c r="AC164" s="57">
        <v>15</v>
      </c>
      <c r="AD164" s="57">
        <v>2</v>
      </c>
      <c r="AE164" s="57">
        <v>33</v>
      </c>
      <c r="AF164" s="55">
        <f t="shared" si="82"/>
      </c>
      <c r="AG164" s="34" t="s">
        <v>40</v>
      </c>
      <c r="AH164" s="35" t="s">
        <v>41</v>
      </c>
      <c r="AI164" s="59">
        <v>47</v>
      </c>
    </row>
    <row r="165">
      <c r="A165" s="22"/>
      <c r="B165" s="23" t="s">
        <v>69</v>
      </c>
      <c r="C165" s="49" t="s">
        <v>53</v>
      </c>
      <c r="D165" s="50">
        <v>2988.55</v>
      </c>
      <c r="E165" s="63">
        <v>16</v>
      </c>
      <c r="F165" s="63">
        <v>12</v>
      </c>
      <c r="G165" s="64">
        <v>6</v>
      </c>
      <c r="H165" s="50">
        <v>8230.199999999997</v>
      </c>
      <c r="I165" s="65">
        <v>3</v>
      </c>
      <c r="J165" s="55">
        <f t="shared" si="226"/>
      </c>
      <c r="K165" s="55">
        <f t="shared" si="188"/>
      </c>
      <c r="L165" s="55">
        <f t="shared" si="150"/>
      </c>
      <c r="M165" s="56">
        <f t="shared" si="112"/>
      </c>
      <c r="N165" s="55">
        <f t="shared" si="63"/>
      </c>
      <c r="O165" s="55">
        <f t="shared" si="44"/>
      </c>
      <c r="P165" s="56">
        <f t="shared" si="25"/>
      </c>
      <c r="Q165" s="56">
        <f t="shared" si="6"/>
      </c>
      <c r="R165" s="56">
        <f t="shared" si="245"/>
      </c>
      <c r="S165" s="56">
        <f t="shared" si="207"/>
      </c>
      <c r="T165" s="57">
        <f t="shared" si="169"/>
      </c>
      <c r="U165" s="58">
        <v>0.0086</v>
      </c>
      <c r="V165" s="59">
        <v>45</v>
      </c>
      <c r="W165" s="55">
        <f t="shared" si="131"/>
      </c>
      <c r="X165" s="57">
        <v>33070</v>
      </c>
      <c r="Y165" s="57">
        <v>1523</v>
      </c>
      <c r="Z165" s="57">
        <v>113</v>
      </c>
      <c r="AA165" s="57">
        <v>1649</v>
      </c>
      <c r="AB165" s="57">
        <v>99</v>
      </c>
      <c r="AC165" s="57">
        <v>14</v>
      </c>
      <c r="AD165" s="57">
        <v>4</v>
      </c>
      <c r="AE165" s="59">
        <v>15</v>
      </c>
      <c r="AF165" s="55">
        <f t="shared" si="82"/>
      </c>
      <c r="AG165" s="34" t="s">
        <v>40</v>
      </c>
      <c r="AH165" s="35" t="s">
        <v>41</v>
      </c>
      <c r="AI165" s="59">
        <v>46</v>
      </c>
    </row>
    <row r="166">
      <c r="A166" s="22"/>
      <c r="B166" s="67" t="s">
        <v>46</v>
      </c>
      <c r="C166" s="67"/>
      <c r="D166" s="68">
        <f>SUM(D161:D165)</f>
      </c>
      <c r="E166" s="69">
        <f>SUM(E161:E165)</f>
      </c>
      <c r="F166" s="69">
        <f>SUM(F161:F165)</f>
      </c>
      <c r="G166" s="70">
        <f>SUM(G161:G165)</f>
      </c>
      <c r="H166" s="68">
        <f>SUM(H161:H165)</f>
      </c>
      <c r="I166" s="69">
        <f>SUM(I161:I165)</f>
      </c>
      <c r="J166" s="71">
        <f t="shared" si="226"/>
      </c>
      <c r="K166" s="71">
        <f t="shared" si="188"/>
      </c>
      <c r="L166" s="71">
        <f t="shared" si="150"/>
      </c>
      <c r="M166" s="72">
        <f t="shared" si="112"/>
      </c>
      <c r="N166" s="71">
        <f t="shared" si="63"/>
      </c>
      <c r="O166" s="71">
        <f t="shared" si="44"/>
      </c>
      <c r="P166" s="72">
        <f t="shared" si="25"/>
      </c>
      <c r="Q166" s="72">
        <f t="shared" si="6"/>
      </c>
      <c r="R166" s="72">
        <f t="shared" si="245"/>
      </c>
      <c r="S166" s="72">
        <f t="shared" si="207"/>
      </c>
      <c r="T166" s="73">
        <f t="shared" si="169"/>
      </c>
      <c r="U166" s="72">
        <f>AVERAGE(U162:U165)</f>
      </c>
      <c r="V166" s="41">
        <f>AVERAGE(V161:V165)</f>
      </c>
      <c r="W166" s="71">
        <f t="shared" si="131"/>
      </c>
      <c r="X166" s="73">
        <f>SUM(X161:X165)</f>
      </c>
      <c r="Y166" s="73">
        <f>SUM(Y161:Y165)</f>
      </c>
      <c r="Z166" s="73">
        <f>SUM(Z161:Z165)</f>
      </c>
      <c r="AA166" s="73">
        <f>SUM(AA161:AA165)</f>
      </c>
      <c r="AB166" s="73">
        <f>SUM(AB161:AB165)</f>
      </c>
      <c r="AC166" s="73">
        <f>SUM(AC161:AC165)</f>
      </c>
      <c r="AD166" s="73">
        <f>SUM(AD161:AD165)</f>
      </c>
      <c r="AE166" s="73">
        <f>SUM(AE161:AE165)</f>
      </c>
      <c r="AF166" s="74">
        <f t="shared" si="82"/>
      </c>
      <c r="AG166" s="75"/>
      <c r="AH166" s="75"/>
      <c r="AI166" s="70">
        <f>SUM(AI161:AI165)</f>
      </c>
    </row>
    <row r="167">
      <c r="A167" s="22"/>
      <c r="B167" s="49" t="s">
        <v>38</v>
      </c>
      <c r="C167" s="60" t="s">
        <v>55</v>
      </c>
      <c r="D167" s="23">
        <v>3024.68</v>
      </c>
      <c r="E167" s="26">
        <v>5</v>
      </c>
      <c r="F167" s="26">
        <v>3</v>
      </c>
      <c r="G167" s="27">
        <v>5</v>
      </c>
      <c r="H167" s="76">
        <v>1353</v>
      </c>
      <c r="I167" s="26">
        <v>0</v>
      </c>
      <c r="J167" s="29">
        <f t="shared" si="226"/>
      </c>
      <c r="K167" s="29">
        <f t="shared" si="188"/>
      </c>
      <c r="L167" s="29">
        <f t="shared" si="150"/>
      </c>
      <c r="M167" s="30">
        <f t="shared" si="112"/>
      </c>
      <c r="N167" s="29">
        <f t="shared" si="63"/>
      </c>
      <c r="O167" s="29">
        <f t="shared" si="44"/>
      </c>
      <c r="P167" s="30">
        <f t="shared" si="25"/>
      </c>
      <c r="Q167" s="30">
        <f t="shared" si="6"/>
      </c>
      <c r="R167" s="30">
        <f t="shared" si="245"/>
      </c>
      <c r="S167" s="30">
        <f t="shared" si="207"/>
      </c>
      <c r="T167" s="31">
        <f t="shared" si="169"/>
      </c>
      <c r="U167" s="32">
        <v>0.0063</v>
      </c>
      <c r="V167" s="33">
        <v>45</v>
      </c>
      <c r="W167" s="29">
        <f t="shared" si="131"/>
      </c>
      <c r="X167" s="33">
        <v>40035</v>
      </c>
      <c r="Y167" s="33">
        <v>1558</v>
      </c>
      <c r="Z167" s="31">
        <v>92</v>
      </c>
      <c r="AA167" s="31">
        <v>1872</v>
      </c>
      <c r="AB167" s="31">
        <v>155</v>
      </c>
      <c r="AC167" s="31">
        <v>22</v>
      </c>
      <c r="AD167" s="33">
        <v>1</v>
      </c>
      <c r="AE167" s="33">
        <v>12</v>
      </c>
      <c r="AF167" s="29">
        <f t="shared" si="82"/>
      </c>
      <c r="AG167" s="34" t="s">
        <v>56</v>
      </c>
      <c r="AH167" s="66" t="s">
        <v>72</v>
      </c>
      <c r="AI167" s="33">
        <v>49</v>
      </c>
    </row>
    <row r="168">
      <c r="A168" s="22"/>
      <c r="B168" s="49" t="s">
        <v>38</v>
      </c>
      <c r="C168" s="61" t="s">
        <v>57</v>
      </c>
      <c r="D168" s="23">
        <v>3006.69</v>
      </c>
      <c r="E168" s="26">
        <v>7</v>
      </c>
      <c r="F168" s="26">
        <v>4</v>
      </c>
      <c r="G168" s="27">
        <v>5</v>
      </c>
      <c r="H168" s="76">
        <v>3259.300000000003</v>
      </c>
      <c r="I168" s="26">
        <v>1</v>
      </c>
      <c r="J168" s="29">
        <f t="shared" si="226"/>
      </c>
      <c r="K168" s="29">
        <f t="shared" si="188"/>
      </c>
      <c r="L168" s="29">
        <f t="shared" si="150"/>
      </c>
      <c r="M168" s="30">
        <f t="shared" si="112"/>
      </c>
      <c r="N168" s="29">
        <f t="shared" si="63"/>
      </c>
      <c r="O168" s="29">
        <f t="shared" si="44"/>
      </c>
      <c r="P168" s="30">
        <f t="shared" si="25"/>
      </c>
      <c r="Q168" s="30">
        <f t="shared" si="6"/>
      </c>
      <c r="R168" s="30">
        <f t="shared" si="245"/>
      </c>
      <c r="S168" s="30">
        <f t="shared" si="207"/>
      </c>
      <c r="T168" s="31">
        <f t="shared" si="169"/>
      </c>
      <c r="U168" s="32">
        <v>0.0072</v>
      </c>
      <c r="V168" s="33">
        <v>44</v>
      </c>
      <c r="W168" s="29">
        <f t="shared" si="131"/>
      </c>
      <c r="X168" s="31">
        <v>41020</v>
      </c>
      <c r="Y168" s="31">
        <v>1535</v>
      </c>
      <c r="Z168" s="31">
        <v>114</v>
      </c>
      <c r="AA168" s="31">
        <v>2389</v>
      </c>
      <c r="AB168" s="31">
        <v>92</v>
      </c>
      <c r="AC168" s="31">
        <v>17</v>
      </c>
      <c r="AD168" s="31">
        <v>2</v>
      </c>
      <c r="AE168" s="33">
        <v>18</v>
      </c>
      <c r="AF168" s="29">
        <f t="shared" si="82"/>
      </c>
      <c r="AG168" s="34" t="s">
        <v>56</v>
      </c>
      <c r="AH168" s="66" t="s">
        <v>72</v>
      </c>
      <c r="AI168" s="33">
        <v>35</v>
      </c>
    </row>
    <row r="169">
      <c r="A169" s="22"/>
      <c r="B169" s="49" t="s">
        <v>38</v>
      </c>
      <c r="C169" s="60" t="s">
        <v>58</v>
      </c>
      <c r="D169" s="23">
        <v>2475.38</v>
      </c>
      <c r="E169" s="26">
        <v>14</v>
      </c>
      <c r="F169" s="26">
        <v>10</v>
      </c>
      <c r="G169" s="27">
        <v>8</v>
      </c>
      <c r="H169" s="76">
        <v>5905.9000000000015</v>
      </c>
      <c r="I169" s="26">
        <v>2</v>
      </c>
      <c r="J169" s="29">
        <f t="shared" si="226"/>
      </c>
      <c r="K169" s="29">
        <f t="shared" si="188"/>
      </c>
      <c r="L169" s="29">
        <f t="shared" si="150"/>
      </c>
      <c r="M169" s="30">
        <f t="shared" si="112"/>
      </c>
      <c r="N169" s="29">
        <f t="shared" si="63"/>
      </c>
      <c r="O169" s="29">
        <f t="shared" si="44"/>
      </c>
      <c r="P169" s="30">
        <f t="shared" si="25"/>
      </c>
      <c r="Q169" s="30">
        <f t="shared" si="6"/>
      </c>
      <c r="R169" s="30">
        <f t="shared" si="245"/>
      </c>
      <c r="S169" s="30">
        <f t="shared" si="207"/>
      </c>
      <c r="T169" s="31">
        <f t="shared" si="169"/>
      </c>
      <c r="U169" s="32">
        <v>0.0075</v>
      </c>
      <c r="V169" s="33">
        <v>45</v>
      </c>
      <c r="W169" s="29">
        <f t="shared" si="131"/>
      </c>
      <c r="X169" s="33">
        <v>28401</v>
      </c>
      <c r="Y169" s="33">
        <v>769</v>
      </c>
      <c r="Z169" s="33">
        <v>74</v>
      </c>
      <c r="AA169" s="33">
        <v>861</v>
      </c>
      <c r="AB169" s="33">
        <v>64</v>
      </c>
      <c r="AC169" s="33">
        <v>12</v>
      </c>
      <c r="AD169" s="33">
        <v>6</v>
      </c>
      <c r="AE169" s="33">
        <v>15</v>
      </c>
      <c r="AF169" s="29">
        <f t="shared" si="82"/>
      </c>
      <c r="AG169" s="34" t="s">
        <v>56</v>
      </c>
      <c r="AH169" s="66" t="s">
        <v>72</v>
      </c>
      <c r="AI169" s="33">
        <v>23</v>
      </c>
    </row>
    <row r="170">
      <c r="A170" s="22"/>
      <c r="B170" s="49" t="s">
        <v>38</v>
      </c>
      <c r="C170" s="60" t="s">
        <v>59</v>
      </c>
      <c r="D170" s="23">
        <v>3515.92</v>
      </c>
      <c r="E170" s="26">
        <v>6</v>
      </c>
      <c r="F170" s="26">
        <v>6</v>
      </c>
      <c r="G170" s="27">
        <v>5</v>
      </c>
      <c r="H170" s="76">
        <v>3847.7999999999956</v>
      </c>
      <c r="I170" s="26">
        <v>2</v>
      </c>
      <c r="J170" s="29">
        <f t="shared" si="226"/>
      </c>
      <c r="K170" s="29">
        <f t="shared" si="188"/>
      </c>
      <c r="L170" s="29">
        <f t="shared" si="150"/>
      </c>
      <c r="M170" s="30">
        <f t="shared" si="112"/>
      </c>
      <c r="N170" s="29">
        <f t="shared" si="63"/>
      </c>
      <c r="O170" s="29">
        <f t="shared" si="44"/>
      </c>
      <c r="P170" s="30">
        <f t="shared" si="25"/>
      </c>
      <c r="Q170" s="30">
        <f t="shared" si="6"/>
      </c>
      <c r="R170" s="30">
        <f t="shared" si="245"/>
      </c>
      <c r="S170" s="30">
        <f t="shared" si="207"/>
      </c>
      <c r="T170" s="31">
        <f t="shared" si="169"/>
      </c>
      <c r="U170" s="32">
        <v>0.0067</v>
      </c>
      <c r="V170" s="33">
        <v>45</v>
      </c>
      <c r="W170" s="29">
        <f t="shared" si="131"/>
      </c>
      <c r="X170" s="33">
        <v>47061</v>
      </c>
      <c r="Y170" s="33">
        <v>1219</v>
      </c>
      <c r="Z170" s="31">
        <v>99</v>
      </c>
      <c r="AA170" s="31">
        <v>1395</v>
      </c>
      <c r="AB170" s="31">
        <v>83</v>
      </c>
      <c r="AC170" s="31">
        <v>18</v>
      </c>
      <c r="AD170" s="33">
        <v>8</v>
      </c>
      <c r="AE170" s="33">
        <v>37</v>
      </c>
      <c r="AF170" s="29">
        <f t="shared" si="82"/>
      </c>
      <c r="AG170" s="34" t="s">
        <v>56</v>
      </c>
      <c r="AH170" s="66" t="s">
        <v>72</v>
      </c>
      <c r="AI170" s="33">
        <v>38</v>
      </c>
    </row>
    <row r="171">
      <c r="A171" s="22"/>
      <c r="B171" s="40" t="s">
        <v>46</v>
      </c>
      <c r="C171" s="40"/>
      <c r="D171" s="77">
        <f>SUM(D167:D170)</f>
      </c>
      <c r="E171" s="78">
        <f>SUM(E167:E170)</f>
      </c>
      <c r="F171" s="78">
        <f>SUM(F167:F170)</f>
      </c>
      <c r="G171" s="79">
        <f>SUM(G167:G170)</f>
      </c>
      <c r="H171" s="77">
        <f>SUM(H167:H170)</f>
      </c>
      <c r="I171" s="44">
        <f>SUM(I167:I170)</f>
      </c>
      <c r="J171" s="45">
        <f t="shared" si="226"/>
      </c>
      <c r="K171" s="45">
        <f t="shared" si="188"/>
      </c>
      <c r="L171" s="45">
        <f t="shared" si="150"/>
      </c>
      <c r="M171" s="46">
        <f t="shared" si="112"/>
      </c>
      <c r="N171" s="45">
        <f t="shared" si="63"/>
      </c>
      <c r="O171" s="45">
        <f t="shared" si="44"/>
      </c>
      <c r="P171" s="46">
        <f t="shared" si="25"/>
      </c>
      <c r="Q171" s="46">
        <f t="shared" si="6"/>
      </c>
      <c r="R171" s="46">
        <f t="shared" si="245"/>
      </c>
      <c r="S171" s="46">
        <f t="shared" si="207"/>
      </c>
      <c r="T171" s="42">
        <f t="shared" si="169"/>
      </c>
      <c r="U171" s="46">
        <f>AVERAGE(U167:U170)</f>
      </c>
      <c r="V171" s="41">
        <f>AVERAGE(V167:V170)</f>
      </c>
      <c r="W171" s="45">
        <f t="shared" si="131"/>
      </c>
      <c r="X171" s="42">
        <f>SUM(X167:X170)</f>
      </c>
      <c r="Y171" s="42">
        <f>SUM(Y167:Y170)</f>
      </c>
      <c r="Z171" s="42">
        <f>SUM(Z167:Z170)</f>
      </c>
      <c r="AA171" s="42">
        <f>SUM(AA167:AA170)</f>
      </c>
      <c r="AB171" s="42">
        <f>SUM(AB167:AB170)</f>
      </c>
      <c r="AC171" s="42">
        <f>SUM(AC167:AC170)</f>
      </c>
      <c r="AD171" s="42">
        <f>SUM(AD167:AD170)</f>
      </c>
      <c r="AE171" s="42">
        <f>SUM(AE167:AE170)</f>
      </c>
      <c r="AF171" s="47">
        <f t="shared" si="82"/>
      </c>
      <c r="AG171" s="48"/>
      <c r="AH171" s="48"/>
      <c r="AI171" s="42">
        <f>SUM(AI167:AI170)</f>
      </c>
    </row>
    <row r="172">
      <c r="A172" s="22"/>
      <c r="B172" s="49" t="s">
        <v>54</v>
      </c>
      <c r="C172" s="49" t="s">
        <v>61</v>
      </c>
      <c r="D172" s="80">
        <v>3519.73</v>
      </c>
      <c r="E172" s="51">
        <v>15</v>
      </c>
      <c r="F172" s="51">
        <v>11</v>
      </c>
      <c r="G172" s="52">
        <v>9</v>
      </c>
      <c r="H172" s="53">
        <v>8152.099999999991</v>
      </c>
      <c r="I172" s="54">
        <v>3</v>
      </c>
      <c r="J172" s="55">
        <f t="shared" si="226"/>
      </c>
      <c r="K172" s="55">
        <f t="shared" si="188"/>
      </c>
      <c r="L172" s="55">
        <f t="shared" si="150"/>
      </c>
      <c r="M172" s="56">
        <f t="shared" si="112"/>
      </c>
      <c r="N172" s="55">
        <f t="shared" si="63"/>
      </c>
      <c r="O172" s="55">
        <f t="shared" si="44"/>
      </c>
      <c r="P172" s="56">
        <f t="shared" si="25"/>
      </c>
      <c r="Q172" s="56">
        <f t="shared" si="6"/>
      </c>
      <c r="R172" s="56">
        <f t="shared" si="245"/>
      </c>
      <c r="S172" s="56">
        <f t="shared" si="207"/>
      </c>
      <c r="T172" s="57">
        <f t="shared" si="169"/>
      </c>
      <c r="U172" s="58">
        <v>0.0081</v>
      </c>
      <c r="V172" s="59">
        <v>46</v>
      </c>
      <c r="W172" s="55">
        <f t="shared" si="131"/>
      </c>
      <c r="X172" s="57">
        <v>48673</v>
      </c>
      <c r="Y172" s="57">
        <v>1621</v>
      </c>
      <c r="Z172" s="57">
        <v>126</v>
      </c>
      <c r="AA172" s="57">
        <v>1998</v>
      </c>
      <c r="AB172" s="57">
        <v>174</v>
      </c>
      <c r="AC172" s="57">
        <v>27</v>
      </c>
      <c r="AD172" s="57">
        <v>8</v>
      </c>
      <c r="AE172" s="57">
        <v>23</v>
      </c>
      <c r="AF172" s="55">
        <f t="shared" si="82"/>
      </c>
      <c r="AG172" s="34" t="s">
        <v>56</v>
      </c>
      <c r="AH172" s="66" t="s">
        <v>72</v>
      </c>
      <c r="AI172" s="59">
        <v>60</v>
      </c>
    </row>
    <row r="173">
      <c r="A173" s="22"/>
      <c r="B173" s="49" t="s">
        <v>54</v>
      </c>
      <c r="C173" s="49" t="s">
        <v>62</v>
      </c>
      <c r="D173" s="81">
        <v>2983.49</v>
      </c>
      <c r="E173" s="63">
        <v>13</v>
      </c>
      <c r="F173" s="63">
        <v>13</v>
      </c>
      <c r="G173" s="64">
        <v>10</v>
      </c>
      <c r="H173" s="91">
        <v>10001.200000000012</v>
      </c>
      <c r="I173" s="54">
        <v>4</v>
      </c>
      <c r="J173" s="55">
        <f t="shared" si="226"/>
      </c>
      <c r="K173" s="55">
        <f t="shared" si="188"/>
      </c>
      <c r="L173" s="55">
        <f t="shared" si="150"/>
      </c>
      <c r="M173" s="56">
        <f t="shared" si="112"/>
      </c>
      <c r="N173" s="55">
        <f t="shared" si="63"/>
      </c>
      <c r="O173" s="55">
        <f t="shared" si="44"/>
      </c>
      <c r="P173" s="56">
        <f t="shared" si="25"/>
      </c>
      <c r="Q173" s="56">
        <f t="shared" si="6"/>
      </c>
      <c r="R173" s="56">
        <f t="shared" si="245"/>
      </c>
      <c r="S173" s="56">
        <f t="shared" si="207"/>
      </c>
      <c r="T173" s="57">
        <f t="shared" si="169"/>
      </c>
      <c r="U173" s="58">
        <v>0</v>
      </c>
      <c r="V173" s="59">
        <v>48</v>
      </c>
      <c r="W173" s="55">
        <f t="shared" si="131"/>
      </c>
      <c r="X173" s="57">
        <v>36219</v>
      </c>
      <c r="Y173" s="57">
        <v>504</v>
      </c>
      <c r="Z173" s="57">
        <v>84</v>
      </c>
      <c r="AA173" s="57">
        <v>554</v>
      </c>
      <c r="AB173" s="57">
        <v>96</v>
      </c>
      <c r="AC173" s="57">
        <v>15</v>
      </c>
      <c r="AD173" s="57">
        <v>0</v>
      </c>
      <c r="AE173" s="57">
        <v>31</v>
      </c>
      <c r="AF173" s="55">
        <f t="shared" si="82"/>
      </c>
      <c r="AG173" s="34" t="s">
        <v>56</v>
      </c>
      <c r="AH173" s="66" t="s">
        <v>72</v>
      </c>
      <c r="AI173" s="59">
        <v>40</v>
      </c>
    </row>
    <row r="174">
      <c r="A174" s="22"/>
      <c r="B174" s="49" t="s">
        <v>54</v>
      </c>
      <c r="C174" s="49" t="s">
        <v>63</v>
      </c>
      <c r="D174" s="80">
        <v>3139.03</v>
      </c>
      <c r="E174" s="63">
        <v>8</v>
      </c>
      <c r="F174" s="63">
        <v>7</v>
      </c>
      <c r="G174" s="64">
        <v>6</v>
      </c>
      <c r="H174" s="50">
        <v>4840</v>
      </c>
      <c r="I174" s="65">
        <v>1</v>
      </c>
      <c r="J174" s="55">
        <f t="shared" si="226"/>
      </c>
      <c r="K174" s="55">
        <f t="shared" si="188"/>
      </c>
      <c r="L174" s="55">
        <f t="shared" si="150"/>
      </c>
      <c r="M174" s="56">
        <f t="shared" si="112"/>
      </c>
      <c r="N174" s="55">
        <f t="shared" si="63"/>
      </c>
      <c r="O174" s="55">
        <f t="shared" si="44"/>
      </c>
      <c r="P174" s="56">
        <f t="shared" si="25"/>
      </c>
      <c r="Q174" s="56">
        <f t="shared" si="6"/>
      </c>
      <c r="R174" s="56">
        <f t="shared" si="245"/>
      </c>
      <c r="S174" s="56">
        <f t="shared" si="207"/>
      </c>
      <c r="T174" s="57">
        <f t="shared" si="169"/>
      </c>
      <c r="U174" s="58">
        <v>0.0084</v>
      </c>
      <c r="V174" s="59">
        <v>49</v>
      </c>
      <c r="W174" s="55">
        <f t="shared" si="131"/>
      </c>
      <c r="X174" s="57">
        <v>46469</v>
      </c>
      <c r="Y174" s="57">
        <v>778</v>
      </c>
      <c r="Z174" s="57">
        <v>103</v>
      </c>
      <c r="AA174" s="57">
        <v>810</v>
      </c>
      <c r="AB174" s="57">
        <v>122</v>
      </c>
      <c r="AC174" s="57">
        <v>12</v>
      </c>
      <c r="AD174" s="57">
        <v>4</v>
      </c>
      <c r="AE174" s="57">
        <v>37</v>
      </c>
      <c r="AF174" s="55">
        <f t="shared" si="82"/>
      </c>
      <c r="AG174" s="34" t="s">
        <v>56</v>
      </c>
      <c r="AH174" s="66" t="s">
        <v>72</v>
      </c>
      <c r="AI174" s="59">
        <v>50</v>
      </c>
    </row>
    <row r="175">
      <c r="A175" s="22"/>
      <c r="B175" s="49" t="s">
        <v>54</v>
      </c>
      <c r="C175" s="49" t="s">
        <v>64</v>
      </c>
      <c r="D175" s="50">
        <v>4298.54</v>
      </c>
      <c r="E175" s="65">
        <v>12</v>
      </c>
      <c r="F175" s="65">
        <v>9</v>
      </c>
      <c r="G175" s="52">
        <v>7</v>
      </c>
      <c r="H175" s="80">
        <v>4464.900000000009</v>
      </c>
      <c r="I175" s="65">
        <v>1</v>
      </c>
      <c r="J175" s="55">
        <f t="shared" si="226"/>
      </c>
      <c r="K175" s="55">
        <f t="shared" si="188"/>
      </c>
      <c r="L175" s="55">
        <f t="shared" si="150"/>
      </c>
      <c r="M175" s="56">
        <f t="shared" si="112"/>
      </c>
      <c r="N175" s="55">
        <f t="shared" si="63"/>
      </c>
      <c r="O175" s="55">
        <f t="shared" si="44"/>
      </c>
      <c r="P175" s="56">
        <f t="shared" si="25"/>
      </c>
      <c r="Q175" s="56">
        <f t="shared" si="6"/>
      </c>
      <c r="R175" s="56">
        <f t="shared" si="245"/>
      </c>
      <c r="S175" s="56">
        <f t="shared" si="207"/>
      </c>
      <c r="T175" s="57">
        <f t="shared" si="169"/>
      </c>
      <c r="U175" s="58">
        <v>0</v>
      </c>
      <c r="V175" s="59">
        <v>50</v>
      </c>
      <c r="W175" s="55">
        <f t="shared" si="131"/>
      </c>
      <c r="X175" s="57">
        <v>58596</v>
      </c>
      <c r="Y175" s="57">
        <v>1517</v>
      </c>
      <c r="Z175" s="57">
        <v>144</v>
      </c>
      <c r="AA175" s="57">
        <v>1606</v>
      </c>
      <c r="AB175" s="57">
        <v>158</v>
      </c>
      <c r="AC175" s="57">
        <v>28</v>
      </c>
      <c r="AD175" s="57">
        <v>7</v>
      </c>
      <c r="AE175" s="59">
        <v>40</v>
      </c>
      <c r="AF175" s="55">
        <f t="shared" si="82"/>
      </c>
      <c r="AG175" s="34" t="s">
        <v>56</v>
      </c>
      <c r="AH175" s="66" t="s">
        <v>72</v>
      </c>
      <c r="AI175" s="59">
        <v>55</v>
      </c>
    </row>
    <row r="176">
      <c r="A176" s="22"/>
      <c r="B176" s="67" t="s">
        <v>46</v>
      </c>
      <c r="C176" s="67"/>
      <c r="D176" s="68">
        <f>SUM(D172:D175)</f>
      </c>
      <c r="E176" s="69">
        <f>SUM(E172:E175)</f>
      </c>
      <c r="F176" s="69">
        <f>SUM(F172:F175)</f>
      </c>
      <c r="G176" s="70">
        <f>SUM(G172:G175)</f>
      </c>
      <c r="H176" s="68">
        <f>SUM(H172:H175)</f>
      </c>
      <c r="I176" s="44">
        <f>SUM(I172:I175)</f>
      </c>
      <c r="J176" s="71">
        <f t="shared" si="226"/>
      </c>
      <c r="K176" s="71">
        <f t="shared" si="188"/>
      </c>
      <c r="L176" s="71">
        <f t="shared" si="150"/>
      </c>
      <c r="M176" s="72">
        <f t="shared" si="112"/>
      </c>
      <c r="N176" s="71">
        <f t="shared" si="63"/>
      </c>
      <c r="O176" s="71">
        <f t="shared" si="44"/>
      </c>
      <c r="P176" s="72">
        <f t="shared" si="25"/>
      </c>
      <c r="Q176" s="72">
        <f t="shared" si="6"/>
      </c>
      <c r="R176" s="72">
        <f t="shared" si="245"/>
      </c>
      <c r="S176" s="72">
        <f t="shared" si="207"/>
      </c>
      <c r="T176" s="73">
        <f t="shared" si="169"/>
      </c>
      <c r="U176" s="72">
        <f>AVERAGE(U172:U175)</f>
      </c>
      <c r="V176" s="68">
        <f>AVERAGE(V172:V175)</f>
      </c>
      <c r="W176" s="71">
        <f t="shared" si="131"/>
      </c>
      <c r="X176" s="73">
        <f>SUM(X172:X175)</f>
      </c>
      <c r="Y176" s="73">
        <f>SUM(Y172:Y175)</f>
      </c>
      <c r="Z176" s="73">
        <f>SUM(Z172:Z175)</f>
      </c>
      <c r="AA176" s="73">
        <f>SUM(AA172:AA175)</f>
      </c>
      <c r="AB176" s="73">
        <f>SUM(AB172:AB175)</f>
      </c>
      <c r="AC176" s="73">
        <f>SUM(AC172:AC175)</f>
      </c>
      <c r="AD176" s="73">
        <f>SUM(AD172:AD175)</f>
      </c>
      <c r="AE176" s="73">
        <f>SUM(AE172:AE175)</f>
      </c>
      <c r="AF176" s="74">
        <f t="shared" si="82"/>
      </c>
      <c r="AG176" s="75"/>
      <c r="AH176" s="75"/>
      <c r="AI176" s="70">
        <f>SUM(AI172:AI175)</f>
      </c>
    </row>
    <row r="177">
      <c r="A177" s="22"/>
      <c r="B177" s="82" t="s">
        <v>65</v>
      </c>
      <c r="C177" s="82"/>
      <c r="D177" s="83">
        <f>D160+D166+D171+D176</f>
      </c>
      <c r="E177" s="84">
        <f>E160+E166+E171+E176</f>
      </c>
      <c r="F177" s="84">
        <f>F160+F166+F171+F176</f>
      </c>
      <c r="G177" s="84">
        <f>G160+G166+G171+G176</f>
      </c>
      <c r="H177" s="83">
        <f>H160+H166+H171+H176</f>
      </c>
      <c r="I177" s="84">
        <f>I160+I166+I171+I176</f>
      </c>
      <c r="J177" s="86">
        <f t="shared" si="226"/>
      </c>
      <c r="K177" s="87">
        <f t="shared" si="188"/>
      </c>
      <c r="L177" s="87">
        <f t="shared" si="150"/>
      </c>
      <c r="M177" s="88">
        <f t="shared" si="112"/>
      </c>
      <c r="N177" s="87">
        <f t="shared" si="63"/>
      </c>
      <c r="O177" s="87">
        <f t="shared" si="44"/>
      </c>
      <c r="P177" s="88">
        <f t="shared" si="25"/>
      </c>
      <c r="Q177" s="88">
        <f t="shared" si="6"/>
      </c>
      <c r="R177" s="88">
        <f t="shared" si="245"/>
      </c>
      <c r="S177" s="88">
        <f t="shared" si="207"/>
      </c>
      <c r="T177" s="89">
        <f t="shared" si="169"/>
      </c>
      <c r="U177" s="88">
        <f>(U160+U171+U166+U176)/4</f>
      </c>
      <c r="V177" s="87">
        <f>(V160+V171+V166+V176)/4</f>
      </c>
      <c r="W177" s="90">
        <f t="shared" si="131"/>
      </c>
      <c r="X177" s="84">
        <f>X160+X166+X171+X176</f>
      </c>
      <c r="Y177" s="84">
        <f>Y160+Y166+Y171+Y176</f>
      </c>
      <c r="Z177" s="84">
        <f>Z160+Z166+Z171+Z176</f>
      </c>
      <c r="AA177" s="84">
        <f>AA160+AA166+AA171+AA176</f>
      </c>
      <c r="AB177" s="84">
        <f>AB160+AB166+AB171+AB176</f>
      </c>
      <c r="AC177" s="84">
        <f>AC160+AC166+AC171+AC176</f>
      </c>
      <c r="AD177" s="84">
        <f>AD160+AD166+AD171+AD176</f>
      </c>
      <c r="AE177" s="84">
        <f>AE160+AE166+AE171+AE176</f>
      </c>
      <c r="AF177" s="87">
        <f>AF160</f>
      </c>
      <c r="AG177" s="82"/>
      <c r="AH177" s="82"/>
      <c r="AI177" s="84">
        <f>AI160+AI166+AI171+AI176</f>
      </c>
    </row>
    <row customHeight="true" ht="20.238095238095237" r="178">
      <c r="A178" s="1" t="s">
        <v>66</v>
      </c>
      <c r="B178" s="2" t="s">
        <v>1</v>
      </c>
      <c r="C178" s="2"/>
      <c r="D178" s="3" t="s">
        <v>2</v>
      </c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5" t="s">
        <v>3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6"/>
    </row>
    <row customHeight="true" ht="20.238095238095237" r="179">
      <c r="A179" s="1"/>
      <c r="B179" s="2" t="s">
        <v>4</v>
      </c>
      <c r="C179" s="7" t="s">
        <v>5</v>
      </c>
      <c r="D179" s="8" t="s">
        <v>6</v>
      </c>
      <c r="E179" s="9" t="s">
        <v>7</v>
      </c>
      <c r="F179" s="10" t="s">
        <v>8</v>
      </c>
      <c r="G179" s="11" t="s">
        <v>9</v>
      </c>
      <c r="H179" s="8" t="s">
        <v>10</v>
      </c>
      <c r="I179" s="12" t="s">
        <v>11</v>
      </c>
      <c r="J179" s="107" t="s">
        <v>12</v>
      </c>
      <c r="K179" s="13" t="s">
        <v>13</v>
      </c>
      <c r="L179" s="13" t="s">
        <v>14</v>
      </c>
      <c r="M179" s="14" t="s">
        <v>15</v>
      </c>
      <c r="N179" s="13" t="s">
        <v>16</v>
      </c>
      <c r="O179" s="15" t="s">
        <v>17</v>
      </c>
      <c r="P179" s="16" t="s">
        <v>18</v>
      </c>
      <c r="Q179" s="16" t="s">
        <v>19</v>
      </c>
      <c r="R179" s="16" t="s">
        <v>20</v>
      </c>
      <c r="S179" s="16" t="s">
        <v>21</v>
      </c>
      <c r="T179" s="17" t="s">
        <v>22</v>
      </c>
      <c r="U179" s="18" t="s">
        <v>23</v>
      </c>
      <c r="V179" s="19" t="s">
        <v>24</v>
      </c>
      <c r="W179" s="5" t="s">
        <v>25</v>
      </c>
      <c r="X179" s="20" t="s">
        <v>26</v>
      </c>
      <c r="Y179" s="20" t="s">
        <v>27</v>
      </c>
      <c r="Z179" s="20" t="s">
        <v>28</v>
      </c>
      <c r="AA179" s="20" t="s">
        <v>29</v>
      </c>
      <c r="AB179" s="20" t="s">
        <v>30</v>
      </c>
      <c r="AC179" s="20" t="s">
        <v>31</v>
      </c>
      <c r="AD179" s="20" t="s">
        <v>32</v>
      </c>
      <c r="AE179" s="20" t="s">
        <v>33</v>
      </c>
      <c r="AF179" s="5" t="s">
        <v>34</v>
      </c>
      <c r="AG179" s="21" t="s">
        <v>35</v>
      </c>
      <c r="AH179" s="21" t="s">
        <v>36</v>
      </c>
      <c r="AI179" s="6" t="s">
        <v>37</v>
      </c>
    </row>
    <row customHeight="true" ht="20.238095238095237" r="180">
      <c r="A180" s="22">
        <v>46211</v>
      </c>
      <c r="B180" s="49" t="s">
        <v>47</v>
      </c>
      <c r="C180" s="24" t="s">
        <v>39</v>
      </c>
      <c r="D180" s="25">
        <v>3000</v>
      </c>
      <c r="E180" s="26">
        <v>6</v>
      </c>
      <c r="F180" s="26">
        <v>6</v>
      </c>
      <c r="G180" s="27">
        <v>5</v>
      </c>
      <c r="H180" s="25">
        <v>3696</v>
      </c>
      <c r="I180" s="108">
        <v>1</v>
      </c>
      <c r="J180" s="29">
        <f t="shared" ref="J180:J202" si="227">H180/D180</f>
      </c>
      <c r="K180" s="28">
        <f t="shared" ref="K180:K202" si="189">D180/F180</f>
      </c>
      <c r="L180" s="29">
        <f t="shared" ref="L180:L202" si="151">D180/G180</f>
      </c>
      <c r="M180" s="30">
        <f t="shared" ref="M180:M202" si="113">F180/E180</f>
      </c>
      <c r="N180" s="29">
        <f t="shared" ref="N180:N202" si="64">H180/F180</f>
      </c>
      <c r="O180" s="29">
        <f t="shared" ref="O180:O202" si="45">D180/Y180</f>
      </c>
      <c r="P180" s="30">
        <f t="shared" ref="P180:P202" si="26">T180/X180*1</f>
      </c>
      <c r="Q180" s="30">
        <f t="shared" ref="Q180:Q202" si="7">Y180/X180</f>
      </c>
      <c r="R180" s="30">
        <f t="shared" ref="R180:R202" si="246">AA180/X180</f>
      </c>
      <c r="S180" s="30">
        <f t="shared" ref="S180:S202" si="208">AB180/AA180</f>
      </c>
      <c r="T180" s="31">
        <f t="shared" ref="T180:T202" si="170">Z180/U180</f>
      </c>
      <c r="U180" s="32">
        <v>0.0057</v>
      </c>
      <c r="V180" s="33">
        <v>35</v>
      </c>
      <c r="W180" s="29">
        <f t="shared" ref="W180:W202" si="132">(D180/X180)*1000</f>
      </c>
      <c r="X180" s="33">
        <v>43374</v>
      </c>
      <c r="Y180" s="33">
        <v>2096</v>
      </c>
      <c r="Z180" s="31">
        <v>75</v>
      </c>
      <c r="AA180" s="31">
        <v>3727</v>
      </c>
      <c r="AB180" s="31">
        <v>83</v>
      </c>
      <c r="AC180" s="31">
        <v>24</v>
      </c>
      <c r="AD180" s="33">
        <v>6</v>
      </c>
      <c r="AE180" s="33">
        <v>28</v>
      </c>
      <c r="AF180" s="29">
        <f t="shared" ref="AF180:AF201" si="83">AI180*1000/D180</f>
      </c>
      <c r="AG180" s="34" t="s">
        <v>40</v>
      </c>
      <c r="AH180" s="106" t="s">
        <v>74</v>
      </c>
      <c r="AI180" s="33">
        <v>39</v>
      </c>
    </row>
    <row customHeight="true" ht="20.238095238095237" r="181">
      <c r="A181" s="22"/>
      <c r="B181" s="49" t="s">
        <v>47</v>
      </c>
      <c r="C181" s="24" t="s">
        <v>42</v>
      </c>
      <c r="D181" s="25">
        <v>3000</v>
      </c>
      <c r="E181" s="26">
        <v>2</v>
      </c>
      <c r="F181" s="26">
        <v>2</v>
      </c>
      <c r="G181" s="27">
        <v>1</v>
      </c>
      <c r="H181" s="25">
        <v>2875.3999999999996</v>
      </c>
      <c r="I181" s="108">
        <v>1</v>
      </c>
      <c r="J181" s="29">
        <f t="shared" si="227"/>
      </c>
      <c r="K181" s="28">
        <f t="shared" si="189"/>
      </c>
      <c r="L181" s="29">
        <f t="shared" si="151"/>
      </c>
      <c r="M181" s="30">
        <f t="shared" si="113"/>
      </c>
      <c r="N181" s="29">
        <f t="shared" si="64"/>
      </c>
      <c r="O181" s="29">
        <f t="shared" si="45"/>
      </c>
      <c r="P181" s="30">
        <f t="shared" si="26"/>
      </c>
      <c r="Q181" s="30">
        <f t="shared" si="7"/>
      </c>
      <c r="R181" s="30">
        <f t="shared" si="246"/>
      </c>
      <c r="S181" s="30">
        <f t="shared" si="208"/>
      </c>
      <c r="T181" s="31">
        <f t="shared" si="170"/>
      </c>
      <c r="U181" s="32">
        <v>0.0045</v>
      </c>
      <c r="V181" s="33">
        <v>36</v>
      </c>
      <c r="W181" s="29">
        <f t="shared" si="132"/>
      </c>
      <c r="X181" s="33">
        <v>41315</v>
      </c>
      <c r="Y181" s="33">
        <v>1913</v>
      </c>
      <c r="Z181" s="31">
        <v>66</v>
      </c>
      <c r="AA181" s="31">
        <v>3103</v>
      </c>
      <c r="AB181" s="33">
        <v>83</v>
      </c>
      <c r="AC181" s="31">
        <v>14</v>
      </c>
      <c r="AD181" s="33">
        <v>6</v>
      </c>
      <c r="AE181" s="33">
        <v>18</v>
      </c>
      <c r="AF181" s="29">
        <f t="shared" si="83"/>
      </c>
      <c r="AG181" s="34" t="s">
        <v>40</v>
      </c>
      <c r="AH181" s="106" t="s">
        <v>74</v>
      </c>
      <c r="AI181" s="33">
        <v>24</v>
      </c>
    </row>
    <row customHeight="true" ht="20.238095238095237" r="182">
      <c r="A182" s="22"/>
      <c r="B182" s="49" t="s">
        <v>47</v>
      </c>
      <c r="C182" s="24" t="s">
        <v>43</v>
      </c>
      <c r="D182" s="25">
        <v>2476.46</v>
      </c>
      <c r="E182" s="26">
        <v>6</v>
      </c>
      <c r="F182" s="26">
        <v>5</v>
      </c>
      <c r="G182" s="27">
        <v>4</v>
      </c>
      <c r="H182" s="25">
        <v>7991.5</v>
      </c>
      <c r="I182" s="108">
        <v>4</v>
      </c>
      <c r="J182" s="29">
        <f t="shared" si="227"/>
      </c>
      <c r="K182" s="28">
        <f t="shared" si="189"/>
      </c>
      <c r="L182" s="29">
        <f t="shared" si="151"/>
      </c>
      <c r="M182" s="30">
        <f t="shared" si="113"/>
      </c>
      <c r="N182" s="29">
        <f t="shared" si="64"/>
      </c>
      <c r="O182" s="29">
        <f t="shared" si="45"/>
      </c>
      <c r="P182" s="30">
        <f t="shared" si="26"/>
      </c>
      <c r="Q182" s="30">
        <f t="shared" si="7"/>
      </c>
      <c r="R182" s="30">
        <f t="shared" si="246"/>
      </c>
      <c r="S182" s="30">
        <f t="shared" si="208"/>
      </c>
      <c r="T182" s="31">
        <f t="shared" si="170"/>
      </c>
      <c r="U182" s="32">
        <v>0.0061</v>
      </c>
      <c r="V182" s="33">
        <v>40</v>
      </c>
      <c r="W182" s="29">
        <f t="shared" si="132"/>
      </c>
      <c r="X182" s="33">
        <v>31096</v>
      </c>
      <c r="Y182" s="33">
        <v>763</v>
      </c>
      <c r="Z182" s="31">
        <v>56</v>
      </c>
      <c r="AA182" s="31">
        <v>834</v>
      </c>
      <c r="AB182" s="33">
        <v>103</v>
      </c>
      <c r="AC182" s="31">
        <v>15</v>
      </c>
      <c r="AD182" s="33">
        <v>3</v>
      </c>
      <c r="AE182" s="33">
        <v>16</v>
      </c>
      <c r="AF182" s="29">
        <f t="shared" si="83"/>
      </c>
      <c r="AG182" s="34" t="s">
        <v>40</v>
      </c>
      <c r="AH182" s="106" t="s">
        <v>74</v>
      </c>
      <c r="AI182" s="33">
        <v>32</v>
      </c>
    </row>
    <row customHeight="true" ht="20.238095238095237" r="183">
      <c r="A183" s="22"/>
      <c r="B183" s="49" t="s">
        <v>47</v>
      </c>
      <c r="C183" s="36" t="s">
        <v>44</v>
      </c>
      <c r="D183" s="25">
        <v>3523.54</v>
      </c>
      <c r="E183" s="26">
        <v>11</v>
      </c>
      <c r="F183" s="26">
        <v>7</v>
      </c>
      <c r="G183" s="27">
        <v>5</v>
      </c>
      <c r="H183" s="25">
        <v>3892.9000000000033</v>
      </c>
      <c r="I183" s="108">
        <v>1</v>
      </c>
      <c r="J183" s="29">
        <f t="shared" si="227"/>
      </c>
      <c r="K183" s="28">
        <f t="shared" si="189"/>
      </c>
      <c r="L183" s="29">
        <f t="shared" si="151"/>
      </c>
      <c r="M183" s="30">
        <f t="shared" si="113"/>
      </c>
      <c r="N183" s="29">
        <f t="shared" si="64"/>
      </c>
      <c r="O183" s="29">
        <f t="shared" si="45"/>
      </c>
      <c r="P183" s="30">
        <f t="shared" si="26"/>
      </c>
      <c r="Q183" s="30">
        <f t="shared" si="7"/>
      </c>
      <c r="R183" s="30">
        <f t="shared" si="246"/>
      </c>
      <c r="S183" s="30">
        <f t="shared" si="208"/>
      </c>
      <c r="T183" s="31">
        <f t="shared" si="170"/>
      </c>
      <c r="U183" s="32">
        <v>0.0091</v>
      </c>
      <c r="V183" s="33">
        <v>42</v>
      </c>
      <c r="W183" s="29">
        <f t="shared" si="132"/>
      </c>
      <c r="X183" s="33">
        <v>41091</v>
      </c>
      <c r="Y183" s="33">
        <v>1215</v>
      </c>
      <c r="Z183" s="31">
        <v>110</v>
      </c>
      <c r="AA183" s="31">
        <v>1549</v>
      </c>
      <c r="AB183" s="33">
        <v>94</v>
      </c>
      <c r="AC183" s="31">
        <v>16</v>
      </c>
      <c r="AD183" s="33">
        <v>7</v>
      </c>
      <c r="AE183" s="33">
        <v>23</v>
      </c>
      <c r="AF183" s="29">
        <f t="shared" si="83"/>
      </c>
      <c r="AG183" s="34" t="s">
        <v>40</v>
      </c>
      <c r="AH183" s="106" t="s">
        <v>74</v>
      </c>
      <c r="AI183" s="33">
        <v>42</v>
      </c>
    </row>
    <row customHeight="true" ht="20.238095238095237" r="184">
      <c r="A184" s="22"/>
      <c r="B184" s="49" t="s">
        <v>47</v>
      </c>
      <c r="C184" s="24" t="s">
        <v>45</v>
      </c>
      <c r="D184" s="25">
        <v>2996.27</v>
      </c>
      <c r="E184" s="26">
        <v>12</v>
      </c>
      <c r="F184" s="26">
        <v>9</v>
      </c>
      <c r="G184" s="27">
        <v>7</v>
      </c>
      <c r="H184" s="25">
        <v>6508.700000000001</v>
      </c>
      <c r="I184" s="108">
        <v>2</v>
      </c>
      <c r="J184" s="29">
        <f t="shared" si="227"/>
      </c>
      <c r="K184" s="28">
        <f t="shared" si="189"/>
      </c>
      <c r="L184" s="29">
        <f t="shared" si="151"/>
      </c>
      <c r="M184" s="30">
        <f t="shared" si="113"/>
      </c>
      <c r="N184" s="29">
        <f t="shared" si="64"/>
      </c>
      <c r="O184" s="29">
        <f t="shared" si="45"/>
      </c>
      <c r="P184" s="30">
        <f t="shared" si="26"/>
      </c>
      <c r="Q184" s="30">
        <f t="shared" si="7"/>
      </c>
      <c r="R184" s="30">
        <f t="shared" si="246"/>
      </c>
      <c r="S184" s="30">
        <f t="shared" si="208"/>
      </c>
      <c r="T184" s="31">
        <f t="shared" si="170"/>
      </c>
      <c r="U184" s="32">
        <v>0.0086</v>
      </c>
      <c r="V184" s="33">
        <v>42</v>
      </c>
      <c r="W184" s="29">
        <f t="shared" si="132"/>
      </c>
      <c r="X184" s="33">
        <v>35834</v>
      </c>
      <c r="Y184" s="33">
        <v>1207</v>
      </c>
      <c r="Z184" s="33">
        <v>86</v>
      </c>
      <c r="AA184" s="33">
        <v>2594</v>
      </c>
      <c r="AB184" s="33">
        <v>96</v>
      </c>
      <c r="AC184" s="33">
        <v>22</v>
      </c>
      <c r="AD184" s="33">
        <v>6</v>
      </c>
      <c r="AE184" s="33">
        <v>19</v>
      </c>
      <c r="AF184" s="29">
        <f t="shared" si="83"/>
      </c>
      <c r="AG184" s="34" t="s">
        <v>40</v>
      </c>
      <c r="AH184" s="106" t="s">
        <v>74</v>
      </c>
      <c r="AI184" s="33">
        <v>54</v>
      </c>
    </row>
    <row customHeight="true" ht="20.238095238095237" r="185">
      <c r="A185" s="22"/>
      <c r="B185" s="40" t="s">
        <v>46</v>
      </c>
      <c r="C185" s="40"/>
      <c r="D185" s="41">
        <f>SUM(D180:D184)</f>
      </c>
      <c r="E185" s="42">
        <f>SUM(E180:E184)</f>
      </c>
      <c r="F185" s="42">
        <f>SUM(F180:F184)</f>
      </c>
      <c r="G185" s="43">
        <f>SUM(G180:G184)</f>
      </c>
      <c r="H185" s="41">
        <f>SUM(H180:H184)</f>
      </c>
      <c r="I185" s="44">
        <f>SUM(I180:I184)</f>
      </c>
      <c r="J185" s="109">
        <f t="shared" si="227"/>
      </c>
      <c r="K185" s="45">
        <f t="shared" si="189"/>
      </c>
      <c r="L185" s="45">
        <f t="shared" si="151"/>
      </c>
      <c r="M185" s="46">
        <f t="shared" si="113"/>
      </c>
      <c r="N185" s="45">
        <f t="shared" si="64"/>
      </c>
      <c r="O185" s="45">
        <f t="shared" si="45"/>
      </c>
      <c r="P185" s="46">
        <f t="shared" si="26"/>
      </c>
      <c r="Q185" s="46">
        <f t="shared" si="7"/>
      </c>
      <c r="R185" s="46">
        <f t="shared" si="246"/>
      </c>
      <c r="S185" s="46">
        <f t="shared" si="208"/>
      </c>
      <c r="T185" s="42">
        <f t="shared" si="170"/>
      </c>
      <c r="U185" s="46">
        <f>AVERAGE(U180:U184)</f>
      </c>
      <c r="V185" s="41">
        <f>AVERAGE(V180:V184)</f>
      </c>
      <c r="W185" s="45">
        <f t="shared" si="132"/>
      </c>
      <c r="X185" s="42">
        <f>SUM(X180:X184)</f>
      </c>
      <c r="Y185" s="42">
        <f>SUM(Y180:Y184)</f>
      </c>
      <c r="Z185" s="42">
        <f>SUM(Z180:Z184)</f>
      </c>
      <c r="AA185" s="42">
        <f>SUM(AA180:AA184)</f>
      </c>
      <c r="AB185" s="42">
        <f>SUM(AB180:AB184)</f>
      </c>
      <c r="AC185" s="42">
        <f>SUM(AC180:AC184)</f>
      </c>
      <c r="AD185" s="42">
        <f>SUM(AD180:AD184)</f>
      </c>
      <c r="AE185" s="42">
        <f>SUM(AE180:AE184)</f>
      </c>
      <c r="AF185" s="47">
        <f t="shared" si="83"/>
      </c>
      <c r="AG185" s="48"/>
      <c r="AH185" s="48"/>
      <c r="AI185" s="43">
        <f>SUM(AI180:AI184)</f>
      </c>
    </row>
    <row customHeight="true" ht="20.238095238095237" r="186">
      <c r="A186" s="22"/>
      <c r="B186" s="23" t="s">
        <v>69</v>
      </c>
      <c r="C186" s="23" t="s">
        <v>48</v>
      </c>
      <c r="D186" s="50">
        <v>3003.73</v>
      </c>
      <c r="E186" s="51">
        <v>14</v>
      </c>
      <c r="F186" s="51">
        <v>9</v>
      </c>
      <c r="G186" s="52">
        <v>7</v>
      </c>
      <c r="H186" s="53">
        <v>5421.899999999998</v>
      </c>
      <c r="I186" s="54">
        <v>1</v>
      </c>
      <c r="J186" s="55">
        <f t="shared" si="227"/>
      </c>
      <c r="K186" s="55">
        <f t="shared" si="189"/>
      </c>
      <c r="L186" s="55">
        <f t="shared" si="151"/>
      </c>
      <c r="M186" s="56">
        <f t="shared" si="113"/>
      </c>
      <c r="N186" s="55">
        <f t="shared" si="64"/>
      </c>
      <c r="O186" s="55">
        <f t="shared" si="45"/>
      </c>
      <c r="P186" s="56">
        <f t="shared" si="26"/>
      </c>
      <c r="Q186" s="56">
        <f t="shared" si="7"/>
      </c>
      <c r="R186" s="56">
        <f t="shared" si="246"/>
      </c>
      <c r="S186" s="56">
        <f t="shared" si="208"/>
      </c>
      <c r="T186" s="57">
        <f t="shared" si="170"/>
      </c>
      <c r="U186" s="58">
        <v>0.0227</v>
      </c>
      <c r="V186" s="59">
        <v>44</v>
      </c>
      <c r="W186" s="55">
        <f t="shared" si="132"/>
      </c>
      <c r="X186" s="57">
        <v>32299</v>
      </c>
      <c r="Y186" s="57">
        <v>593</v>
      </c>
      <c r="Z186" s="57">
        <v>101</v>
      </c>
      <c r="AA186" s="57">
        <v>1323</v>
      </c>
      <c r="AB186" s="57">
        <v>116</v>
      </c>
      <c r="AC186" s="57">
        <v>19</v>
      </c>
      <c r="AD186" s="57">
        <v>2</v>
      </c>
      <c r="AE186" s="57">
        <v>23</v>
      </c>
      <c r="AF186" s="55">
        <f t="shared" si="83"/>
      </c>
      <c r="AG186" s="34" t="s">
        <v>40</v>
      </c>
      <c r="AH186" s="106" t="s">
        <v>74</v>
      </c>
      <c r="AI186" s="59">
        <v>41</v>
      </c>
    </row>
    <row customHeight="true" ht="20.238095238095237" r="187">
      <c r="A187" s="22"/>
      <c r="B187" s="23" t="s">
        <v>69</v>
      </c>
      <c r="C187" s="60" t="s">
        <v>49</v>
      </c>
      <c r="D187" s="50">
        <v>3469.75</v>
      </c>
      <c r="E187" s="51">
        <v>9</v>
      </c>
      <c r="F187" s="51">
        <v>8</v>
      </c>
      <c r="G187" s="52">
        <v>7</v>
      </c>
      <c r="H187" s="53">
        <v>6661.5999999999985</v>
      </c>
      <c r="I187" s="110">
        <v>3</v>
      </c>
      <c r="J187" s="55">
        <f t="shared" si="227"/>
      </c>
      <c r="K187" s="55">
        <f t="shared" si="189"/>
      </c>
      <c r="L187" s="55">
        <f t="shared" si="151"/>
      </c>
      <c r="M187" s="56">
        <f t="shared" si="113"/>
      </c>
      <c r="N187" s="55">
        <f t="shared" si="64"/>
      </c>
      <c r="O187" s="55">
        <f t="shared" si="45"/>
      </c>
      <c r="P187" s="56">
        <f t="shared" si="26"/>
      </c>
      <c r="Q187" s="56">
        <f t="shared" si="7"/>
      </c>
      <c r="R187" s="56">
        <f t="shared" si="246"/>
      </c>
      <c r="S187" s="56">
        <f t="shared" si="208"/>
      </c>
      <c r="T187" s="57">
        <f t="shared" si="170"/>
      </c>
      <c r="U187" s="58">
        <v>0.0081</v>
      </c>
      <c r="V187" s="59">
        <v>44</v>
      </c>
      <c r="W187" s="55">
        <f t="shared" si="132"/>
      </c>
      <c r="X187" s="57">
        <v>47954</v>
      </c>
      <c r="Y187" s="57">
        <v>1121</v>
      </c>
      <c r="Z187" s="57">
        <v>87</v>
      </c>
      <c r="AA187" s="57">
        <v>1274</v>
      </c>
      <c r="AB187" s="57">
        <v>118</v>
      </c>
      <c r="AC187" s="57">
        <v>8</v>
      </c>
      <c r="AD187" s="57">
        <v>3</v>
      </c>
      <c r="AE187" s="57">
        <v>35</v>
      </c>
      <c r="AF187" s="55">
        <f t="shared" si="83"/>
      </c>
      <c r="AG187" s="34" t="s">
        <v>40</v>
      </c>
      <c r="AH187" s="106" t="s">
        <v>74</v>
      </c>
      <c r="AI187" s="59">
        <v>41</v>
      </c>
    </row>
    <row customHeight="true" ht="20.238095238095237" r="188">
      <c r="A188" s="22"/>
      <c r="B188" s="23" t="s">
        <v>69</v>
      </c>
      <c r="C188" s="61" t="s">
        <v>50</v>
      </c>
      <c r="D188" s="62">
        <v>3502.61</v>
      </c>
      <c r="E188" s="63">
        <v>17</v>
      </c>
      <c r="F188" s="63">
        <v>15</v>
      </c>
      <c r="G188" s="64">
        <v>9</v>
      </c>
      <c r="H188" s="111">
        <v>9966</v>
      </c>
      <c r="I188" s="26">
        <v>2</v>
      </c>
      <c r="J188" s="28">
        <f t="shared" si="227"/>
      </c>
      <c r="K188" s="29">
        <f t="shared" si="189"/>
      </c>
      <c r="L188" s="29">
        <f t="shared" si="151"/>
      </c>
      <c r="M188" s="30">
        <f t="shared" si="113"/>
      </c>
      <c r="N188" s="29">
        <f t="shared" si="64"/>
      </c>
      <c r="O188" s="29">
        <f t="shared" si="45"/>
      </c>
      <c r="P188" s="30">
        <f t="shared" si="26"/>
      </c>
      <c r="Q188" s="30">
        <f t="shared" si="7"/>
      </c>
      <c r="R188" s="30">
        <f t="shared" si="246"/>
      </c>
      <c r="S188" s="30">
        <f t="shared" si="208"/>
      </c>
      <c r="T188" s="31">
        <f t="shared" si="170"/>
      </c>
      <c r="U188" s="32">
        <v>0</v>
      </c>
      <c r="V188" s="33">
        <v>46</v>
      </c>
      <c r="W188" s="29">
        <f t="shared" si="132"/>
      </c>
      <c r="X188" s="33">
        <v>44228</v>
      </c>
      <c r="Y188" s="33">
        <v>1324</v>
      </c>
      <c r="Z188" s="31">
        <v>103</v>
      </c>
      <c r="AA188" s="31">
        <v>1457</v>
      </c>
      <c r="AB188" s="33">
        <v>143</v>
      </c>
      <c r="AC188" s="31">
        <v>17</v>
      </c>
      <c r="AD188" s="33">
        <v>6</v>
      </c>
      <c r="AE188" s="33">
        <v>52</v>
      </c>
      <c r="AF188" s="29">
        <f t="shared" si="83"/>
      </c>
      <c r="AG188" s="34" t="s">
        <v>40</v>
      </c>
      <c r="AH188" s="106" t="s">
        <v>74</v>
      </c>
      <c r="AI188" s="33">
        <v>38</v>
      </c>
    </row>
    <row customHeight="true" ht="20.238095238095237" r="189">
      <c r="A189" s="22"/>
      <c r="B189" s="23" t="s">
        <v>69</v>
      </c>
      <c r="C189" s="60" t="s">
        <v>51</v>
      </c>
      <c r="D189" s="62">
        <v>3090.76</v>
      </c>
      <c r="E189" s="63">
        <v>12</v>
      </c>
      <c r="F189" s="63">
        <v>10</v>
      </c>
      <c r="G189" s="64">
        <v>7</v>
      </c>
      <c r="H189" s="53">
        <v>6328.300000000003</v>
      </c>
      <c r="I189" s="112">
        <v>2</v>
      </c>
      <c r="J189" s="55">
        <f t="shared" si="227"/>
      </c>
      <c r="K189" s="55">
        <f t="shared" si="189"/>
      </c>
      <c r="L189" s="55">
        <f t="shared" si="151"/>
      </c>
      <c r="M189" s="56">
        <f t="shared" si="113"/>
      </c>
      <c r="N189" s="55">
        <f t="shared" si="64"/>
      </c>
      <c r="O189" s="55">
        <f t="shared" si="45"/>
      </c>
      <c r="P189" s="56">
        <f t="shared" si="26"/>
      </c>
      <c r="Q189" s="56">
        <f t="shared" si="7"/>
      </c>
      <c r="R189" s="56">
        <f t="shared" si="246"/>
      </c>
      <c r="S189" s="56">
        <f t="shared" si="208"/>
      </c>
      <c r="T189" s="57">
        <f t="shared" si="170"/>
      </c>
      <c r="U189" s="58">
        <v>0.0135</v>
      </c>
      <c r="V189" s="59">
        <v>46</v>
      </c>
      <c r="W189" s="55">
        <f t="shared" si="132"/>
      </c>
      <c r="X189" s="57">
        <v>32452</v>
      </c>
      <c r="Y189" s="57">
        <v>826</v>
      </c>
      <c r="Z189" s="57">
        <v>87</v>
      </c>
      <c r="AA189" s="57">
        <v>892</v>
      </c>
      <c r="AB189" s="57">
        <v>107</v>
      </c>
      <c r="AC189" s="57">
        <v>9</v>
      </c>
      <c r="AD189" s="57">
        <v>1</v>
      </c>
      <c r="AE189" s="57">
        <v>35</v>
      </c>
      <c r="AF189" s="55">
        <f t="shared" si="83"/>
      </c>
      <c r="AG189" s="34" t="s">
        <v>40</v>
      </c>
      <c r="AH189" s="106" t="s">
        <v>74</v>
      </c>
      <c r="AI189" s="59">
        <v>30</v>
      </c>
    </row>
    <row customHeight="true" ht="20.238095238095237" r="190">
      <c r="A190" s="22"/>
      <c r="B190" s="23" t="s">
        <v>69</v>
      </c>
      <c r="C190" s="49" t="s">
        <v>53</v>
      </c>
      <c r="D190" s="50">
        <v>5936.88</v>
      </c>
      <c r="E190" s="63">
        <v>19</v>
      </c>
      <c r="F190" s="63">
        <v>17</v>
      </c>
      <c r="G190" s="64">
        <v>12</v>
      </c>
      <c r="H190" s="50">
        <v>11145.200000000012</v>
      </c>
      <c r="I190" s="65">
        <v>3</v>
      </c>
      <c r="J190" s="55">
        <f t="shared" si="227"/>
      </c>
      <c r="K190" s="55">
        <f t="shared" si="189"/>
      </c>
      <c r="L190" s="55">
        <f t="shared" si="151"/>
      </c>
      <c r="M190" s="56">
        <f t="shared" si="113"/>
      </c>
      <c r="N190" s="55">
        <f t="shared" si="64"/>
      </c>
      <c r="O190" s="55">
        <f t="shared" si="45"/>
      </c>
      <c r="P190" s="56">
        <f t="shared" si="26"/>
      </c>
      <c r="Q190" s="56">
        <f t="shared" si="7"/>
      </c>
      <c r="R190" s="56">
        <f t="shared" si="246"/>
      </c>
      <c r="S190" s="56">
        <f t="shared" si="208"/>
      </c>
      <c r="T190" s="57">
        <f t="shared" si="170"/>
      </c>
      <c r="U190" s="58">
        <v>0.0114</v>
      </c>
      <c r="V190" s="59">
        <v>46</v>
      </c>
      <c r="W190" s="55">
        <f t="shared" si="132"/>
      </c>
      <c r="X190" s="57">
        <v>65546</v>
      </c>
      <c r="Y190" s="57">
        <v>2058</v>
      </c>
      <c r="Z190" s="57">
        <v>167</v>
      </c>
      <c r="AA190" s="57">
        <v>3817</v>
      </c>
      <c r="AB190" s="57">
        <v>203</v>
      </c>
      <c r="AC190" s="57">
        <v>36</v>
      </c>
      <c r="AD190" s="57">
        <v>3</v>
      </c>
      <c r="AE190" s="59">
        <v>46</v>
      </c>
      <c r="AF190" s="55">
        <f t="shared" si="83"/>
      </c>
      <c r="AG190" s="34" t="s">
        <v>40</v>
      </c>
      <c r="AH190" s="106" t="s">
        <v>74</v>
      </c>
      <c r="AI190" s="59">
        <v>75</v>
      </c>
    </row>
    <row customHeight="true" ht="20.238095238095237" r="191">
      <c r="A191" s="22"/>
      <c r="B191" s="67" t="s">
        <v>46</v>
      </c>
      <c r="C191" s="67"/>
      <c r="D191" s="68">
        <f>SUM(D186:D190)</f>
      </c>
      <c r="E191" s="69">
        <f>SUM(E186:E190)</f>
      </c>
      <c r="F191" s="69">
        <f>SUM(F186:F190)</f>
      </c>
      <c r="G191" s="70">
        <f>SUM(G186:G190)</f>
      </c>
      <c r="H191" s="68">
        <f>SUM(H186:H190)</f>
      </c>
      <c r="I191" s="69">
        <f>SUM(I186:I190)</f>
      </c>
      <c r="J191" s="71">
        <f t="shared" si="227"/>
      </c>
      <c r="K191" s="71">
        <f t="shared" si="189"/>
      </c>
      <c r="L191" s="71">
        <f t="shared" si="151"/>
      </c>
      <c r="M191" s="72">
        <f t="shared" si="113"/>
      </c>
      <c r="N191" s="71">
        <f t="shared" si="64"/>
      </c>
      <c r="O191" s="71">
        <f t="shared" si="45"/>
      </c>
      <c r="P191" s="72">
        <f t="shared" si="26"/>
      </c>
      <c r="Q191" s="72">
        <f t="shared" si="7"/>
      </c>
      <c r="R191" s="72">
        <f t="shared" si="246"/>
      </c>
      <c r="S191" s="72">
        <f t="shared" si="208"/>
      </c>
      <c r="T191" s="73">
        <f t="shared" si="170"/>
      </c>
      <c r="U191" s="72">
        <f>AVERAGE(U187:U190)</f>
      </c>
      <c r="V191" s="41">
        <f>AVERAGE(V186:V190)</f>
      </c>
      <c r="W191" s="71">
        <f t="shared" si="132"/>
      </c>
      <c r="X191" s="73">
        <f>SUM(X186:X190)</f>
      </c>
      <c r="Y191" s="73">
        <f>SUM(Y186:Y190)</f>
      </c>
      <c r="Z191" s="73">
        <f>SUM(Z186:Z190)</f>
      </c>
      <c r="AA191" s="73">
        <f>SUM(AA186:AA190)</f>
      </c>
      <c r="AB191" s="73">
        <f>SUM(AB186:AB190)</f>
      </c>
      <c r="AC191" s="73">
        <f>SUM(AC186:AC190)</f>
      </c>
      <c r="AD191" s="73">
        <f>SUM(AD186:AD190)</f>
      </c>
      <c r="AE191" s="73">
        <f>SUM(AE186:AE190)</f>
      </c>
      <c r="AF191" s="74">
        <f t="shared" si="83"/>
      </c>
      <c r="AG191" s="75"/>
      <c r="AH191" s="75"/>
      <c r="AI191" s="70">
        <f>SUM(AI186:AI190)</f>
      </c>
    </row>
    <row customHeight="true" ht="20.238095238095237" r="192">
      <c r="A192" s="22"/>
      <c r="B192" s="49" t="s">
        <v>60</v>
      </c>
      <c r="C192" s="60" t="s">
        <v>55</v>
      </c>
      <c r="D192" s="23">
        <v>3482.82</v>
      </c>
      <c r="E192" s="26">
        <v>4</v>
      </c>
      <c r="F192" s="26">
        <v>2</v>
      </c>
      <c r="G192" s="27">
        <v>2</v>
      </c>
      <c r="H192" s="76">
        <v>2875.399999999994</v>
      </c>
      <c r="I192" s="26">
        <v>1</v>
      </c>
      <c r="J192" s="29">
        <f t="shared" si="227"/>
      </c>
      <c r="K192" s="29">
        <f t="shared" si="189"/>
      </c>
      <c r="L192" s="29">
        <f t="shared" si="151"/>
      </c>
      <c r="M192" s="30">
        <f t="shared" si="113"/>
      </c>
      <c r="N192" s="29">
        <f t="shared" si="64"/>
      </c>
      <c r="O192" s="29">
        <f t="shared" si="45"/>
      </c>
      <c r="P192" s="30">
        <f t="shared" si="26"/>
      </c>
      <c r="Q192" s="30">
        <f t="shared" si="7"/>
      </c>
      <c r="R192" s="30">
        <f t="shared" si="246"/>
      </c>
      <c r="S192" s="30">
        <f t="shared" si="208"/>
      </c>
      <c r="T192" s="31">
        <f t="shared" si="170"/>
      </c>
      <c r="U192" s="32">
        <v>0.0116</v>
      </c>
      <c r="V192" s="33">
        <v>46</v>
      </c>
      <c r="W192" s="29">
        <f t="shared" si="132"/>
      </c>
      <c r="X192" s="33">
        <v>47063</v>
      </c>
      <c r="Y192" s="33">
        <v>902</v>
      </c>
      <c r="Z192" s="31">
        <v>84</v>
      </c>
      <c r="AA192" s="31">
        <v>1352</v>
      </c>
      <c r="AB192" s="31">
        <v>96</v>
      </c>
      <c r="AC192" s="31">
        <v>14</v>
      </c>
      <c r="AD192" s="33">
        <v>4</v>
      </c>
      <c r="AE192" s="33">
        <v>22</v>
      </c>
      <c r="AF192" s="29">
        <f t="shared" si="83"/>
      </c>
      <c r="AG192" s="34" t="s">
        <v>56</v>
      </c>
      <c r="AH192" s="66" t="s">
        <v>72</v>
      </c>
      <c r="AI192" s="33">
        <v>42</v>
      </c>
    </row>
    <row customHeight="true" ht="20.238095238095237" r="193">
      <c r="A193" s="22"/>
      <c r="B193" s="49" t="s">
        <v>60</v>
      </c>
      <c r="C193" s="61" t="s">
        <v>57</v>
      </c>
      <c r="D193" s="23">
        <v>3001.5</v>
      </c>
      <c r="E193" s="26">
        <v>3</v>
      </c>
      <c r="F193" s="26">
        <v>1</v>
      </c>
      <c r="G193" s="27">
        <v>1</v>
      </c>
      <c r="H193" s="76">
        <v>451</v>
      </c>
      <c r="I193" s="26">
        <v>0</v>
      </c>
      <c r="J193" s="29">
        <f t="shared" si="227"/>
      </c>
      <c r="K193" s="29">
        <f t="shared" si="189"/>
      </c>
      <c r="L193" s="29">
        <f t="shared" si="151"/>
      </c>
      <c r="M193" s="30">
        <f t="shared" si="113"/>
      </c>
      <c r="N193" s="29">
        <f t="shared" si="64"/>
      </c>
      <c r="O193" s="29">
        <f t="shared" si="45"/>
      </c>
      <c r="P193" s="30">
        <f t="shared" si="26"/>
      </c>
      <c r="Q193" s="30">
        <f t="shared" si="7"/>
      </c>
      <c r="R193" s="30">
        <f t="shared" si="246"/>
      </c>
      <c r="S193" s="30">
        <f t="shared" si="208"/>
      </c>
      <c r="T193" s="31">
        <f t="shared" si="170"/>
      </c>
      <c r="U193" s="32">
        <v>0.0128</v>
      </c>
      <c r="V193" s="33">
        <v>47</v>
      </c>
      <c r="W193" s="29">
        <f t="shared" si="132"/>
      </c>
      <c r="X193" s="31">
        <v>37163</v>
      </c>
      <c r="Y193" s="31">
        <v>571</v>
      </c>
      <c r="Z193" s="31">
        <v>70</v>
      </c>
      <c r="AA193" s="31">
        <v>702</v>
      </c>
      <c r="AB193" s="31">
        <v>148</v>
      </c>
      <c r="AC193" s="31">
        <v>16</v>
      </c>
      <c r="AD193" s="31">
        <v>1</v>
      </c>
      <c r="AE193" s="33">
        <v>30</v>
      </c>
      <c r="AF193" s="29">
        <f t="shared" si="83"/>
      </c>
      <c r="AG193" s="34" t="s">
        <v>56</v>
      </c>
      <c r="AH193" s="66" t="s">
        <v>72</v>
      </c>
      <c r="AI193" s="33">
        <v>40</v>
      </c>
    </row>
    <row customHeight="true" ht="20.238095238095237" r="194">
      <c r="A194" s="22"/>
      <c r="B194" s="49" t="s">
        <v>60</v>
      </c>
      <c r="C194" s="60" t="s">
        <v>58</v>
      </c>
      <c r="D194" s="23">
        <v>3084.49</v>
      </c>
      <c r="E194" s="26">
        <v>6</v>
      </c>
      <c r="F194" s="26">
        <v>6</v>
      </c>
      <c r="G194" s="27">
        <v>5</v>
      </c>
      <c r="H194" s="76">
        <v>6735.300000000003</v>
      </c>
      <c r="I194" s="26">
        <v>3</v>
      </c>
      <c r="J194" s="29">
        <f t="shared" si="227"/>
      </c>
      <c r="K194" s="29">
        <f t="shared" si="189"/>
      </c>
      <c r="L194" s="29">
        <f t="shared" si="151"/>
      </c>
      <c r="M194" s="30">
        <f t="shared" si="113"/>
      </c>
      <c r="N194" s="29">
        <f t="shared" si="64"/>
      </c>
      <c r="O194" s="29">
        <f t="shared" si="45"/>
      </c>
      <c r="P194" s="30">
        <f t="shared" si="26"/>
      </c>
      <c r="Q194" s="30">
        <f t="shared" si="7"/>
      </c>
      <c r="R194" s="30">
        <f t="shared" si="246"/>
      </c>
      <c r="S194" s="30">
        <f t="shared" si="208"/>
      </c>
      <c r="T194" s="31">
        <f t="shared" si="170"/>
      </c>
      <c r="U194" s="32">
        <v>0.0139</v>
      </c>
      <c r="V194" s="33">
        <v>46</v>
      </c>
      <c r="W194" s="29">
        <f t="shared" si="132"/>
      </c>
      <c r="X194" s="33">
        <v>40184</v>
      </c>
      <c r="Y194" s="33">
        <v>618</v>
      </c>
      <c r="Z194" s="33">
        <v>73</v>
      </c>
      <c r="AA194" s="33">
        <v>897</v>
      </c>
      <c r="AB194" s="33">
        <v>97</v>
      </c>
      <c r="AC194" s="33">
        <v>8</v>
      </c>
      <c r="AD194" s="33">
        <v>0</v>
      </c>
      <c r="AE194" s="33">
        <v>42</v>
      </c>
      <c r="AF194" s="29">
        <f t="shared" si="83"/>
      </c>
      <c r="AG194" s="34" t="s">
        <v>56</v>
      </c>
      <c r="AH194" s="66" t="s">
        <v>72</v>
      </c>
      <c r="AI194" s="33">
        <v>29</v>
      </c>
    </row>
    <row customHeight="true" ht="20.238095238095237" r="195">
      <c r="A195" s="22"/>
      <c r="B195" s="49" t="s">
        <v>60</v>
      </c>
      <c r="C195" s="60" t="s">
        <v>59</v>
      </c>
      <c r="D195" s="23">
        <v>2987.67</v>
      </c>
      <c r="E195" s="26">
        <v>2</v>
      </c>
      <c r="F195" s="26">
        <v>2</v>
      </c>
      <c r="G195" s="27">
        <v>2</v>
      </c>
      <c r="H195" s="76">
        <v>902</v>
      </c>
      <c r="I195" s="26">
        <v>0</v>
      </c>
      <c r="J195" s="29">
        <f t="shared" si="227"/>
      </c>
      <c r="K195" s="29">
        <f t="shared" si="189"/>
      </c>
      <c r="L195" s="29">
        <f t="shared" si="151"/>
      </c>
      <c r="M195" s="30">
        <f t="shared" si="113"/>
      </c>
      <c r="N195" s="29">
        <f t="shared" si="64"/>
      </c>
      <c r="O195" s="29">
        <f t="shared" si="45"/>
      </c>
      <c r="P195" s="30">
        <f t="shared" si="26"/>
      </c>
      <c r="Q195" s="30">
        <f t="shared" si="7"/>
      </c>
      <c r="R195" s="30">
        <f t="shared" si="246"/>
      </c>
      <c r="S195" s="30">
        <f t="shared" si="208"/>
      </c>
      <c r="T195" s="31">
        <f t="shared" si="170"/>
      </c>
      <c r="U195" s="32">
        <v>0.0123</v>
      </c>
      <c r="V195" s="33">
        <v>64</v>
      </c>
      <c r="W195" s="29">
        <f t="shared" si="132"/>
      </c>
      <c r="X195" s="33">
        <v>45467</v>
      </c>
      <c r="Y195" s="33">
        <v>599</v>
      </c>
      <c r="Z195" s="31">
        <v>69</v>
      </c>
      <c r="AA195" s="31">
        <v>1065</v>
      </c>
      <c r="AB195" s="31">
        <v>97</v>
      </c>
      <c r="AC195" s="31">
        <v>23</v>
      </c>
      <c r="AD195" s="33">
        <v>4</v>
      </c>
      <c r="AE195" s="33">
        <v>44</v>
      </c>
      <c r="AF195" s="29">
        <f t="shared" si="83"/>
      </c>
      <c r="AG195" s="34" t="s">
        <v>56</v>
      </c>
      <c r="AH195" s="66" t="s">
        <v>72</v>
      </c>
      <c r="AI195" s="33">
        <v>42</v>
      </c>
    </row>
    <row customHeight="true" ht="20.238095238095237" r="196">
      <c r="A196" s="22"/>
      <c r="B196" s="40" t="s">
        <v>46</v>
      </c>
      <c r="C196" s="40"/>
      <c r="D196" s="77">
        <f>SUM(D192:D195)</f>
      </c>
      <c r="E196" s="78">
        <f>SUM(E192:E195)</f>
      </c>
      <c r="F196" s="78">
        <f>SUM(F192:F195)</f>
      </c>
      <c r="G196" s="79">
        <f>SUM(G192:G195)</f>
      </c>
      <c r="H196" s="77">
        <f>SUM(H192:H195)</f>
      </c>
      <c r="I196" s="44">
        <f>SUM(I192:I195)</f>
      </c>
      <c r="J196" s="45">
        <f t="shared" si="227"/>
      </c>
      <c r="K196" s="45">
        <f t="shared" si="189"/>
      </c>
      <c r="L196" s="45">
        <f t="shared" si="151"/>
      </c>
      <c r="M196" s="46">
        <f t="shared" si="113"/>
      </c>
      <c r="N196" s="45">
        <f t="shared" si="64"/>
      </c>
      <c r="O196" s="45">
        <f t="shared" si="45"/>
      </c>
      <c r="P196" s="46">
        <f t="shared" si="26"/>
      </c>
      <c r="Q196" s="46">
        <f t="shared" si="7"/>
      </c>
      <c r="R196" s="46">
        <f t="shared" si="246"/>
      </c>
      <c r="S196" s="46">
        <f t="shared" si="208"/>
      </c>
      <c r="T196" s="42">
        <f t="shared" si="170"/>
      </c>
      <c r="U196" s="46">
        <f>AVERAGE(U192:U195)</f>
      </c>
      <c r="V196" s="41">
        <f>AVERAGE(V192:V195)</f>
      </c>
      <c r="W196" s="45">
        <f t="shared" si="132"/>
      </c>
      <c r="X196" s="42">
        <f>SUM(X192:X195)</f>
      </c>
      <c r="Y196" s="42">
        <f>SUM(Y192:Y195)</f>
      </c>
      <c r="Z196" s="42">
        <f>SUM(Z192:Z195)</f>
      </c>
      <c r="AA196" s="42">
        <f>SUM(AA192:AA195)</f>
      </c>
      <c r="AB196" s="42">
        <f>SUM(AB192:AB195)</f>
      </c>
      <c r="AC196" s="42">
        <f>SUM(AC192:AC195)</f>
      </c>
      <c r="AD196" s="42">
        <f>SUM(AD192:AD195)</f>
      </c>
      <c r="AE196" s="42">
        <f>SUM(AE192:AE195)</f>
      </c>
      <c r="AF196" s="47">
        <f t="shared" si="83"/>
      </c>
      <c r="AG196" s="48"/>
      <c r="AH196" s="48"/>
      <c r="AI196" s="42">
        <f>SUM(AI192:AI195)</f>
      </c>
    </row>
    <row customHeight="true" ht="20.238095238095237" r="197">
      <c r="A197" s="22"/>
      <c r="B197" s="49" t="s">
        <v>54</v>
      </c>
      <c r="C197" s="49" t="s">
        <v>61</v>
      </c>
      <c r="D197" s="80">
        <v>3432.85</v>
      </c>
      <c r="E197" s="51">
        <v>5</v>
      </c>
      <c r="F197" s="51">
        <v>5</v>
      </c>
      <c r="G197" s="52">
        <v>4</v>
      </c>
      <c r="H197" s="53">
        <v>2915</v>
      </c>
      <c r="I197" s="54">
        <v>0</v>
      </c>
      <c r="J197" s="55">
        <f t="shared" si="227"/>
      </c>
      <c r="K197" s="55">
        <f t="shared" si="189"/>
      </c>
      <c r="L197" s="55">
        <f t="shared" si="151"/>
      </c>
      <c r="M197" s="56">
        <f t="shared" si="113"/>
      </c>
      <c r="N197" s="55">
        <f t="shared" si="64"/>
      </c>
      <c r="O197" s="55">
        <f t="shared" si="45"/>
      </c>
      <c r="P197" s="56">
        <f t="shared" si="26"/>
      </c>
      <c r="Q197" s="56">
        <f t="shared" si="7"/>
      </c>
      <c r="R197" s="56">
        <f t="shared" si="246"/>
      </c>
      <c r="S197" s="56">
        <f t="shared" si="208"/>
      </c>
      <c r="T197" s="57">
        <f t="shared" si="170"/>
      </c>
      <c r="U197" s="58">
        <v>0.0123</v>
      </c>
      <c r="V197" s="59">
        <v>49</v>
      </c>
      <c r="W197" s="55">
        <f t="shared" si="132"/>
      </c>
      <c r="X197" s="57">
        <v>40060</v>
      </c>
      <c r="Y197" s="57">
        <v>1057</v>
      </c>
      <c r="Z197" s="57">
        <v>106</v>
      </c>
      <c r="AA197" s="57">
        <v>1733</v>
      </c>
      <c r="AB197" s="57">
        <v>156</v>
      </c>
      <c r="AC197" s="57">
        <v>24</v>
      </c>
      <c r="AD197" s="57">
        <v>4</v>
      </c>
      <c r="AE197" s="57">
        <v>33</v>
      </c>
      <c r="AF197" s="55">
        <f t="shared" si="83"/>
      </c>
      <c r="AG197" s="34" t="s">
        <v>56</v>
      </c>
      <c r="AH197" s="66" t="s">
        <v>72</v>
      </c>
      <c r="AI197" s="59">
        <v>52</v>
      </c>
    </row>
    <row customHeight="true" ht="20.238095238095237" r="198">
      <c r="A198" s="22"/>
      <c r="B198" s="49" t="s">
        <v>54</v>
      </c>
      <c r="C198" s="49" t="s">
        <v>62</v>
      </c>
      <c r="D198" s="81">
        <v>3263.39</v>
      </c>
      <c r="E198" s="63">
        <v>8</v>
      </c>
      <c r="F198" s="63">
        <v>4</v>
      </c>
      <c r="G198" s="64">
        <v>3</v>
      </c>
      <c r="H198" s="91">
        <v>4337.300000000003</v>
      </c>
      <c r="I198" s="54">
        <v>3</v>
      </c>
      <c r="J198" s="55">
        <f t="shared" si="227"/>
      </c>
      <c r="K198" s="55">
        <f t="shared" si="189"/>
      </c>
      <c r="L198" s="55">
        <f t="shared" si="151"/>
      </c>
      <c r="M198" s="56">
        <f t="shared" si="113"/>
      </c>
      <c r="N198" s="55">
        <f t="shared" si="64"/>
      </c>
      <c r="O198" s="55">
        <f t="shared" si="45"/>
      </c>
      <c r="P198" s="56">
        <f t="shared" si="26"/>
      </c>
      <c r="Q198" s="56">
        <f t="shared" si="7"/>
      </c>
      <c r="R198" s="56">
        <f t="shared" si="246"/>
      </c>
      <c r="S198" s="56">
        <f t="shared" si="208"/>
      </c>
      <c r="T198" s="57">
        <f t="shared" si="170"/>
      </c>
      <c r="U198" s="58">
        <v>0.0241</v>
      </c>
      <c r="V198" s="59">
        <v>63</v>
      </c>
      <c r="W198" s="55">
        <f t="shared" si="132"/>
      </c>
      <c r="X198" s="57">
        <v>34775</v>
      </c>
      <c r="Y198" s="57">
        <v>376</v>
      </c>
      <c r="Z198" s="57">
        <v>91</v>
      </c>
      <c r="AA198" s="57">
        <v>400</v>
      </c>
      <c r="AB198" s="57">
        <v>92</v>
      </c>
      <c r="AC198" s="57">
        <v>8</v>
      </c>
      <c r="AD198" s="57">
        <v>0</v>
      </c>
      <c r="AE198" s="57">
        <v>49</v>
      </c>
      <c r="AF198" s="55">
        <f t="shared" si="83"/>
      </c>
      <c r="AG198" s="34" t="s">
        <v>56</v>
      </c>
      <c r="AH198" s="66" t="s">
        <v>72</v>
      </c>
      <c r="AI198" s="59">
        <v>45</v>
      </c>
    </row>
    <row customHeight="true" ht="20.238095238095237" r="199">
      <c r="A199" s="22"/>
      <c r="B199" s="49" t="s">
        <v>54</v>
      </c>
      <c r="C199" s="49" t="s">
        <v>63</v>
      </c>
      <c r="D199" s="80">
        <v>5688.96</v>
      </c>
      <c r="E199" s="63">
        <v>23</v>
      </c>
      <c r="F199" s="63">
        <v>20</v>
      </c>
      <c r="G199" s="64">
        <v>17</v>
      </c>
      <c r="H199" s="50">
        <v>11664.39999999998</v>
      </c>
      <c r="I199" s="65">
        <v>3</v>
      </c>
      <c r="J199" s="55">
        <f t="shared" si="227"/>
      </c>
      <c r="K199" s="55">
        <f t="shared" si="189"/>
      </c>
      <c r="L199" s="55">
        <f t="shared" si="151"/>
      </c>
      <c r="M199" s="56">
        <f t="shared" si="113"/>
      </c>
      <c r="N199" s="55">
        <f t="shared" si="64"/>
      </c>
      <c r="O199" s="55">
        <f t="shared" si="45"/>
      </c>
      <c r="P199" s="56">
        <f t="shared" si="26"/>
      </c>
      <c r="Q199" s="56">
        <f t="shared" si="7"/>
      </c>
      <c r="R199" s="56">
        <f t="shared" si="246"/>
      </c>
      <c r="S199" s="56">
        <f t="shared" si="208"/>
      </c>
      <c r="T199" s="57">
        <f t="shared" si="170"/>
      </c>
      <c r="U199" s="58">
        <v>0.0202</v>
      </c>
      <c r="V199" s="59">
        <v>55</v>
      </c>
      <c r="W199" s="55">
        <f t="shared" si="132"/>
      </c>
      <c r="X199" s="57">
        <v>60102</v>
      </c>
      <c r="Y199" s="57">
        <v>1268</v>
      </c>
      <c r="Z199" s="57">
        <v>165</v>
      </c>
      <c r="AA199" s="57">
        <v>2749</v>
      </c>
      <c r="AB199" s="57">
        <v>208</v>
      </c>
      <c r="AC199" s="57">
        <v>26</v>
      </c>
      <c r="AD199" s="57">
        <v>3</v>
      </c>
      <c r="AE199" s="57">
        <v>71</v>
      </c>
      <c r="AF199" s="55">
        <f t="shared" si="83"/>
      </c>
      <c r="AG199" s="34" t="s">
        <v>56</v>
      </c>
      <c r="AH199" s="66" t="s">
        <v>72</v>
      </c>
      <c r="AI199" s="59">
        <v>68</v>
      </c>
    </row>
    <row customHeight="true" ht="20.238095238095237" r="200">
      <c r="A200" s="22"/>
      <c r="B200" s="49" t="s">
        <v>54</v>
      </c>
      <c r="C200" s="49" t="s">
        <v>64</v>
      </c>
      <c r="D200" s="50">
        <v>1375.71</v>
      </c>
      <c r="E200" s="65">
        <v>6</v>
      </c>
      <c r="F200" s="65">
        <v>3</v>
      </c>
      <c r="G200" s="52">
        <v>1</v>
      </c>
      <c r="H200" s="80">
        <v>2715.9000000000087</v>
      </c>
      <c r="I200" s="65">
        <v>1</v>
      </c>
      <c r="J200" s="55">
        <f t="shared" si="227"/>
      </c>
      <c r="K200" s="55">
        <f t="shared" si="189"/>
      </c>
      <c r="L200" s="55">
        <f t="shared" si="151"/>
      </c>
      <c r="M200" s="56">
        <f t="shared" si="113"/>
      </c>
      <c r="N200" s="55">
        <f t="shared" si="64"/>
      </c>
      <c r="O200" s="55">
        <f t="shared" si="45"/>
      </c>
      <c r="P200" s="56">
        <f t="shared" si="26"/>
      </c>
      <c r="Q200" s="56">
        <f t="shared" si="7"/>
      </c>
      <c r="R200" s="56">
        <f t="shared" si="246"/>
      </c>
      <c r="S200" s="56">
        <f t="shared" si="208"/>
      </c>
      <c r="T200" s="57">
        <f t="shared" si="170"/>
      </c>
      <c r="U200" s="58">
        <v>0.0111</v>
      </c>
      <c r="V200" s="59">
        <v>62</v>
      </c>
      <c r="W200" s="55">
        <f t="shared" si="132"/>
      </c>
      <c r="X200" s="57">
        <v>19388</v>
      </c>
      <c r="Y200" s="57">
        <v>542</v>
      </c>
      <c r="Z200" s="57">
        <v>56</v>
      </c>
      <c r="AA200" s="57">
        <v>589</v>
      </c>
      <c r="AB200" s="57">
        <v>171</v>
      </c>
      <c r="AC200" s="57">
        <v>8</v>
      </c>
      <c r="AD200" s="57">
        <v>1</v>
      </c>
      <c r="AE200" s="59">
        <v>19</v>
      </c>
      <c r="AF200" s="55">
        <f t="shared" si="83"/>
      </c>
      <c r="AG200" s="34" t="s">
        <v>56</v>
      </c>
      <c r="AH200" s="66" t="s">
        <v>72</v>
      </c>
      <c r="AI200" s="59">
        <v>19</v>
      </c>
    </row>
    <row customHeight="true" ht="20.238095238095237" r="201">
      <c r="A201" s="22"/>
      <c r="B201" s="67" t="s">
        <v>46</v>
      </c>
      <c r="C201" s="67"/>
      <c r="D201" s="68">
        <f>SUM(D197:D200)</f>
      </c>
      <c r="E201" s="69">
        <f>SUM(E197:E200)</f>
      </c>
      <c r="F201" s="69">
        <f>SUM(F197:F200)</f>
      </c>
      <c r="G201" s="70">
        <f>SUM(G197:G200)</f>
      </c>
      <c r="H201" s="68">
        <f>SUM(H197:H200)</f>
      </c>
      <c r="I201" s="44">
        <f>SUM(I197:I200)</f>
      </c>
      <c r="J201" s="71">
        <f t="shared" si="227"/>
      </c>
      <c r="K201" s="71">
        <f t="shared" si="189"/>
      </c>
      <c r="L201" s="71">
        <f t="shared" si="151"/>
      </c>
      <c r="M201" s="72">
        <f t="shared" si="113"/>
      </c>
      <c r="N201" s="71">
        <f t="shared" si="64"/>
      </c>
      <c r="O201" s="71">
        <f t="shared" si="45"/>
      </c>
      <c r="P201" s="72">
        <f t="shared" si="26"/>
      </c>
      <c r="Q201" s="72">
        <f t="shared" si="7"/>
      </c>
      <c r="R201" s="72">
        <f t="shared" si="246"/>
      </c>
      <c r="S201" s="72">
        <f t="shared" si="208"/>
      </c>
      <c r="T201" s="73">
        <f t="shared" si="170"/>
      </c>
      <c r="U201" s="72">
        <f>AVERAGE(U197:U200)</f>
      </c>
      <c r="V201" s="68">
        <f>AVERAGE(V197:V200)</f>
      </c>
      <c r="W201" s="71">
        <f t="shared" si="132"/>
      </c>
      <c r="X201" s="73">
        <f>SUM(X197:X200)</f>
      </c>
      <c r="Y201" s="73">
        <f>SUM(Y197:Y200)</f>
      </c>
      <c r="Z201" s="73">
        <f>SUM(Z197:Z200)</f>
      </c>
      <c r="AA201" s="73">
        <f>SUM(AA197:AA200)</f>
      </c>
      <c r="AB201" s="73">
        <f>SUM(AB197:AB200)</f>
      </c>
      <c r="AC201" s="73">
        <f>SUM(AC197:AC200)</f>
      </c>
      <c r="AD201" s="73">
        <f>SUM(AD197:AD200)</f>
      </c>
      <c r="AE201" s="73">
        <f>SUM(AE197:AE200)</f>
      </c>
      <c r="AF201" s="74">
        <f t="shared" si="83"/>
      </c>
      <c r="AG201" s="75"/>
      <c r="AH201" s="75"/>
      <c r="AI201" s="70">
        <f>SUM(AI197:AI200)</f>
      </c>
    </row>
    <row customHeight="true" ht="20.238095238095237" r="202">
      <c r="A202" s="22"/>
      <c r="B202" s="82" t="s">
        <v>65</v>
      </c>
      <c r="C202" s="82"/>
      <c r="D202" s="83">
        <f>D185+D191+D196+D201</f>
      </c>
      <c r="E202" s="84">
        <f>E185+E191+E196+E201</f>
      </c>
      <c r="F202" s="84">
        <f>F185+F191+F196+F201</f>
      </c>
      <c r="G202" s="84">
        <f>G185+G191+G196+G201</f>
      </c>
      <c r="H202" s="83">
        <f>H185+H191+H196+H201</f>
      </c>
      <c r="I202" s="84">
        <f>I185+I191+I196+I201</f>
      </c>
      <c r="J202" s="86">
        <f t="shared" si="227"/>
      </c>
      <c r="K202" s="87">
        <f t="shared" si="189"/>
      </c>
      <c r="L202" s="87">
        <f t="shared" si="151"/>
      </c>
      <c r="M202" s="88">
        <f t="shared" si="113"/>
      </c>
      <c r="N202" s="87">
        <f t="shared" si="64"/>
      </c>
      <c r="O202" s="87">
        <f t="shared" si="45"/>
      </c>
      <c r="P202" s="88">
        <f t="shared" si="26"/>
      </c>
      <c r="Q202" s="88">
        <f t="shared" si="7"/>
      </c>
      <c r="R202" s="88">
        <f t="shared" si="246"/>
      </c>
      <c r="S202" s="88">
        <f t="shared" si="208"/>
      </c>
      <c r="T202" s="89">
        <f t="shared" si="170"/>
      </c>
      <c r="U202" s="88">
        <f>(U185+U196+U191+U201)/4</f>
      </c>
      <c r="V202" s="87">
        <f>(V185+V196+V191+V201)/4</f>
      </c>
      <c r="W202" s="90">
        <f t="shared" si="132"/>
      </c>
      <c r="X202" s="84">
        <f>X185+X191+X196+X201</f>
      </c>
      <c r="Y202" s="84">
        <f>Y185+Y191+Y196+Y201</f>
      </c>
      <c r="Z202" s="84">
        <f>Z185+Z191+Z196+Z201</f>
      </c>
      <c r="AA202" s="84">
        <f>AA185+AA191+AA196+AA201</f>
      </c>
      <c r="AB202" s="84">
        <f>AB185+AB191+AB196+AB201</f>
      </c>
      <c r="AC202" s="84">
        <f>AC185+AC191+AC196+AC201</f>
      </c>
      <c r="AD202" s="84">
        <f>AD185+AD191+AD196+AD201</f>
      </c>
      <c r="AE202" s="84">
        <f>AE185+AE191+AE196+AE201</f>
      </c>
      <c r="AF202" s="87">
        <f>AF185</f>
      </c>
      <c r="AG202" s="82"/>
      <c r="AH202" s="82"/>
      <c r="AI202" s="84">
        <f>AI185+AI191+AI196+AI201</f>
      </c>
    </row>
    <row r="203">
      <c r="A203" s="1" t="s">
        <v>66</v>
      </c>
      <c r="B203" s="2" t="s">
        <v>1</v>
      </c>
      <c r="C203" s="2"/>
      <c r="D203" s="3" t="s">
        <v>2</v>
      </c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5" t="s">
        <v>3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6"/>
    </row>
    <row r="204">
      <c r="A204" s="1"/>
      <c r="B204" s="2" t="s">
        <v>4</v>
      </c>
      <c r="C204" s="7" t="s">
        <v>5</v>
      </c>
      <c r="D204" s="8" t="s">
        <v>6</v>
      </c>
      <c r="E204" s="9" t="s">
        <v>7</v>
      </c>
      <c r="F204" s="10" t="s">
        <v>8</v>
      </c>
      <c r="G204" s="11" t="s">
        <v>9</v>
      </c>
      <c r="H204" s="8" t="s">
        <v>10</v>
      </c>
      <c r="I204" s="12" t="s">
        <v>11</v>
      </c>
      <c r="J204" s="107" t="s">
        <v>12</v>
      </c>
      <c r="K204" s="13" t="s">
        <v>13</v>
      </c>
      <c r="L204" s="13" t="s">
        <v>14</v>
      </c>
      <c r="M204" s="14" t="s">
        <v>15</v>
      </c>
      <c r="N204" s="13" t="s">
        <v>16</v>
      </c>
      <c r="O204" s="15" t="s">
        <v>17</v>
      </c>
      <c r="P204" s="16" t="s">
        <v>18</v>
      </c>
      <c r="Q204" s="16" t="s">
        <v>19</v>
      </c>
      <c r="R204" s="16" t="s">
        <v>20</v>
      </c>
      <c r="S204" s="16" t="s">
        <v>21</v>
      </c>
      <c r="T204" s="17" t="s">
        <v>22</v>
      </c>
      <c r="U204" s="18" t="s">
        <v>23</v>
      </c>
      <c r="V204" s="19" t="s">
        <v>24</v>
      </c>
      <c r="W204" s="5" t="s">
        <v>25</v>
      </c>
      <c r="X204" s="20" t="s">
        <v>26</v>
      </c>
      <c r="Y204" s="20" t="s">
        <v>27</v>
      </c>
      <c r="Z204" s="20" t="s">
        <v>28</v>
      </c>
      <c r="AA204" s="20" t="s">
        <v>29</v>
      </c>
      <c r="AB204" s="20" t="s">
        <v>30</v>
      </c>
      <c r="AC204" s="20" t="s">
        <v>31</v>
      </c>
      <c r="AD204" s="20" t="s">
        <v>32</v>
      </c>
      <c r="AE204" s="20" t="s">
        <v>33</v>
      </c>
      <c r="AF204" s="5" t="s">
        <v>34</v>
      </c>
      <c r="AG204" s="21" t="s">
        <v>35</v>
      </c>
      <c r="AH204" s="21" t="s">
        <v>36</v>
      </c>
      <c r="AI204" s="6" t="s">
        <v>37</v>
      </c>
    </row>
    <row r="205">
      <c r="A205" s="22">
        <v>46212</v>
      </c>
      <c r="B205" s="49" t="s">
        <v>47</v>
      </c>
      <c r="C205" s="24" t="s">
        <v>39</v>
      </c>
      <c r="D205" s="25">
        <v>3000</v>
      </c>
      <c r="E205" s="26">
        <v>6</v>
      </c>
      <c r="F205" s="26">
        <v>6</v>
      </c>
      <c r="G205" s="27">
        <v>6</v>
      </c>
      <c r="H205" s="25">
        <v>4769.599999999999</v>
      </c>
      <c r="I205" s="108">
        <v>2</v>
      </c>
      <c r="J205" s="29">
        <f t="shared" ref="J205:J227" si="228">H205/D205</f>
      </c>
      <c r="K205" s="28">
        <f t="shared" ref="K205:K227" si="190">D205/F205</f>
      </c>
      <c r="L205" s="29">
        <f t="shared" ref="L205:L227" si="152">D205/G205</f>
      </c>
      <c r="M205" s="30">
        <f t="shared" ref="M205:M227" si="114">F205/E205</f>
      </c>
      <c r="N205" s="29">
        <f t="shared" ref="N205:N227" si="65">H205/F205</f>
      </c>
      <c r="O205" s="29">
        <f t="shared" ref="O205:O227" si="46">D205/Y205</f>
      </c>
      <c r="P205" s="30">
        <f t="shared" ref="P205:P227" si="27">T205/X205*1</f>
      </c>
      <c r="Q205" s="30">
        <f t="shared" ref="Q205:Q227" si="8">Y205/X205</f>
      </c>
      <c r="R205" s="30">
        <f t="shared" ref="R205:R227" si="247">AA205/X205</f>
      </c>
      <c r="S205" s="30">
        <f t="shared" ref="S205:S227" si="209">AB205/AA205</f>
      </c>
      <c r="T205" s="31">
        <f t="shared" ref="T205:T227" si="171">Z205/U205</f>
      </c>
      <c r="U205" s="32">
        <v>0.0069</v>
      </c>
      <c r="V205" s="33">
        <v>39</v>
      </c>
      <c r="W205" s="29">
        <f t="shared" ref="W205:W227" si="133">(D205/X205)*1000</f>
      </c>
      <c r="X205" s="33">
        <v>41184</v>
      </c>
      <c r="Y205" s="33">
        <v>2675</v>
      </c>
      <c r="Z205" s="31">
        <v>76</v>
      </c>
      <c r="AA205" s="31">
        <v>4676</v>
      </c>
      <c r="AB205" s="31">
        <v>72</v>
      </c>
      <c r="AC205" s="31">
        <v>33</v>
      </c>
      <c r="AD205" s="33">
        <v>1</v>
      </c>
      <c r="AE205" s="33">
        <v>43</v>
      </c>
      <c r="AF205" s="29">
        <f t="shared" ref="AF205:AF220" si="84">AI205*1000/D205</f>
      </c>
      <c r="AG205" s="34" t="s">
        <v>40</v>
      </c>
      <c r="AH205" s="35" t="s">
        <v>41</v>
      </c>
      <c r="AI205" s="33">
        <v>35</v>
      </c>
    </row>
    <row r="206">
      <c r="A206" s="22"/>
      <c r="B206" s="49" t="s">
        <v>47</v>
      </c>
      <c r="C206" s="24" t="s">
        <v>42</v>
      </c>
      <c r="D206" s="25">
        <v>4409.51</v>
      </c>
      <c r="E206" s="26">
        <v>5</v>
      </c>
      <c r="F206" s="26">
        <v>3</v>
      </c>
      <c r="G206" s="27">
        <v>3</v>
      </c>
      <c r="H206" s="25">
        <v>2449.7</v>
      </c>
      <c r="I206" s="108">
        <v>1</v>
      </c>
      <c r="J206" s="29">
        <f t="shared" si="228"/>
      </c>
      <c r="K206" s="28">
        <f t="shared" si="190"/>
      </c>
      <c r="L206" s="29">
        <f t="shared" si="152"/>
      </c>
      <c r="M206" s="30">
        <f t="shared" si="114"/>
      </c>
      <c r="N206" s="29">
        <f t="shared" si="65"/>
      </c>
      <c r="O206" s="29">
        <f t="shared" si="46"/>
      </c>
      <c r="P206" s="30">
        <f t="shared" si="27"/>
      </c>
      <c r="Q206" s="30">
        <f t="shared" si="8"/>
      </c>
      <c r="R206" s="30">
        <f t="shared" si="247"/>
      </c>
      <c r="S206" s="30">
        <f t="shared" si="209"/>
      </c>
      <c r="T206" s="31">
        <f t="shared" si="171"/>
      </c>
      <c r="U206" s="32">
        <v>0.0087</v>
      </c>
      <c r="V206" s="33">
        <v>39</v>
      </c>
      <c r="W206" s="29">
        <f t="shared" si="133"/>
      </c>
      <c r="X206" s="33">
        <v>47879</v>
      </c>
      <c r="Y206" s="33">
        <v>1410</v>
      </c>
      <c r="Z206" s="31">
        <v>96</v>
      </c>
      <c r="AA206" s="31">
        <v>1826</v>
      </c>
      <c r="AB206" s="33">
        <v>76</v>
      </c>
      <c r="AC206" s="31">
        <v>20</v>
      </c>
      <c r="AD206" s="33">
        <v>1</v>
      </c>
      <c r="AE206" s="33">
        <v>61</v>
      </c>
      <c r="AF206" s="29">
        <f t="shared" si="84"/>
      </c>
      <c r="AG206" s="34" t="s">
        <v>40</v>
      </c>
      <c r="AH206" s="35" t="s">
        <v>41</v>
      </c>
      <c r="AI206" s="33">
        <v>48</v>
      </c>
    </row>
    <row r="207">
      <c r="A207" s="22"/>
      <c r="B207" s="49" t="s">
        <v>47</v>
      </c>
      <c r="C207" s="24" t="s">
        <v>43</v>
      </c>
      <c r="D207" s="25">
        <v>4046.4</v>
      </c>
      <c r="E207" s="26">
        <v>24</v>
      </c>
      <c r="F207" s="26">
        <v>17</v>
      </c>
      <c r="G207" s="27">
        <v>15</v>
      </c>
      <c r="H207" s="25">
        <v>11366.300000000003</v>
      </c>
      <c r="I207" s="108">
        <v>2</v>
      </c>
      <c r="J207" s="29">
        <f t="shared" si="228"/>
      </c>
      <c r="K207" s="28">
        <f t="shared" si="190"/>
      </c>
      <c r="L207" s="29">
        <f t="shared" si="152"/>
      </c>
      <c r="M207" s="30">
        <f t="shared" si="114"/>
      </c>
      <c r="N207" s="29">
        <f t="shared" si="65"/>
      </c>
      <c r="O207" s="29">
        <f t="shared" si="46"/>
      </c>
      <c r="P207" s="30">
        <f t="shared" si="27"/>
      </c>
      <c r="Q207" s="30">
        <f t="shared" si="8"/>
      </c>
      <c r="R207" s="30">
        <f t="shared" si="247"/>
      </c>
      <c r="S207" s="30">
        <f t="shared" si="209"/>
      </c>
      <c r="T207" s="31">
        <f t="shared" si="171"/>
      </c>
      <c r="U207" s="32">
        <v>0.0077</v>
      </c>
      <c r="V207" s="33">
        <v>47</v>
      </c>
      <c r="W207" s="29">
        <f t="shared" si="133"/>
      </c>
      <c r="X207" s="33">
        <v>50724</v>
      </c>
      <c r="Y207" s="33">
        <v>2150</v>
      </c>
      <c r="Z207" s="31">
        <v>128</v>
      </c>
      <c r="AA207" s="31">
        <v>3880</v>
      </c>
      <c r="AB207" s="33">
        <v>184</v>
      </c>
      <c r="AC207" s="31">
        <v>40</v>
      </c>
      <c r="AD207" s="33">
        <v>8</v>
      </c>
      <c r="AE207" s="33">
        <v>28</v>
      </c>
      <c r="AF207" s="29">
        <f t="shared" si="84"/>
      </c>
      <c r="AG207" s="34" t="s">
        <v>40</v>
      </c>
      <c r="AH207" s="35" t="s">
        <v>41</v>
      </c>
      <c r="AI207" s="33">
        <v>54</v>
      </c>
    </row>
    <row r="208">
      <c r="A208" s="22"/>
      <c r="B208" s="49" t="s">
        <v>47</v>
      </c>
      <c r="C208" s="36" t="s">
        <v>44</v>
      </c>
      <c r="D208" s="25">
        <v>3492.53</v>
      </c>
      <c r="E208" s="26">
        <v>12</v>
      </c>
      <c r="F208" s="26">
        <v>10</v>
      </c>
      <c r="G208" s="27">
        <v>9</v>
      </c>
      <c r="H208" s="25">
        <v>7258.9000000000015</v>
      </c>
      <c r="I208" s="108">
        <v>2</v>
      </c>
      <c r="J208" s="29">
        <f t="shared" si="228"/>
      </c>
      <c r="K208" s="28">
        <f t="shared" si="190"/>
      </c>
      <c r="L208" s="29">
        <f t="shared" si="152"/>
      </c>
      <c r="M208" s="30">
        <f t="shared" si="114"/>
      </c>
      <c r="N208" s="29">
        <f t="shared" si="65"/>
      </c>
      <c r="O208" s="29">
        <f t="shared" si="46"/>
      </c>
      <c r="P208" s="30">
        <f t="shared" si="27"/>
      </c>
      <c r="Q208" s="30">
        <f t="shared" si="8"/>
      </c>
      <c r="R208" s="30">
        <f t="shared" si="247"/>
      </c>
      <c r="S208" s="30">
        <f t="shared" si="209"/>
      </c>
      <c r="T208" s="31">
        <f t="shared" si="171"/>
      </c>
      <c r="U208" s="32">
        <v>0.0077</v>
      </c>
      <c r="V208" s="33">
        <v>50</v>
      </c>
      <c r="W208" s="29">
        <f t="shared" si="133"/>
      </c>
      <c r="X208" s="33">
        <v>43051</v>
      </c>
      <c r="Y208" s="33">
        <v>1772</v>
      </c>
      <c r="Z208" s="31">
        <v>103</v>
      </c>
      <c r="AA208" s="31">
        <v>1986</v>
      </c>
      <c r="AB208" s="33">
        <v>122</v>
      </c>
      <c r="AC208" s="31">
        <v>24</v>
      </c>
      <c r="AD208" s="33">
        <v>7</v>
      </c>
      <c r="AE208" s="33">
        <v>34</v>
      </c>
      <c r="AF208" s="29">
        <f t="shared" si="84"/>
      </c>
      <c r="AG208" s="34" t="s">
        <v>40</v>
      </c>
      <c r="AH208" s="35" t="s">
        <v>41</v>
      </c>
      <c r="AI208" s="33">
        <v>49</v>
      </c>
    </row>
    <row r="209">
      <c r="A209" s="22"/>
      <c r="B209" s="49" t="s">
        <v>47</v>
      </c>
      <c r="C209" s="24" t="s">
        <v>45</v>
      </c>
      <c r="D209" s="25">
        <v>4021.28</v>
      </c>
      <c r="E209" s="26">
        <v>12</v>
      </c>
      <c r="F209" s="26">
        <v>7</v>
      </c>
      <c r="G209" s="27">
        <v>7</v>
      </c>
      <c r="H209" s="25">
        <v>3562.899999999998</v>
      </c>
      <c r="I209" s="108">
        <v>1</v>
      </c>
      <c r="J209" s="29">
        <f t="shared" si="228"/>
      </c>
      <c r="K209" s="28">
        <f t="shared" si="190"/>
      </c>
      <c r="L209" s="29">
        <f t="shared" si="152"/>
      </c>
      <c r="M209" s="30">
        <f t="shared" si="114"/>
      </c>
      <c r="N209" s="29">
        <f t="shared" si="65"/>
      </c>
      <c r="O209" s="29">
        <f t="shared" si="46"/>
      </c>
      <c r="P209" s="30">
        <f t="shared" si="27"/>
      </c>
      <c r="Q209" s="30">
        <f t="shared" si="8"/>
      </c>
      <c r="R209" s="30">
        <f t="shared" si="247"/>
      </c>
      <c r="S209" s="30">
        <f t="shared" si="209"/>
      </c>
      <c r="T209" s="31">
        <f t="shared" si="171"/>
      </c>
      <c r="U209" s="32">
        <v>0.0097</v>
      </c>
      <c r="V209" s="33">
        <v>50</v>
      </c>
      <c r="W209" s="29">
        <f t="shared" si="133"/>
      </c>
      <c r="X209" s="33">
        <v>44368</v>
      </c>
      <c r="Y209" s="33">
        <v>1308</v>
      </c>
      <c r="Z209" s="33">
        <v>113</v>
      </c>
      <c r="AA209" s="33">
        <v>1931</v>
      </c>
      <c r="AB209" s="33">
        <v>138</v>
      </c>
      <c r="AC209" s="33">
        <v>18</v>
      </c>
      <c r="AD209" s="33">
        <v>3</v>
      </c>
      <c r="AE209" s="33">
        <v>46</v>
      </c>
      <c r="AF209" s="29">
        <f t="shared" si="84"/>
      </c>
      <c r="AG209" s="34" t="s">
        <v>40</v>
      </c>
      <c r="AH209" s="35" t="s">
        <v>41</v>
      </c>
      <c r="AI209" s="33">
        <v>52</v>
      </c>
    </row>
    <row r="210">
      <c r="A210" s="22"/>
      <c r="B210" s="40" t="s">
        <v>46</v>
      </c>
      <c r="C210" s="40"/>
      <c r="D210" s="41">
        <f>SUM(D205:D209)</f>
      </c>
      <c r="E210" s="42">
        <f>SUM(E205:E209)</f>
      </c>
      <c r="F210" s="42">
        <f>SUM(F205:F209)</f>
      </c>
      <c r="G210" s="43">
        <f>SUM(G205:G209)</f>
      </c>
      <c r="H210" s="41">
        <f>SUM(H205:H209)</f>
      </c>
      <c r="I210" s="44">
        <f>SUM(I205:I209)</f>
      </c>
      <c r="J210" s="109">
        <f t="shared" si="228"/>
      </c>
      <c r="K210" s="45">
        <f t="shared" si="190"/>
      </c>
      <c r="L210" s="45">
        <f t="shared" si="152"/>
      </c>
      <c r="M210" s="46">
        <f t="shared" si="114"/>
      </c>
      <c r="N210" s="45">
        <f t="shared" si="65"/>
      </c>
      <c r="O210" s="45">
        <f t="shared" si="46"/>
      </c>
      <c r="P210" s="46">
        <f t="shared" si="27"/>
      </c>
      <c r="Q210" s="46">
        <f t="shared" si="8"/>
      </c>
      <c r="R210" s="46">
        <f t="shared" si="247"/>
      </c>
      <c r="S210" s="46">
        <f t="shared" si="209"/>
      </c>
      <c r="T210" s="42">
        <f t="shared" si="171"/>
      </c>
      <c r="U210" s="46">
        <f>AVERAGE(U205:U209)</f>
      </c>
      <c r="V210" s="41">
        <f>AVERAGE(V205:V209)</f>
      </c>
      <c r="W210" s="45">
        <f t="shared" si="133"/>
      </c>
      <c r="X210" s="42">
        <f>SUM(X205:X209)</f>
      </c>
      <c r="Y210" s="42">
        <f>SUM(Y205:Y209)</f>
      </c>
      <c r="Z210" s="42">
        <f>SUM(Z205:Z209)</f>
      </c>
      <c r="AA210" s="42">
        <f>SUM(AA205:AA209)</f>
      </c>
      <c r="AB210" s="42">
        <f>SUM(AB205:AB209)</f>
      </c>
      <c r="AC210" s="42">
        <f>SUM(AC205:AC209)</f>
      </c>
      <c r="AD210" s="42">
        <f>SUM(AD205:AD209)</f>
      </c>
      <c r="AE210" s="42">
        <f>SUM(AE205:AE209)</f>
      </c>
      <c r="AF210" s="47">
        <f t="shared" si="84"/>
      </c>
      <c r="AG210" s="48"/>
      <c r="AH210" s="48"/>
      <c r="AI210" s="43">
        <f>SUM(AI205:AI209)</f>
      </c>
    </row>
    <row r="211">
      <c r="A211" s="22"/>
      <c r="B211" s="23" t="s">
        <v>69</v>
      </c>
      <c r="C211" s="23" t="s">
        <v>48</v>
      </c>
      <c r="D211" s="50">
        <v>4011.51</v>
      </c>
      <c r="E211" s="51">
        <v>11</v>
      </c>
      <c r="F211" s="51">
        <v>8</v>
      </c>
      <c r="G211" s="52">
        <v>6</v>
      </c>
      <c r="H211" s="53">
        <v>5331.699999999997</v>
      </c>
      <c r="I211" s="54">
        <v>1</v>
      </c>
      <c r="J211" s="55">
        <f t="shared" si="228"/>
      </c>
      <c r="K211" s="55">
        <f t="shared" si="190"/>
      </c>
      <c r="L211" s="55">
        <f t="shared" si="152"/>
      </c>
      <c r="M211" s="56">
        <f t="shared" si="114"/>
      </c>
      <c r="N211" s="55">
        <f t="shared" si="65"/>
      </c>
      <c r="O211" s="55">
        <f t="shared" si="46"/>
      </c>
      <c r="P211" s="56">
        <f t="shared" si="27"/>
      </c>
      <c r="Q211" s="56">
        <f t="shared" si="8"/>
      </c>
      <c r="R211" s="56">
        <f t="shared" si="247"/>
      </c>
      <c r="S211" s="56">
        <f t="shared" si="209"/>
      </c>
      <c r="T211" s="57">
        <f t="shared" si="171"/>
      </c>
      <c r="U211" s="58">
        <v>0.0067</v>
      </c>
      <c r="V211" s="59">
        <v>48</v>
      </c>
      <c r="W211" s="55">
        <f t="shared" si="133"/>
      </c>
      <c r="X211" s="57">
        <v>47140</v>
      </c>
      <c r="Y211" s="57">
        <v>1446</v>
      </c>
      <c r="Z211" s="57">
        <v>86</v>
      </c>
      <c r="AA211" s="57">
        <v>2562</v>
      </c>
      <c r="AB211" s="57">
        <v>140</v>
      </c>
      <c r="AC211" s="57">
        <v>15</v>
      </c>
      <c r="AD211" s="57">
        <v>7</v>
      </c>
      <c r="AE211" s="57">
        <v>45</v>
      </c>
      <c r="AF211" s="55">
        <f t="shared" si="84"/>
      </c>
      <c r="AG211" s="34" t="s">
        <v>40</v>
      </c>
      <c r="AH211" s="35" t="s">
        <v>41</v>
      </c>
      <c r="AI211" s="59">
        <v>51</v>
      </c>
    </row>
    <row r="212">
      <c r="A212" s="22"/>
      <c r="B212" s="23" t="s">
        <v>69</v>
      </c>
      <c r="C212" s="60" t="s">
        <v>49</v>
      </c>
      <c r="D212" s="50">
        <v>3990.9</v>
      </c>
      <c r="E212" s="51">
        <v>12</v>
      </c>
      <c r="F212" s="51">
        <v>8</v>
      </c>
      <c r="G212" s="52">
        <v>4</v>
      </c>
      <c r="H212" s="53">
        <v>6341.5</v>
      </c>
      <c r="I212" s="110">
        <v>3</v>
      </c>
      <c r="J212" s="55">
        <f t="shared" si="228"/>
      </c>
      <c r="K212" s="55">
        <f t="shared" si="190"/>
      </c>
      <c r="L212" s="55">
        <f t="shared" si="152"/>
      </c>
      <c r="M212" s="56">
        <f t="shared" si="114"/>
      </c>
      <c r="N212" s="55">
        <f t="shared" si="65"/>
      </c>
      <c r="O212" s="55">
        <f t="shared" si="46"/>
      </c>
      <c r="P212" s="56">
        <f t="shared" si="27"/>
      </c>
      <c r="Q212" s="56">
        <f t="shared" si="8"/>
      </c>
      <c r="R212" s="56">
        <f t="shared" si="247"/>
      </c>
      <c r="S212" s="56">
        <f t="shared" si="209"/>
      </c>
      <c r="T212" s="57">
        <f t="shared" si="171"/>
      </c>
      <c r="U212" s="58">
        <v>0.0071</v>
      </c>
      <c r="V212" s="59">
        <v>47</v>
      </c>
      <c r="W212" s="55">
        <f t="shared" si="133"/>
      </c>
      <c r="X212" s="57">
        <v>45057</v>
      </c>
      <c r="Y212" s="57">
        <v>1544</v>
      </c>
      <c r="Z212" s="57">
        <v>99</v>
      </c>
      <c r="AA212" s="57">
        <v>1961</v>
      </c>
      <c r="AB212" s="57">
        <v>104</v>
      </c>
      <c r="AC212" s="57">
        <v>10</v>
      </c>
      <c r="AD212" s="57">
        <v>4</v>
      </c>
      <c r="AE212" s="57">
        <v>43</v>
      </c>
      <c r="AF212" s="55">
        <f t="shared" si="84"/>
      </c>
      <c r="AG212" s="34" t="s">
        <v>40</v>
      </c>
      <c r="AH212" s="35" t="s">
        <v>41</v>
      </c>
      <c r="AI212" s="59">
        <v>44</v>
      </c>
    </row>
    <row r="213">
      <c r="A213" s="22"/>
      <c r="B213" s="23" t="s">
        <v>69</v>
      </c>
      <c r="C213" s="61" t="s">
        <v>50</v>
      </c>
      <c r="D213" s="62">
        <v>3539.53</v>
      </c>
      <c r="E213" s="63">
        <v>11</v>
      </c>
      <c r="F213" s="63">
        <v>10</v>
      </c>
      <c r="G213" s="64">
        <v>10</v>
      </c>
      <c r="H213" s="111">
        <v>6672.5999999999985</v>
      </c>
      <c r="I213" s="26">
        <v>1</v>
      </c>
      <c r="J213" s="28">
        <f t="shared" si="228"/>
      </c>
      <c r="K213" s="29">
        <f t="shared" si="190"/>
      </c>
      <c r="L213" s="29">
        <f t="shared" si="152"/>
      </c>
      <c r="M213" s="30">
        <f t="shared" si="114"/>
      </c>
      <c r="N213" s="29">
        <f t="shared" si="65"/>
      </c>
      <c r="O213" s="29">
        <f t="shared" si="46"/>
      </c>
      <c r="P213" s="30">
        <f t="shared" si="27"/>
      </c>
      <c r="Q213" s="30">
        <f t="shared" si="8"/>
      </c>
      <c r="R213" s="30">
        <f t="shared" si="247"/>
      </c>
      <c r="S213" s="30">
        <f t="shared" si="209"/>
      </c>
      <c r="T213" s="31">
        <f t="shared" si="171"/>
      </c>
      <c r="U213" s="32">
        <v>0.0073</v>
      </c>
      <c r="V213" s="33">
        <v>48</v>
      </c>
      <c r="W213" s="29">
        <f t="shared" si="133"/>
      </c>
      <c r="X213" s="33">
        <v>39353</v>
      </c>
      <c r="Y213" s="33">
        <v>1527</v>
      </c>
      <c r="Z213" s="31">
        <v>103</v>
      </c>
      <c r="AA213" s="31">
        <v>1668</v>
      </c>
      <c r="AB213" s="33">
        <v>119</v>
      </c>
      <c r="AC213" s="31">
        <v>23</v>
      </c>
      <c r="AD213" s="33">
        <v>3</v>
      </c>
      <c r="AE213" s="33">
        <v>33</v>
      </c>
      <c r="AF213" s="29">
        <f t="shared" si="84"/>
      </c>
      <c r="AG213" s="34" t="s">
        <v>40</v>
      </c>
      <c r="AH213" s="35" t="s">
        <v>41</v>
      </c>
      <c r="AI213" s="33">
        <v>43</v>
      </c>
    </row>
    <row r="214">
      <c r="A214" s="22"/>
      <c r="B214" s="23" t="s">
        <v>69</v>
      </c>
      <c r="C214" s="60" t="s">
        <v>51</v>
      </c>
      <c r="D214" s="62">
        <v>3471.72</v>
      </c>
      <c r="E214" s="63">
        <v>6</v>
      </c>
      <c r="F214" s="63">
        <v>5</v>
      </c>
      <c r="G214" s="64">
        <v>3</v>
      </c>
      <c r="H214" s="53">
        <v>2255</v>
      </c>
      <c r="I214" s="112">
        <v>0</v>
      </c>
      <c r="J214" s="55">
        <f t="shared" si="228"/>
      </c>
      <c r="K214" s="55">
        <f t="shared" si="190"/>
      </c>
      <c r="L214" s="55">
        <f t="shared" si="152"/>
      </c>
      <c r="M214" s="56">
        <f t="shared" si="114"/>
      </c>
      <c r="N214" s="55">
        <f t="shared" si="65"/>
      </c>
      <c r="O214" s="55">
        <f t="shared" si="46"/>
      </c>
      <c r="P214" s="56">
        <f t="shared" si="27"/>
      </c>
      <c r="Q214" s="56">
        <f t="shared" si="8"/>
      </c>
      <c r="R214" s="56">
        <f t="shared" si="247"/>
      </c>
      <c r="S214" s="56">
        <f t="shared" si="209"/>
      </c>
      <c r="T214" s="57">
        <f t="shared" si="171"/>
      </c>
      <c r="U214" s="58">
        <v>0.0077</v>
      </c>
      <c r="V214" s="59">
        <v>49</v>
      </c>
      <c r="W214" s="55">
        <f t="shared" si="133"/>
      </c>
      <c r="X214" s="57">
        <v>37060</v>
      </c>
      <c r="Y214" s="57">
        <v>1670</v>
      </c>
      <c r="Z214" s="57">
        <v>104</v>
      </c>
      <c r="AA214" s="57">
        <v>2036</v>
      </c>
      <c r="AB214" s="57">
        <v>58</v>
      </c>
      <c r="AC214" s="57">
        <v>8</v>
      </c>
      <c r="AD214" s="57">
        <v>4</v>
      </c>
      <c r="AE214" s="57">
        <v>39</v>
      </c>
      <c r="AF214" s="55">
        <f t="shared" si="84"/>
      </c>
      <c r="AG214" s="34" t="s">
        <v>40</v>
      </c>
      <c r="AH214" s="35" t="s">
        <v>41</v>
      </c>
      <c r="AI214" s="59">
        <v>26</v>
      </c>
    </row>
    <row r="215">
      <c r="A215" s="22"/>
      <c r="B215" s="23" t="s">
        <v>69</v>
      </c>
      <c r="C215" s="49" t="s">
        <v>53</v>
      </c>
      <c r="D215" s="50">
        <v>3311.49</v>
      </c>
      <c r="E215" s="63">
        <v>9</v>
      </c>
      <c r="F215" s="63">
        <v>7</v>
      </c>
      <c r="G215" s="64">
        <v>4</v>
      </c>
      <c r="H215" s="50">
        <v>4849.9000000000015</v>
      </c>
      <c r="I215" s="65">
        <v>1</v>
      </c>
      <c r="J215" s="55">
        <f t="shared" si="228"/>
      </c>
      <c r="K215" s="55">
        <f t="shared" si="190"/>
      </c>
      <c r="L215" s="55">
        <f t="shared" si="152"/>
      </c>
      <c r="M215" s="56">
        <f t="shared" si="114"/>
      </c>
      <c r="N215" s="55">
        <f t="shared" si="65"/>
      </c>
      <c r="O215" s="55">
        <f t="shared" si="46"/>
      </c>
      <c r="P215" s="56">
        <f t="shared" si="27"/>
      </c>
      <c r="Q215" s="56">
        <f t="shared" si="8"/>
      </c>
      <c r="R215" s="56">
        <f t="shared" si="247"/>
      </c>
      <c r="S215" s="56">
        <f t="shared" si="209"/>
      </c>
      <c r="T215" s="57">
        <f t="shared" si="171"/>
      </c>
      <c r="U215" s="58">
        <v>0.0081</v>
      </c>
      <c r="V215" s="59">
        <v>48</v>
      </c>
      <c r="W215" s="55">
        <f t="shared" si="133"/>
      </c>
      <c r="X215" s="57">
        <v>34813</v>
      </c>
      <c r="Y215" s="57">
        <v>1245</v>
      </c>
      <c r="Z215" s="57">
        <v>86</v>
      </c>
      <c r="AA215" s="57">
        <v>1386</v>
      </c>
      <c r="AB215" s="57">
        <v>73</v>
      </c>
      <c r="AC215" s="57">
        <v>12</v>
      </c>
      <c r="AD215" s="57">
        <v>1</v>
      </c>
      <c r="AE215" s="59">
        <v>27</v>
      </c>
      <c r="AF215" s="55">
        <f t="shared" si="84"/>
      </c>
      <c r="AG215" s="34" t="s">
        <v>40</v>
      </c>
      <c r="AH215" s="35" t="s">
        <v>41</v>
      </c>
      <c r="AI215" s="59">
        <v>40</v>
      </c>
    </row>
    <row r="216">
      <c r="A216" s="22"/>
      <c r="B216" s="67" t="s">
        <v>46</v>
      </c>
      <c r="C216" s="67"/>
      <c r="D216" s="68">
        <f>SUM(D211:D215)</f>
      </c>
      <c r="E216" s="69">
        <f>SUM(E211:E215)</f>
      </c>
      <c r="F216" s="69">
        <f>SUM(F211:F215)</f>
      </c>
      <c r="G216" s="70">
        <f>SUM(G211:G215)</f>
      </c>
      <c r="H216" s="68">
        <f>SUM(H211:H215)</f>
      </c>
      <c r="I216" s="69">
        <f>SUM(I211:I215)</f>
      </c>
      <c r="J216" s="71">
        <f t="shared" si="228"/>
      </c>
      <c r="K216" s="71">
        <f t="shared" si="190"/>
      </c>
      <c r="L216" s="71">
        <f t="shared" si="152"/>
      </c>
      <c r="M216" s="72">
        <f t="shared" si="114"/>
      </c>
      <c r="N216" s="71">
        <f t="shared" si="65"/>
      </c>
      <c r="O216" s="71">
        <f t="shared" si="46"/>
      </c>
      <c r="P216" s="72">
        <f t="shared" si="27"/>
      </c>
      <c r="Q216" s="72">
        <f t="shared" si="8"/>
      </c>
      <c r="R216" s="72">
        <f t="shared" si="247"/>
      </c>
      <c r="S216" s="72">
        <f t="shared" si="209"/>
      </c>
      <c r="T216" s="73">
        <f t="shared" si="171"/>
      </c>
      <c r="U216" s="46">
        <f>AVERAGE(U211:U215)</f>
      </c>
      <c r="V216" s="41">
        <f>AVERAGE(V211:V215)</f>
      </c>
      <c r="W216" s="71">
        <f t="shared" si="133"/>
      </c>
      <c r="X216" s="73">
        <f>SUM(X211:X215)</f>
      </c>
      <c r="Y216" s="73">
        <f>SUM(Y211:Y215)</f>
      </c>
      <c r="Z216" s="73">
        <f>SUM(Z211:Z215)</f>
      </c>
      <c r="AA216" s="73">
        <f>SUM(AA211:AA215)</f>
      </c>
      <c r="AB216" s="73">
        <f>SUM(AB211:AB215)</f>
      </c>
      <c r="AC216" s="73">
        <f>SUM(AC211:AC215)</f>
      </c>
      <c r="AD216" s="73">
        <f>SUM(AD211:AD215)</f>
      </c>
      <c r="AE216" s="73">
        <f>SUM(AE211:AE215)</f>
      </c>
      <c r="AF216" s="74">
        <f t="shared" si="84"/>
      </c>
      <c r="AG216" s="75"/>
      <c r="AH216" s="75"/>
      <c r="AI216" s="70">
        <f>SUM(AI211:AI215)</f>
      </c>
    </row>
    <row r="217">
      <c r="A217" s="22"/>
      <c r="B217" s="49" t="s">
        <v>67</v>
      </c>
      <c r="C217" s="60" t="s">
        <v>55</v>
      </c>
      <c r="D217" s="23">
        <v>3158.55</v>
      </c>
      <c r="E217" s="26">
        <v>9</v>
      </c>
      <c r="F217" s="26">
        <v>6</v>
      </c>
      <c r="G217" s="27">
        <v>5</v>
      </c>
      <c r="H217" s="76">
        <v>5134.800000000003</v>
      </c>
      <c r="I217" s="26">
        <v>3</v>
      </c>
      <c r="J217" s="29">
        <f t="shared" si="228"/>
      </c>
      <c r="K217" s="29">
        <f t="shared" si="190"/>
      </c>
      <c r="L217" s="29">
        <f t="shared" si="152"/>
      </c>
      <c r="M217" s="30">
        <f t="shared" si="114"/>
      </c>
      <c r="N217" s="29">
        <f t="shared" si="65"/>
      </c>
      <c r="O217" s="29">
        <f t="shared" si="46"/>
      </c>
      <c r="P217" s="30">
        <f t="shared" si="27"/>
      </c>
      <c r="Q217" s="30">
        <f t="shared" si="8"/>
      </c>
      <c r="R217" s="30">
        <f t="shared" si="247"/>
      </c>
      <c r="S217" s="30">
        <f t="shared" si="209"/>
      </c>
      <c r="T217" s="31">
        <f t="shared" si="171"/>
      </c>
      <c r="U217" s="32">
        <v>0.0053</v>
      </c>
      <c r="V217" s="33">
        <v>47</v>
      </c>
      <c r="W217" s="29">
        <f t="shared" si="133"/>
      </c>
      <c r="X217" s="33">
        <v>42313</v>
      </c>
      <c r="Y217" s="33">
        <v>2143</v>
      </c>
      <c r="Z217" s="31">
        <v>99</v>
      </c>
      <c r="AA217" s="31">
        <v>3252</v>
      </c>
      <c r="AB217" s="31">
        <v>98</v>
      </c>
      <c r="AC217" s="31">
        <v>14</v>
      </c>
      <c r="AD217" s="33">
        <v>3</v>
      </c>
      <c r="AE217" s="33">
        <v>16</v>
      </c>
      <c r="AF217" s="29">
        <f t="shared" si="84"/>
      </c>
      <c r="AG217" s="34" t="s">
        <v>56</v>
      </c>
      <c r="AH217" s="66" t="s">
        <v>72</v>
      </c>
      <c r="AI217" s="33">
        <v>41</v>
      </c>
    </row>
    <row r="218">
      <c r="A218" s="22"/>
      <c r="B218" s="49" t="s">
        <v>67</v>
      </c>
      <c r="C218" s="61" t="s">
        <v>57</v>
      </c>
      <c r="D218" s="23">
        <v>2505.8</v>
      </c>
      <c r="E218" s="26">
        <v>10</v>
      </c>
      <c r="F218" s="26">
        <v>10</v>
      </c>
      <c r="G218" s="27">
        <v>5</v>
      </c>
      <c r="H218" s="76">
        <v>9601.900000000001</v>
      </c>
      <c r="I218" s="26">
        <v>4</v>
      </c>
      <c r="J218" s="29">
        <f t="shared" si="228"/>
      </c>
      <c r="K218" s="29">
        <f t="shared" si="190"/>
      </c>
      <c r="L218" s="29">
        <f t="shared" si="152"/>
      </c>
      <c r="M218" s="30">
        <f t="shared" si="114"/>
      </c>
      <c r="N218" s="29">
        <f t="shared" si="65"/>
      </c>
      <c r="O218" s="29">
        <f t="shared" si="46"/>
      </c>
      <c r="P218" s="30">
        <f t="shared" si="27"/>
      </c>
      <c r="Q218" s="30">
        <f t="shared" si="8"/>
      </c>
      <c r="R218" s="30">
        <f t="shared" si="247"/>
      </c>
      <c r="S218" s="30">
        <f t="shared" si="209"/>
      </c>
      <c r="T218" s="31">
        <f t="shared" si="171"/>
      </c>
      <c r="U218" s="32">
        <v>0.0119</v>
      </c>
      <c r="V218" s="33">
        <v>46</v>
      </c>
      <c r="W218" s="29">
        <f t="shared" si="133"/>
      </c>
      <c r="X218" s="31">
        <v>22675</v>
      </c>
      <c r="Y218" s="31">
        <v>730</v>
      </c>
      <c r="Z218" s="31">
        <v>69</v>
      </c>
      <c r="AA218" s="31">
        <v>884</v>
      </c>
      <c r="AB218" s="31">
        <v>65</v>
      </c>
      <c r="AC218" s="31">
        <v>7</v>
      </c>
      <c r="AD218" s="31">
        <v>0</v>
      </c>
      <c r="AE218" s="33">
        <v>21</v>
      </c>
      <c r="AF218" s="29">
        <f t="shared" si="84"/>
      </c>
      <c r="AG218" s="34" t="s">
        <v>56</v>
      </c>
      <c r="AH218" s="66" t="s">
        <v>72</v>
      </c>
      <c r="AI218" s="33">
        <v>26</v>
      </c>
    </row>
    <row r="219">
      <c r="A219" s="22"/>
      <c r="B219" s="49" t="s">
        <v>67</v>
      </c>
      <c r="C219" s="60" t="s">
        <v>58</v>
      </c>
      <c r="D219" s="23">
        <v>3473.58</v>
      </c>
      <c r="E219" s="26">
        <v>9</v>
      </c>
      <c r="F219" s="26">
        <v>6</v>
      </c>
      <c r="G219" s="27">
        <v>1</v>
      </c>
      <c r="H219" s="76">
        <v>4007.300000000003</v>
      </c>
      <c r="I219" s="26">
        <v>2</v>
      </c>
      <c r="J219" s="29">
        <f t="shared" si="228"/>
      </c>
      <c r="K219" s="29">
        <f t="shared" si="190"/>
      </c>
      <c r="L219" s="29">
        <f t="shared" si="152"/>
      </c>
      <c r="M219" s="30">
        <f t="shared" si="114"/>
      </c>
      <c r="N219" s="29">
        <f t="shared" si="65"/>
      </c>
      <c r="O219" s="29">
        <f t="shared" si="46"/>
      </c>
      <c r="P219" s="30">
        <f t="shared" si="27"/>
      </c>
      <c r="Q219" s="30">
        <f t="shared" si="8"/>
      </c>
      <c r="R219" s="30">
        <f t="shared" si="247"/>
      </c>
      <c r="S219" s="30">
        <f t="shared" si="209"/>
      </c>
      <c r="T219" s="31">
        <f t="shared" si="171"/>
      </c>
      <c r="U219" s="32">
        <v>0.0058</v>
      </c>
      <c r="V219" s="33">
        <v>44</v>
      </c>
      <c r="W219" s="29">
        <f t="shared" si="133"/>
      </c>
      <c r="X219" s="33">
        <v>30137</v>
      </c>
      <c r="Y219" s="33">
        <v>1938</v>
      </c>
      <c r="Z219" s="33">
        <v>76</v>
      </c>
      <c r="AA219" s="33">
        <v>3886</v>
      </c>
      <c r="AB219" s="33">
        <v>90</v>
      </c>
      <c r="AC219" s="33">
        <v>18</v>
      </c>
      <c r="AD219" s="33">
        <v>4</v>
      </c>
      <c r="AE219" s="33">
        <v>20</v>
      </c>
      <c r="AF219" s="29">
        <f t="shared" si="84"/>
      </c>
      <c r="AG219" s="34" t="s">
        <v>56</v>
      </c>
      <c r="AH219" s="66" t="s">
        <v>72</v>
      </c>
      <c r="AI219" s="33">
        <v>41</v>
      </c>
    </row>
    <row r="220">
      <c r="A220" s="22"/>
      <c r="B220" s="40" t="s">
        <v>46</v>
      </c>
      <c r="C220" s="40"/>
      <c r="D220" s="77">
        <f>SUM(D217:D219)</f>
      </c>
      <c r="E220" s="78">
        <f>SUM(E217:E219)</f>
      </c>
      <c r="F220" s="78">
        <f>SUM(F217:F219)</f>
      </c>
      <c r="G220" s="79">
        <f>SUM(G217:G219)</f>
      </c>
      <c r="H220" s="77">
        <f>SUM(H217:H219)</f>
      </c>
      <c r="I220" s="44">
        <f>SUM(I217:I219)</f>
      </c>
      <c r="J220" s="45">
        <f t="shared" si="228"/>
      </c>
      <c r="K220" s="45">
        <f t="shared" si="190"/>
      </c>
      <c r="L220" s="45">
        <f t="shared" si="152"/>
      </c>
      <c r="M220" s="46">
        <f t="shared" si="114"/>
      </c>
      <c r="N220" s="45">
        <f t="shared" si="65"/>
      </c>
      <c r="O220" s="45">
        <f t="shared" si="46"/>
      </c>
      <c r="P220" s="46">
        <f t="shared" si="27"/>
      </c>
      <c r="Q220" s="46">
        <f t="shared" si="8"/>
      </c>
      <c r="R220" s="46">
        <f t="shared" si="247"/>
      </c>
      <c r="S220" s="46">
        <f t="shared" si="209"/>
      </c>
      <c r="T220" s="42">
        <f t="shared" si="171"/>
      </c>
      <c r="U220" s="46">
        <f>AVERAGE(U217:U219)</f>
      </c>
      <c r="V220" s="41">
        <f>AVERAGE(V217:V219)</f>
      </c>
      <c r="W220" s="45">
        <f t="shared" si="133"/>
      </c>
      <c r="X220" s="42">
        <f>SUM(X217:X219)</f>
      </c>
      <c r="Y220" s="42">
        <f>SUM(Y217:Y219)</f>
      </c>
      <c r="Z220" s="42">
        <f>SUM(Z217:Z219)</f>
      </c>
      <c r="AA220" s="42">
        <f>SUM(AA217:AA219)</f>
      </c>
      <c r="AB220" s="42">
        <f>SUM(AB217:AB219)</f>
      </c>
      <c r="AC220" s="42">
        <f>SUM(AC217:AC219)</f>
      </c>
      <c r="AD220" s="42">
        <f>SUM(AD217:AD219)</f>
      </c>
      <c r="AE220" s="42">
        <f>SUM(AE217:AE219)</f>
      </c>
      <c r="AF220" s="47">
        <f t="shared" si="84"/>
      </c>
      <c r="AG220" s="48"/>
      <c r="AH220" s="48"/>
      <c r="AI220" s="42">
        <f>SUM(AI217:AI219)</f>
      </c>
    </row>
    <row customHeight="true" ht="18.452380952380953" r="221">
      <c r="A221" s="22"/>
      <c r="B221" s="49" t="s">
        <v>54</v>
      </c>
      <c r="C221" s="49" t="s">
        <v>59</v>
      </c>
      <c r="D221" s="80">
        <v>2473.12</v>
      </c>
      <c r="E221" s="51">
        <v>5</v>
      </c>
      <c r="F221" s="51">
        <v>4</v>
      </c>
      <c r="G221" s="52">
        <v>5</v>
      </c>
      <c r="H221" s="53">
        <v>1803.9999999999854</v>
      </c>
      <c r="I221" s="54">
        <v>0</v>
      </c>
      <c r="J221" s="55">
        <f t="shared" si="228"/>
      </c>
      <c r="K221" s="55">
        <f t="shared" si="190"/>
      </c>
      <c r="L221" s="55">
        <f t="shared" si="152"/>
      </c>
      <c r="M221" s="56">
        <f t="shared" si="114"/>
      </c>
      <c r="N221" s="55">
        <f t="shared" si="65"/>
      </c>
      <c r="O221" s="55">
        <f t="shared" si="46"/>
      </c>
      <c r="P221" s="56">
        <f t="shared" si="27"/>
      </c>
      <c r="Q221" s="56">
        <f t="shared" si="8"/>
      </c>
      <c r="R221" s="56">
        <f t="shared" si="247"/>
      </c>
      <c r="S221" s="56">
        <f t="shared" si="209"/>
      </c>
      <c r="T221" s="57">
        <f t="shared" si="171"/>
      </c>
      <c r="U221" s="58">
        <v>0.025</v>
      </c>
      <c r="V221" s="59">
        <v>45</v>
      </c>
      <c r="W221" s="29">
        <f t="shared" si="133"/>
      </c>
      <c r="X221" s="57">
        <v>18234</v>
      </c>
      <c r="Y221" s="57">
        <v>360</v>
      </c>
      <c r="Z221" s="57">
        <v>62</v>
      </c>
      <c r="AA221" s="57">
        <v>424</v>
      </c>
      <c r="AB221" s="57">
        <v>54</v>
      </c>
      <c r="AC221" s="57">
        <v>14</v>
      </c>
      <c r="AD221" s="57">
        <v>1</v>
      </c>
      <c r="AE221" s="57">
        <v>24</v>
      </c>
      <c r="AF221" s="55" t="str">
        <v>#DIV/0!</v>
      </c>
      <c r="AG221" s="34" t="s">
        <v>56</v>
      </c>
      <c r="AH221" s="66" t="s">
        <v>72</v>
      </c>
      <c r="AI221" s="59">
        <v>29</v>
      </c>
    </row>
    <row r="222">
      <c r="A222" s="22"/>
      <c r="B222" s="49" t="s">
        <v>54</v>
      </c>
      <c r="C222" s="49" t="s">
        <v>61</v>
      </c>
      <c r="D222" s="80">
        <v>3534.24</v>
      </c>
      <c r="E222" s="51">
        <v>13</v>
      </c>
      <c r="F222" s="51">
        <v>12</v>
      </c>
      <c r="G222" s="52">
        <v>12</v>
      </c>
      <c r="H222" s="53">
        <v>7062</v>
      </c>
      <c r="I222" s="54">
        <v>0</v>
      </c>
      <c r="J222" s="55">
        <f t="shared" si="228"/>
      </c>
      <c r="K222" s="55">
        <f t="shared" si="190"/>
      </c>
      <c r="L222" s="55">
        <f t="shared" si="152"/>
      </c>
      <c r="M222" s="56">
        <f t="shared" si="114"/>
      </c>
      <c r="N222" s="55">
        <f t="shared" si="65"/>
      </c>
      <c r="O222" s="55">
        <f t="shared" si="46"/>
      </c>
      <c r="P222" s="56">
        <f t="shared" si="27"/>
      </c>
      <c r="Q222" s="56">
        <f t="shared" si="8"/>
      </c>
      <c r="R222" s="56">
        <f t="shared" si="247"/>
      </c>
      <c r="S222" s="56">
        <f t="shared" si="209"/>
      </c>
      <c r="T222" s="57">
        <f t="shared" si="171"/>
      </c>
      <c r="U222" s="58">
        <v>0.0146</v>
      </c>
      <c r="V222" s="59">
        <v>45</v>
      </c>
      <c r="W222" s="55">
        <f t="shared" si="133"/>
      </c>
      <c r="X222" s="57">
        <v>29663</v>
      </c>
      <c r="Y222" s="57">
        <v>1228</v>
      </c>
      <c r="Z222" s="57">
        <v>110</v>
      </c>
      <c r="AA222" s="57">
        <v>2046</v>
      </c>
      <c r="AB222" s="57">
        <v>121</v>
      </c>
      <c r="AC222" s="57">
        <v>22</v>
      </c>
      <c r="AD222" s="57">
        <v>4</v>
      </c>
      <c r="AE222" s="57">
        <v>30</v>
      </c>
      <c r="AF222" s="55">
        <f t="shared" ref="AF222:AF226" si="85">AI222*1000/D222</f>
      </c>
      <c r="AG222" s="34" t="s">
        <v>56</v>
      </c>
      <c r="AH222" s="66" t="s">
        <v>72</v>
      </c>
      <c r="AI222" s="59">
        <v>82</v>
      </c>
    </row>
    <row r="223">
      <c r="A223" s="22"/>
      <c r="B223" s="49" t="s">
        <v>54</v>
      </c>
      <c r="C223" s="49" t="s">
        <v>62</v>
      </c>
      <c r="D223" s="81">
        <v>4035.59</v>
      </c>
      <c r="E223" s="63">
        <v>17</v>
      </c>
      <c r="F223" s="63">
        <v>15</v>
      </c>
      <c r="G223" s="64">
        <v>14</v>
      </c>
      <c r="H223" s="91">
        <v>12911.800000000003</v>
      </c>
      <c r="I223" s="54">
        <v>4</v>
      </c>
      <c r="J223" s="55">
        <f t="shared" si="228"/>
      </c>
      <c r="K223" s="55">
        <f t="shared" si="190"/>
      </c>
      <c r="L223" s="55">
        <f t="shared" si="152"/>
      </c>
      <c r="M223" s="56">
        <f t="shared" si="114"/>
      </c>
      <c r="N223" s="55">
        <f t="shared" si="65"/>
      </c>
      <c r="O223" s="55">
        <f t="shared" si="46"/>
      </c>
      <c r="P223" s="56">
        <f t="shared" si="27"/>
      </c>
      <c r="Q223" s="56">
        <f t="shared" si="8"/>
      </c>
      <c r="R223" s="56">
        <f t="shared" si="247"/>
      </c>
      <c r="S223" s="56">
        <f t="shared" si="209"/>
      </c>
      <c r="T223" s="57">
        <f t="shared" si="171"/>
      </c>
      <c r="U223" s="58">
        <v>0.0173</v>
      </c>
      <c r="V223" s="59">
        <v>46</v>
      </c>
      <c r="W223" s="55">
        <f t="shared" si="133"/>
      </c>
      <c r="X223" s="57">
        <v>37902</v>
      </c>
      <c r="Y223" s="57">
        <v>850</v>
      </c>
      <c r="Z223" s="57">
        <v>111</v>
      </c>
      <c r="AA223" s="57">
        <v>937</v>
      </c>
      <c r="AB223" s="57">
        <v>118</v>
      </c>
      <c r="AC223" s="57">
        <v>20</v>
      </c>
      <c r="AD223" s="57">
        <v>2</v>
      </c>
      <c r="AE223" s="57">
        <v>68</v>
      </c>
      <c r="AF223" s="55">
        <f t="shared" si="85"/>
      </c>
      <c r="AG223" s="34" t="s">
        <v>56</v>
      </c>
      <c r="AH223" s="66" t="s">
        <v>72</v>
      </c>
      <c r="AI223" s="59">
        <v>48</v>
      </c>
    </row>
    <row r="224">
      <c r="A224" s="22"/>
      <c r="B224" s="49" t="s">
        <v>54</v>
      </c>
      <c r="C224" s="49" t="s">
        <v>63</v>
      </c>
      <c r="D224" s="80">
        <v>2987.34</v>
      </c>
      <c r="E224" s="63">
        <v>13</v>
      </c>
      <c r="F224" s="63">
        <v>10</v>
      </c>
      <c r="G224" s="64">
        <v>7</v>
      </c>
      <c r="H224" s="50">
        <v>9641.5</v>
      </c>
      <c r="I224" s="65">
        <v>4</v>
      </c>
      <c r="J224" s="55">
        <f t="shared" si="228"/>
      </c>
      <c r="K224" s="55">
        <f t="shared" si="190"/>
      </c>
      <c r="L224" s="55">
        <f t="shared" si="152"/>
      </c>
      <c r="M224" s="56">
        <f t="shared" si="114"/>
      </c>
      <c r="N224" s="55">
        <f t="shared" si="65"/>
      </c>
      <c r="O224" s="55">
        <f t="shared" si="46"/>
      </c>
      <c r="P224" s="56">
        <f t="shared" si="27"/>
      </c>
      <c r="Q224" s="56">
        <f t="shared" si="8"/>
      </c>
      <c r="R224" s="56">
        <f t="shared" si="247"/>
      </c>
      <c r="S224" s="56">
        <f t="shared" si="209"/>
      </c>
      <c r="T224" s="57">
        <f t="shared" si="171"/>
      </c>
      <c r="U224" s="58">
        <v>0.0142</v>
      </c>
      <c r="V224" s="59">
        <v>47</v>
      </c>
      <c r="W224" s="55">
        <f t="shared" si="133"/>
      </c>
      <c r="X224" s="57">
        <v>30999</v>
      </c>
      <c r="Y224" s="57">
        <v>705</v>
      </c>
      <c r="Z224" s="57">
        <v>85</v>
      </c>
      <c r="AA224" s="57">
        <v>752</v>
      </c>
      <c r="AB224" s="57">
        <v>134</v>
      </c>
      <c r="AC224" s="57">
        <v>24</v>
      </c>
      <c r="AD224" s="57">
        <v>1</v>
      </c>
      <c r="AE224" s="57">
        <v>50</v>
      </c>
      <c r="AF224" s="55">
        <f t="shared" si="85"/>
      </c>
      <c r="AG224" s="34" t="s">
        <v>56</v>
      </c>
      <c r="AH224" s="66" t="s">
        <v>72</v>
      </c>
      <c r="AI224" s="59">
        <v>42</v>
      </c>
    </row>
    <row r="225">
      <c r="A225" s="22"/>
      <c r="B225" s="49" t="s">
        <v>54</v>
      </c>
      <c r="C225" s="49" t="s">
        <v>64</v>
      </c>
      <c r="D225" s="50">
        <v>1993.76</v>
      </c>
      <c r="E225" s="65">
        <v>3</v>
      </c>
      <c r="F225" s="65">
        <v>3</v>
      </c>
      <c r="G225" s="52">
        <v>3</v>
      </c>
      <c r="H225" s="80">
        <v>3738.9000000000087</v>
      </c>
      <c r="I225" s="65">
        <v>2</v>
      </c>
      <c r="J225" s="55">
        <f t="shared" si="228"/>
      </c>
      <c r="K225" s="55">
        <f t="shared" si="190"/>
      </c>
      <c r="L225" s="55">
        <f t="shared" si="152"/>
      </c>
      <c r="M225" s="56">
        <f t="shared" si="114"/>
      </c>
      <c r="N225" s="55">
        <f t="shared" si="65"/>
      </c>
      <c r="O225" s="55">
        <f t="shared" si="46"/>
      </c>
      <c r="P225" s="56">
        <f t="shared" si="27"/>
      </c>
      <c r="Q225" s="56">
        <f t="shared" si="8"/>
      </c>
      <c r="R225" s="56">
        <f t="shared" si="247"/>
      </c>
      <c r="S225" s="56">
        <f t="shared" si="209"/>
      </c>
      <c r="T225" s="57">
        <f t="shared" si="171"/>
      </c>
      <c r="U225" s="58">
        <v>0</v>
      </c>
      <c r="V225" s="59">
        <v>48</v>
      </c>
      <c r="W225" s="55">
        <f t="shared" si="133"/>
      </c>
      <c r="X225" s="57">
        <v>21562</v>
      </c>
      <c r="Y225" s="57">
        <v>243</v>
      </c>
      <c r="Z225" s="57">
        <v>38</v>
      </c>
      <c r="AA225" s="57">
        <v>262</v>
      </c>
      <c r="AB225" s="57">
        <v>80</v>
      </c>
      <c r="AC225" s="57">
        <v>5</v>
      </c>
      <c r="AD225" s="57">
        <v>0</v>
      </c>
      <c r="AE225" s="59">
        <v>43</v>
      </c>
      <c r="AF225" s="55">
        <f t="shared" si="85"/>
      </c>
      <c r="AG225" s="34" t="s">
        <v>56</v>
      </c>
      <c r="AH225" s="66" t="s">
        <v>72</v>
      </c>
      <c r="AI225" s="59">
        <v>21</v>
      </c>
    </row>
    <row r="226">
      <c r="A226" s="22"/>
      <c r="B226" s="67" t="s">
        <v>46</v>
      </c>
      <c r="C226" s="67"/>
      <c r="D226" s="41">
        <f>SUM(D221:D225)</f>
      </c>
      <c r="E226" s="42">
        <f>SUM(E221:E225)</f>
      </c>
      <c r="F226" s="42">
        <f>SUM(F221:F225)</f>
      </c>
      <c r="G226" s="43">
        <f>SUM(G221:G225)</f>
      </c>
      <c r="H226" s="41">
        <f>SUM(H221:H225)</f>
      </c>
      <c r="I226" s="44">
        <f>SUM(I221:I225)</f>
      </c>
      <c r="J226" s="109">
        <f t="shared" si="228"/>
      </c>
      <c r="K226" s="45">
        <f t="shared" si="190"/>
      </c>
      <c r="L226" s="45">
        <f t="shared" si="152"/>
      </c>
      <c r="M226" s="46">
        <f t="shared" si="114"/>
      </c>
      <c r="N226" s="45">
        <f t="shared" si="65"/>
      </c>
      <c r="O226" s="45">
        <f t="shared" si="46"/>
      </c>
      <c r="P226" s="46">
        <f t="shared" si="27"/>
      </c>
      <c r="Q226" s="46">
        <f t="shared" si="8"/>
      </c>
      <c r="R226" s="46">
        <f t="shared" si="247"/>
      </c>
      <c r="S226" s="46">
        <f t="shared" si="209"/>
      </c>
      <c r="T226" s="42">
        <f t="shared" si="171"/>
      </c>
      <c r="U226" s="46">
        <f>AVERAGE(U221:U225)</f>
      </c>
      <c r="V226" s="41">
        <f>AVERAGE(V221:V225)</f>
      </c>
      <c r="W226" s="45">
        <f t="shared" si="133"/>
      </c>
      <c r="X226" s="42">
        <f>SUM(X221:X225)</f>
      </c>
      <c r="Y226" s="42">
        <f>SUM(Y221:Y225)</f>
      </c>
      <c r="Z226" s="42">
        <f>SUM(Z221:Z225)</f>
      </c>
      <c r="AA226" s="42">
        <f>SUM(AA221:AA225)</f>
      </c>
      <c r="AB226" s="42">
        <f>SUM(AB221:AB225)</f>
      </c>
      <c r="AC226" s="42">
        <f>SUM(AC221:AC225)</f>
      </c>
      <c r="AD226" s="42">
        <f>SUM(AD221:AD225)</f>
      </c>
      <c r="AE226" s="42">
        <f>SUM(AE221:AE225)</f>
      </c>
      <c r="AF226" s="47">
        <f t="shared" si="85"/>
      </c>
      <c r="AG226" s="75"/>
      <c r="AH226" s="75"/>
      <c r="AI226" s="42">
        <f>SUM(AI221:AI225)</f>
      </c>
    </row>
    <row r="227">
      <c r="A227" s="22"/>
      <c r="B227" s="82" t="s">
        <v>65</v>
      </c>
      <c r="C227" s="82"/>
      <c r="D227" s="83">
        <f>D210+D216+D220+D226</f>
      </c>
      <c r="E227" s="84">
        <f>E210+E216+E220+E226</f>
      </c>
      <c r="F227" s="84">
        <f>F210+F216+F220+F226</f>
      </c>
      <c r="G227" s="84">
        <f>G210+G216+G220+G226</f>
      </c>
      <c r="H227" s="83">
        <f>H210+H216+H220+H226</f>
      </c>
      <c r="I227" s="84">
        <f>I210+I216+I220+I226</f>
      </c>
      <c r="J227" s="86">
        <f t="shared" si="228"/>
      </c>
      <c r="K227" s="87">
        <f t="shared" si="190"/>
      </c>
      <c r="L227" s="87">
        <f t="shared" si="152"/>
      </c>
      <c r="M227" s="88">
        <f t="shared" si="114"/>
      </c>
      <c r="N227" s="87">
        <f t="shared" si="65"/>
      </c>
      <c r="O227" s="87">
        <f t="shared" si="46"/>
      </c>
      <c r="P227" s="88">
        <f t="shared" si="27"/>
      </c>
      <c r="Q227" s="88">
        <f t="shared" si="8"/>
      </c>
      <c r="R227" s="88">
        <f t="shared" si="247"/>
      </c>
      <c r="S227" s="88">
        <f t="shared" si="209"/>
      </c>
      <c r="T227" s="89">
        <f t="shared" si="171"/>
      </c>
      <c r="U227" s="88">
        <f>(U210+U220+U216+U226)/4</f>
      </c>
      <c r="V227" s="87">
        <f>(V210+V220+V216+V226)/4</f>
      </c>
      <c r="W227" s="90">
        <f t="shared" si="133"/>
      </c>
      <c r="X227" s="84">
        <f>X210+X216+X220+X226</f>
      </c>
      <c r="Y227" s="84">
        <f>Y210+Y216+Y220+Y226</f>
      </c>
      <c r="Z227" s="84">
        <f>Z210+Z216+Z220+Z226</f>
      </c>
      <c r="AA227" s="84">
        <f>AA210+AA216+AA220+AA226</f>
      </c>
      <c r="AB227" s="84">
        <f>AB210+AB216+AB220+AB226</f>
      </c>
      <c r="AC227" s="84">
        <f>AC210+AC216+AC220+AC226</f>
      </c>
      <c r="AD227" s="84">
        <f>AD210+AD216+AD220+AD226</f>
      </c>
      <c r="AE227" s="84">
        <f>AE210+AE216+AE220+AE226</f>
      </c>
      <c r="AF227" s="87">
        <f>AF210</f>
      </c>
      <c r="AG227" s="82"/>
      <c r="AH227" s="82"/>
      <c r="AI227" s="84">
        <f>AI210+AI216+AI220+AI226</f>
      </c>
    </row>
    <row r="228">
      <c r="A228" s="1" t="s">
        <v>66</v>
      </c>
      <c r="B228" s="2" t="s">
        <v>1</v>
      </c>
      <c r="C228" s="2"/>
      <c r="D228" s="3" t="s">
        <v>2</v>
      </c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5" t="s">
        <v>3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6"/>
    </row>
    <row r="229">
      <c r="A229" s="1"/>
      <c r="B229" s="2" t="s">
        <v>4</v>
      </c>
      <c r="C229" s="7" t="s">
        <v>5</v>
      </c>
      <c r="D229" s="8" t="s">
        <v>6</v>
      </c>
      <c r="E229" s="9" t="s">
        <v>7</v>
      </c>
      <c r="F229" s="10" t="s">
        <v>8</v>
      </c>
      <c r="G229" s="11" t="s">
        <v>9</v>
      </c>
      <c r="H229" s="8" t="s">
        <v>10</v>
      </c>
      <c r="I229" s="12" t="s">
        <v>11</v>
      </c>
      <c r="J229" s="107" t="s">
        <v>12</v>
      </c>
      <c r="K229" s="13" t="s">
        <v>13</v>
      </c>
      <c r="L229" s="13" t="s">
        <v>14</v>
      </c>
      <c r="M229" s="14" t="s">
        <v>15</v>
      </c>
      <c r="N229" s="13" t="s">
        <v>16</v>
      </c>
      <c r="O229" s="15" t="s">
        <v>17</v>
      </c>
      <c r="P229" s="16" t="s">
        <v>18</v>
      </c>
      <c r="Q229" s="16" t="s">
        <v>19</v>
      </c>
      <c r="R229" s="16" t="s">
        <v>20</v>
      </c>
      <c r="S229" s="16" t="s">
        <v>21</v>
      </c>
      <c r="T229" s="17" t="s">
        <v>22</v>
      </c>
      <c r="U229" s="18" t="s">
        <v>23</v>
      </c>
      <c r="V229" s="19" t="s">
        <v>24</v>
      </c>
      <c r="W229" s="5" t="s">
        <v>25</v>
      </c>
      <c r="X229" s="20" t="s">
        <v>26</v>
      </c>
      <c r="Y229" s="20" t="s">
        <v>27</v>
      </c>
      <c r="Z229" s="20" t="s">
        <v>28</v>
      </c>
      <c r="AA229" s="20" t="s">
        <v>29</v>
      </c>
      <c r="AB229" s="20" t="s">
        <v>30</v>
      </c>
      <c r="AC229" s="20" t="s">
        <v>31</v>
      </c>
      <c r="AD229" s="20" t="s">
        <v>32</v>
      </c>
      <c r="AE229" s="20" t="s">
        <v>33</v>
      </c>
      <c r="AF229" s="5" t="s">
        <v>34</v>
      </c>
      <c r="AG229" s="21" t="s">
        <v>35</v>
      </c>
      <c r="AH229" s="21" t="s">
        <v>36</v>
      </c>
      <c r="AI229" s="6" t="s">
        <v>37</v>
      </c>
    </row>
    <row r="230">
      <c r="A230" s="22">
        <v>46213</v>
      </c>
      <c r="B230" s="49" t="s">
        <v>47</v>
      </c>
      <c r="C230" s="24" t="s">
        <v>39</v>
      </c>
      <c r="D230" s="25">
        <v>3000</v>
      </c>
      <c r="E230" s="26">
        <v>4</v>
      </c>
      <c r="F230" s="26">
        <v>3</v>
      </c>
      <c r="G230" s="27">
        <v>3</v>
      </c>
      <c r="H230" s="25">
        <v>3197.7</v>
      </c>
      <c r="I230" s="108">
        <v>3</v>
      </c>
      <c r="J230" s="29">
        <f t="shared" ref="J230:J252" si="229">H230/D230</f>
      </c>
      <c r="K230" s="28">
        <f t="shared" ref="K230:K252" si="191">D230/F230</f>
      </c>
      <c r="L230" s="29">
        <f t="shared" ref="L230:L252" si="153">D230/G230</f>
      </c>
      <c r="M230" s="30">
        <f t="shared" ref="M230:M252" si="115">F230/E230</f>
      </c>
      <c r="N230" s="29">
        <f t="shared" ref="N230:N252" si="66">H230/F230</f>
      </c>
      <c r="O230" s="29">
        <f t="shared" ref="O230:O252" si="47">D230/Y230</f>
      </c>
      <c r="P230" s="30">
        <f t="shared" ref="P230:P252" si="28">T230/X230*1</f>
      </c>
      <c r="Q230" s="30">
        <f t="shared" ref="Q230:Q252" si="9">Y230/X230</f>
      </c>
      <c r="R230" s="30">
        <f t="shared" ref="R230:R252" si="248">AA230/X230</f>
      </c>
      <c r="S230" s="30">
        <f t="shared" ref="S230:S252" si="210">AB230/AA230</f>
      </c>
      <c r="T230" s="31">
        <f t="shared" ref="T230:T252" si="172">Z230/U230</f>
      </c>
      <c r="U230" s="32">
        <v>0.0088</v>
      </c>
      <c r="V230" s="33">
        <v>31</v>
      </c>
      <c r="W230" s="29">
        <f t="shared" ref="W230:W252" si="134">(D230/X230)*1000</f>
      </c>
      <c r="X230" s="33">
        <v>34882</v>
      </c>
      <c r="Y230" s="33">
        <v>2023</v>
      </c>
      <c r="Z230" s="31">
        <v>80</v>
      </c>
      <c r="AA230" s="31">
        <v>4349</v>
      </c>
      <c r="AB230" s="31">
        <v>97</v>
      </c>
      <c r="AC230" s="31">
        <v>22</v>
      </c>
      <c r="AD230" s="33">
        <v>0</v>
      </c>
      <c r="AE230" s="33">
        <v>36</v>
      </c>
      <c r="AF230" s="29">
        <f t="shared" ref="AF230:AF245" si="86">AI230*1000/D230</f>
      </c>
      <c r="AG230" s="34" t="s">
        <v>40</v>
      </c>
      <c r="AH230" s="35" t="s">
        <v>41</v>
      </c>
      <c r="AI230" s="33">
        <v>35</v>
      </c>
    </row>
    <row r="231">
      <c r="A231" s="22"/>
      <c r="B231" s="49" t="s">
        <v>47</v>
      </c>
      <c r="C231" s="24" t="s">
        <v>42</v>
      </c>
      <c r="D231" s="25">
        <v>2993.98</v>
      </c>
      <c r="E231" s="26">
        <v>8</v>
      </c>
      <c r="F231" s="26">
        <v>6</v>
      </c>
      <c r="G231" s="27">
        <v>4</v>
      </c>
      <c r="H231" s="25">
        <v>4284.499999999999</v>
      </c>
      <c r="I231" s="108">
        <v>3</v>
      </c>
      <c r="J231" s="29">
        <f t="shared" si="229"/>
      </c>
      <c r="K231" s="28">
        <f t="shared" si="191"/>
      </c>
      <c r="L231" s="29">
        <f t="shared" si="153"/>
      </c>
      <c r="M231" s="30">
        <f t="shared" si="115"/>
      </c>
      <c r="N231" s="29">
        <f t="shared" si="66"/>
      </c>
      <c r="O231" s="29">
        <f t="shared" si="47"/>
      </c>
      <c r="P231" s="30">
        <f t="shared" si="28"/>
      </c>
      <c r="Q231" s="30">
        <f t="shared" si="9"/>
      </c>
      <c r="R231" s="30">
        <f t="shared" si="248"/>
      </c>
      <c r="S231" s="30">
        <f t="shared" si="210"/>
      </c>
      <c r="T231" s="31">
        <f t="shared" si="172"/>
      </c>
      <c r="U231" s="32">
        <v>0.0125</v>
      </c>
      <c r="V231" s="33">
        <v>35</v>
      </c>
      <c r="W231" s="29">
        <f t="shared" si="134"/>
      </c>
      <c r="X231" s="33">
        <v>29378</v>
      </c>
      <c r="Y231" s="33">
        <v>1351</v>
      </c>
      <c r="Z231" s="31">
        <v>104</v>
      </c>
      <c r="AA231" s="31">
        <v>3014</v>
      </c>
      <c r="AB231" s="33">
        <v>121</v>
      </c>
      <c r="AC231" s="31">
        <v>19</v>
      </c>
      <c r="AD231" s="33">
        <v>4</v>
      </c>
      <c r="AE231" s="33">
        <v>27</v>
      </c>
      <c r="AF231" s="29">
        <f t="shared" si="86"/>
      </c>
      <c r="AG231" s="34" t="s">
        <v>40</v>
      </c>
      <c r="AH231" s="35" t="s">
        <v>41</v>
      </c>
      <c r="AI231" s="33">
        <v>55</v>
      </c>
    </row>
    <row r="232">
      <c r="A232" s="22"/>
      <c r="B232" s="49" t="s">
        <v>47</v>
      </c>
      <c r="C232" s="24" t="s">
        <v>43</v>
      </c>
      <c r="D232" s="25">
        <v>2487.15</v>
      </c>
      <c r="E232" s="26">
        <v>14</v>
      </c>
      <c r="F232" s="26">
        <v>10</v>
      </c>
      <c r="G232" s="27">
        <v>8</v>
      </c>
      <c r="H232" s="25">
        <v>5872.9</v>
      </c>
      <c r="I232" s="108">
        <v>1</v>
      </c>
      <c r="J232" s="29">
        <f t="shared" si="229"/>
      </c>
      <c r="K232" s="28">
        <f t="shared" si="191"/>
      </c>
      <c r="L232" s="29">
        <f t="shared" si="153"/>
      </c>
      <c r="M232" s="30">
        <f t="shared" si="115"/>
      </c>
      <c r="N232" s="29">
        <f t="shared" si="66"/>
      </c>
      <c r="O232" s="29">
        <f t="shared" si="47"/>
      </c>
      <c r="P232" s="30">
        <f t="shared" si="28"/>
      </c>
      <c r="Q232" s="30">
        <f t="shared" si="9"/>
      </c>
      <c r="R232" s="30">
        <f t="shared" si="248"/>
      </c>
      <c r="S232" s="30">
        <f t="shared" si="210"/>
      </c>
      <c r="T232" s="31">
        <f t="shared" si="172"/>
      </c>
      <c r="U232" s="32">
        <v>0.0091</v>
      </c>
      <c r="V232" s="33">
        <v>38</v>
      </c>
      <c r="W232" s="29">
        <f t="shared" si="134"/>
      </c>
      <c r="X232" s="33">
        <v>24149</v>
      </c>
      <c r="Y232" s="33">
        <v>786</v>
      </c>
      <c r="Z232" s="31">
        <v>72</v>
      </c>
      <c r="AA232" s="31">
        <v>895</v>
      </c>
      <c r="AB232" s="33">
        <v>104</v>
      </c>
      <c r="AC232" s="31">
        <v>19</v>
      </c>
      <c r="AD232" s="33">
        <v>1</v>
      </c>
      <c r="AE232" s="33">
        <v>13</v>
      </c>
      <c r="AF232" s="29">
        <f t="shared" si="86"/>
      </c>
      <c r="AG232" s="34" t="s">
        <v>40</v>
      </c>
      <c r="AH232" s="35" t="s">
        <v>41</v>
      </c>
      <c r="AI232" s="33">
        <v>42</v>
      </c>
    </row>
    <row r="233">
      <c r="A233" s="22"/>
      <c r="B233" s="49" t="s">
        <v>47</v>
      </c>
      <c r="C233" s="36" t="s">
        <v>44</v>
      </c>
      <c r="D233" s="25">
        <v>3872.99</v>
      </c>
      <c r="E233" s="26">
        <v>11</v>
      </c>
      <c r="F233" s="26">
        <v>9</v>
      </c>
      <c r="G233" s="27">
        <v>7</v>
      </c>
      <c r="H233" s="25">
        <v>5860.799999999999</v>
      </c>
      <c r="I233" s="108">
        <v>2</v>
      </c>
      <c r="J233" s="29">
        <f t="shared" si="229"/>
      </c>
      <c r="K233" s="28">
        <f t="shared" si="191"/>
      </c>
      <c r="L233" s="29">
        <f t="shared" si="153"/>
      </c>
      <c r="M233" s="30">
        <f t="shared" si="115"/>
      </c>
      <c r="N233" s="29">
        <f t="shared" si="66"/>
      </c>
      <c r="O233" s="29">
        <f t="shared" si="47"/>
      </c>
      <c r="P233" s="30">
        <f t="shared" si="28"/>
      </c>
      <c r="Q233" s="30">
        <f t="shared" si="9"/>
      </c>
      <c r="R233" s="30">
        <f t="shared" si="248"/>
      </c>
      <c r="S233" s="30">
        <f t="shared" si="210"/>
      </c>
      <c r="T233" s="31">
        <f t="shared" si="172"/>
      </c>
      <c r="U233" s="32">
        <v>0.0097</v>
      </c>
      <c r="V233" s="33">
        <v>37</v>
      </c>
      <c r="W233" s="29">
        <f t="shared" si="134"/>
      </c>
      <c r="X233" s="33">
        <v>40157</v>
      </c>
      <c r="Y233" s="33">
        <v>1285</v>
      </c>
      <c r="Z233" s="31">
        <v>106</v>
      </c>
      <c r="AA233" s="31">
        <v>1718</v>
      </c>
      <c r="AB233" s="33">
        <v>119</v>
      </c>
      <c r="AC233" s="31">
        <v>15</v>
      </c>
      <c r="AD233" s="33">
        <v>1</v>
      </c>
      <c r="AE233" s="33">
        <v>28</v>
      </c>
      <c r="AF233" s="29">
        <f t="shared" si="86"/>
      </c>
      <c r="AG233" s="34" t="s">
        <v>40</v>
      </c>
      <c r="AH233" s="35" t="s">
        <v>41</v>
      </c>
      <c r="AI233" s="33">
        <v>56</v>
      </c>
    </row>
    <row r="234">
      <c r="A234" s="22"/>
      <c r="B234" s="49" t="s">
        <v>47</v>
      </c>
      <c r="C234" s="24" t="s">
        <v>45</v>
      </c>
      <c r="D234" s="25">
        <v>4190.31</v>
      </c>
      <c r="E234" s="26">
        <v>22</v>
      </c>
      <c r="F234" s="26">
        <v>20</v>
      </c>
      <c r="G234" s="27">
        <v>13</v>
      </c>
      <c r="H234" s="25">
        <v>11918.5</v>
      </c>
      <c r="I234" s="108">
        <v>3</v>
      </c>
      <c r="J234" s="29">
        <f t="shared" si="229"/>
      </c>
      <c r="K234" s="28">
        <f t="shared" si="191"/>
      </c>
      <c r="L234" s="29">
        <f t="shared" si="153"/>
      </c>
      <c r="M234" s="30">
        <f t="shared" si="115"/>
      </c>
      <c r="N234" s="29">
        <f t="shared" si="66"/>
      </c>
      <c r="O234" s="29">
        <f t="shared" si="47"/>
      </c>
      <c r="P234" s="30">
        <f t="shared" si="28"/>
      </c>
      <c r="Q234" s="30">
        <f t="shared" si="9"/>
      </c>
      <c r="R234" s="30">
        <f t="shared" si="248"/>
      </c>
      <c r="S234" s="30">
        <f t="shared" si="210"/>
      </c>
      <c r="T234" s="31">
        <f t="shared" si="172"/>
      </c>
      <c r="U234" s="32">
        <v>0.0079</v>
      </c>
      <c r="V234" s="33">
        <v>38</v>
      </c>
      <c r="W234" s="29">
        <f t="shared" si="134"/>
      </c>
      <c r="X234" s="33">
        <v>43313</v>
      </c>
      <c r="Y234" s="33">
        <v>1954</v>
      </c>
      <c r="Z234" s="33">
        <v>119</v>
      </c>
      <c r="AA234" s="33">
        <v>4566</v>
      </c>
      <c r="AB234" s="33">
        <v>202</v>
      </c>
      <c r="AC234" s="33">
        <v>20</v>
      </c>
      <c r="AD234" s="33">
        <v>7</v>
      </c>
      <c r="AE234" s="33">
        <v>28</v>
      </c>
      <c r="AF234" s="29">
        <f t="shared" si="86"/>
      </c>
      <c r="AG234" s="34" t="s">
        <v>40</v>
      </c>
      <c r="AH234" s="35" t="s">
        <v>41</v>
      </c>
      <c r="AI234" s="33">
        <v>53</v>
      </c>
    </row>
    <row r="235">
      <c r="A235" s="22"/>
      <c r="B235" s="40" t="s">
        <v>46</v>
      </c>
      <c r="C235" s="40"/>
      <c r="D235" s="41">
        <f>SUM(D230:D234)</f>
      </c>
      <c r="E235" s="42">
        <f>SUM(E230:E234)</f>
      </c>
      <c r="F235" s="42">
        <f>SUM(F230:F234)</f>
      </c>
      <c r="G235" s="43">
        <f>SUM(G230:G234)</f>
      </c>
      <c r="H235" s="45">
        <f>SUM(H230:H234)</f>
      </c>
      <c r="I235" s="44">
        <f>SUM(I230:I234)</f>
      </c>
      <c r="J235" s="109">
        <f t="shared" si="229"/>
      </c>
      <c r="K235" s="45">
        <f t="shared" si="191"/>
      </c>
      <c r="L235" s="45">
        <f t="shared" si="153"/>
      </c>
      <c r="M235" s="46">
        <f t="shared" si="115"/>
      </c>
      <c r="N235" s="45">
        <f t="shared" si="66"/>
      </c>
      <c r="O235" s="45">
        <f t="shared" si="47"/>
      </c>
      <c r="P235" s="46">
        <f t="shared" si="28"/>
      </c>
      <c r="Q235" s="46">
        <f t="shared" si="9"/>
      </c>
      <c r="R235" s="46">
        <f t="shared" si="248"/>
      </c>
      <c r="S235" s="46">
        <f t="shared" si="210"/>
      </c>
      <c r="T235" s="42">
        <f t="shared" si="172"/>
      </c>
      <c r="U235" s="46">
        <f>AVERAGE(U230:U234)</f>
      </c>
      <c r="V235" s="41">
        <f>AVERAGE(V230:V234)</f>
      </c>
      <c r="W235" s="45">
        <f t="shared" si="134"/>
      </c>
      <c r="X235" s="42">
        <f>SUM(X230:X234)</f>
      </c>
      <c r="Y235" s="42">
        <f>SUM(Y230:Y234)</f>
      </c>
      <c r="Z235" s="42">
        <f>SUM(Z230:Z234)</f>
      </c>
      <c r="AA235" s="42">
        <f>SUM(AA230:AA234)</f>
      </c>
      <c r="AB235" s="42">
        <f>SUM(AB230:AB234)</f>
      </c>
      <c r="AC235" s="42">
        <f>SUM(AC230:AC234)</f>
      </c>
      <c r="AD235" s="42">
        <f>SUM(AD230:AD234)</f>
      </c>
      <c r="AE235" s="42">
        <f>SUM(AE230:AE234)</f>
      </c>
      <c r="AF235" s="47">
        <f t="shared" si="86"/>
      </c>
      <c r="AG235" s="48"/>
      <c r="AH235" s="48"/>
      <c r="AI235" s="43">
        <f>SUM(AI230:AI234)</f>
      </c>
    </row>
    <row r="236">
      <c r="A236" s="22"/>
      <c r="B236" s="23" t="s">
        <v>54</v>
      </c>
      <c r="C236" s="23" t="s">
        <v>48</v>
      </c>
      <c r="D236" s="50">
        <v>4427.75</v>
      </c>
      <c r="E236" s="51">
        <v>14</v>
      </c>
      <c r="F236" s="51">
        <v>12</v>
      </c>
      <c r="G236" s="52">
        <v>10</v>
      </c>
      <c r="H236" s="53">
        <v>6131.399999999998</v>
      </c>
      <c r="I236" s="54">
        <v>1</v>
      </c>
      <c r="J236" s="55">
        <f t="shared" si="229"/>
      </c>
      <c r="K236" s="55">
        <f t="shared" si="191"/>
      </c>
      <c r="L236" s="55">
        <f t="shared" si="153"/>
      </c>
      <c r="M236" s="56">
        <f t="shared" si="115"/>
      </c>
      <c r="N236" s="55">
        <f t="shared" si="66"/>
      </c>
      <c r="O236" s="55">
        <f t="shared" si="47"/>
      </c>
      <c r="P236" s="56">
        <f t="shared" si="28"/>
      </c>
      <c r="Q236" s="56">
        <f t="shared" si="9"/>
      </c>
      <c r="R236" s="56">
        <f t="shared" si="248"/>
      </c>
      <c r="S236" s="56">
        <f t="shared" si="210"/>
      </c>
      <c r="T236" s="57">
        <f t="shared" si="172"/>
      </c>
      <c r="U236" s="58">
        <v>0.0063</v>
      </c>
      <c r="V236" s="59">
        <v>39</v>
      </c>
      <c r="W236" s="55">
        <f t="shared" si="134"/>
      </c>
      <c r="X236" s="57">
        <v>53482</v>
      </c>
      <c r="Y236" s="57">
        <v>2124</v>
      </c>
      <c r="Z236" s="57">
        <v>132</v>
      </c>
      <c r="AA236" s="57">
        <v>3444</v>
      </c>
      <c r="AB236" s="57">
        <v>180</v>
      </c>
      <c r="AC236" s="57">
        <v>31</v>
      </c>
      <c r="AD236" s="57">
        <v>7</v>
      </c>
      <c r="AE236" s="57">
        <v>29</v>
      </c>
      <c r="AF236" s="55">
        <f t="shared" si="86"/>
      </c>
      <c r="AG236" s="34" t="s">
        <v>40</v>
      </c>
      <c r="AH236" s="35" t="s">
        <v>41</v>
      </c>
      <c r="AI236" s="59">
        <v>64</v>
      </c>
    </row>
    <row r="237">
      <c r="A237" s="22"/>
      <c r="B237" s="23" t="s">
        <v>54</v>
      </c>
      <c r="C237" s="60" t="s">
        <v>49</v>
      </c>
      <c r="D237" s="50">
        <v>3987.85</v>
      </c>
      <c r="E237" s="51">
        <v>13</v>
      </c>
      <c r="F237" s="51">
        <v>10</v>
      </c>
      <c r="G237" s="52">
        <v>9</v>
      </c>
      <c r="H237" s="53">
        <v>6235.9000000000015</v>
      </c>
      <c r="I237" s="110">
        <v>1</v>
      </c>
      <c r="J237" s="55">
        <f t="shared" si="229"/>
      </c>
      <c r="K237" s="55">
        <f t="shared" si="191"/>
      </c>
      <c r="L237" s="55">
        <f t="shared" si="153"/>
      </c>
      <c r="M237" s="56">
        <f t="shared" si="115"/>
      </c>
      <c r="N237" s="55">
        <f t="shared" si="66"/>
      </c>
      <c r="O237" s="55">
        <f t="shared" si="47"/>
      </c>
      <c r="P237" s="56">
        <f t="shared" si="28"/>
      </c>
      <c r="Q237" s="56">
        <f t="shared" si="9"/>
      </c>
      <c r="R237" s="56">
        <f t="shared" si="248"/>
      </c>
      <c r="S237" s="56">
        <f t="shared" si="210"/>
      </c>
      <c r="T237" s="57">
        <f t="shared" si="172"/>
      </c>
      <c r="U237" s="58">
        <v>0.0071</v>
      </c>
      <c r="V237" s="59">
        <v>41</v>
      </c>
      <c r="W237" s="55">
        <f t="shared" si="134"/>
      </c>
      <c r="X237" s="57">
        <v>51012</v>
      </c>
      <c r="Y237" s="57">
        <v>1705</v>
      </c>
      <c r="Z237" s="57">
        <v>118</v>
      </c>
      <c r="AA237" s="57">
        <v>2686</v>
      </c>
      <c r="AB237" s="57">
        <v>132</v>
      </c>
      <c r="AC237" s="57">
        <v>22</v>
      </c>
      <c r="AD237" s="57">
        <v>4</v>
      </c>
      <c r="AE237" s="57">
        <v>28</v>
      </c>
      <c r="AF237" s="55">
        <f t="shared" si="86"/>
      </c>
      <c r="AG237" s="34" t="s">
        <v>40</v>
      </c>
      <c r="AH237" s="35" t="s">
        <v>41</v>
      </c>
      <c r="AI237" s="59">
        <v>51</v>
      </c>
    </row>
    <row r="238">
      <c r="A238" s="22"/>
      <c r="B238" s="23" t="s">
        <v>54</v>
      </c>
      <c r="C238" s="61" t="s">
        <v>50</v>
      </c>
      <c r="D238" s="62">
        <v>4018.59</v>
      </c>
      <c r="E238" s="63">
        <v>9</v>
      </c>
      <c r="F238" s="63">
        <v>6</v>
      </c>
      <c r="G238" s="64">
        <v>5</v>
      </c>
      <c r="H238" s="111">
        <v>4804.800000000003</v>
      </c>
      <c r="I238" s="26">
        <v>2</v>
      </c>
      <c r="J238" s="28">
        <f t="shared" si="229"/>
      </c>
      <c r="K238" s="29">
        <f t="shared" si="191"/>
      </c>
      <c r="L238" s="29">
        <f t="shared" si="153"/>
      </c>
      <c r="M238" s="30">
        <f t="shared" si="115"/>
      </c>
      <c r="N238" s="29">
        <f t="shared" si="66"/>
      </c>
      <c r="O238" s="29">
        <f t="shared" si="47"/>
      </c>
      <c r="P238" s="30">
        <f t="shared" si="28"/>
      </c>
      <c r="Q238" s="30">
        <f t="shared" si="9"/>
      </c>
      <c r="R238" s="30">
        <f t="shared" si="248"/>
      </c>
      <c r="S238" s="30">
        <f t="shared" si="210"/>
      </c>
      <c r="T238" s="31">
        <f t="shared" si="172"/>
      </c>
      <c r="U238" s="32">
        <v>0.0072</v>
      </c>
      <c r="V238" s="33">
        <v>43</v>
      </c>
      <c r="W238" s="29">
        <f t="shared" si="134"/>
      </c>
      <c r="X238" s="33">
        <v>46750</v>
      </c>
      <c r="Y238" s="33">
        <v>1730</v>
      </c>
      <c r="Z238" s="31">
        <v>107</v>
      </c>
      <c r="AA238" s="31">
        <v>1915</v>
      </c>
      <c r="AB238" s="33">
        <v>111</v>
      </c>
      <c r="AC238" s="31">
        <v>15</v>
      </c>
      <c r="AD238" s="33">
        <v>4</v>
      </c>
      <c r="AE238" s="33">
        <v>46</v>
      </c>
      <c r="AF238" s="29">
        <f t="shared" si="86"/>
      </c>
      <c r="AG238" s="34" t="s">
        <v>40</v>
      </c>
      <c r="AH238" s="35" t="s">
        <v>41</v>
      </c>
      <c r="AI238" s="33">
        <v>46</v>
      </c>
    </row>
    <row r="239">
      <c r="A239" s="22"/>
      <c r="B239" s="23" t="s">
        <v>54</v>
      </c>
      <c r="C239" s="60" t="s">
        <v>51</v>
      </c>
      <c r="D239" s="62">
        <v>3480.84</v>
      </c>
      <c r="E239" s="63">
        <v>15</v>
      </c>
      <c r="F239" s="63">
        <v>10</v>
      </c>
      <c r="G239" s="64">
        <v>9</v>
      </c>
      <c r="H239" s="53">
        <v>5229.4000000000015</v>
      </c>
      <c r="I239" s="112">
        <v>1</v>
      </c>
      <c r="J239" s="55">
        <f t="shared" si="229"/>
      </c>
      <c r="K239" s="55">
        <f t="shared" si="191"/>
      </c>
      <c r="L239" s="55">
        <f t="shared" si="153"/>
      </c>
      <c r="M239" s="56">
        <f t="shared" si="115"/>
      </c>
      <c r="N239" s="55">
        <f t="shared" si="66"/>
      </c>
      <c r="O239" s="55">
        <f t="shared" si="47"/>
      </c>
      <c r="P239" s="56">
        <f t="shared" si="28"/>
      </c>
      <c r="Q239" s="56">
        <f t="shared" si="9"/>
      </c>
      <c r="R239" s="56">
        <f t="shared" si="248"/>
      </c>
      <c r="S239" s="56">
        <f t="shared" si="210"/>
      </c>
      <c r="T239" s="57">
        <f t="shared" si="172"/>
      </c>
      <c r="U239" s="58">
        <v>0.0105</v>
      </c>
      <c r="V239" s="59">
        <v>45</v>
      </c>
      <c r="W239" s="55">
        <f t="shared" si="134"/>
      </c>
      <c r="X239" s="57">
        <v>41237</v>
      </c>
      <c r="Y239" s="57">
        <v>1269</v>
      </c>
      <c r="Z239" s="57">
        <v>102</v>
      </c>
      <c r="AA239" s="57">
        <v>1574</v>
      </c>
      <c r="AB239" s="57">
        <v>128</v>
      </c>
      <c r="AC239" s="57">
        <v>15</v>
      </c>
      <c r="AD239" s="57">
        <v>3</v>
      </c>
      <c r="AE239" s="57">
        <v>32</v>
      </c>
      <c r="AF239" s="55">
        <f t="shared" si="86"/>
      </c>
      <c r="AG239" s="34" t="s">
        <v>40</v>
      </c>
      <c r="AH239" s="35" t="s">
        <v>41</v>
      </c>
      <c r="AI239" s="59">
        <v>51</v>
      </c>
    </row>
    <row r="240">
      <c r="A240" s="22"/>
      <c r="B240" s="67" t="s">
        <v>46</v>
      </c>
      <c r="C240" s="67"/>
      <c r="D240" s="68">
        <f>SUM(D236:D239)</f>
      </c>
      <c r="E240" s="69">
        <f>SUM(E236:E239)</f>
      </c>
      <c r="F240" s="69">
        <f>SUM(F236:F239)</f>
      </c>
      <c r="G240" s="70">
        <f>SUM(G236:G239)</f>
      </c>
      <c r="H240" s="68">
        <f>SUM(H236:H239)</f>
      </c>
      <c r="I240" s="69">
        <f>SUM(I236:I239)</f>
      </c>
      <c r="J240" s="71">
        <f t="shared" si="229"/>
      </c>
      <c r="K240" s="71">
        <f t="shared" si="191"/>
      </c>
      <c r="L240" s="71">
        <f t="shared" si="153"/>
      </c>
      <c r="M240" s="72">
        <f t="shared" si="115"/>
      </c>
      <c r="N240" s="71">
        <f t="shared" si="66"/>
      </c>
      <c r="O240" s="71">
        <f t="shared" si="47"/>
      </c>
      <c r="P240" s="72">
        <f t="shared" si="28"/>
      </c>
      <c r="Q240" s="72">
        <f t="shared" si="9"/>
      </c>
      <c r="R240" s="72">
        <f t="shared" si="248"/>
      </c>
      <c r="S240" s="72">
        <f t="shared" si="210"/>
      </c>
      <c r="T240" s="73">
        <f t="shared" si="172"/>
      </c>
      <c r="U240" s="46">
        <f>AVERAGE(U236:U239)</f>
      </c>
      <c r="V240" s="41">
        <f>AVERAGE(V236:V239)</f>
      </c>
      <c r="W240" s="71">
        <f t="shared" si="134"/>
      </c>
      <c r="X240" s="73">
        <f>SUM(X236:X239)</f>
      </c>
      <c r="Y240" s="73">
        <f>SUM(Y236:Y239)</f>
      </c>
      <c r="Z240" s="73">
        <f>SUM(Z236:Z239)</f>
      </c>
      <c r="AA240" s="73">
        <f>SUM(AA236:AA239)</f>
      </c>
      <c r="AB240" s="73">
        <f>SUM(AB236:AB239)</f>
      </c>
      <c r="AC240" s="73">
        <f>SUM(AC236:AC239)</f>
      </c>
      <c r="AD240" s="73">
        <f>SUM(AD236:AD239)</f>
      </c>
      <c r="AE240" s="73">
        <f>SUM(AE236:AE239)</f>
      </c>
      <c r="AF240" s="74">
        <f t="shared" si="86"/>
      </c>
      <c r="AG240" s="75"/>
      <c r="AH240" s="75"/>
      <c r="AI240" s="70">
        <f>SUM(AI236:AI239)</f>
      </c>
    </row>
    <row customHeight="true" ht="18.452380952380953" r="241">
      <c r="A241" s="22"/>
      <c r="B241" s="49" t="s">
        <v>67</v>
      </c>
      <c r="C241" s="49" t="s">
        <v>53</v>
      </c>
      <c r="D241" s="23">
        <v>3509.96</v>
      </c>
      <c r="E241" s="26">
        <v>6</v>
      </c>
      <c r="F241" s="26">
        <v>5</v>
      </c>
      <c r="G241" s="27">
        <v>3</v>
      </c>
      <c r="H241" s="76">
        <v>3693.7999999999956</v>
      </c>
      <c r="I241" s="26">
        <v>2</v>
      </c>
      <c r="J241" s="29">
        <f t="shared" si="229"/>
      </c>
      <c r="K241" s="29">
        <f t="shared" si="191"/>
      </c>
      <c r="L241" s="29">
        <f t="shared" si="153"/>
      </c>
      <c r="M241" s="30">
        <f t="shared" si="115"/>
      </c>
      <c r="N241" s="29">
        <f t="shared" si="66"/>
      </c>
      <c r="O241" s="29">
        <f t="shared" si="47"/>
      </c>
      <c r="P241" s="30">
        <f t="shared" si="28"/>
      </c>
      <c r="Q241" s="30">
        <f t="shared" si="9"/>
      </c>
      <c r="R241" s="30">
        <f t="shared" si="248"/>
      </c>
      <c r="S241" s="30">
        <f t="shared" si="210"/>
      </c>
      <c r="T241" s="31">
        <f t="shared" si="172"/>
      </c>
      <c r="U241" s="32">
        <v>0.0111</v>
      </c>
      <c r="V241" s="33">
        <v>46</v>
      </c>
      <c r="W241" s="29">
        <f t="shared" si="134"/>
      </c>
      <c r="X241" s="33">
        <v>38501</v>
      </c>
      <c r="Y241" s="33">
        <v>1093</v>
      </c>
      <c r="Z241" s="31">
        <v>98</v>
      </c>
      <c r="AA241" s="31">
        <v>2003</v>
      </c>
      <c r="AB241" s="31">
        <v>97</v>
      </c>
      <c r="AC241" s="31">
        <v>16</v>
      </c>
      <c r="AD241" s="33">
        <v>2</v>
      </c>
      <c r="AE241" s="33">
        <v>34</v>
      </c>
      <c r="AF241" s="29">
        <f t="shared" si="86"/>
      </c>
      <c r="AG241" s="34" t="s">
        <v>56</v>
      </c>
      <c r="AH241" s="66" t="s">
        <v>72</v>
      </c>
      <c r="AI241" s="33">
        <v>34</v>
      </c>
    </row>
    <row r="242">
      <c r="A242" s="22"/>
      <c r="B242" s="49" t="s">
        <v>67</v>
      </c>
      <c r="C242" s="60" t="s">
        <v>55</v>
      </c>
      <c r="D242" s="23">
        <v>3630.74</v>
      </c>
      <c r="E242" s="26">
        <v>8</v>
      </c>
      <c r="F242" s="26">
        <v>5</v>
      </c>
      <c r="G242" s="27">
        <v>4</v>
      </c>
      <c r="H242" s="76">
        <v>2990.9000000000015</v>
      </c>
      <c r="I242" s="26">
        <v>1</v>
      </c>
      <c r="J242" s="29">
        <f t="shared" si="229"/>
      </c>
      <c r="K242" s="29">
        <f t="shared" si="191"/>
      </c>
      <c r="L242" s="29">
        <f t="shared" si="153"/>
      </c>
      <c r="M242" s="30">
        <f t="shared" si="115"/>
      </c>
      <c r="N242" s="29">
        <f t="shared" si="66"/>
      </c>
      <c r="O242" s="29">
        <f t="shared" si="47"/>
      </c>
      <c r="P242" s="30">
        <f t="shared" si="28"/>
      </c>
      <c r="Q242" s="30">
        <f t="shared" si="9"/>
      </c>
      <c r="R242" s="30">
        <f t="shared" si="248"/>
      </c>
      <c r="S242" s="30">
        <f t="shared" si="210"/>
      </c>
      <c r="T242" s="31">
        <f t="shared" si="172"/>
      </c>
      <c r="U242" s="32">
        <v>0.0078</v>
      </c>
      <c r="V242" s="33">
        <v>46</v>
      </c>
      <c r="W242" s="29">
        <f t="shared" si="134"/>
      </c>
      <c r="X242" s="33">
        <v>38400</v>
      </c>
      <c r="Y242" s="33">
        <v>1161</v>
      </c>
      <c r="Z242" s="31">
        <v>92</v>
      </c>
      <c r="AA242" s="31">
        <v>1430</v>
      </c>
      <c r="AB242" s="31">
        <v>110</v>
      </c>
      <c r="AC242" s="31">
        <v>14</v>
      </c>
      <c r="AD242" s="33">
        <v>5</v>
      </c>
      <c r="AE242" s="33">
        <v>38</v>
      </c>
      <c r="AF242" s="29">
        <f t="shared" si="86"/>
      </c>
      <c r="AG242" s="34" t="s">
        <v>56</v>
      </c>
      <c r="AH242" s="66" t="s">
        <v>72</v>
      </c>
      <c r="AI242" s="33">
        <v>65</v>
      </c>
    </row>
    <row r="243">
      <c r="A243" s="22"/>
      <c r="B243" s="49" t="s">
        <v>67</v>
      </c>
      <c r="C243" s="61" t="s">
        <v>57</v>
      </c>
      <c r="D243" s="23">
        <v>4623.57</v>
      </c>
      <c r="E243" s="26">
        <v>8</v>
      </c>
      <c r="F243" s="26">
        <v>4</v>
      </c>
      <c r="G243" s="27">
        <v>4</v>
      </c>
      <c r="H243" s="76">
        <v>3111.9000000000015</v>
      </c>
      <c r="I243" s="26">
        <v>1</v>
      </c>
      <c r="J243" s="29">
        <f t="shared" si="229"/>
      </c>
      <c r="K243" s="29">
        <f t="shared" si="191"/>
      </c>
      <c r="L243" s="29">
        <f t="shared" si="153"/>
      </c>
      <c r="M243" s="30">
        <f t="shared" si="115"/>
      </c>
      <c r="N243" s="29">
        <f t="shared" si="66"/>
      </c>
      <c r="O243" s="29">
        <f t="shared" si="47"/>
      </c>
      <c r="P243" s="30">
        <f t="shared" si="28"/>
      </c>
      <c r="Q243" s="30">
        <f t="shared" si="9"/>
      </c>
      <c r="R243" s="30">
        <f t="shared" si="248"/>
      </c>
      <c r="S243" s="30">
        <f t="shared" si="210"/>
      </c>
      <c r="T243" s="31">
        <f t="shared" si="172"/>
      </c>
      <c r="U243" s="32">
        <v>0.007</v>
      </c>
      <c r="V243" s="33">
        <v>41</v>
      </c>
      <c r="W243" s="29">
        <f t="shared" si="134"/>
      </c>
      <c r="X243" s="31">
        <v>56230</v>
      </c>
      <c r="Y243" s="31">
        <v>2693</v>
      </c>
      <c r="Z243" s="31">
        <v>133</v>
      </c>
      <c r="AA243" s="31">
        <v>7993</v>
      </c>
      <c r="AB243" s="31">
        <v>160</v>
      </c>
      <c r="AC243" s="31">
        <v>28</v>
      </c>
      <c r="AD243" s="31">
        <v>9</v>
      </c>
      <c r="AE243" s="33">
        <v>26</v>
      </c>
      <c r="AF243" s="29">
        <f t="shared" si="86"/>
      </c>
      <c r="AG243" s="34" t="s">
        <v>56</v>
      </c>
      <c r="AH243" s="66" t="s">
        <v>72</v>
      </c>
      <c r="AI243" s="33">
        <v>58</v>
      </c>
    </row>
    <row r="244">
      <c r="A244" s="22"/>
      <c r="B244" s="49" t="s">
        <v>67</v>
      </c>
      <c r="C244" s="60" t="s">
        <v>58</v>
      </c>
      <c r="D244" s="23">
        <v>2384.05</v>
      </c>
      <c r="E244" s="26">
        <v>15</v>
      </c>
      <c r="F244" s="26">
        <v>11</v>
      </c>
      <c r="G244" s="27">
        <v>4</v>
      </c>
      <c r="H244" s="76">
        <v>5827.800000000003</v>
      </c>
      <c r="I244" s="26">
        <v>2</v>
      </c>
      <c r="J244" s="29">
        <f t="shared" si="229"/>
      </c>
      <c r="K244" s="29">
        <f t="shared" si="191"/>
      </c>
      <c r="L244" s="29">
        <f t="shared" si="153"/>
      </c>
      <c r="M244" s="30">
        <f t="shared" si="115"/>
      </c>
      <c r="N244" s="29">
        <f t="shared" si="66"/>
      </c>
      <c r="O244" s="29">
        <f t="shared" si="47"/>
      </c>
      <c r="P244" s="30">
        <f t="shared" si="28"/>
      </c>
      <c r="Q244" s="30">
        <f t="shared" si="9"/>
      </c>
      <c r="R244" s="30">
        <f t="shared" si="248"/>
      </c>
      <c r="S244" s="30">
        <f t="shared" si="210"/>
      </c>
      <c r="T244" s="31">
        <f t="shared" si="172"/>
      </c>
      <c r="U244" s="32">
        <v>0.0143</v>
      </c>
      <c r="V244" s="33">
        <v>41</v>
      </c>
      <c r="W244" s="29">
        <f t="shared" si="134"/>
      </c>
      <c r="X244" s="33">
        <v>24565</v>
      </c>
      <c r="Y244" s="33">
        <v>672</v>
      </c>
      <c r="Z244" s="33">
        <v>71</v>
      </c>
      <c r="AA244" s="33">
        <v>1401</v>
      </c>
      <c r="AB244" s="33">
        <v>98</v>
      </c>
      <c r="AC244" s="33">
        <v>3</v>
      </c>
      <c r="AD244" s="33">
        <v>2</v>
      </c>
      <c r="AE244" s="33">
        <v>25</v>
      </c>
      <c r="AF244" s="29">
        <f t="shared" si="86"/>
      </c>
      <c r="AG244" s="34" t="s">
        <v>56</v>
      </c>
      <c r="AH244" s="66" t="s">
        <v>72</v>
      </c>
      <c r="AI244" s="33">
        <v>31</v>
      </c>
    </row>
    <row r="245">
      <c r="A245" s="22"/>
      <c r="B245" s="40" t="s">
        <v>46</v>
      </c>
      <c r="C245" s="40"/>
      <c r="D245" s="77">
        <f>SUM(D241:D244)</f>
      </c>
      <c r="E245" s="78">
        <f>SUM(E241:E244)</f>
      </c>
      <c r="F245" s="78">
        <f>SUM(F241:F244)</f>
      </c>
      <c r="G245" s="79">
        <f>SUM(G241:G244)</f>
      </c>
      <c r="H245" s="77">
        <f>SUM(H241:H244)</f>
      </c>
      <c r="I245" s="78">
        <f>SUM(I241:I244)</f>
      </c>
      <c r="J245" s="45">
        <f t="shared" si="229"/>
      </c>
      <c r="K245" s="45">
        <f t="shared" si="191"/>
      </c>
      <c r="L245" s="45">
        <f t="shared" si="153"/>
      </c>
      <c r="M245" s="46">
        <f t="shared" si="115"/>
      </c>
      <c r="N245" s="45">
        <f t="shared" si="66"/>
      </c>
      <c r="O245" s="45">
        <f t="shared" si="47"/>
      </c>
      <c r="P245" s="46">
        <f t="shared" si="28"/>
      </c>
      <c r="Q245" s="46">
        <f t="shared" si="9"/>
      </c>
      <c r="R245" s="46">
        <f t="shared" si="248"/>
      </c>
      <c r="S245" s="46">
        <f t="shared" si="210"/>
      </c>
      <c r="T245" s="42">
        <f t="shared" si="172"/>
      </c>
      <c r="U245" s="46">
        <f>AVERAGE(U242:U244)</f>
      </c>
      <c r="V245" s="41">
        <f>AVERAGE(V242:V244)</f>
      </c>
      <c r="W245" s="45">
        <f t="shared" si="134"/>
      </c>
      <c r="X245" s="42">
        <f>SUM(X241:X244)</f>
      </c>
      <c r="Y245" s="42">
        <f>SUM(Y241:Y244)</f>
      </c>
      <c r="Z245" s="42">
        <f>SUM(Z241:Z244)</f>
      </c>
      <c r="AA245" s="42">
        <f>SUM(AA241:AA244)</f>
      </c>
      <c r="AB245" s="42">
        <f>SUM(AB241:AB244)</f>
      </c>
      <c r="AC245" s="42">
        <f>SUM(AC241:AC244)</f>
      </c>
      <c r="AD245" s="42">
        <f>SUM(AD241:AD244)</f>
      </c>
      <c r="AE245" s="42">
        <f>SUM(AE241:AE244)</f>
      </c>
      <c r="AF245" s="47">
        <f t="shared" si="86"/>
      </c>
      <c r="AG245" s="48"/>
      <c r="AH245" s="48"/>
      <c r="AI245" s="42">
        <f>SUM(AI242:AI244)</f>
      </c>
    </row>
    <row r="246">
      <c r="A246" s="22"/>
      <c r="B246" s="23" t="s">
        <v>69</v>
      </c>
      <c r="C246" s="49" t="s">
        <v>59</v>
      </c>
      <c r="D246" s="80">
        <v>3096.56</v>
      </c>
      <c r="E246" s="51">
        <v>7</v>
      </c>
      <c r="F246" s="51">
        <v>6</v>
      </c>
      <c r="G246" s="52">
        <v>6</v>
      </c>
      <c r="H246" s="53">
        <v>2705.9999999999854</v>
      </c>
      <c r="I246" s="54">
        <v>0</v>
      </c>
      <c r="J246" s="55">
        <f t="shared" si="229"/>
      </c>
      <c r="K246" s="55">
        <f t="shared" si="191"/>
      </c>
      <c r="L246" s="55">
        <f t="shared" si="153"/>
      </c>
      <c r="M246" s="56">
        <f t="shared" si="115"/>
      </c>
      <c r="N246" s="55">
        <f t="shared" si="66"/>
      </c>
      <c r="O246" s="55">
        <f t="shared" si="47"/>
      </c>
      <c r="P246" s="56">
        <f t="shared" si="28"/>
      </c>
      <c r="Q246" s="56">
        <f t="shared" si="9"/>
      </c>
      <c r="R246" s="56">
        <f t="shared" si="248"/>
      </c>
      <c r="S246" s="56">
        <f t="shared" si="210"/>
      </c>
      <c r="T246" s="57">
        <f t="shared" si="172"/>
      </c>
      <c r="U246" s="58">
        <v>0.0087</v>
      </c>
      <c r="V246" s="59">
        <v>40</v>
      </c>
      <c r="W246" s="29">
        <f t="shared" si="134"/>
      </c>
      <c r="X246" s="57">
        <v>31047</v>
      </c>
      <c r="Y246" s="57">
        <v>1333</v>
      </c>
      <c r="Z246" s="57">
        <v>80</v>
      </c>
      <c r="AA246" s="57">
        <v>3306</v>
      </c>
      <c r="AB246" s="57">
        <v>117</v>
      </c>
      <c r="AC246" s="57">
        <v>9</v>
      </c>
      <c r="AD246" s="57">
        <v>3</v>
      </c>
      <c r="AE246" s="57">
        <v>31</v>
      </c>
      <c r="AF246" s="55" t="str">
        <v>#DIV/0!</v>
      </c>
      <c r="AG246" s="34" t="s">
        <v>56</v>
      </c>
      <c r="AH246" s="66" t="s">
        <v>72</v>
      </c>
      <c r="AI246" s="59">
        <v>38</v>
      </c>
    </row>
    <row r="247">
      <c r="A247" s="22"/>
      <c r="B247" s="23" t="s">
        <v>69</v>
      </c>
      <c r="C247" s="49" t="s">
        <v>61</v>
      </c>
      <c r="D247" s="80">
        <v>2722.62</v>
      </c>
      <c r="E247" s="51">
        <v>10</v>
      </c>
      <c r="F247" s="51">
        <v>9</v>
      </c>
      <c r="G247" s="52">
        <v>7</v>
      </c>
      <c r="H247" s="53">
        <v>6799.100000000006</v>
      </c>
      <c r="I247" s="54">
        <v>2</v>
      </c>
      <c r="J247" s="55">
        <f t="shared" si="229"/>
      </c>
      <c r="K247" s="55">
        <f t="shared" si="191"/>
      </c>
      <c r="L247" s="55">
        <f t="shared" si="153"/>
      </c>
      <c r="M247" s="56">
        <f t="shared" si="115"/>
      </c>
      <c r="N247" s="55">
        <f t="shared" si="66"/>
      </c>
      <c r="O247" s="55">
        <f t="shared" si="47"/>
      </c>
      <c r="P247" s="56">
        <f t="shared" si="28"/>
      </c>
      <c r="Q247" s="56">
        <f t="shared" si="9"/>
      </c>
      <c r="R247" s="56">
        <f t="shared" si="248"/>
      </c>
      <c r="S247" s="56">
        <f t="shared" si="210"/>
      </c>
      <c r="T247" s="57">
        <f t="shared" si="172"/>
      </c>
      <c r="U247" s="58">
        <v>0.0154</v>
      </c>
      <c r="V247" s="59">
        <v>40</v>
      </c>
      <c r="W247" s="55">
        <f t="shared" si="134"/>
      </c>
      <c r="X247" s="57">
        <v>30253</v>
      </c>
      <c r="Y247" s="57">
        <v>519</v>
      </c>
      <c r="Z247" s="57">
        <v>65</v>
      </c>
      <c r="AA247" s="57">
        <v>886</v>
      </c>
      <c r="AB247" s="57">
        <v>88</v>
      </c>
      <c r="AC247" s="57">
        <v>8</v>
      </c>
      <c r="AD247" s="57">
        <v>2</v>
      </c>
      <c r="AE247" s="57">
        <v>51</v>
      </c>
      <c r="AF247" s="55">
        <f t="shared" ref="AF247:AF251" si="87">AI247*1000/D247</f>
      </c>
      <c r="AG247" s="34" t="s">
        <v>56</v>
      </c>
      <c r="AH247" s="66" t="s">
        <v>72</v>
      </c>
      <c r="AI247" s="59">
        <v>61</v>
      </c>
    </row>
    <row r="248">
      <c r="A248" s="22"/>
      <c r="B248" s="23" t="s">
        <v>69</v>
      </c>
      <c r="C248" s="49" t="s">
        <v>62</v>
      </c>
      <c r="D248" s="81">
        <v>3523.87</v>
      </c>
      <c r="E248" s="63">
        <v>21</v>
      </c>
      <c r="F248" s="63">
        <v>17</v>
      </c>
      <c r="G248" s="64">
        <v>16</v>
      </c>
      <c r="H248" s="91">
        <v>11282.700000000012</v>
      </c>
      <c r="I248" s="54">
        <v>4</v>
      </c>
      <c r="J248" s="55">
        <f t="shared" si="229"/>
      </c>
      <c r="K248" s="55">
        <f t="shared" si="191"/>
      </c>
      <c r="L248" s="55">
        <f t="shared" si="153"/>
      </c>
      <c r="M248" s="56">
        <f t="shared" si="115"/>
      </c>
      <c r="N248" s="55">
        <f t="shared" si="66"/>
      </c>
      <c r="O248" s="55">
        <f t="shared" si="47"/>
      </c>
      <c r="P248" s="56">
        <f t="shared" si="28"/>
      </c>
      <c r="Q248" s="56">
        <f t="shared" si="9"/>
      </c>
      <c r="R248" s="56">
        <f t="shared" si="248"/>
      </c>
      <c r="S248" s="56">
        <f t="shared" si="210"/>
      </c>
      <c r="T248" s="57">
        <f t="shared" si="172"/>
      </c>
      <c r="U248" s="58">
        <v>0.0109</v>
      </c>
      <c r="V248" s="59">
        <v>40</v>
      </c>
      <c r="W248" s="55">
        <f t="shared" si="134"/>
      </c>
      <c r="X248" s="57">
        <v>43755</v>
      </c>
      <c r="Y248" s="57">
        <v>1171</v>
      </c>
      <c r="Z248" s="57">
        <v>95</v>
      </c>
      <c r="AA248" s="57">
        <v>2947</v>
      </c>
      <c r="AB248" s="57">
        <v>124</v>
      </c>
      <c r="AC248" s="57">
        <v>24</v>
      </c>
      <c r="AD248" s="57">
        <v>5</v>
      </c>
      <c r="AE248" s="57">
        <v>56</v>
      </c>
      <c r="AF248" s="55">
        <f t="shared" si="87"/>
      </c>
      <c r="AG248" s="34" t="s">
        <v>56</v>
      </c>
      <c r="AH248" s="66" t="s">
        <v>72</v>
      </c>
      <c r="AI248" s="59">
        <v>52</v>
      </c>
    </row>
    <row r="249">
      <c r="A249" s="22"/>
      <c r="B249" s="23" t="s">
        <v>69</v>
      </c>
      <c r="C249" s="49" t="s">
        <v>63</v>
      </c>
      <c r="D249" s="80">
        <v>2965.03</v>
      </c>
      <c r="E249" s="63">
        <v>18</v>
      </c>
      <c r="F249" s="63">
        <v>15</v>
      </c>
      <c r="G249" s="64">
        <v>9</v>
      </c>
      <c r="H249" s="50">
        <v>9150.899999999994</v>
      </c>
      <c r="I249" s="65">
        <v>1</v>
      </c>
      <c r="J249" s="55">
        <f t="shared" si="229"/>
      </c>
      <c r="K249" s="55">
        <f t="shared" si="191"/>
      </c>
      <c r="L249" s="55">
        <f t="shared" si="153"/>
      </c>
      <c r="M249" s="56">
        <f t="shared" si="115"/>
      </c>
      <c r="N249" s="55">
        <f t="shared" si="66"/>
      </c>
      <c r="O249" s="55">
        <f t="shared" si="47"/>
      </c>
      <c r="P249" s="56">
        <f t="shared" si="28"/>
      </c>
      <c r="Q249" s="56">
        <f t="shared" si="9"/>
      </c>
      <c r="R249" s="56">
        <f t="shared" si="248"/>
      </c>
      <c r="S249" s="56">
        <f t="shared" si="210"/>
      </c>
      <c r="T249" s="57">
        <f t="shared" si="172"/>
      </c>
      <c r="U249" s="58">
        <v>0.0095</v>
      </c>
      <c r="V249" s="59">
        <v>41</v>
      </c>
      <c r="W249" s="55">
        <f t="shared" si="134"/>
      </c>
      <c r="X249" s="57">
        <v>41373</v>
      </c>
      <c r="Y249" s="57">
        <v>642</v>
      </c>
      <c r="Z249" s="57">
        <v>73</v>
      </c>
      <c r="AA249" s="57">
        <v>739</v>
      </c>
      <c r="AB249" s="57">
        <v>109</v>
      </c>
      <c r="AC249" s="57">
        <v>21</v>
      </c>
      <c r="AD249" s="57">
        <v>1</v>
      </c>
      <c r="AE249" s="57">
        <v>61</v>
      </c>
      <c r="AF249" s="55">
        <f t="shared" si="87"/>
      </c>
      <c r="AG249" s="34" t="s">
        <v>56</v>
      </c>
      <c r="AH249" s="66" t="s">
        <v>72</v>
      </c>
      <c r="AI249" s="59">
        <v>28</v>
      </c>
    </row>
    <row r="250">
      <c r="A250" s="22"/>
      <c r="B250" s="23" t="s">
        <v>69</v>
      </c>
      <c r="C250" s="49" t="s">
        <v>64</v>
      </c>
      <c r="D250" s="50">
        <v>820.98</v>
      </c>
      <c r="E250" s="65">
        <v>5</v>
      </c>
      <c r="F250" s="65">
        <v>5</v>
      </c>
      <c r="G250" s="52">
        <v>2</v>
      </c>
      <c r="H250" s="80">
        <v>3978.6999999999825</v>
      </c>
      <c r="I250" s="65">
        <v>2</v>
      </c>
      <c r="J250" s="55">
        <f t="shared" si="229"/>
      </c>
      <c r="K250" s="55">
        <f t="shared" si="191"/>
      </c>
      <c r="L250" s="55">
        <f t="shared" si="153"/>
      </c>
      <c r="M250" s="56">
        <f t="shared" si="115"/>
      </c>
      <c r="N250" s="55">
        <f t="shared" si="66"/>
      </c>
      <c r="O250" s="55">
        <f t="shared" si="47"/>
      </c>
      <c r="P250" s="56">
        <f t="shared" si="28"/>
      </c>
      <c r="Q250" s="56">
        <f t="shared" si="9"/>
      </c>
      <c r="R250" s="56">
        <f t="shared" si="248"/>
      </c>
      <c r="S250" s="56">
        <f t="shared" si="210"/>
      </c>
      <c r="T250" s="57">
        <f t="shared" si="172"/>
      </c>
      <c r="U250" s="58">
        <v>0.0042</v>
      </c>
      <c r="V250" s="59">
        <v>41</v>
      </c>
      <c r="W250" s="55">
        <f t="shared" si="134"/>
      </c>
      <c r="X250" s="57">
        <v>13494</v>
      </c>
      <c r="Y250" s="57">
        <v>344</v>
      </c>
      <c r="Z250" s="57">
        <v>26</v>
      </c>
      <c r="AA250" s="57">
        <v>404</v>
      </c>
      <c r="AB250" s="57">
        <v>45</v>
      </c>
      <c r="AC250" s="57">
        <v>3</v>
      </c>
      <c r="AD250" s="57">
        <v>0</v>
      </c>
      <c r="AE250" s="59">
        <v>3</v>
      </c>
      <c r="AF250" s="55">
        <f t="shared" si="87"/>
      </c>
      <c r="AG250" s="34" t="s">
        <v>56</v>
      </c>
      <c r="AH250" s="66" t="s">
        <v>72</v>
      </c>
      <c r="AI250" s="59">
        <v>17</v>
      </c>
    </row>
    <row r="251">
      <c r="A251" s="22"/>
      <c r="B251" s="67" t="s">
        <v>46</v>
      </c>
      <c r="C251" s="67"/>
      <c r="D251" s="41">
        <f>SUM(D246:D250)</f>
      </c>
      <c r="E251" s="42">
        <f>SUM(E246:E250)</f>
      </c>
      <c r="F251" s="42">
        <f>SUM(F246:F250)</f>
      </c>
      <c r="G251" s="43">
        <f>SUM(G246:G250)</f>
      </c>
      <c r="H251" s="41">
        <f>SUM(H246:H250)</f>
      </c>
      <c r="I251" s="44">
        <f>SUM(I246:I250)</f>
      </c>
      <c r="J251" s="109">
        <f t="shared" si="229"/>
      </c>
      <c r="K251" s="45">
        <f t="shared" si="191"/>
      </c>
      <c r="L251" s="45">
        <f t="shared" si="153"/>
      </c>
      <c r="M251" s="46">
        <f t="shared" si="115"/>
      </c>
      <c r="N251" s="45">
        <f t="shared" si="66"/>
      </c>
      <c r="O251" s="45">
        <f t="shared" si="47"/>
      </c>
      <c r="P251" s="46">
        <f t="shared" si="28"/>
      </c>
      <c r="Q251" s="46">
        <f t="shared" si="9"/>
      </c>
      <c r="R251" s="46">
        <f t="shared" si="248"/>
      </c>
      <c r="S251" s="46">
        <f t="shared" si="210"/>
      </c>
      <c r="T251" s="42">
        <f t="shared" si="172"/>
      </c>
      <c r="U251" s="46">
        <f>AVERAGE(U246:U250)</f>
      </c>
      <c r="V251" s="41">
        <f>AVERAGE(V246:V250)</f>
      </c>
      <c r="W251" s="45">
        <f t="shared" si="134"/>
      </c>
      <c r="X251" s="42">
        <f>SUM(X246:X250)</f>
      </c>
      <c r="Y251" s="42">
        <f>SUM(Y246:Y250)</f>
      </c>
      <c r="Z251" s="42">
        <f>SUM(Z246:Z250)</f>
      </c>
      <c r="AA251" s="42">
        <f>SUM(AA246:AA250)</f>
      </c>
      <c r="AB251" s="42">
        <f>SUM(AB246:AB250)</f>
      </c>
      <c r="AC251" s="42">
        <f>SUM(AC246:AC250)</f>
      </c>
      <c r="AD251" s="42">
        <f>SUM(AD246:AD250)</f>
      </c>
      <c r="AE251" s="42">
        <f>SUM(AE246:AE250)</f>
      </c>
      <c r="AF251" s="47">
        <f t="shared" si="87"/>
      </c>
      <c r="AG251" s="75"/>
      <c r="AH251" s="75"/>
      <c r="AI251" s="42">
        <f>SUM(AI246:AI250)</f>
      </c>
    </row>
    <row r="252">
      <c r="A252" s="22"/>
      <c r="B252" s="82" t="s">
        <v>65</v>
      </c>
      <c r="C252" s="82"/>
      <c r="D252" s="83">
        <f>D235+D240+D245+D251</f>
      </c>
      <c r="E252" s="84">
        <f>E235+E240+E245+E251</f>
      </c>
      <c r="F252" s="84">
        <f>F235+F240+F245+F251</f>
      </c>
      <c r="G252" s="84">
        <f>G235+G240+G245+G251</f>
      </c>
      <c r="H252" s="83">
        <f>H235+H240+H245+H251</f>
      </c>
      <c r="I252" s="84">
        <f>I235+I240+I245+I251</f>
      </c>
      <c r="J252" s="86">
        <f t="shared" si="229"/>
      </c>
      <c r="K252" s="87">
        <f t="shared" si="191"/>
      </c>
      <c r="L252" s="87">
        <f t="shared" si="153"/>
      </c>
      <c r="M252" s="88">
        <f t="shared" si="115"/>
      </c>
      <c r="N252" s="87">
        <f t="shared" si="66"/>
      </c>
      <c r="O252" s="87">
        <f t="shared" si="47"/>
      </c>
      <c r="P252" s="88">
        <f t="shared" si="28"/>
      </c>
      <c r="Q252" s="88">
        <f t="shared" si="9"/>
      </c>
      <c r="R252" s="88">
        <f t="shared" si="248"/>
      </c>
      <c r="S252" s="88">
        <f t="shared" si="210"/>
      </c>
      <c r="T252" s="89">
        <f t="shared" si="172"/>
      </c>
      <c r="U252" s="88">
        <f>(U235+U245+U240+U251)/4</f>
      </c>
      <c r="V252" s="87">
        <f>(V235+V245+V240+V251)/4</f>
      </c>
      <c r="W252" s="90">
        <f t="shared" si="134"/>
      </c>
      <c r="X252" s="84">
        <f>X235+X240+X245+X251</f>
      </c>
      <c r="Y252" s="84">
        <f>Y235+Y240+Y245+Y251</f>
      </c>
      <c r="Z252" s="84">
        <f>Z235+Z240+Z245+Z251</f>
      </c>
      <c r="AA252" s="84">
        <f>AA235+AA240+AA245+AA251</f>
      </c>
      <c r="AB252" s="84">
        <f>AB235+AB240+AB245+AB251</f>
      </c>
      <c r="AC252" s="84">
        <f>AC235+AC240+AC245+AC251</f>
      </c>
      <c r="AD252" s="84">
        <f>AD235+AD240+AD245+AD251</f>
      </c>
      <c r="AE252" s="84">
        <f>AE235+AE240+AE245+AE251</f>
      </c>
      <c r="AF252" s="87">
        <f>AF235</f>
      </c>
      <c r="AG252" s="82"/>
      <c r="AH252" s="82"/>
      <c r="AI252" s="84">
        <f>AI235+AI240+AI245+AI251</f>
      </c>
    </row>
    <row r="253">
      <c r="A253" s="1" t="s">
        <v>66</v>
      </c>
      <c r="B253" s="2" t="s">
        <v>1</v>
      </c>
      <c r="C253" s="2"/>
      <c r="D253" s="3" t="s">
        <v>2</v>
      </c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5" t="s">
        <v>3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6"/>
    </row>
    <row r="254">
      <c r="A254" s="1"/>
      <c r="B254" s="2" t="s">
        <v>4</v>
      </c>
      <c r="C254" s="7" t="s">
        <v>5</v>
      </c>
      <c r="D254" s="8" t="s">
        <v>6</v>
      </c>
      <c r="E254" s="9" t="s">
        <v>7</v>
      </c>
      <c r="F254" s="10" t="s">
        <v>8</v>
      </c>
      <c r="G254" s="11" t="s">
        <v>9</v>
      </c>
      <c r="H254" s="8" t="s">
        <v>10</v>
      </c>
      <c r="I254" s="12" t="s">
        <v>11</v>
      </c>
      <c r="J254" s="107" t="s">
        <v>12</v>
      </c>
      <c r="K254" s="13" t="s">
        <v>13</v>
      </c>
      <c r="L254" s="13" t="s">
        <v>14</v>
      </c>
      <c r="M254" s="14" t="s">
        <v>15</v>
      </c>
      <c r="N254" s="13" t="s">
        <v>16</v>
      </c>
      <c r="O254" s="15" t="s">
        <v>17</v>
      </c>
      <c r="P254" s="16" t="s">
        <v>18</v>
      </c>
      <c r="Q254" s="16" t="s">
        <v>19</v>
      </c>
      <c r="R254" s="16" t="s">
        <v>20</v>
      </c>
      <c r="S254" s="16" t="s">
        <v>21</v>
      </c>
      <c r="T254" s="17" t="s">
        <v>22</v>
      </c>
      <c r="U254" s="18" t="s">
        <v>23</v>
      </c>
      <c r="V254" s="19" t="s">
        <v>24</v>
      </c>
      <c r="W254" s="5" t="s">
        <v>25</v>
      </c>
      <c r="X254" s="20" t="s">
        <v>26</v>
      </c>
      <c r="Y254" s="20" t="s">
        <v>27</v>
      </c>
      <c r="Z254" s="20" t="s">
        <v>28</v>
      </c>
      <c r="AA254" s="20" t="s">
        <v>29</v>
      </c>
      <c r="AB254" s="20" t="s">
        <v>30</v>
      </c>
      <c r="AC254" s="20" t="s">
        <v>31</v>
      </c>
      <c r="AD254" s="20" t="s">
        <v>32</v>
      </c>
      <c r="AE254" s="20" t="s">
        <v>33</v>
      </c>
      <c r="AF254" s="5" t="s">
        <v>34</v>
      </c>
      <c r="AG254" s="21" t="s">
        <v>35</v>
      </c>
      <c r="AH254" s="21" t="s">
        <v>36</v>
      </c>
      <c r="AI254" s="6" t="s">
        <v>37</v>
      </c>
    </row>
    <row r="255">
      <c r="A255" s="22">
        <v>46214</v>
      </c>
      <c r="B255" s="49" t="s">
        <v>47</v>
      </c>
      <c r="C255" s="24" t="s">
        <v>39</v>
      </c>
      <c r="D255" s="25">
        <v>3000</v>
      </c>
      <c r="E255" s="26">
        <v>16</v>
      </c>
      <c r="F255" s="26">
        <v>12</v>
      </c>
      <c r="G255" s="27">
        <v>8</v>
      </c>
      <c r="H255" s="25">
        <v>6807.9</v>
      </c>
      <c r="I255" s="108">
        <v>1</v>
      </c>
      <c r="J255" s="29">
        <f t="shared" ref="J255:J277" si="230">H255/D255</f>
      </c>
      <c r="K255" s="28">
        <f t="shared" ref="K255:K277" si="192">D255/F255</f>
      </c>
      <c r="L255" s="29">
        <f t="shared" ref="L255:L277" si="154">D255/G255</f>
      </c>
      <c r="M255" s="30">
        <f t="shared" ref="M255:M277" si="116">F255/E255</f>
      </c>
      <c r="N255" s="29">
        <f t="shared" ref="N255:N277" si="67">H255/F255</f>
      </c>
      <c r="O255" s="29">
        <f t="shared" ref="O255:O277" si="48">D255/Y255</f>
      </c>
      <c r="P255" s="30">
        <f t="shared" ref="P255:P277" si="29">T255/X255*1</f>
      </c>
      <c r="Q255" s="30">
        <f t="shared" ref="Q255:Q277" si="10">Y255/X255</f>
      </c>
      <c r="R255" s="30">
        <f t="shared" ref="R255:R277" si="249">AA255/X255</f>
      </c>
      <c r="S255" s="30">
        <f t="shared" ref="S255:S277" si="211">AB255/AA255</f>
      </c>
      <c r="T255" s="31">
        <f t="shared" ref="T255:T277" si="173">Z255/U255</f>
      </c>
      <c r="U255" s="32">
        <v>0.0087</v>
      </c>
      <c r="V255" s="33">
        <v>37</v>
      </c>
      <c r="W255" s="29">
        <f t="shared" ref="W255:W277" si="135">(D255/X255)*1000</f>
      </c>
      <c r="X255" s="33">
        <v>36312</v>
      </c>
      <c r="Y255" s="33">
        <v>2172</v>
      </c>
      <c r="Z255" s="31">
        <v>86</v>
      </c>
      <c r="AA255" s="31">
        <v>4840</v>
      </c>
      <c r="AB255" s="31">
        <v>95</v>
      </c>
      <c r="AC255" s="31">
        <v>22</v>
      </c>
      <c r="AD255" s="33">
        <v>6</v>
      </c>
      <c r="AE255" s="33">
        <v>32</v>
      </c>
      <c r="AF255" s="29">
        <f t="shared" ref="AF255:AF270" si="88">AI255*1000/D255</f>
      </c>
      <c r="AG255" s="34" t="s">
        <v>40</v>
      </c>
      <c r="AH255" s="35" t="s">
        <v>41</v>
      </c>
      <c r="AI255" s="33">
        <v>43</v>
      </c>
    </row>
    <row r="256">
      <c r="A256" s="22"/>
      <c r="B256" s="49" t="s">
        <v>47</v>
      </c>
      <c r="C256" s="24" t="s">
        <v>42</v>
      </c>
      <c r="D256" s="25">
        <v>3000</v>
      </c>
      <c r="E256" s="26">
        <v>14</v>
      </c>
      <c r="F256" s="26">
        <v>12</v>
      </c>
      <c r="G256" s="27">
        <v>6</v>
      </c>
      <c r="H256" s="25">
        <v>6807.9</v>
      </c>
      <c r="I256" s="108">
        <v>1</v>
      </c>
      <c r="J256" s="29">
        <f t="shared" si="230"/>
      </c>
      <c r="K256" s="28">
        <f t="shared" si="192"/>
      </c>
      <c r="L256" s="29">
        <f t="shared" si="154"/>
      </c>
      <c r="M256" s="30">
        <f t="shared" si="116"/>
      </c>
      <c r="N256" s="29">
        <f t="shared" si="67"/>
      </c>
      <c r="O256" s="29">
        <f t="shared" si="48"/>
      </c>
      <c r="P256" s="30">
        <f t="shared" si="29"/>
      </c>
      <c r="Q256" s="30">
        <f t="shared" si="10"/>
      </c>
      <c r="R256" s="30">
        <f t="shared" si="249"/>
      </c>
      <c r="S256" s="30">
        <f t="shared" si="211"/>
      </c>
      <c r="T256" s="31">
        <f t="shared" si="173"/>
      </c>
      <c r="U256" s="32">
        <v>0.0095</v>
      </c>
      <c r="V256" s="33">
        <v>45</v>
      </c>
      <c r="W256" s="29">
        <f t="shared" si="135"/>
      </c>
      <c r="X256" s="33">
        <v>34969</v>
      </c>
      <c r="Y256" s="33">
        <v>1237</v>
      </c>
      <c r="Z256" s="31">
        <v>88</v>
      </c>
      <c r="AA256" s="31">
        <v>1435</v>
      </c>
      <c r="AB256" s="33">
        <v>126</v>
      </c>
      <c r="AC256" s="31">
        <v>17</v>
      </c>
      <c r="AD256" s="33">
        <v>7</v>
      </c>
      <c r="AE256" s="33">
        <v>33</v>
      </c>
      <c r="AF256" s="29">
        <f t="shared" si="88"/>
      </c>
      <c r="AG256" s="34" t="s">
        <v>40</v>
      </c>
      <c r="AH256" s="35" t="s">
        <v>41</v>
      </c>
      <c r="AI256" s="33">
        <v>45</v>
      </c>
    </row>
    <row r="257">
      <c r="A257" s="22"/>
      <c r="B257" s="49" t="s">
        <v>47</v>
      </c>
      <c r="C257" s="24" t="s">
        <v>43</v>
      </c>
      <c r="D257" s="25">
        <v>2974.17</v>
      </c>
      <c r="E257" s="26">
        <v>9</v>
      </c>
      <c r="F257" s="26">
        <v>9</v>
      </c>
      <c r="G257" s="27">
        <v>8</v>
      </c>
      <c r="H257" s="25">
        <v>4059</v>
      </c>
      <c r="I257" s="108">
        <v>2</v>
      </c>
      <c r="J257" s="29">
        <f t="shared" si="230"/>
      </c>
      <c r="K257" s="28">
        <f t="shared" si="192"/>
      </c>
      <c r="L257" s="29">
        <f t="shared" si="154"/>
      </c>
      <c r="M257" s="30">
        <f t="shared" si="116"/>
      </c>
      <c r="N257" s="29">
        <f t="shared" si="67"/>
      </c>
      <c r="O257" s="29">
        <f t="shared" si="48"/>
      </c>
      <c r="P257" s="30">
        <f t="shared" si="29"/>
      </c>
      <c r="Q257" s="30">
        <f t="shared" si="10"/>
      </c>
      <c r="R257" s="30">
        <f t="shared" si="249"/>
      </c>
      <c r="S257" s="30">
        <f t="shared" si="211"/>
      </c>
      <c r="T257" s="31">
        <f t="shared" si="173"/>
      </c>
      <c r="U257" s="32">
        <v>0.009</v>
      </c>
      <c r="V257" s="33">
        <v>45</v>
      </c>
      <c r="W257" s="29">
        <f t="shared" si="135"/>
      </c>
      <c r="X257" s="33">
        <v>32732</v>
      </c>
      <c r="Y257" s="33">
        <v>1255</v>
      </c>
      <c r="Z257" s="31">
        <v>95</v>
      </c>
      <c r="AA257" s="31">
        <v>2069</v>
      </c>
      <c r="AB257" s="33">
        <v>96</v>
      </c>
      <c r="AC257" s="31">
        <v>20</v>
      </c>
      <c r="AD257" s="33">
        <v>4</v>
      </c>
      <c r="AE257" s="33">
        <v>20</v>
      </c>
      <c r="AF257" s="29">
        <f t="shared" si="88"/>
      </c>
      <c r="AG257" s="34" t="s">
        <v>40</v>
      </c>
      <c r="AH257" s="35" t="s">
        <v>41</v>
      </c>
      <c r="AI257" s="33">
        <v>37</v>
      </c>
    </row>
    <row r="258">
      <c r="A258" s="22"/>
      <c r="B258" s="49" t="s">
        <v>47</v>
      </c>
      <c r="C258" s="36" t="s">
        <v>44</v>
      </c>
      <c r="D258" s="25">
        <v>2959.06</v>
      </c>
      <c r="E258" s="26">
        <v>11</v>
      </c>
      <c r="F258" s="26">
        <v>9</v>
      </c>
      <c r="G258" s="27">
        <v>6</v>
      </c>
      <c r="H258" s="25">
        <v>5530.799999999999</v>
      </c>
      <c r="I258" s="108">
        <v>2</v>
      </c>
      <c r="J258" s="29">
        <f t="shared" si="230"/>
      </c>
      <c r="K258" s="28">
        <f t="shared" si="192"/>
      </c>
      <c r="L258" s="29">
        <f t="shared" si="154"/>
      </c>
      <c r="M258" s="30">
        <f t="shared" si="116"/>
      </c>
      <c r="N258" s="29">
        <f t="shared" si="67"/>
      </c>
      <c r="O258" s="29">
        <f t="shared" si="48"/>
      </c>
      <c r="P258" s="30">
        <f t="shared" si="29"/>
      </c>
      <c r="Q258" s="30">
        <f t="shared" si="10"/>
      </c>
      <c r="R258" s="30">
        <f t="shared" si="249"/>
      </c>
      <c r="S258" s="30">
        <f t="shared" si="211"/>
      </c>
      <c r="T258" s="31">
        <f t="shared" si="173"/>
      </c>
      <c r="U258" s="32">
        <v>0.0073</v>
      </c>
      <c r="V258" s="33">
        <v>46</v>
      </c>
      <c r="W258" s="29">
        <f t="shared" si="135"/>
      </c>
      <c r="X258" s="33">
        <v>32537</v>
      </c>
      <c r="Y258" s="33">
        <v>1086</v>
      </c>
      <c r="Z258" s="31">
        <v>77</v>
      </c>
      <c r="AA258" s="31">
        <v>1385</v>
      </c>
      <c r="AB258" s="33">
        <v>119</v>
      </c>
      <c r="AC258" s="31">
        <v>15</v>
      </c>
      <c r="AD258" s="33">
        <v>7</v>
      </c>
      <c r="AE258" s="33">
        <v>21</v>
      </c>
      <c r="AF258" s="29">
        <f t="shared" si="88"/>
      </c>
      <c r="AG258" s="34" t="s">
        <v>40</v>
      </c>
      <c r="AH258" s="35" t="s">
        <v>41</v>
      </c>
      <c r="AI258" s="33">
        <v>44</v>
      </c>
    </row>
    <row r="259">
      <c r="A259" s="22"/>
      <c r="B259" s="49" t="s">
        <v>47</v>
      </c>
      <c r="C259" s="24" t="s">
        <v>45</v>
      </c>
      <c r="D259" s="25">
        <v>2521.77</v>
      </c>
      <c r="E259" s="26">
        <v>19</v>
      </c>
      <c r="F259" s="26">
        <v>18</v>
      </c>
      <c r="G259" s="27">
        <v>16</v>
      </c>
      <c r="H259" s="25">
        <v>9573.299999999996</v>
      </c>
      <c r="I259" s="108">
        <v>0</v>
      </c>
      <c r="J259" s="29">
        <f t="shared" si="230"/>
      </c>
      <c r="K259" s="28">
        <f t="shared" si="192"/>
      </c>
      <c r="L259" s="29">
        <f t="shared" si="154"/>
      </c>
      <c r="M259" s="30">
        <f t="shared" si="116"/>
      </c>
      <c r="N259" s="29">
        <f t="shared" si="67"/>
      </c>
      <c r="O259" s="29">
        <f t="shared" si="48"/>
      </c>
      <c r="P259" s="30">
        <f t="shared" si="29"/>
      </c>
      <c r="Q259" s="30">
        <f t="shared" si="10"/>
      </c>
      <c r="R259" s="30">
        <f t="shared" si="249"/>
      </c>
      <c r="S259" s="30">
        <f t="shared" si="211"/>
      </c>
      <c r="T259" s="31">
        <f t="shared" si="173"/>
      </c>
      <c r="U259" s="32">
        <v>0.0132</v>
      </c>
      <c r="V259" s="33">
        <v>49</v>
      </c>
      <c r="W259" s="29">
        <f t="shared" si="135"/>
      </c>
      <c r="X259" s="33">
        <v>30617</v>
      </c>
      <c r="Y259" s="33">
        <v>823</v>
      </c>
      <c r="Z259" s="33">
        <v>97</v>
      </c>
      <c r="AA259" s="33">
        <v>925</v>
      </c>
      <c r="AB259" s="33">
        <v>123</v>
      </c>
      <c r="AC259" s="33">
        <v>21</v>
      </c>
      <c r="AD259" s="33">
        <v>4</v>
      </c>
      <c r="AE259" s="33">
        <v>36</v>
      </c>
      <c r="AF259" s="29">
        <f t="shared" si="88"/>
      </c>
      <c r="AG259" s="34" t="s">
        <v>40</v>
      </c>
      <c r="AH259" s="35" t="s">
        <v>41</v>
      </c>
      <c r="AI259" s="33">
        <v>46</v>
      </c>
    </row>
    <row r="260">
      <c r="A260" s="22"/>
      <c r="B260" s="40" t="s">
        <v>46</v>
      </c>
      <c r="C260" s="40"/>
      <c r="D260" s="41">
        <f>SUM(D255:D259)</f>
      </c>
      <c r="E260" s="42">
        <f>SUM(E255:E259)</f>
      </c>
      <c r="F260" s="42">
        <f>SUM(F255:F259)</f>
      </c>
      <c r="G260" s="43">
        <f>SUM(G255:G259)</f>
      </c>
      <c r="H260" s="45">
        <f>SUM(H255:H259)</f>
      </c>
      <c r="I260" s="44">
        <f>SUM(I255:I259)</f>
      </c>
      <c r="J260" s="109">
        <f t="shared" si="230"/>
      </c>
      <c r="K260" s="45">
        <f t="shared" si="192"/>
      </c>
      <c r="L260" s="45">
        <f t="shared" si="154"/>
      </c>
      <c r="M260" s="46">
        <f t="shared" si="116"/>
      </c>
      <c r="N260" s="45">
        <f t="shared" si="67"/>
      </c>
      <c r="O260" s="45">
        <f t="shared" si="48"/>
      </c>
      <c r="P260" s="46">
        <f t="shared" si="29"/>
      </c>
      <c r="Q260" s="46">
        <f t="shared" si="10"/>
      </c>
      <c r="R260" s="46">
        <f t="shared" si="249"/>
      </c>
      <c r="S260" s="46">
        <f t="shared" si="211"/>
      </c>
      <c r="T260" s="42">
        <f t="shared" si="173"/>
      </c>
      <c r="U260" s="46">
        <f>AVERAGE(U255:U259)</f>
      </c>
      <c r="V260" s="41">
        <f>AVERAGE(V255:V259)</f>
      </c>
      <c r="W260" s="45">
        <f t="shared" si="135"/>
      </c>
      <c r="X260" s="42">
        <f>SUM(X255:X259)</f>
      </c>
      <c r="Y260" s="42">
        <f>SUM(Y255:Y259)</f>
      </c>
      <c r="Z260" s="42">
        <f>SUM(Z255:Z259)</f>
      </c>
      <c r="AA260" s="42">
        <f>SUM(AA255:AA259)</f>
      </c>
      <c r="AB260" s="42">
        <f>SUM(AB255:AB259)</f>
      </c>
      <c r="AC260" s="42">
        <f>SUM(AC255:AC259)</f>
      </c>
      <c r="AD260" s="42">
        <f>SUM(AD255:AD259)</f>
      </c>
      <c r="AE260" s="42">
        <f>SUM(AE255:AE259)</f>
      </c>
      <c r="AF260" s="47">
        <f t="shared" si="88"/>
      </c>
      <c r="AG260" s="48"/>
      <c r="AH260" s="48"/>
      <c r="AI260" s="43">
        <f>SUM(AI255:AI259)</f>
      </c>
    </row>
    <row r="261">
      <c r="A261" s="22"/>
      <c r="B261" s="23" t="s">
        <v>54</v>
      </c>
      <c r="C261" s="23" t="s">
        <v>48</v>
      </c>
      <c r="D261" s="50">
        <v>3508.12</v>
      </c>
      <c r="E261" s="51">
        <v>8</v>
      </c>
      <c r="F261" s="51">
        <v>6</v>
      </c>
      <c r="G261" s="52">
        <v>5</v>
      </c>
      <c r="H261" s="53">
        <v>3425.4000000000015</v>
      </c>
      <c r="I261" s="54">
        <v>1</v>
      </c>
      <c r="J261" s="55">
        <f t="shared" si="230"/>
      </c>
      <c r="K261" s="55">
        <f t="shared" si="192"/>
      </c>
      <c r="L261" s="55">
        <f t="shared" si="154"/>
      </c>
      <c r="M261" s="56">
        <f t="shared" si="116"/>
      </c>
      <c r="N261" s="55">
        <f t="shared" si="67"/>
      </c>
      <c r="O261" s="55">
        <f t="shared" si="48"/>
      </c>
      <c r="P261" s="56">
        <f t="shared" si="29"/>
      </c>
      <c r="Q261" s="56">
        <f t="shared" si="10"/>
      </c>
      <c r="R261" s="56">
        <f t="shared" si="249"/>
      </c>
      <c r="S261" s="56">
        <f t="shared" si="211"/>
      </c>
      <c r="T261" s="57">
        <f t="shared" si="173"/>
      </c>
      <c r="U261" s="58">
        <v>0.0063</v>
      </c>
      <c r="V261" s="59">
        <v>50</v>
      </c>
      <c r="W261" s="55">
        <f t="shared" si="135"/>
      </c>
      <c r="X261" s="57">
        <v>43015</v>
      </c>
      <c r="Y261" s="57">
        <v>1333</v>
      </c>
      <c r="Z261" s="57">
        <v>85</v>
      </c>
      <c r="AA261" s="57">
        <v>1536</v>
      </c>
      <c r="AB261" s="57">
        <v>149</v>
      </c>
      <c r="AC261" s="57">
        <v>24</v>
      </c>
      <c r="AD261" s="57">
        <v>6</v>
      </c>
      <c r="AE261" s="57">
        <v>34</v>
      </c>
      <c r="AF261" s="55">
        <f t="shared" si="88"/>
      </c>
      <c r="AG261" s="34" t="s">
        <v>40</v>
      </c>
      <c r="AH261" s="35" t="s">
        <v>41</v>
      </c>
      <c r="AI261" s="59">
        <v>46</v>
      </c>
    </row>
    <row r="262">
      <c r="A262" s="22"/>
      <c r="B262" s="23" t="s">
        <v>54</v>
      </c>
      <c r="C262" s="60" t="s">
        <v>49</v>
      </c>
      <c r="D262" s="50">
        <v>3007.27</v>
      </c>
      <c r="E262" s="51">
        <v>6</v>
      </c>
      <c r="F262" s="51">
        <v>4</v>
      </c>
      <c r="G262" s="52">
        <v>3</v>
      </c>
      <c r="H262" s="53">
        <v>1804.0000000000073</v>
      </c>
      <c r="I262" s="110">
        <v>0</v>
      </c>
      <c r="J262" s="55">
        <f t="shared" si="230"/>
      </c>
      <c r="K262" s="55">
        <f t="shared" si="192"/>
      </c>
      <c r="L262" s="55">
        <f t="shared" si="154"/>
      </c>
      <c r="M262" s="56">
        <f t="shared" si="116"/>
      </c>
      <c r="N262" s="55">
        <f t="shared" si="67"/>
      </c>
      <c r="O262" s="55">
        <f t="shared" si="48"/>
      </c>
      <c r="P262" s="56">
        <f t="shared" si="29"/>
      </c>
      <c r="Q262" s="56">
        <f t="shared" si="10"/>
      </c>
      <c r="R262" s="56">
        <f t="shared" si="249"/>
      </c>
      <c r="S262" s="56">
        <f t="shared" si="211"/>
      </c>
      <c r="T262" s="57">
        <f t="shared" si="173"/>
      </c>
      <c r="U262" s="58">
        <v>0.0076</v>
      </c>
      <c r="V262" s="59">
        <v>52</v>
      </c>
      <c r="W262" s="55">
        <f t="shared" si="135"/>
      </c>
      <c r="X262" s="57">
        <v>39027</v>
      </c>
      <c r="Y262" s="57">
        <v>1000</v>
      </c>
      <c r="Z262" s="57">
        <v>76</v>
      </c>
      <c r="AA262" s="57">
        <v>1161</v>
      </c>
      <c r="AB262" s="57">
        <v>84</v>
      </c>
      <c r="AC262" s="57">
        <v>11</v>
      </c>
      <c r="AD262" s="57">
        <v>2</v>
      </c>
      <c r="AE262" s="57">
        <v>36</v>
      </c>
      <c r="AF262" s="55">
        <f t="shared" si="88"/>
      </c>
      <c r="AG262" s="34" t="s">
        <v>40</v>
      </c>
      <c r="AH262" s="35" t="s">
        <v>41</v>
      </c>
      <c r="AI262" s="59">
        <v>41</v>
      </c>
    </row>
    <row r="263">
      <c r="A263" s="22"/>
      <c r="B263" s="23" t="s">
        <v>54</v>
      </c>
      <c r="C263" s="61" t="s">
        <v>50</v>
      </c>
      <c r="D263" s="62">
        <v>2998.96</v>
      </c>
      <c r="E263" s="63">
        <v>6</v>
      </c>
      <c r="F263" s="63">
        <v>6</v>
      </c>
      <c r="G263" s="64">
        <v>5</v>
      </c>
      <c r="H263" s="111">
        <v>4177.799999999988</v>
      </c>
      <c r="I263" s="26">
        <v>2</v>
      </c>
      <c r="J263" s="28">
        <f t="shared" si="230"/>
      </c>
      <c r="K263" s="29">
        <f t="shared" si="192"/>
      </c>
      <c r="L263" s="29">
        <f t="shared" si="154"/>
      </c>
      <c r="M263" s="30">
        <f t="shared" si="116"/>
      </c>
      <c r="N263" s="29">
        <f t="shared" si="67"/>
      </c>
      <c r="O263" s="29">
        <f t="shared" si="48"/>
      </c>
      <c r="P263" s="30">
        <f t="shared" si="29"/>
      </c>
      <c r="Q263" s="30">
        <f t="shared" si="10"/>
      </c>
      <c r="R263" s="30">
        <f t="shared" si="249"/>
      </c>
      <c r="S263" s="30">
        <f t="shared" si="211"/>
      </c>
      <c r="T263" s="31">
        <f t="shared" si="173"/>
      </c>
      <c r="U263" s="32">
        <v>0.0076</v>
      </c>
      <c r="V263" s="33">
        <v>56</v>
      </c>
      <c r="W263" s="29">
        <f t="shared" si="135"/>
      </c>
      <c r="X263" s="33">
        <v>37566</v>
      </c>
      <c r="Y263" s="33">
        <v>1086</v>
      </c>
      <c r="Z263" s="31">
        <v>77</v>
      </c>
      <c r="AA263" s="31">
        <v>1166</v>
      </c>
      <c r="AB263" s="33">
        <v>125</v>
      </c>
      <c r="AC263" s="31">
        <v>25</v>
      </c>
      <c r="AD263" s="33">
        <v>1</v>
      </c>
      <c r="AE263" s="33">
        <v>39</v>
      </c>
      <c r="AF263" s="29">
        <f t="shared" si="88"/>
      </c>
      <c r="AG263" s="34" t="s">
        <v>40</v>
      </c>
      <c r="AH263" s="35" t="s">
        <v>41</v>
      </c>
      <c r="AI263" s="33">
        <v>36</v>
      </c>
    </row>
    <row r="264">
      <c r="A264" s="22"/>
      <c r="B264" s="23" t="s">
        <v>54</v>
      </c>
      <c r="C264" s="60" t="s">
        <v>51</v>
      </c>
      <c r="D264" s="62">
        <v>3980.33</v>
      </c>
      <c r="E264" s="63">
        <v>17</v>
      </c>
      <c r="F264" s="63">
        <v>12</v>
      </c>
      <c r="G264" s="64">
        <v>10</v>
      </c>
      <c r="H264" s="53">
        <v>8764.800000000003</v>
      </c>
      <c r="I264" s="112">
        <v>1</v>
      </c>
      <c r="J264" s="55">
        <f t="shared" si="230"/>
      </c>
      <c r="K264" s="55">
        <f t="shared" si="192"/>
      </c>
      <c r="L264" s="55">
        <f t="shared" si="154"/>
      </c>
      <c r="M264" s="56">
        <f t="shared" si="116"/>
      </c>
      <c r="N264" s="55">
        <f t="shared" si="67"/>
      </c>
      <c r="O264" s="55">
        <f t="shared" si="48"/>
      </c>
      <c r="P264" s="56">
        <f t="shared" si="29"/>
      </c>
      <c r="Q264" s="56">
        <f t="shared" si="10"/>
      </c>
      <c r="R264" s="56">
        <f t="shared" si="249"/>
      </c>
      <c r="S264" s="56">
        <f t="shared" si="211"/>
      </c>
      <c r="T264" s="57">
        <f t="shared" si="173"/>
      </c>
      <c r="U264" s="58">
        <v>0.0103</v>
      </c>
      <c r="V264" s="59">
        <v>56</v>
      </c>
      <c r="W264" s="55">
        <f t="shared" si="135"/>
      </c>
      <c r="X264" s="57">
        <v>43001</v>
      </c>
      <c r="Y264" s="57">
        <v>1825</v>
      </c>
      <c r="Z264" s="57">
        <v>127</v>
      </c>
      <c r="AA264" s="57">
        <v>2957</v>
      </c>
      <c r="AB264" s="57">
        <v>118</v>
      </c>
      <c r="AC264" s="57">
        <v>29</v>
      </c>
      <c r="AD264" s="57">
        <v>1</v>
      </c>
      <c r="AE264" s="57">
        <v>80</v>
      </c>
      <c r="AF264" s="55">
        <f t="shared" si="88"/>
      </c>
      <c r="AG264" s="34" t="s">
        <v>40</v>
      </c>
      <c r="AH264" s="35" t="s">
        <v>41</v>
      </c>
      <c r="AI264" s="59">
        <v>48</v>
      </c>
    </row>
    <row r="265">
      <c r="A265" s="22"/>
      <c r="B265" s="67" t="s">
        <v>46</v>
      </c>
      <c r="C265" s="67"/>
      <c r="D265" s="68">
        <f>SUM(D261:D264)</f>
      </c>
      <c r="E265" s="69">
        <f>SUM(E261:E264)</f>
      </c>
      <c r="F265" s="69">
        <f>SUM(F261:F264)</f>
      </c>
      <c r="G265" s="70">
        <f>SUM(G261:G264)</f>
      </c>
      <c r="H265" s="68">
        <f>SUM(H261:H264)</f>
      </c>
      <c r="I265" s="69">
        <f>SUM(I261:I264)</f>
      </c>
      <c r="J265" s="71">
        <f t="shared" si="230"/>
      </c>
      <c r="K265" s="71">
        <f t="shared" si="192"/>
      </c>
      <c r="L265" s="71">
        <f t="shared" si="154"/>
      </c>
      <c r="M265" s="72">
        <f t="shared" si="116"/>
      </c>
      <c r="N265" s="71">
        <f t="shared" si="67"/>
      </c>
      <c r="O265" s="71">
        <f t="shared" si="48"/>
      </c>
      <c r="P265" s="72">
        <f t="shared" si="29"/>
      </c>
      <c r="Q265" s="72">
        <f t="shared" si="10"/>
      </c>
      <c r="R265" s="72">
        <f t="shared" si="249"/>
      </c>
      <c r="S265" s="72">
        <f t="shared" si="211"/>
      </c>
      <c r="T265" s="73">
        <f t="shared" si="173"/>
      </c>
      <c r="U265" s="46">
        <f>AVERAGE(U261:U264)</f>
      </c>
      <c r="V265" s="41">
        <f>AVERAGE(V261:V264)</f>
      </c>
      <c r="W265" s="71">
        <f t="shared" si="135"/>
      </c>
      <c r="X265" s="73">
        <f>SUM(X261:X264)</f>
      </c>
      <c r="Y265" s="73">
        <f>SUM(Y261:Y264)</f>
      </c>
      <c r="Z265" s="73">
        <f>SUM(Z261:Z264)</f>
      </c>
      <c r="AA265" s="73">
        <f>SUM(AA261:AA264)</f>
      </c>
      <c r="AB265" s="73">
        <f>SUM(AB261:AB264)</f>
      </c>
      <c r="AC265" s="73">
        <f>SUM(AC261:AC264)</f>
      </c>
      <c r="AD265" s="73">
        <f>SUM(AD261:AD264)</f>
      </c>
      <c r="AE265" s="73">
        <f>SUM(AE261:AE264)</f>
      </c>
      <c r="AF265" s="74">
        <f t="shared" si="88"/>
      </c>
      <c r="AG265" s="75"/>
      <c r="AH265" s="75"/>
      <c r="AI265" s="70">
        <f>SUM(AI261:AI264)</f>
      </c>
    </row>
    <row r="266">
      <c r="A266" s="22"/>
      <c r="B266" s="49" t="s">
        <v>60</v>
      </c>
      <c r="C266" s="49" t="s">
        <v>53</v>
      </c>
      <c r="D266" s="23">
        <v>2855.04</v>
      </c>
      <c r="E266" s="26">
        <v>8</v>
      </c>
      <c r="F266" s="26">
        <v>7</v>
      </c>
      <c r="G266" s="27">
        <v>6</v>
      </c>
      <c r="H266" s="76">
        <v>4569.4000000000015</v>
      </c>
      <c r="I266" s="26">
        <v>1</v>
      </c>
      <c r="J266" s="29">
        <f t="shared" si="230"/>
      </c>
      <c r="K266" s="29">
        <f t="shared" si="192"/>
      </c>
      <c r="L266" s="29">
        <f t="shared" si="154"/>
      </c>
      <c r="M266" s="30">
        <f t="shared" si="116"/>
      </c>
      <c r="N266" s="29">
        <f t="shared" si="67"/>
      </c>
      <c r="O266" s="29">
        <f t="shared" si="48"/>
      </c>
      <c r="P266" s="30">
        <f t="shared" si="29"/>
      </c>
      <c r="Q266" s="30">
        <f t="shared" si="10"/>
      </c>
      <c r="R266" s="30">
        <f t="shared" si="249"/>
      </c>
      <c r="S266" s="30">
        <f t="shared" si="211"/>
      </c>
      <c r="T266" s="31">
        <f t="shared" si="173"/>
      </c>
      <c r="U266" s="32">
        <v>0.0081</v>
      </c>
      <c r="V266" s="33">
        <v>55</v>
      </c>
      <c r="W266" s="29">
        <f t="shared" si="135"/>
      </c>
      <c r="X266" s="33">
        <v>29951</v>
      </c>
      <c r="Y266" s="33">
        <v>1034</v>
      </c>
      <c r="Z266" s="31">
        <v>65</v>
      </c>
      <c r="AA266" s="31">
        <v>1111</v>
      </c>
      <c r="AB266" s="31">
        <v>98</v>
      </c>
      <c r="AC266" s="31">
        <v>9</v>
      </c>
      <c r="AD266" s="33">
        <v>1</v>
      </c>
      <c r="AE266" s="33">
        <v>39</v>
      </c>
      <c r="AF266" s="29">
        <f t="shared" si="88"/>
      </c>
      <c r="AG266" s="34" t="s">
        <v>56</v>
      </c>
      <c r="AH266" s="66" t="s">
        <v>72</v>
      </c>
      <c r="AI266" s="33">
        <v>31</v>
      </c>
    </row>
    <row r="267">
      <c r="A267" s="22"/>
      <c r="B267" s="49" t="s">
        <v>60</v>
      </c>
      <c r="C267" s="60" t="s">
        <v>55</v>
      </c>
      <c r="D267" s="23">
        <v>3124.5</v>
      </c>
      <c r="E267" s="26">
        <v>12</v>
      </c>
      <c r="F267" s="26">
        <v>9</v>
      </c>
      <c r="G267" s="27">
        <v>7</v>
      </c>
      <c r="H267" s="76">
        <v>4719</v>
      </c>
      <c r="I267" s="26">
        <v>1</v>
      </c>
      <c r="J267" s="29">
        <f t="shared" si="230"/>
      </c>
      <c r="K267" s="29">
        <f t="shared" si="192"/>
      </c>
      <c r="L267" s="29">
        <f t="shared" si="154"/>
      </c>
      <c r="M267" s="30">
        <f t="shared" si="116"/>
      </c>
      <c r="N267" s="29">
        <f t="shared" si="67"/>
      </c>
      <c r="O267" s="29">
        <f t="shared" si="48"/>
      </c>
      <c r="P267" s="30">
        <f t="shared" si="29"/>
      </c>
      <c r="Q267" s="30">
        <f t="shared" si="10"/>
      </c>
      <c r="R267" s="30">
        <f t="shared" si="249"/>
      </c>
      <c r="S267" s="30">
        <f t="shared" si="211"/>
      </c>
      <c r="T267" s="31">
        <f t="shared" si="173"/>
      </c>
      <c r="U267" s="32">
        <v>0.0125</v>
      </c>
      <c r="V267" s="33">
        <v>55</v>
      </c>
      <c r="W267" s="29">
        <f t="shared" si="135"/>
      </c>
      <c r="X267" s="33">
        <v>35859</v>
      </c>
      <c r="Y267" s="33">
        <v>1072</v>
      </c>
      <c r="Z267" s="31">
        <v>92</v>
      </c>
      <c r="AA267" s="31">
        <v>1203</v>
      </c>
      <c r="AB267" s="31">
        <v>105</v>
      </c>
      <c r="AC267" s="31">
        <v>17</v>
      </c>
      <c r="AD267" s="33">
        <v>7</v>
      </c>
      <c r="AE267" s="33">
        <v>56</v>
      </c>
      <c r="AF267" s="29">
        <f t="shared" si="88"/>
      </c>
      <c r="AG267" s="34" t="s">
        <v>56</v>
      </c>
      <c r="AH267" s="66" t="s">
        <v>72</v>
      </c>
      <c r="AI267" s="33">
        <v>72</v>
      </c>
    </row>
    <row r="268">
      <c r="A268" s="22"/>
      <c r="B268" s="49" t="s">
        <v>60</v>
      </c>
      <c r="C268" s="61" t="s">
        <v>57</v>
      </c>
      <c r="D268" s="23">
        <v>443.54</v>
      </c>
      <c r="E268" s="26">
        <v>3</v>
      </c>
      <c r="F268" s="26">
        <v>3</v>
      </c>
      <c r="G268" s="27">
        <v>2</v>
      </c>
      <c r="H268" s="76">
        <v>1683</v>
      </c>
      <c r="I268" s="26">
        <v>0</v>
      </c>
      <c r="J268" s="29">
        <f t="shared" si="230"/>
      </c>
      <c r="K268" s="29">
        <f t="shared" si="192"/>
      </c>
      <c r="L268" s="29">
        <f t="shared" si="154"/>
      </c>
      <c r="M268" s="30">
        <f t="shared" si="116"/>
      </c>
      <c r="N268" s="29">
        <f t="shared" si="67"/>
      </c>
      <c r="O268" s="29">
        <f t="shared" si="48"/>
      </c>
      <c r="P268" s="30">
        <f t="shared" si="29"/>
      </c>
      <c r="Q268" s="30">
        <f t="shared" si="10"/>
      </c>
      <c r="R268" s="30">
        <f t="shared" si="249"/>
      </c>
      <c r="S268" s="30">
        <f t="shared" si="211"/>
      </c>
      <c r="T268" s="31">
        <f t="shared" si="173"/>
      </c>
      <c r="U268" s="32">
        <v>0.0098</v>
      </c>
      <c r="V268" s="33">
        <v>56</v>
      </c>
      <c r="W268" s="29">
        <f t="shared" si="135"/>
      </c>
      <c r="X268" s="31">
        <v>5715</v>
      </c>
      <c r="Y268" s="31">
        <v>114</v>
      </c>
      <c r="Z268" s="31">
        <v>13</v>
      </c>
      <c r="AA268" s="31">
        <v>137</v>
      </c>
      <c r="AB268" s="31">
        <v>25</v>
      </c>
      <c r="AC268" s="31">
        <v>2</v>
      </c>
      <c r="AD268" s="31">
        <v>1</v>
      </c>
      <c r="AE268" s="33">
        <v>1</v>
      </c>
      <c r="AF268" s="29">
        <f t="shared" si="88"/>
      </c>
      <c r="AG268" s="34" t="s">
        <v>56</v>
      </c>
      <c r="AH268" s="66" t="s">
        <v>72</v>
      </c>
      <c r="AI268" s="33">
        <v>8</v>
      </c>
    </row>
    <row r="269">
      <c r="A269" s="22"/>
      <c r="B269" s="49" t="s">
        <v>60</v>
      </c>
      <c r="C269" s="60" t="s">
        <v>58</v>
      </c>
      <c r="D269" s="23">
        <v>3568.42</v>
      </c>
      <c r="E269" s="26">
        <v>8</v>
      </c>
      <c r="F269" s="26">
        <v>6</v>
      </c>
      <c r="G269" s="27">
        <v>5</v>
      </c>
      <c r="H269" s="76">
        <v>3366</v>
      </c>
      <c r="I269" s="26">
        <v>0</v>
      </c>
      <c r="J269" s="29">
        <f t="shared" si="230"/>
      </c>
      <c r="K269" s="29">
        <f t="shared" si="192"/>
      </c>
      <c r="L269" s="29">
        <f t="shared" si="154"/>
      </c>
      <c r="M269" s="30">
        <f t="shared" si="116"/>
      </c>
      <c r="N269" s="29">
        <f t="shared" si="67"/>
      </c>
      <c r="O269" s="29">
        <f t="shared" si="48"/>
      </c>
      <c r="P269" s="30">
        <f t="shared" si="29"/>
      </c>
      <c r="Q269" s="30">
        <f t="shared" si="10"/>
      </c>
      <c r="R269" s="30">
        <f t="shared" si="249"/>
      </c>
      <c r="S269" s="30">
        <f t="shared" si="211"/>
      </c>
      <c r="T269" s="31">
        <f t="shared" si="173"/>
      </c>
      <c r="U269" s="32">
        <v>0.0143</v>
      </c>
      <c r="V269" s="33">
        <v>55</v>
      </c>
      <c r="W269" s="29">
        <f t="shared" si="135"/>
      </c>
      <c r="X269" s="33">
        <v>41223</v>
      </c>
      <c r="Y269" s="33">
        <v>1130</v>
      </c>
      <c r="Z269" s="33">
        <v>103</v>
      </c>
      <c r="AA269" s="33">
        <v>1308</v>
      </c>
      <c r="AB269" s="33">
        <v>59</v>
      </c>
      <c r="AC269" s="33">
        <v>11</v>
      </c>
      <c r="AD269" s="33">
        <v>2</v>
      </c>
      <c r="AE269" s="33">
        <v>72</v>
      </c>
      <c r="AF269" s="29">
        <f t="shared" si="88"/>
      </c>
      <c r="AG269" s="34" t="s">
        <v>56</v>
      </c>
      <c r="AH269" s="66" t="s">
        <v>72</v>
      </c>
      <c r="AI269" s="33">
        <v>30</v>
      </c>
    </row>
    <row r="270">
      <c r="A270" s="22"/>
      <c r="B270" s="40" t="s">
        <v>46</v>
      </c>
      <c r="C270" s="40"/>
      <c r="D270" s="77">
        <f>SUM(D266:D269)</f>
      </c>
      <c r="E270" s="78">
        <f>SUM(E266:E269)</f>
      </c>
      <c r="F270" s="78">
        <f>SUM(F266:F269)</f>
      </c>
      <c r="G270" s="79">
        <f>SUM(G266:G269)</f>
      </c>
      <c r="H270" s="77">
        <f>SUM(H266:H269)</f>
      </c>
      <c r="I270" s="78">
        <f>SUM(I266:I269)</f>
      </c>
      <c r="J270" s="45">
        <f t="shared" si="230"/>
      </c>
      <c r="K270" s="45">
        <f t="shared" si="192"/>
      </c>
      <c r="L270" s="45">
        <f t="shared" si="154"/>
      </c>
      <c r="M270" s="46">
        <f t="shared" si="116"/>
      </c>
      <c r="N270" s="45">
        <f t="shared" si="67"/>
      </c>
      <c r="O270" s="45">
        <f t="shared" si="48"/>
      </c>
      <c r="P270" s="46">
        <f t="shared" si="29"/>
      </c>
      <c r="Q270" s="46">
        <f t="shared" si="10"/>
      </c>
      <c r="R270" s="46">
        <f t="shared" si="249"/>
      </c>
      <c r="S270" s="46">
        <f t="shared" si="211"/>
      </c>
      <c r="T270" s="42">
        <f t="shared" si="173"/>
      </c>
      <c r="U270" s="46">
        <f>AVERAGE(U267:U269)</f>
      </c>
      <c r="V270" s="41">
        <f>AVERAGE(V267:V269)</f>
      </c>
      <c r="W270" s="45">
        <f t="shared" si="135"/>
      </c>
      <c r="X270" s="42">
        <f>SUM(X266:X269)</f>
      </c>
      <c r="Y270" s="42">
        <f>SUM(Y266:Y269)</f>
      </c>
      <c r="Z270" s="42">
        <f>SUM(Z266:Z269)</f>
      </c>
      <c r="AA270" s="42">
        <f>SUM(AA266:AA269)</f>
      </c>
      <c r="AB270" s="42">
        <f>SUM(AB266:AB269)</f>
      </c>
      <c r="AC270" s="42">
        <f>SUM(AC266:AC269)</f>
      </c>
      <c r="AD270" s="42">
        <f>SUM(AD266:AD269)</f>
      </c>
      <c r="AE270" s="42">
        <f>SUM(AE266:AE269)</f>
      </c>
      <c r="AF270" s="47">
        <f t="shared" si="88"/>
      </c>
      <c r="AG270" s="48"/>
      <c r="AH270" s="48"/>
      <c r="AI270" s="42">
        <f>SUM(AI267:AI269)</f>
      </c>
    </row>
    <row r="271">
      <c r="A271" s="22"/>
      <c r="B271" s="23" t="s">
        <v>69</v>
      </c>
      <c r="C271" s="49" t="s">
        <v>59</v>
      </c>
      <c r="D271" s="80">
        <v>2981.66</v>
      </c>
      <c r="E271" s="51">
        <v>8</v>
      </c>
      <c r="F271" s="51">
        <v>7</v>
      </c>
      <c r="G271" s="52">
        <v>6</v>
      </c>
      <c r="H271" s="53">
        <v>5331.700000000004</v>
      </c>
      <c r="I271" s="54">
        <v>3</v>
      </c>
      <c r="J271" s="55">
        <f t="shared" si="230"/>
      </c>
      <c r="K271" s="55">
        <f t="shared" si="192"/>
      </c>
      <c r="L271" s="55">
        <f t="shared" si="154"/>
      </c>
      <c r="M271" s="56">
        <f t="shared" si="116"/>
      </c>
      <c r="N271" s="55">
        <f t="shared" si="67"/>
      </c>
      <c r="O271" s="55">
        <f t="shared" si="48"/>
      </c>
      <c r="P271" s="56">
        <f t="shared" si="29"/>
      </c>
      <c r="Q271" s="56">
        <f t="shared" si="10"/>
      </c>
      <c r="R271" s="56">
        <f t="shared" si="249"/>
      </c>
      <c r="S271" s="56">
        <f t="shared" si="211"/>
      </c>
      <c r="T271" s="57">
        <f t="shared" si="173"/>
      </c>
      <c r="U271" s="58">
        <v>0.0064</v>
      </c>
      <c r="V271" s="59">
        <v>54</v>
      </c>
      <c r="W271" s="29">
        <f t="shared" si="135"/>
      </c>
      <c r="X271" s="57">
        <v>37846</v>
      </c>
      <c r="Y271" s="57">
        <v>1385</v>
      </c>
      <c r="Z271" s="57">
        <v>77</v>
      </c>
      <c r="AA271" s="57">
        <v>1540</v>
      </c>
      <c r="AB271" s="57">
        <v>95</v>
      </c>
      <c r="AC271" s="57">
        <v>10</v>
      </c>
      <c r="AD271" s="57">
        <v>2</v>
      </c>
      <c r="AE271" s="57">
        <v>42</v>
      </c>
      <c r="AF271" s="55" t="str">
        <v>#DIV/0!</v>
      </c>
      <c r="AG271" s="34" t="s">
        <v>56</v>
      </c>
      <c r="AH271" s="66" t="s">
        <v>72</v>
      </c>
      <c r="AI271" s="59">
        <v>34</v>
      </c>
    </row>
    <row r="272">
      <c r="A272" s="22"/>
      <c r="B272" s="23" t="s">
        <v>69</v>
      </c>
      <c r="C272" s="49" t="s">
        <v>61</v>
      </c>
      <c r="D272" s="80">
        <v>2991.84</v>
      </c>
      <c r="E272" s="51">
        <v>6</v>
      </c>
      <c r="F272" s="51">
        <v>4</v>
      </c>
      <c r="G272" s="52">
        <v>4</v>
      </c>
      <c r="H272" s="53">
        <v>2523.399999999994</v>
      </c>
      <c r="I272" s="54">
        <v>1</v>
      </c>
      <c r="J272" s="55">
        <f t="shared" si="230"/>
      </c>
      <c r="K272" s="55">
        <f t="shared" si="192"/>
      </c>
      <c r="L272" s="55">
        <f t="shared" si="154"/>
      </c>
      <c r="M272" s="56">
        <f t="shared" si="116"/>
      </c>
      <c r="N272" s="55">
        <f t="shared" si="67"/>
      </c>
      <c r="O272" s="55">
        <f t="shared" si="48"/>
      </c>
      <c r="P272" s="56">
        <f t="shared" si="29"/>
      </c>
      <c r="Q272" s="56">
        <f t="shared" si="10"/>
      </c>
      <c r="R272" s="56">
        <f t="shared" si="249"/>
      </c>
      <c r="S272" s="56">
        <f t="shared" si="211"/>
      </c>
      <c r="T272" s="57">
        <f t="shared" si="173"/>
      </c>
      <c r="U272" s="58">
        <v>0.011</v>
      </c>
      <c r="V272" s="59">
        <v>55</v>
      </c>
      <c r="W272" s="55">
        <f t="shared" si="135"/>
      </c>
      <c r="X272" s="57">
        <v>42095</v>
      </c>
      <c r="Y272" s="57">
        <v>970</v>
      </c>
      <c r="Z272" s="57">
        <v>96</v>
      </c>
      <c r="AA272" s="57">
        <v>1107</v>
      </c>
      <c r="AB272" s="57">
        <v>98</v>
      </c>
      <c r="AC272" s="57">
        <v>16</v>
      </c>
      <c r="AD272" s="57">
        <v>0</v>
      </c>
      <c r="AE272" s="57">
        <v>53</v>
      </c>
      <c r="AF272" s="55">
        <f t="shared" ref="AF272:AF276" si="89">AI272*1000/D272</f>
      </c>
      <c r="AG272" s="34" t="s">
        <v>56</v>
      </c>
      <c r="AH272" s="66" t="s">
        <v>72</v>
      </c>
      <c r="AI272" s="59">
        <v>34</v>
      </c>
    </row>
    <row r="273">
      <c r="A273" s="22"/>
      <c r="B273" s="23" t="s">
        <v>69</v>
      </c>
      <c r="C273" s="49" t="s">
        <v>62</v>
      </c>
      <c r="D273" s="81">
        <v>3016.95</v>
      </c>
      <c r="E273" s="63">
        <v>13</v>
      </c>
      <c r="F273" s="63">
        <v>10</v>
      </c>
      <c r="G273" s="64">
        <v>7</v>
      </c>
      <c r="H273" s="91">
        <v>6219.399999999994</v>
      </c>
      <c r="I273" s="54">
        <v>1</v>
      </c>
      <c r="J273" s="55">
        <f t="shared" si="230"/>
      </c>
      <c r="K273" s="55">
        <f t="shared" si="192"/>
      </c>
      <c r="L273" s="55">
        <f t="shared" si="154"/>
      </c>
      <c r="M273" s="56">
        <f t="shared" si="116"/>
      </c>
      <c r="N273" s="55">
        <f t="shared" si="67"/>
      </c>
      <c r="O273" s="55">
        <f t="shared" si="48"/>
      </c>
      <c r="P273" s="56">
        <f t="shared" si="29"/>
      </c>
      <c r="Q273" s="56">
        <f t="shared" si="10"/>
      </c>
      <c r="R273" s="56">
        <f t="shared" si="249"/>
      </c>
      <c r="S273" s="56">
        <f t="shared" si="211"/>
      </c>
      <c r="T273" s="57">
        <f t="shared" si="173"/>
      </c>
      <c r="U273" s="58">
        <v>0.0133</v>
      </c>
      <c r="V273" s="59">
        <v>55</v>
      </c>
      <c r="W273" s="55">
        <f t="shared" si="135"/>
      </c>
      <c r="X273" s="57">
        <v>35635</v>
      </c>
      <c r="Y273" s="57">
        <v>842</v>
      </c>
      <c r="Z273" s="57">
        <v>97</v>
      </c>
      <c r="AA273" s="57">
        <v>950</v>
      </c>
      <c r="AB273" s="57">
        <v>114</v>
      </c>
      <c r="AC273" s="57">
        <v>16</v>
      </c>
      <c r="AD273" s="57">
        <v>2</v>
      </c>
      <c r="AE273" s="57">
        <v>43</v>
      </c>
      <c r="AF273" s="55">
        <f t="shared" si="89"/>
      </c>
      <c r="AG273" s="34" t="s">
        <v>56</v>
      </c>
      <c r="AH273" s="66" t="s">
        <v>72</v>
      </c>
      <c r="AI273" s="59">
        <v>41</v>
      </c>
    </row>
    <row r="274">
      <c r="A274" s="22"/>
      <c r="B274" s="23" t="s">
        <v>69</v>
      </c>
      <c r="C274" s="49" t="s">
        <v>63</v>
      </c>
      <c r="D274" s="80">
        <v>3035.47</v>
      </c>
      <c r="E274" s="63">
        <v>17</v>
      </c>
      <c r="F274" s="63">
        <v>15</v>
      </c>
      <c r="G274" s="64">
        <v>12</v>
      </c>
      <c r="H274" s="50">
        <v>12821.599999999977</v>
      </c>
      <c r="I274" s="65">
        <v>5</v>
      </c>
      <c r="J274" s="55">
        <f t="shared" si="230"/>
      </c>
      <c r="K274" s="55">
        <f t="shared" si="192"/>
      </c>
      <c r="L274" s="55">
        <f t="shared" si="154"/>
      </c>
      <c r="M274" s="56">
        <f t="shared" si="116"/>
      </c>
      <c r="N274" s="55">
        <f t="shared" si="67"/>
      </c>
      <c r="O274" s="55">
        <f t="shared" si="48"/>
      </c>
      <c r="P274" s="56">
        <f t="shared" si="29"/>
      </c>
      <c r="Q274" s="56">
        <f t="shared" si="10"/>
      </c>
      <c r="R274" s="56">
        <f t="shared" si="249"/>
      </c>
      <c r="S274" s="56">
        <f t="shared" si="211"/>
      </c>
      <c r="T274" s="57">
        <f t="shared" si="173"/>
      </c>
      <c r="U274" s="58">
        <v>0.0129</v>
      </c>
      <c r="V274" s="59">
        <v>54</v>
      </c>
      <c r="W274" s="55">
        <f t="shared" si="135"/>
      </c>
      <c r="X274" s="57">
        <v>35823</v>
      </c>
      <c r="Y274" s="57">
        <v>820</v>
      </c>
      <c r="Z274" s="57">
        <v>97</v>
      </c>
      <c r="AA274" s="57">
        <v>1109</v>
      </c>
      <c r="AB274" s="57">
        <v>103</v>
      </c>
      <c r="AC274" s="57">
        <v>14</v>
      </c>
      <c r="AD274" s="57">
        <v>0</v>
      </c>
      <c r="AE274" s="57">
        <v>50</v>
      </c>
      <c r="AF274" s="55">
        <f t="shared" si="89"/>
      </c>
      <c r="AG274" s="34" t="s">
        <v>56</v>
      </c>
      <c r="AH274" s="66" t="s">
        <v>72</v>
      </c>
      <c r="AI274" s="59">
        <v>35</v>
      </c>
    </row>
    <row r="275">
      <c r="A275" s="22"/>
      <c r="B275" s="23" t="s">
        <v>69</v>
      </c>
      <c r="C275" s="49" t="s">
        <v>64</v>
      </c>
      <c r="D275" s="50">
        <v>2675.39</v>
      </c>
      <c r="E275" s="65">
        <v>7</v>
      </c>
      <c r="F275" s="65">
        <v>6</v>
      </c>
      <c r="G275" s="52">
        <v>3</v>
      </c>
      <c r="H275" s="80">
        <v>2585</v>
      </c>
      <c r="I275" s="65">
        <v>0</v>
      </c>
      <c r="J275" s="55">
        <f t="shared" si="230"/>
      </c>
      <c r="K275" s="55">
        <f t="shared" si="192"/>
      </c>
      <c r="L275" s="55">
        <f t="shared" si="154"/>
      </c>
      <c r="M275" s="56">
        <f t="shared" si="116"/>
      </c>
      <c r="N275" s="55">
        <f t="shared" si="67"/>
      </c>
      <c r="O275" s="55">
        <f t="shared" si="48"/>
      </c>
      <c r="P275" s="56">
        <f t="shared" si="29"/>
      </c>
      <c r="Q275" s="56">
        <f t="shared" si="10"/>
      </c>
      <c r="R275" s="56">
        <f t="shared" si="249"/>
      </c>
      <c r="S275" s="56">
        <f t="shared" si="211"/>
      </c>
      <c r="T275" s="57">
        <f t="shared" si="173"/>
      </c>
      <c r="U275" s="58">
        <v>0.0101</v>
      </c>
      <c r="V275" s="59">
        <v>54</v>
      </c>
      <c r="W275" s="55">
        <f t="shared" si="135"/>
      </c>
      <c r="X275" s="57">
        <v>31035</v>
      </c>
      <c r="Y275" s="57">
        <v>887</v>
      </c>
      <c r="Z275" s="57">
        <v>66</v>
      </c>
      <c r="AA275" s="57">
        <v>953</v>
      </c>
      <c r="AB275" s="57">
        <v>67</v>
      </c>
      <c r="AC275" s="57">
        <v>9</v>
      </c>
      <c r="AD275" s="57">
        <v>2</v>
      </c>
      <c r="AE275" s="59">
        <v>38</v>
      </c>
      <c r="AF275" s="55">
        <f t="shared" si="89"/>
      </c>
      <c r="AG275" s="34" t="s">
        <v>56</v>
      </c>
      <c r="AH275" s="66" t="s">
        <v>72</v>
      </c>
      <c r="AI275" s="59">
        <v>22</v>
      </c>
    </row>
    <row r="276">
      <c r="A276" s="22"/>
      <c r="B276" s="67" t="s">
        <v>46</v>
      </c>
      <c r="C276" s="67"/>
      <c r="D276" s="41">
        <f>SUM(D271:D275)</f>
      </c>
      <c r="E276" s="42">
        <f>SUM(E271:E275)</f>
      </c>
      <c r="F276" s="42">
        <f>SUM(F271:F275)</f>
      </c>
      <c r="G276" s="43">
        <f>SUM(G271:G275)</f>
      </c>
      <c r="H276" s="41">
        <f>SUM(H271:H275)</f>
      </c>
      <c r="I276" s="44">
        <f>SUM(I271:I275)</f>
      </c>
      <c r="J276" s="109">
        <f t="shared" si="230"/>
      </c>
      <c r="K276" s="45">
        <f t="shared" si="192"/>
      </c>
      <c r="L276" s="45">
        <f t="shared" si="154"/>
      </c>
      <c r="M276" s="46">
        <f t="shared" si="116"/>
      </c>
      <c r="N276" s="45">
        <f t="shared" si="67"/>
      </c>
      <c r="O276" s="45">
        <f t="shared" si="48"/>
      </c>
      <c r="P276" s="46">
        <f t="shared" si="29"/>
      </c>
      <c r="Q276" s="46">
        <f t="shared" si="10"/>
      </c>
      <c r="R276" s="46">
        <f t="shared" si="249"/>
      </c>
      <c r="S276" s="46">
        <f t="shared" si="211"/>
      </c>
      <c r="T276" s="42">
        <f t="shared" si="173"/>
      </c>
      <c r="U276" s="46">
        <f>AVERAGE(U271:U275)</f>
      </c>
      <c r="V276" s="41">
        <f>AVERAGE(V271:V275)</f>
      </c>
      <c r="W276" s="45">
        <f t="shared" si="135"/>
      </c>
      <c r="X276" s="42">
        <f>SUM(X271:X275)</f>
      </c>
      <c r="Y276" s="42">
        <f>SUM(Y271:Y275)</f>
      </c>
      <c r="Z276" s="42">
        <f>SUM(Z271:Z275)</f>
      </c>
      <c r="AA276" s="42">
        <f>SUM(AA271:AA275)</f>
      </c>
      <c r="AB276" s="42">
        <f>SUM(AB271:AB275)</f>
      </c>
      <c r="AC276" s="42">
        <f>SUM(AC271:AC275)</f>
      </c>
      <c r="AD276" s="42">
        <f>SUM(AD271:AD275)</f>
      </c>
      <c r="AE276" s="42">
        <f>SUM(AE271:AE275)</f>
      </c>
      <c r="AF276" s="47">
        <f t="shared" si="89"/>
      </c>
      <c r="AG276" s="75"/>
      <c r="AH276" s="75"/>
      <c r="AI276" s="42">
        <f>SUM(AI271:AI275)</f>
      </c>
    </row>
    <row r="277">
      <c r="A277" s="22"/>
      <c r="B277" s="82" t="s">
        <v>65</v>
      </c>
      <c r="C277" s="82"/>
      <c r="D277" s="83">
        <f>D260+D265+D270+D276</f>
      </c>
      <c r="E277" s="84">
        <f>E260+E265+E270+E276</f>
      </c>
      <c r="F277" s="84">
        <f>F260+F265+F270+F276</f>
      </c>
      <c r="G277" s="84">
        <f>G260+G265+G270+G276</f>
      </c>
      <c r="H277" s="83">
        <f>H260+H265+H270+H276</f>
      </c>
      <c r="I277" s="84">
        <f>I260+I265+I270+I276</f>
      </c>
      <c r="J277" s="86">
        <f t="shared" si="230"/>
      </c>
      <c r="K277" s="87">
        <f t="shared" si="192"/>
      </c>
      <c r="L277" s="87">
        <f t="shared" si="154"/>
      </c>
      <c r="M277" s="88">
        <f t="shared" si="116"/>
      </c>
      <c r="N277" s="87">
        <f t="shared" si="67"/>
      </c>
      <c r="O277" s="87">
        <f t="shared" si="48"/>
      </c>
      <c r="P277" s="88">
        <f t="shared" si="29"/>
      </c>
      <c r="Q277" s="88">
        <f t="shared" si="10"/>
      </c>
      <c r="R277" s="88">
        <f t="shared" si="249"/>
      </c>
      <c r="S277" s="88">
        <f t="shared" si="211"/>
      </c>
      <c r="T277" s="89">
        <f t="shared" si="173"/>
      </c>
      <c r="U277" s="88">
        <f>(U260+U270+U265+U276)/4</f>
      </c>
      <c r="V277" s="87">
        <f>(V260+V270+V265+V276)/4</f>
      </c>
      <c r="W277" s="90">
        <f t="shared" si="135"/>
      </c>
      <c r="X277" s="84">
        <f>X260+X265+X270+X276</f>
      </c>
      <c r="Y277" s="84">
        <f>Y260+Y265+Y270+Y276</f>
      </c>
      <c r="Z277" s="84">
        <f>Z260+Z265+Z270+Z276</f>
      </c>
      <c r="AA277" s="84">
        <f>AA260+AA265+AA270+AA276</f>
      </c>
      <c r="AB277" s="84">
        <f>AB260+AB265+AB270+AB276</f>
      </c>
      <c r="AC277" s="84">
        <f>AC260+AC265+AC270+AC276</f>
      </c>
      <c r="AD277" s="84">
        <f>AD260+AD265+AD270+AD276</f>
      </c>
      <c r="AE277" s="84">
        <f>AE260+AE265+AE270+AE276</f>
      </c>
      <c r="AF277" s="87">
        <f>AF260</f>
      </c>
      <c r="AG277" s="82"/>
      <c r="AH277" s="82"/>
      <c r="AI277" s="84">
        <f>AI260+AI265+AI270+AI276</f>
      </c>
    </row>
    <row r="278">
      <c r="A278" s="1" t="s">
        <v>66</v>
      </c>
      <c r="B278" s="2" t="s">
        <v>1</v>
      </c>
      <c r="C278" s="2"/>
      <c r="D278" s="3" t="s">
        <v>2</v>
      </c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5" t="s">
        <v>3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6"/>
    </row>
    <row r="279">
      <c r="A279" s="1"/>
      <c r="B279" s="2" t="s">
        <v>4</v>
      </c>
      <c r="C279" s="7" t="s">
        <v>5</v>
      </c>
      <c r="D279" s="8" t="s">
        <v>6</v>
      </c>
      <c r="E279" s="9" t="s">
        <v>7</v>
      </c>
      <c r="F279" s="10" t="s">
        <v>8</v>
      </c>
      <c r="G279" s="11" t="s">
        <v>9</v>
      </c>
      <c r="H279" s="8" t="s">
        <v>10</v>
      </c>
      <c r="I279" s="12" t="s">
        <v>11</v>
      </c>
      <c r="J279" s="107" t="s">
        <v>12</v>
      </c>
      <c r="K279" s="13" t="s">
        <v>13</v>
      </c>
      <c r="L279" s="13" t="s">
        <v>14</v>
      </c>
      <c r="M279" s="14" t="s">
        <v>15</v>
      </c>
      <c r="N279" s="13" t="s">
        <v>16</v>
      </c>
      <c r="O279" s="15" t="s">
        <v>17</v>
      </c>
      <c r="P279" s="16" t="s">
        <v>18</v>
      </c>
      <c r="Q279" s="16" t="s">
        <v>19</v>
      </c>
      <c r="R279" s="16" t="s">
        <v>20</v>
      </c>
      <c r="S279" s="16" t="s">
        <v>21</v>
      </c>
      <c r="T279" s="17" t="s">
        <v>22</v>
      </c>
      <c r="U279" s="18" t="s">
        <v>23</v>
      </c>
      <c r="V279" s="19" t="s">
        <v>24</v>
      </c>
      <c r="W279" s="5" t="s">
        <v>25</v>
      </c>
      <c r="X279" s="20" t="s">
        <v>26</v>
      </c>
      <c r="Y279" s="20" t="s">
        <v>27</v>
      </c>
      <c r="Z279" s="20" t="s">
        <v>28</v>
      </c>
      <c r="AA279" s="20" t="s">
        <v>29</v>
      </c>
      <c r="AB279" s="20" t="s">
        <v>30</v>
      </c>
      <c r="AC279" s="20" t="s">
        <v>31</v>
      </c>
      <c r="AD279" s="20" t="s">
        <v>32</v>
      </c>
      <c r="AE279" s="20" t="s">
        <v>33</v>
      </c>
      <c r="AF279" s="5" t="s">
        <v>34</v>
      </c>
      <c r="AG279" s="21" t="s">
        <v>35</v>
      </c>
      <c r="AH279" s="21" t="s">
        <v>36</v>
      </c>
      <c r="AI279" s="6" t="s">
        <v>37</v>
      </c>
    </row>
    <row r="280">
      <c r="A280" s="22">
        <v>46215</v>
      </c>
      <c r="B280" s="49" t="s">
        <v>47</v>
      </c>
      <c r="C280" s="24" t="s">
        <v>39</v>
      </c>
      <c r="D280" s="25">
        <v>3262</v>
      </c>
      <c r="E280" s="26">
        <v>13</v>
      </c>
      <c r="F280" s="26">
        <v>10</v>
      </c>
      <c r="G280" s="27">
        <v>9</v>
      </c>
      <c r="H280" s="25">
        <v>7051</v>
      </c>
      <c r="I280" s="108">
        <v>1</v>
      </c>
      <c r="J280" s="29">
        <f t="shared" ref="J280:J302" si="231">H280/D280</f>
      </c>
      <c r="K280" s="28">
        <f t="shared" ref="K280:K302" si="193">D280/F280</f>
      </c>
      <c r="L280" s="29">
        <f t="shared" ref="L280:L302" si="155">D280/G280</f>
      </c>
      <c r="M280" s="30">
        <f t="shared" ref="M280:M302" si="117">F280/E280</f>
      </c>
      <c r="N280" s="29">
        <f t="shared" ref="N280:N302" si="68">H280/F280</f>
      </c>
      <c r="O280" s="29">
        <f t="shared" ref="O280:O302" si="49">D280/Y280</f>
      </c>
      <c r="P280" s="30">
        <f t="shared" ref="P280:P302" si="30">T280/X280*1</f>
      </c>
      <c r="Q280" s="30">
        <f t="shared" ref="Q280:Q302" si="11">Y280/X280</f>
      </c>
      <c r="R280" s="30">
        <f t="shared" ref="R280:R302" si="250">AA280/X280</f>
      </c>
      <c r="S280" s="30">
        <f t="shared" ref="S280:S302" si="212">AB280/AA280</f>
      </c>
      <c r="T280" s="31">
        <f t="shared" ref="T280:T302" si="174">Z280/U280</f>
      </c>
      <c r="U280" s="32">
        <v>0.0084</v>
      </c>
      <c r="V280" s="33">
        <v>39</v>
      </c>
      <c r="W280" s="29">
        <f t="shared" ref="W280:W302" si="136">(D280/X280)*1000</f>
      </c>
      <c r="X280" s="33">
        <v>36440</v>
      </c>
      <c r="Y280" s="33">
        <v>2412</v>
      </c>
      <c r="Z280" s="31">
        <v>80</v>
      </c>
      <c r="AA280" s="31">
        <v>5609</v>
      </c>
      <c r="AB280" s="31">
        <v>158</v>
      </c>
      <c r="AC280" s="31">
        <v>25</v>
      </c>
      <c r="AD280" s="33">
        <v>3</v>
      </c>
      <c r="AE280" s="33">
        <v>29</v>
      </c>
      <c r="AF280" s="29">
        <f t="shared" ref="AF280:AF295" si="90">AI280*1000/D280</f>
      </c>
      <c r="AG280" s="34" t="s">
        <v>40</v>
      </c>
      <c r="AH280" s="106" t="s">
        <v>52</v>
      </c>
      <c r="AI280" s="33">
        <v>59</v>
      </c>
    </row>
    <row r="281">
      <c r="A281" s="22"/>
      <c r="B281" s="49" t="s">
        <v>47</v>
      </c>
      <c r="C281" s="24" t="s">
        <v>42</v>
      </c>
      <c r="D281" s="25">
        <v>3738</v>
      </c>
      <c r="E281" s="26">
        <v>7</v>
      </c>
      <c r="F281" s="26">
        <v>6</v>
      </c>
      <c r="G281" s="27">
        <v>5</v>
      </c>
      <c r="H281" s="25">
        <v>3036</v>
      </c>
      <c r="I281" s="108">
        <v>0</v>
      </c>
      <c r="J281" s="29">
        <f t="shared" si="231"/>
      </c>
      <c r="K281" s="28">
        <f t="shared" si="193"/>
      </c>
      <c r="L281" s="29">
        <f t="shared" si="155"/>
      </c>
      <c r="M281" s="30">
        <f t="shared" si="117"/>
      </c>
      <c r="N281" s="29">
        <f t="shared" si="68"/>
      </c>
      <c r="O281" s="29">
        <f t="shared" si="49"/>
      </c>
      <c r="P281" s="30">
        <f t="shared" si="30"/>
      </c>
      <c r="Q281" s="30">
        <f t="shared" si="11"/>
      </c>
      <c r="R281" s="30">
        <f t="shared" si="250"/>
      </c>
      <c r="S281" s="30">
        <f t="shared" si="212"/>
      </c>
      <c r="T281" s="31">
        <f t="shared" si="174"/>
      </c>
      <c r="U281" s="32">
        <v>0.0093</v>
      </c>
      <c r="V281" s="33">
        <v>45</v>
      </c>
      <c r="W281" s="29">
        <f t="shared" si="136"/>
      </c>
      <c r="X281" s="33">
        <v>41909</v>
      </c>
      <c r="Y281" s="33">
        <v>1575</v>
      </c>
      <c r="Z281" s="31">
        <v>102</v>
      </c>
      <c r="AA281" s="31">
        <v>2195</v>
      </c>
      <c r="AB281" s="33">
        <v>156</v>
      </c>
      <c r="AC281" s="31">
        <v>25</v>
      </c>
      <c r="AD281" s="33">
        <v>6</v>
      </c>
      <c r="AE281" s="33">
        <v>58</v>
      </c>
      <c r="AF281" s="29">
        <f t="shared" si="90"/>
      </c>
      <c r="AG281" s="34" t="s">
        <v>40</v>
      </c>
      <c r="AH281" s="106" t="s">
        <v>52</v>
      </c>
      <c r="AI281" s="33">
        <v>67</v>
      </c>
    </row>
    <row r="282">
      <c r="A282" s="22"/>
      <c r="B282" s="49" t="s">
        <v>47</v>
      </c>
      <c r="C282" s="24" t="s">
        <v>43</v>
      </c>
      <c r="D282" s="25">
        <v>3953.48</v>
      </c>
      <c r="E282" s="26">
        <v>15</v>
      </c>
      <c r="F282" s="26">
        <v>14</v>
      </c>
      <c r="G282" s="27">
        <v>14</v>
      </c>
      <c r="H282" s="25">
        <v>10803.100000000002</v>
      </c>
      <c r="I282" s="108">
        <v>7</v>
      </c>
      <c r="J282" s="29">
        <f t="shared" si="231"/>
      </c>
      <c r="K282" s="28">
        <f t="shared" si="193"/>
      </c>
      <c r="L282" s="29">
        <f t="shared" si="155"/>
      </c>
      <c r="M282" s="30">
        <f t="shared" si="117"/>
      </c>
      <c r="N282" s="29">
        <f t="shared" si="68"/>
      </c>
      <c r="O282" s="29">
        <f t="shared" si="49"/>
      </c>
      <c r="P282" s="30">
        <f t="shared" si="30"/>
      </c>
      <c r="Q282" s="30">
        <f t="shared" si="11"/>
      </c>
      <c r="R282" s="30">
        <f t="shared" si="250"/>
      </c>
      <c r="S282" s="30">
        <f t="shared" si="212"/>
      </c>
      <c r="T282" s="31">
        <f t="shared" si="174"/>
      </c>
      <c r="U282" s="32">
        <v>0.0138</v>
      </c>
      <c r="V282" s="33">
        <v>51</v>
      </c>
      <c r="W282" s="29">
        <f t="shared" si="136"/>
      </c>
      <c r="X282" s="33">
        <v>41285</v>
      </c>
      <c r="Y282" s="33">
        <v>1174</v>
      </c>
      <c r="Z282" s="31">
        <v>114</v>
      </c>
      <c r="AA282" s="31">
        <v>1251</v>
      </c>
      <c r="AB282" s="33">
        <v>106</v>
      </c>
      <c r="AC282" s="31">
        <v>19</v>
      </c>
      <c r="AD282" s="33">
        <v>1</v>
      </c>
      <c r="AE282" s="33">
        <v>54</v>
      </c>
      <c r="AF282" s="29">
        <f t="shared" si="90"/>
      </c>
      <c r="AG282" s="34" t="s">
        <v>40</v>
      </c>
      <c r="AH282" s="106" t="s">
        <v>52</v>
      </c>
      <c r="AI282" s="33">
        <v>62</v>
      </c>
    </row>
    <row r="283">
      <c r="A283" s="22"/>
      <c r="B283" s="49" t="s">
        <v>47</v>
      </c>
      <c r="C283" s="36" t="s">
        <v>44</v>
      </c>
      <c r="D283" s="25">
        <v>3784.61</v>
      </c>
      <c r="E283" s="26">
        <v>10</v>
      </c>
      <c r="F283" s="26">
        <v>8</v>
      </c>
      <c r="G283" s="27">
        <v>8</v>
      </c>
      <c r="H283" s="25">
        <v>6129.200000000001</v>
      </c>
      <c r="I283" s="108">
        <v>3</v>
      </c>
      <c r="J283" s="29">
        <f t="shared" si="231"/>
      </c>
      <c r="K283" s="28">
        <f t="shared" si="193"/>
      </c>
      <c r="L283" s="29">
        <f t="shared" si="155"/>
      </c>
      <c r="M283" s="30">
        <f t="shared" si="117"/>
      </c>
      <c r="N283" s="29">
        <f t="shared" si="68"/>
      </c>
      <c r="O283" s="29">
        <f t="shared" si="49"/>
      </c>
      <c r="P283" s="30">
        <f t="shared" si="30"/>
      </c>
      <c r="Q283" s="30">
        <f t="shared" si="11"/>
      </c>
      <c r="R283" s="30">
        <f t="shared" si="250"/>
      </c>
      <c r="S283" s="30">
        <f t="shared" si="212"/>
      </c>
      <c r="T283" s="31">
        <f t="shared" si="174"/>
      </c>
      <c r="U283" s="32">
        <v>0.0125</v>
      </c>
      <c r="V283" s="33">
        <v>51</v>
      </c>
      <c r="W283" s="29">
        <f t="shared" si="136"/>
      </c>
      <c r="X283" s="33">
        <v>39730</v>
      </c>
      <c r="Y283" s="33">
        <v>1255</v>
      </c>
      <c r="Z283" s="31">
        <v>119</v>
      </c>
      <c r="AA283" s="31">
        <v>1918</v>
      </c>
      <c r="AB283" s="33">
        <v>123</v>
      </c>
      <c r="AC283" s="31">
        <v>22</v>
      </c>
      <c r="AD283" s="33">
        <v>2</v>
      </c>
      <c r="AE283" s="33">
        <v>45</v>
      </c>
      <c r="AF283" s="29">
        <f t="shared" si="90"/>
      </c>
      <c r="AG283" s="34" t="s">
        <v>40</v>
      </c>
      <c r="AH283" s="106" t="s">
        <v>52</v>
      </c>
      <c r="AI283" s="33">
        <v>66</v>
      </c>
    </row>
    <row r="284">
      <c r="A284" s="22"/>
      <c r="B284" s="49" t="s">
        <v>47</v>
      </c>
      <c r="C284" s="24" t="s">
        <v>45</v>
      </c>
      <c r="D284" s="25">
        <v>2790.65</v>
      </c>
      <c r="E284" s="26">
        <v>12</v>
      </c>
      <c r="F284" s="26">
        <v>9</v>
      </c>
      <c r="G284" s="27">
        <v>7</v>
      </c>
      <c r="H284" s="25">
        <v>7318.300000000003</v>
      </c>
      <c r="I284" s="108">
        <v>3</v>
      </c>
      <c r="J284" s="29">
        <f t="shared" si="231"/>
      </c>
      <c r="K284" s="28">
        <f t="shared" si="193"/>
      </c>
      <c r="L284" s="29">
        <f t="shared" si="155"/>
      </c>
      <c r="M284" s="30">
        <f t="shared" si="117"/>
      </c>
      <c r="N284" s="29">
        <f t="shared" si="68"/>
      </c>
      <c r="O284" s="29">
        <f t="shared" si="49"/>
      </c>
      <c r="P284" s="30">
        <f t="shared" si="30"/>
      </c>
      <c r="Q284" s="30">
        <f t="shared" si="11"/>
      </c>
      <c r="R284" s="30">
        <f t="shared" si="250"/>
      </c>
      <c r="S284" s="30">
        <f t="shared" si="212"/>
      </c>
      <c r="T284" s="31">
        <f t="shared" si="174"/>
      </c>
      <c r="U284" s="32">
        <v>0.0184</v>
      </c>
      <c r="V284" s="33">
        <v>54</v>
      </c>
      <c r="W284" s="29">
        <f t="shared" si="136"/>
      </c>
      <c r="X284" s="33">
        <v>36557</v>
      </c>
      <c r="Y284" s="33">
        <v>708</v>
      </c>
      <c r="Z284" s="33">
        <v>97</v>
      </c>
      <c r="AA284" s="33">
        <v>892</v>
      </c>
      <c r="AB284" s="33">
        <v>94</v>
      </c>
      <c r="AC284" s="33">
        <v>13</v>
      </c>
      <c r="AD284" s="33">
        <v>4</v>
      </c>
      <c r="AE284" s="33">
        <v>36</v>
      </c>
      <c r="AF284" s="29">
        <f t="shared" si="90"/>
      </c>
      <c r="AG284" s="34" t="s">
        <v>40</v>
      </c>
      <c r="AH284" s="106" t="s">
        <v>52</v>
      </c>
      <c r="AI284" s="33">
        <v>63</v>
      </c>
    </row>
    <row r="285">
      <c r="A285" s="22"/>
      <c r="B285" s="40" t="s">
        <v>46</v>
      </c>
      <c r="C285" s="40"/>
      <c r="D285" s="41">
        <f>SUM(D280:D284)</f>
      </c>
      <c r="E285" s="42">
        <f>SUM(E280:E284)</f>
      </c>
      <c r="F285" s="42">
        <f>SUM(F280:F284)</f>
      </c>
      <c r="G285" s="43">
        <f>SUM(G280:G284)</f>
      </c>
      <c r="H285" s="45">
        <f>SUM(H280:H284)</f>
      </c>
      <c r="I285" s="44">
        <f>SUM(I280:I284)</f>
      </c>
      <c r="J285" s="109">
        <f t="shared" si="231"/>
      </c>
      <c r="K285" s="45">
        <f t="shared" si="193"/>
      </c>
      <c r="L285" s="45">
        <f t="shared" si="155"/>
      </c>
      <c r="M285" s="46">
        <f t="shared" si="117"/>
      </c>
      <c r="N285" s="45">
        <f t="shared" si="68"/>
      </c>
      <c r="O285" s="45">
        <f t="shared" si="49"/>
      </c>
      <c r="P285" s="46">
        <f t="shared" si="30"/>
      </c>
      <c r="Q285" s="46">
        <f t="shared" si="11"/>
      </c>
      <c r="R285" s="46">
        <f t="shared" si="250"/>
      </c>
      <c r="S285" s="46">
        <f t="shared" si="212"/>
      </c>
      <c r="T285" s="42">
        <f t="shared" si="174"/>
      </c>
      <c r="U285" s="46">
        <f>AVERAGE(U280:U284)</f>
      </c>
      <c r="V285" s="41">
        <f>AVERAGE(V280:V284)</f>
      </c>
      <c r="W285" s="45">
        <f t="shared" si="136"/>
      </c>
      <c r="X285" s="42">
        <f>SUM(X280:X284)</f>
      </c>
      <c r="Y285" s="42">
        <f>SUM(Y280:Y284)</f>
      </c>
      <c r="Z285" s="42">
        <f>SUM(Z280:Z284)</f>
      </c>
      <c r="AA285" s="42">
        <f>SUM(AA280:AA284)</f>
      </c>
      <c r="AB285" s="42">
        <f>SUM(AB280:AB284)</f>
      </c>
      <c r="AC285" s="42">
        <f>SUM(AC280:AC284)</f>
      </c>
      <c r="AD285" s="42">
        <f>SUM(AD280:AD284)</f>
      </c>
      <c r="AE285" s="42">
        <f>SUM(AE280:AE284)</f>
      </c>
      <c r="AF285" s="47">
        <f t="shared" si="90"/>
      </c>
      <c r="AG285" s="48"/>
      <c r="AH285" s="48"/>
      <c r="AI285" s="43">
        <f>SUM(AI280:AI284)</f>
      </c>
    </row>
    <row r="286">
      <c r="A286" s="22"/>
      <c r="B286" s="23" t="s">
        <v>54</v>
      </c>
      <c r="C286" s="23" t="s">
        <v>48</v>
      </c>
      <c r="D286" s="50">
        <v>5542.62</v>
      </c>
      <c r="E286" s="51">
        <v>16</v>
      </c>
      <c r="F286" s="51">
        <v>16</v>
      </c>
      <c r="G286" s="52">
        <v>13</v>
      </c>
      <c r="H286" s="53">
        <v>11038.5</v>
      </c>
      <c r="I286" s="54">
        <v>3</v>
      </c>
      <c r="J286" s="55">
        <f t="shared" si="231"/>
      </c>
      <c r="K286" s="55">
        <f t="shared" si="193"/>
      </c>
      <c r="L286" s="55">
        <f t="shared" si="155"/>
      </c>
      <c r="M286" s="56">
        <f t="shared" si="117"/>
      </c>
      <c r="N286" s="55">
        <f t="shared" si="68"/>
      </c>
      <c r="O286" s="55">
        <f t="shared" si="49"/>
      </c>
      <c r="P286" s="56">
        <f t="shared" si="30"/>
      </c>
      <c r="Q286" s="56">
        <f t="shared" si="11"/>
      </c>
      <c r="R286" s="56">
        <f t="shared" si="250"/>
      </c>
      <c r="S286" s="56">
        <f t="shared" si="212"/>
      </c>
      <c r="T286" s="57">
        <f t="shared" si="174"/>
      </c>
      <c r="U286" s="58">
        <v>0.0105</v>
      </c>
      <c r="V286" s="59">
        <v>57</v>
      </c>
      <c r="W286" s="55">
        <f t="shared" si="136"/>
      </c>
      <c r="X286" s="57">
        <v>61704</v>
      </c>
      <c r="Y286" s="57">
        <v>2074</v>
      </c>
      <c r="Z286" s="57">
        <v>169</v>
      </c>
      <c r="AA286" s="57">
        <v>2323</v>
      </c>
      <c r="AB286" s="57">
        <v>191</v>
      </c>
      <c r="AC286" s="57">
        <v>32</v>
      </c>
      <c r="AD286" s="57">
        <v>11</v>
      </c>
      <c r="AE286" s="57">
        <v>33</v>
      </c>
      <c r="AF286" s="55">
        <f t="shared" si="90"/>
      </c>
      <c r="AG286" s="34" t="s">
        <v>40</v>
      </c>
      <c r="AH286" s="106" t="s">
        <v>52</v>
      </c>
      <c r="AI286" s="59">
        <v>110</v>
      </c>
    </row>
    <row r="287">
      <c r="A287" s="22"/>
      <c r="B287" s="23" t="s">
        <v>54</v>
      </c>
      <c r="C287" s="60" t="s">
        <v>49</v>
      </c>
      <c r="D287" s="50">
        <v>4901.65</v>
      </c>
      <c r="E287" s="51">
        <v>10</v>
      </c>
      <c r="F287" s="51">
        <v>9</v>
      </c>
      <c r="G287" s="52">
        <v>9</v>
      </c>
      <c r="H287" s="53">
        <v>6938.800000000003</v>
      </c>
      <c r="I287" s="110">
        <v>3</v>
      </c>
      <c r="J287" s="55">
        <f t="shared" si="231"/>
      </c>
      <c r="K287" s="55">
        <f t="shared" si="193"/>
      </c>
      <c r="L287" s="55">
        <f t="shared" si="155"/>
      </c>
      <c r="M287" s="56">
        <f t="shared" si="117"/>
      </c>
      <c r="N287" s="55">
        <f t="shared" si="68"/>
      </c>
      <c r="O287" s="55">
        <f t="shared" si="49"/>
      </c>
      <c r="P287" s="56">
        <f t="shared" si="30"/>
      </c>
      <c r="Q287" s="56">
        <f t="shared" si="11"/>
      </c>
      <c r="R287" s="56">
        <f t="shared" si="250"/>
      </c>
      <c r="S287" s="56">
        <f t="shared" si="212"/>
      </c>
      <c r="T287" s="57">
        <f t="shared" si="174"/>
      </c>
      <c r="U287" s="58">
        <v>0.0141</v>
      </c>
      <c r="V287" s="59">
        <v>59</v>
      </c>
      <c r="W287" s="55">
        <f t="shared" si="136"/>
      </c>
      <c r="X287" s="57">
        <v>72841</v>
      </c>
      <c r="Y287" s="57">
        <v>1431</v>
      </c>
      <c r="Z287" s="57">
        <v>151</v>
      </c>
      <c r="AA287" s="57">
        <v>1516</v>
      </c>
      <c r="AB287" s="57">
        <v>196</v>
      </c>
      <c r="AC287" s="57">
        <v>25</v>
      </c>
      <c r="AD287" s="57">
        <v>10</v>
      </c>
      <c r="AE287" s="57">
        <v>99</v>
      </c>
      <c r="AF287" s="55">
        <f t="shared" si="90"/>
      </c>
      <c r="AG287" s="34" t="s">
        <v>40</v>
      </c>
      <c r="AH287" s="106" t="s">
        <v>52</v>
      </c>
      <c r="AI287" s="59">
        <v>69</v>
      </c>
    </row>
    <row r="288">
      <c r="A288" s="22"/>
      <c r="B288" s="23" t="s">
        <v>54</v>
      </c>
      <c r="C288" s="61" t="s">
        <v>50</v>
      </c>
      <c r="D288" s="62">
        <v>3608.65</v>
      </c>
      <c r="E288" s="63">
        <v>16</v>
      </c>
      <c r="F288" s="63">
        <v>11</v>
      </c>
      <c r="G288" s="64">
        <v>7</v>
      </c>
      <c r="H288" s="111">
        <v>6321.699999999997</v>
      </c>
      <c r="I288" s="26">
        <v>1</v>
      </c>
      <c r="J288" s="28">
        <f t="shared" si="231"/>
      </c>
      <c r="K288" s="29">
        <f t="shared" si="193"/>
      </c>
      <c r="L288" s="29">
        <f t="shared" si="155"/>
      </c>
      <c r="M288" s="30">
        <f t="shared" si="117"/>
      </c>
      <c r="N288" s="29">
        <f t="shared" si="68"/>
      </c>
      <c r="O288" s="29">
        <f t="shared" si="49"/>
      </c>
      <c r="P288" s="30">
        <f t="shared" si="30"/>
      </c>
      <c r="Q288" s="30">
        <f t="shared" si="11"/>
      </c>
      <c r="R288" s="30">
        <f t="shared" si="250"/>
      </c>
      <c r="S288" s="30">
        <f t="shared" si="212"/>
      </c>
      <c r="T288" s="31">
        <f t="shared" si="174"/>
      </c>
      <c r="U288" s="32">
        <v>0.0115</v>
      </c>
      <c r="V288" s="33">
        <v>59</v>
      </c>
      <c r="W288" s="29">
        <f t="shared" si="136"/>
      </c>
      <c r="X288" s="33">
        <v>43809</v>
      </c>
      <c r="Y288" s="33">
        <v>1030</v>
      </c>
      <c r="Z288" s="31">
        <v>97</v>
      </c>
      <c r="AA288" s="31">
        <v>1369</v>
      </c>
      <c r="AB288" s="33">
        <v>65</v>
      </c>
      <c r="AC288" s="31">
        <v>20</v>
      </c>
      <c r="AD288" s="33">
        <v>1</v>
      </c>
      <c r="AE288" s="33">
        <v>45</v>
      </c>
      <c r="AF288" s="29">
        <f t="shared" si="90"/>
      </c>
      <c r="AG288" s="34" t="s">
        <v>40</v>
      </c>
      <c r="AH288" s="106" t="s">
        <v>52</v>
      </c>
      <c r="AI288" s="33">
        <v>50</v>
      </c>
    </row>
    <row r="289">
      <c r="A289" s="22"/>
      <c r="B289" s="23" t="s">
        <v>54</v>
      </c>
      <c r="C289" s="60" t="s">
        <v>51</v>
      </c>
      <c r="D289" s="62">
        <v>6207.48</v>
      </c>
      <c r="E289" s="63">
        <v>14</v>
      </c>
      <c r="F289" s="63">
        <v>14</v>
      </c>
      <c r="G289" s="64">
        <v>11</v>
      </c>
      <c r="H289" s="53">
        <v>7634</v>
      </c>
      <c r="I289" s="112">
        <v>0</v>
      </c>
      <c r="J289" s="55">
        <f t="shared" si="231"/>
      </c>
      <c r="K289" s="55">
        <f t="shared" si="193"/>
      </c>
      <c r="L289" s="55">
        <f t="shared" si="155"/>
      </c>
      <c r="M289" s="56">
        <f t="shared" si="117"/>
      </c>
      <c r="N289" s="55">
        <f t="shared" si="68"/>
      </c>
      <c r="O289" s="55">
        <f t="shared" si="49"/>
      </c>
      <c r="P289" s="56">
        <f t="shared" si="30"/>
      </c>
      <c r="Q289" s="56">
        <f t="shared" si="11"/>
      </c>
      <c r="R289" s="56">
        <f t="shared" si="250"/>
      </c>
      <c r="S289" s="56">
        <f t="shared" si="212"/>
      </c>
      <c r="T289" s="57">
        <f t="shared" si="174"/>
      </c>
      <c r="U289" s="58">
        <v>0.0092</v>
      </c>
      <c r="V289" s="59">
        <v>53</v>
      </c>
      <c r="W289" s="55">
        <f t="shared" si="136"/>
      </c>
      <c r="X289" s="57">
        <v>58315</v>
      </c>
      <c r="Y289" s="57">
        <v>3525</v>
      </c>
      <c r="Z289" s="57">
        <v>187</v>
      </c>
      <c r="AA289" s="57">
        <v>6234</v>
      </c>
      <c r="AB289" s="57">
        <v>240</v>
      </c>
      <c r="AC289" s="57">
        <v>33</v>
      </c>
      <c r="AD289" s="57">
        <v>8</v>
      </c>
      <c r="AE289" s="57">
        <v>43</v>
      </c>
      <c r="AF289" s="55">
        <f t="shared" si="90"/>
      </c>
      <c r="AG289" s="34" t="s">
        <v>40</v>
      </c>
      <c r="AH289" s="106" t="s">
        <v>52</v>
      </c>
      <c r="AI289" s="59">
        <v>146</v>
      </c>
    </row>
    <row r="290">
      <c r="A290" s="22"/>
      <c r="B290" s="67" t="s">
        <v>46</v>
      </c>
      <c r="C290" s="67"/>
      <c r="D290" s="68">
        <f>SUM(D286:D289)</f>
      </c>
      <c r="E290" s="69">
        <f>SUM(E286:E289)</f>
      </c>
      <c r="F290" s="69">
        <f>SUM(F286:F289)</f>
      </c>
      <c r="G290" s="70">
        <f>SUM(G286:G289)</f>
      </c>
      <c r="H290" s="68">
        <f>SUM(H286:H289)</f>
      </c>
      <c r="I290" s="69">
        <f>SUM(I286:I289)</f>
      </c>
      <c r="J290" s="71">
        <f t="shared" si="231"/>
      </c>
      <c r="K290" s="71">
        <f t="shared" si="193"/>
      </c>
      <c r="L290" s="71">
        <f t="shared" si="155"/>
      </c>
      <c r="M290" s="72">
        <f t="shared" si="117"/>
      </c>
      <c r="N290" s="71">
        <f t="shared" si="68"/>
      </c>
      <c r="O290" s="71">
        <f t="shared" si="49"/>
      </c>
      <c r="P290" s="72">
        <f t="shared" si="30"/>
      </c>
      <c r="Q290" s="72">
        <f t="shared" si="11"/>
      </c>
      <c r="R290" s="72">
        <f t="shared" si="250"/>
      </c>
      <c r="S290" s="72">
        <f t="shared" si="212"/>
      </c>
      <c r="T290" s="73">
        <f t="shared" si="174"/>
      </c>
      <c r="U290" s="46">
        <f>AVERAGE(U286:U289)</f>
      </c>
      <c r="V290" s="41">
        <f>AVERAGE(V286:V289)</f>
      </c>
      <c r="W290" s="71">
        <f t="shared" si="136"/>
      </c>
      <c r="X290" s="73">
        <f>SUM(X286:X289)</f>
      </c>
      <c r="Y290" s="73">
        <f>SUM(Y286:Y289)</f>
      </c>
      <c r="Z290" s="73">
        <f>SUM(Z286:Z289)</f>
      </c>
      <c r="AA290" s="73">
        <f>SUM(AA286:AA289)</f>
      </c>
      <c r="AB290" s="73">
        <f>SUM(AB286:AB289)</f>
      </c>
      <c r="AC290" s="73">
        <f>SUM(AC286:AC289)</f>
      </c>
      <c r="AD290" s="73">
        <f>SUM(AD286:AD289)</f>
      </c>
      <c r="AE290" s="73">
        <f>SUM(AE286:AE289)</f>
      </c>
      <c r="AF290" s="74">
        <f t="shared" si="90"/>
      </c>
      <c r="AG290" s="75"/>
      <c r="AH290" s="75"/>
      <c r="AI290" s="70">
        <f>SUM(AI286:AI289)</f>
      </c>
    </row>
    <row r="291">
      <c r="A291" s="22"/>
      <c r="B291" s="49" t="s">
        <v>60</v>
      </c>
      <c r="C291" s="49" t="s">
        <v>53</v>
      </c>
      <c r="D291" s="23">
        <v>4661.57</v>
      </c>
      <c r="E291" s="26">
        <v>21</v>
      </c>
      <c r="F291" s="26">
        <v>19</v>
      </c>
      <c r="G291" s="27">
        <v>18</v>
      </c>
      <c r="H291" s="76">
        <v>13424.399999999994</v>
      </c>
      <c r="I291" s="26">
        <v>4</v>
      </c>
      <c r="J291" s="29">
        <f t="shared" si="231"/>
      </c>
      <c r="K291" s="29">
        <f t="shared" si="193"/>
      </c>
      <c r="L291" s="29">
        <f t="shared" si="155"/>
      </c>
      <c r="M291" s="30">
        <f t="shared" si="117"/>
      </c>
      <c r="N291" s="29">
        <f t="shared" si="68"/>
      </c>
      <c r="O291" s="29">
        <f t="shared" si="49"/>
      </c>
      <c r="P291" s="30">
        <f t="shared" si="30"/>
      </c>
      <c r="Q291" s="30">
        <f t="shared" si="11"/>
      </c>
      <c r="R291" s="30">
        <f t="shared" si="250"/>
      </c>
      <c r="S291" s="30">
        <f t="shared" si="212"/>
      </c>
      <c r="T291" s="31">
        <f t="shared" si="174"/>
      </c>
      <c r="U291" s="32">
        <v>0.0107</v>
      </c>
      <c r="V291" s="33">
        <v>54</v>
      </c>
      <c r="W291" s="29">
        <f t="shared" si="136"/>
      </c>
      <c r="X291" s="33">
        <v>52221</v>
      </c>
      <c r="Y291" s="33">
        <v>2844</v>
      </c>
      <c r="Z291" s="31">
        <v>168</v>
      </c>
      <c r="AA291" s="31">
        <v>6271</v>
      </c>
      <c r="AB291" s="31">
        <v>166</v>
      </c>
      <c r="AC291" s="31">
        <v>35</v>
      </c>
      <c r="AD291" s="33">
        <v>83</v>
      </c>
      <c r="AE291" s="33">
        <v>52</v>
      </c>
      <c r="AF291" s="29">
        <f t="shared" si="90"/>
      </c>
      <c r="AG291" s="34" t="s">
        <v>56</v>
      </c>
      <c r="AH291" s="66" t="s">
        <v>52</v>
      </c>
      <c r="AI291" s="33">
        <v>93</v>
      </c>
    </row>
    <row r="292">
      <c r="A292" s="22"/>
      <c r="B292" s="49" t="s">
        <v>60</v>
      </c>
      <c r="C292" s="60" t="s">
        <v>55</v>
      </c>
      <c r="D292" s="23">
        <v>3209.38</v>
      </c>
      <c r="E292" s="26">
        <v>6</v>
      </c>
      <c r="F292" s="26">
        <v>5</v>
      </c>
      <c r="G292" s="27">
        <v>4</v>
      </c>
      <c r="H292" s="76">
        <v>4073.3000000000175</v>
      </c>
      <c r="I292" s="26">
        <v>2</v>
      </c>
      <c r="J292" s="29">
        <f t="shared" si="231"/>
      </c>
      <c r="K292" s="29">
        <f t="shared" si="193"/>
      </c>
      <c r="L292" s="29">
        <f t="shared" si="155"/>
      </c>
      <c r="M292" s="30">
        <f t="shared" si="117"/>
      </c>
      <c r="N292" s="29">
        <f t="shared" si="68"/>
      </c>
      <c r="O292" s="29">
        <f t="shared" si="49"/>
      </c>
      <c r="P292" s="30">
        <f t="shared" si="30"/>
      </c>
      <c r="Q292" s="30">
        <f t="shared" si="11"/>
      </c>
      <c r="R292" s="30">
        <f t="shared" si="250"/>
      </c>
      <c r="S292" s="30">
        <f t="shared" si="212"/>
      </c>
      <c r="T292" s="31">
        <f t="shared" si="174"/>
      </c>
      <c r="U292" s="32">
        <v>0.0101</v>
      </c>
      <c r="V292" s="33">
        <v>23</v>
      </c>
      <c r="W292" s="29">
        <f t="shared" si="136"/>
      </c>
      <c r="X292" s="33">
        <v>34804</v>
      </c>
      <c r="Y292" s="33">
        <v>882</v>
      </c>
      <c r="Z292" s="31">
        <v>59</v>
      </c>
      <c r="AA292" s="31">
        <v>1752</v>
      </c>
      <c r="AB292" s="31">
        <v>85</v>
      </c>
      <c r="AC292" s="31">
        <v>9</v>
      </c>
      <c r="AD292" s="33">
        <v>8</v>
      </c>
      <c r="AE292" s="33">
        <v>44</v>
      </c>
      <c r="AF292" s="29">
        <f t="shared" si="90"/>
      </c>
      <c r="AG292" s="34" t="s">
        <v>56</v>
      </c>
      <c r="AH292" s="66" t="s">
        <v>72</v>
      </c>
      <c r="AI292" s="33">
        <v>28</v>
      </c>
    </row>
    <row r="293">
      <c r="A293" s="22"/>
      <c r="B293" s="49" t="s">
        <v>60</v>
      </c>
      <c r="C293" s="61" t="s">
        <v>57</v>
      </c>
      <c r="D293" s="23">
        <v>4309.95</v>
      </c>
      <c r="E293" s="26">
        <v>7</v>
      </c>
      <c r="F293" s="26">
        <v>7</v>
      </c>
      <c r="G293" s="27">
        <v>7</v>
      </c>
      <c r="H293" s="76">
        <v>4849.899999999994</v>
      </c>
      <c r="I293" s="26">
        <v>1</v>
      </c>
      <c r="J293" s="29">
        <f t="shared" si="231"/>
      </c>
      <c r="K293" s="29">
        <f t="shared" si="193"/>
      </c>
      <c r="L293" s="29">
        <f t="shared" si="155"/>
      </c>
      <c r="M293" s="30">
        <f t="shared" si="117"/>
      </c>
      <c r="N293" s="29">
        <f t="shared" si="68"/>
      </c>
      <c r="O293" s="29">
        <f t="shared" si="49"/>
      </c>
      <c r="P293" s="30">
        <f t="shared" si="30"/>
      </c>
      <c r="Q293" s="30">
        <f t="shared" si="11"/>
      </c>
      <c r="R293" s="30">
        <f t="shared" si="250"/>
      </c>
      <c r="S293" s="30">
        <f t="shared" si="212"/>
      </c>
      <c r="T293" s="31">
        <f t="shared" si="174"/>
      </c>
      <c r="U293" s="32">
        <v>0.0087</v>
      </c>
      <c r="V293" s="33">
        <v>25</v>
      </c>
      <c r="W293" s="29">
        <f t="shared" si="136"/>
      </c>
      <c r="X293" s="31">
        <v>57431</v>
      </c>
      <c r="Y293" s="31">
        <v>1797</v>
      </c>
      <c r="Z293" s="31">
        <v>124</v>
      </c>
      <c r="AA293" s="31">
        <v>3209</v>
      </c>
      <c r="AB293" s="31">
        <v>80</v>
      </c>
      <c r="AC293" s="31">
        <v>11</v>
      </c>
      <c r="AD293" s="31">
        <v>5</v>
      </c>
      <c r="AE293" s="33">
        <v>67</v>
      </c>
      <c r="AF293" s="29">
        <f t="shared" si="90"/>
      </c>
      <c r="AG293" s="34" t="s">
        <v>56</v>
      </c>
      <c r="AH293" s="66" t="s">
        <v>72</v>
      </c>
      <c r="AI293" s="33">
        <v>43</v>
      </c>
    </row>
    <row r="294">
      <c r="A294" s="22"/>
      <c r="B294" s="49" t="s">
        <v>60</v>
      </c>
      <c r="C294" s="60" t="s">
        <v>58</v>
      </c>
      <c r="D294" s="23">
        <v>3000.57</v>
      </c>
      <c r="E294" s="26">
        <v>6</v>
      </c>
      <c r="F294" s="26">
        <v>5</v>
      </c>
      <c r="G294" s="27">
        <v>4</v>
      </c>
      <c r="H294" s="76">
        <v>5997.199999999997</v>
      </c>
      <c r="I294" s="26">
        <v>3</v>
      </c>
      <c r="J294" s="29">
        <f t="shared" si="231"/>
      </c>
      <c r="K294" s="29">
        <f t="shared" si="193"/>
      </c>
      <c r="L294" s="29">
        <f t="shared" si="155"/>
      </c>
      <c r="M294" s="30">
        <f t="shared" si="117"/>
      </c>
      <c r="N294" s="29">
        <f t="shared" si="68"/>
      </c>
      <c r="O294" s="29">
        <f t="shared" si="49"/>
      </c>
      <c r="P294" s="30">
        <f t="shared" si="30"/>
      </c>
      <c r="Q294" s="30">
        <f t="shared" si="11"/>
      </c>
      <c r="R294" s="30">
        <f t="shared" si="250"/>
      </c>
      <c r="S294" s="30">
        <f t="shared" si="212"/>
      </c>
      <c r="T294" s="31">
        <f t="shared" si="174"/>
      </c>
      <c r="U294" s="32">
        <v>0.0107</v>
      </c>
      <c r="V294" s="33">
        <v>27</v>
      </c>
      <c r="W294" s="29">
        <f t="shared" si="136"/>
      </c>
      <c r="X294" s="33">
        <v>40006</v>
      </c>
      <c r="Y294" s="33">
        <v>1074</v>
      </c>
      <c r="Z294" s="33">
        <v>83</v>
      </c>
      <c r="AA294" s="33">
        <v>1190</v>
      </c>
      <c r="AB294" s="33">
        <v>76</v>
      </c>
      <c r="AC294" s="33">
        <v>9</v>
      </c>
      <c r="AD294" s="33">
        <v>4</v>
      </c>
      <c r="AE294" s="33">
        <v>63</v>
      </c>
      <c r="AF294" s="29">
        <f t="shared" si="90"/>
      </c>
      <c r="AG294" s="34" t="s">
        <v>56</v>
      </c>
      <c r="AH294" s="66" t="s">
        <v>72</v>
      </c>
      <c r="AI294" s="33">
        <v>36</v>
      </c>
    </row>
    <row r="295">
      <c r="A295" s="22"/>
      <c r="B295" s="40" t="s">
        <v>46</v>
      </c>
      <c r="C295" s="40"/>
      <c r="D295" s="77">
        <f>SUM(D291:D294)</f>
      </c>
      <c r="E295" s="78">
        <f>SUM(E291:E294)</f>
      </c>
      <c r="F295" s="78">
        <f>SUM(F291:F294)</f>
      </c>
      <c r="G295" s="79">
        <f>SUM(G291:G294)</f>
      </c>
      <c r="H295" s="77">
        <f>SUM(H291:H294)</f>
      </c>
      <c r="I295" s="78">
        <f>SUM(I291:I294)</f>
      </c>
      <c r="J295" s="45">
        <f t="shared" si="231"/>
      </c>
      <c r="K295" s="45">
        <f t="shared" si="193"/>
      </c>
      <c r="L295" s="45">
        <f t="shared" si="155"/>
      </c>
      <c r="M295" s="46">
        <f t="shared" si="117"/>
      </c>
      <c r="N295" s="45">
        <f t="shared" si="68"/>
      </c>
      <c r="O295" s="45">
        <f t="shared" si="49"/>
      </c>
      <c r="P295" s="46">
        <f t="shared" si="30"/>
      </c>
      <c r="Q295" s="46">
        <f t="shared" si="11"/>
      </c>
      <c r="R295" s="46">
        <f t="shared" si="250"/>
      </c>
      <c r="S295" s="46">
        <f t="shared" si="212"/>
      </c>
      <c r="T295" s="42">
        <f t="shared" si="174"/>
      </c>
      <c r="U295" s="46">
        <f>AVERAGE(U292:U294)</f>
      </c>
      <c r="V295" s="41">
        <f>AVERAGE(V292:V294)</f>
      </c>
      <c r="W295" s="45">
        <f t="shared" si="136"/>
      </c>
      <c r="X295" s="42">
        <f>SUM(X291:X294)</f>
      </c>
      <c r="Y295" s="42">
        <f>SUM(Y291:Y294)</f>
      </c>
      <c r="Z295" s="42">
        <f>SUM(Z291:Z294)</f>
      </c>
      <c r="AA295" s="42">
        <f>SUM(AA291:AA294)</f>
      </c>
      <c r="AB295" s="42">
        <f>SUM(AB291:AB294)</f>
      </c>
      <c r="AC295" s="42">
        <f>SUM(AC291:AC294)</f>
      </c>
      <c r="AD295" s="42">
        <f>SUM(AD291:AD294)</f>
      </c>
      <c r="AE295" s="42">
        <f>SUM(AE291:AE294)</f>
      </c>
      <c r="AF295" s="47">
        <f t="shared" si="90"/>
      </c>
      <c r="AG295" s="48"/>
      <c r="AH295" s="48"/>
      <c r="AI295" s="42">
        <f>SUM(AI291:AI294)</f>
      </c>
    </row>
    <row r="296">
      <c r="A296" s="22"/>
      <c r="B296" s="23" t="s">
        <v>69</v>
      </c>
      <c r="C296" s="49" t="s">
        <v>59</v>
      </c>
      <c r="D296" s="80">
        <v>3021.35</v>
      </c>
      <c r="E296" s="51">
        <v>3</v>
      </c>
      <c r="F296" s="51">
        <v>3</v>
      </c>
      <c r="G296" s="52">
        <v>4</v>
      </c>
      <c r="H296" s="53">
        <v>1683</v>
      </c>
      <c r="I296" s="54">
        <v>0</v>
      </c>
      <c r="J296" s="55">
        <f t="shared" si="231"/>
      </c>
      <c r="K296" s="55">
        <f t="shared" si="193"/>
      </c>
      <c r="L296" s="55">
        <f t="shared" si="155"/>
      </c>
      <c r="M296" s="56">
        <f t="shared" si="117"/>
      </c>
      <c r="N296" s="55">
        <f t="shared" si="68"/>
      </c>
      <c r="O296" s="55">
        <f t="shared" si="49"/>
      </c>
      <c r="P296" s="56">
        <f t="shared" si="30"/>
      </c>
      <c r="Q296" s="56">
        <f t="shared" si="11"/>
      </c>
      <c r="R296" s="56">
        <f t="shared" si="250"/>
      </c>
      <c r="S296" s="56">
        <f t="shared" si="212"/>
      </c>
      <c r="T296" s="57">
        <f t="shared" si="174"/>
      </c>
      <c r="U296" s="58">
        <v>0.0142</v>
      </c>
      <c r="V296" s="59">
        <v>31</v>
      </c>
      <c r="W296" s="29">
        <f t="shared" si="136"/>
      </c>
      <c r="X296" s="57">
        <v>40034</v>
      </c>
      <c r="Y296" s="57">
        <v>673</v>
      </c>
      <c r="Z296" s="57">
        <v>88</v>
      </c>
      <c r="AA296" s="57">
        <v>767</v>
      </c>
      <c r="AB296" s="57">
        <v>88</v>
      </c>
      <c r="AC296" s="57">
        <v>9</v>
      </c>
      <c r="AD296" s="57">
        <v>2</v>
      </c>
      <c r="AE296" s="57">
        <v>76</v>
      </c>
      <c r="AF296" s="55" t="str">
        <v>#DIV/0!</v>
      </c>
      <c r="AG296" s="34" t="s">
        <v>56</v>
      </c>
      <c r="AH296" s="66" t="s">
        <v>72</v>
      </c>
      <c r="AI296" s="59">
        <v>38</v>
      </c>
    </row>
    <row r="297">
      <c r="A297" s="22"/>
      <c r="B297" s="23" t="s">
        <v>69</v>
      </c>
      <c r="C297" s="49" t="s">
        <v>61</v>
      </c>
      <c r="D297" s="80">
        <v>2978.27</v>
      </c>
      <c r="E297" s="51">
        <v>14</v>
      </c>
      <c r="F297" s="51">
        <v>10</v>
      </c>
      <c r="G297" s="52">
        <v>9</v>
      </c>
      <c r="H297" s="53">
        <v>5830</v>
      </c>
      <c r="I297" s="54">
        <v>0</v>
      </c>
      <c r="J297" s="55">
        <f t="shared" si="231"/>
      </c>
      <c r="K297" s="55">
        <f t="shared" si="193"/>
      </c>
      <c r="L297" s="55">
        <f t="shared" si="155"/>
      </c>
      <c r="M297" s="56">
        <f t="shared" si="117"/>
      </c>
      <c r="N297" s="55">
        <f t="shared" si="68"/>
      </c>
      <c r="O297" s="55">
        <f t="shared" si="49"/>
      </c>
      <c r="P297" s="56">
        <f t="shared" si="30"/>
      </c>
      <c r="Q297" s="56">
        <f t="shared" si="11"/>
      </c>
      <c r="R297" s="56">
        <f t="shared" si="250"/>
      </c>
      <c r="S297" s="56">
        <f t="shared" si="212"/>
      </c>
      <c r="T297" s="57">
        <f t="shared" si="174"/>
      </c>
      <c r="U297" s="58">
        <v>0.0173</v>
      </c>
      <c r="V297" s="59">
        <v>34</v>
      </c>
      <c r="W297" s="55">
        <f t="shared" si="136"/>
      </c>
      <c r="X297" s="57">
        <v>34768</v>
      </c>
      <c r="Y297" s="57">
        <v>829</v>
      </c>
      <c r="Z297" s="57">
        <v>107</v>
      </c>
      <c r="AA297" s="57">
        <v>964</v>
      </c>
      <c r="AB297" s="57">
        <v>96</v>
      </c>
      <c r="AC297" s="57">
        <v>16</v>
      </c>
      <c r="AD297" s="57">
        <v>0</v>
      </c>
      <c r="AE297" s="57">
        <v>59</v>
      </c>
      <c r="AF297" s="55">
        <f t="shared" ref="AF297:AF301" si="91">AI297*1000/D297</f>
      </c>
      <c r="AG297" s="34" t="s">
        <v>56</v>
      </c>
      <c r="AH297" s="66" t="s">
        <v>72</v>
      </c>
      <c r="AI297" s="59">
        <v>27</v>
      </c>
    </row>
    <row r="298">
      <c r="A298" s="22"/>
      <c r="B298" s="23" t="s">
        <v>69</v>
      </c>
      <c r="C298" s="49" t="s">
        <v>62</v>
      </c>
      <c r="D298" s="81">
        <v>2999.26</v>
      </c>
      <c r="E298" s="63">
        <v>16</v>
      </c>
      <c r="F298" s="63">
        <v>13</v>
      </c>
      <c r="G298" s="64">
        <v>10</v>
      </c>
      <c r="H298" s="91">
        <v>8025.599999999991</v>
      </c>
      <c r="I298" s="54">
        <v>2</v>
      </c>
      <c r="J298" s="55">
        <f t="shared" si="231"/>
      </c>
      <c r="K298" s="55">
        <f t="shared" si="193"/>
      </c>
      <c r="L298" s="55">
        <f t="shared" si="155"/>
      </c>
      <c r="M298" s="56">
        <f t="shared" si="117"/>
      </c>
      <c r="N298" s="55">
        <f t="shared" si="68"/>
      </c>
      <c r="O298" s="55">
        <f t="shared" si="49"/>
      </c>
      <c r="P298" s="56">
        <f t="shared" si="30"/>
      </c>
      <c r="Q298" s="56">
        <f t="shared" si="11"/>
      </c>
      <c r="R298" s="56">
        <f t="shared" si="250"/>
      </c>
      <c r="S298" s="56">
        <f t="shared" si="212"/>
      </c>
      <c r="T298" s="57">
        <f t="shared" si="174"/>
      </c>
      <c r="U298" s="58">
        <v>0.0188</v>
      </c>
      <c r="V298" s="59">
        <v>38</v>
      </c>
      <c r="W298" s="55">
        <f t="shared" si="136"/>
      </c>
      <c r="X298" s="57">
        <v>36817</v>
      </c>
      <c r="Y298" s="57">
        <v>622</v>
      </c>
      <c r="Z298" s="57">
        <v>125</v>
      </c>
      <c r="AA298" s="57">
        <v>728</v>
      </c>
      <c r="AB298" s="57">
        <v>143</v>
      </c>
      <c r="AC298" s="57">
        <v>14</v>
      </c>
      <c r="AD298" s="57">
        <v>2</v>
      </c>
      <c r="AE298" s="57">
        <v>55</v>
      </c>
      <c r="AF298" s="55">
        <f t="shared" si="91"/>
      </c>
      <c r="AG298" s="34" t="s">
        <v>56</v>
      </c>
      <c r="AH298" s="66" t="s">
        <v>72</v>
      </c>
      <c r="AI298" s="59">
        <v>48</v>
      </c>
    </row>
    <row r="299">
      <c r="A299" s="22"/>
      <c r="B299" s="23" t="s">
        <v>69</v>
      </c>
      <c r="C299" s="49" t="s">
        <v>63</v>
      </c>
      <c r="D299" s="80">
        <v>3023.28</v>
      </c>
      <c r="E299" s="63">
        <v>17</v>
      </c>
      <c r="F299" s="63">
        <v>15</v>
      </c>
      <c r="G299" s="64">
        <v>12</v>
      </c>
      <c r="H299" s="50">
        <v>10630.399999999994</v>
      </c>
      <c r="I299" s="65">
        <v>4</v>
      </c>
      <c r="J299" s="55">
        <f t="shared" si="231"/>
      </c>
      <c r="K299" s="55">
        <f t="shared" si="193"/>
      </c>
      <c r="L299" s="55">
        <f t="shared" si="155"/>
      </c>
      <c r="M299" s="56">
        <f t="shared" si="117"/>
      </c>
      <c r="N299" s="55">
        <f t="shared" si="68"/>
      </c>
      <c r="O299" s="55">
        <f t="shared" si="49"/>
      </c>
      <c r="P299" s="56">
        <f t="shared" si="30"/>
      </c>
      <c r="Q299" s="56">
        <f t="shared" si="11"/>
      </c>
      <c r="R299" s="56">
        <f t="shared" si="250"/>
      </c>
      <c r="S299" s="56">
        <f t="shared" si="212"/>
      </c>
      <c r="T299" s="57">
        <f t="shared" si="174"/>
      </c>
      <c r="U299" s="58">
        <v>0.0153</v>
      </c>
      <c r="V299" s="59">
        <v>44</v>
      </c>
      <c r="W299" s="55">
        <f t="shared" si="136"/>
      </c>
      <c r="X299" s="57">
        <v>39333</v>
      </c>
      <c r="Y299" s="57">
        <v>636</v>
      </c>
      <c r="Z299" s="57">
        <v>110</v>
      </c>
      <c r="AA299" s="57">
        <v>697</v>
      </c>
      <c r="AB299" s="57">
        <v>176</v>
      </c>
      <c r="AC299" s="57">
        <v>15</v>
      </c>
      <c r="AD299" s="57">
        <v>1</v>
      </c>
      <c r="AE299" s="57">
        <v>51</v>
      </c>
      <c r="AF299" s="55">
        <f t="shared" si="91"/>
      </c>
      <c r="AG299" s="34" t="s">
        <v>56</v>
      </c>
      <c r="AH299" s="66" t="s">
        <v>72</v>
      </c>
      <c r="AI299" s="59">
        <v>48</v>
      </c>
    </row>
    <row r="300">
      <c r="A300" s="22"/>
      <c r="B300" s="23" t="s">
        <v>69</v>
      </c>
      <c r="C300" s="49" t="s">
        <v>64</v>
      </c>
      <c r="D300" s="50">
        <v>1993.57</v>
      </c>
      <c r="E300" s="65">
        <v>10</v>
      </c>
      <c r="F300" s="65">
        <v>9</v>
      </c>
      <c r="G300" s="52">
        <v>7</v>
      </c>
      <c r="H300" s="80">
        <v>5768.399999999994</v>
      </c>
      <c r="I300" s="65">
        <v>1</v>
      </c>
      <c r="J300" s="55">
        <f t="shared" si="231"/>
      </c>
      <c r="K300" s="55">
        <f t="shared" si="193"/>
      </c>
      <c r="L300" s="55">
        <f t="shared" si="155"/>
      </c>
      <c r="M300" s="56">
        <f t="shared" si="117"/>
      </c>
      <c r="N300" s="55">
        <f t="shared" si="68"/>
      </c>
      <c r="O300" s="55">
        <f t="shared" si="49"/>
      </c>
      <c r="P300" s="56">
        <f t="shared" si="30"/>
      </c>
      <c r="Q300" s="56">
        <f t="shared" si="11"/>
      </c>
      <c r="R300" s="56">
        <f t="shared" si="250"/>
      </c>
      <c r="S300" s="56">
        <f t="shared" si="212"/>
      </c>
      <c r="T300" s="57">
        <f t="shared" si="174"/>
      </c>
      <c r="U300" s="58">
        <v>0.1036</v>
      </c>
      <c r="V300" s="59">
        <v>48</v>
      </c>
      <c r="W300" s="55">
        <f t="shared" si="136"/>
      </c>
      <c r="X300" s="57">
        <v>25380</v>
      </c>
      <c r="Y300" s="57">
        <v>134</v>
      </c>
      <c r="Z300" s="57">
        <v>43</v>
      </c>
      <c r="AA300" s="57">
        <v>128</v>
      </c>
      <c r="AB300" s="57">
        <v>109</v>
      </c>
      <c r="AC300" s="57">
        <v>4</v>
      </c>
      <c r="AD300" s="57">
        <v>0</v>
      </c>
      <c r="AE300" s="59">
        <v>51</v>
      </c>
      <c r="AF300" s="55">
        <f t="shared" si="91"/>
      </c>
      <c r="AG300" s="34" t="s">
        <v>56</v>
      </c>
      <c r="AH300" s="66" t="s">
        <v>72</v>
      </c>
      <c r="AI300" s="59">
        <v>16</v>
      </c>
    </row>
    <row r="301">
      <c r="A301" s="22"/>
      <c r="B301" s="67" t="s">
        <v>46</v>
      </c>
      <c r="C301" s="67"/>
      <c r="D301" s="41">
        <f>SUM(D296:D300)</f>
      </c>
      <c r="E301" s="42">
        <f>SUM(E296:E300)</f>
      </c>
      <c r="F301" s="42">
        <f>SUM(F296:F300)</f>
      </c>
      <c r="G301" s="43">
        <f>SUM(G296:G300)</f>
      </c>
      <c r="H301" s="41">
        <f>SUM(H296:H300)</f>
      </c>
      <c r="I301" s="44">
        <f>SUM(I296:I300)</f>
      </c>
      <c r="J301" s="109">
        <f t="shared" si="231"/>
      </c>
      <c r="K301" s="45">
        <f t="shared" si="193"/>
      </c>
      <c r="L301" s="45">
        <f t="shared" si="155"/>
      </c>
      <c r="M301" s="46">
        <f t="shared" si="117"/>
      </c>
      <c r="N301" s="45">
        <f t="shared" si="68"/>
      </c>
      <c r="O301" s="45">
        <f t="shared" si="49"/>
      </c>
      <c r="P301" s="46">
        <f t="shared" si="30"/>
      </c>
      <c r="Q301" s="46">
        <f t="shared" si="11"/>
      </c>
      <c r="R301" s="46">
        <f t="shared" si="250"/>
      </c>
      <c r="S301" s="46">
        <f t="shared" si="212"/>
      </c>
      <c r="T301" s="42">
        <f t="shared" si="174"/>
      </c>
      <c r="U301" s="46">
        <f>AVERAGE(U296:U300)</f>
      </c>
      <c r="V301" s="41">
        <f>AVERAGE(V296:V300)</f>
      </c>
      <c r="W301" s="45">
        <f t="shared" si="136"/>
      </c>
      <c r="X301" s="42">
        <f>SUM(X296:X300)</f>
      </c>
      <c r="Y301" s="42">
        <f>SUM(Y296:Y300)</f>
      </c>
      <c r="Z301" s="42">
        <f>SUM(Z296:Z300)</f>
      </c>
      <c r="AA301" s="42">
        <f>SUM(AA296:AA300)</f>
      </c>
      <c r="AB301" s="42">
        <f>SUM(AB296:AB300)</f>
      </c>
      <c r="AC301" s="42">
        <f>SUM(AC296:AC300)</f>
      </c>
      <c r="AD301" s="42">
        <f>SUM(AD296:AD300)</f>
      </c>
      <c r="AE301" s="42">
        <f>SUM(AE296:AE300)</f>
      </c>
      <c r="AF301" s="47">
        <f t="shared" si="91"/>
      </c>
      <c r="AG301" s="75"/>
      <c r="AH301" s="75"/>
      <c r="AI301" s="42">
        <f>SUM(AI296:AI300)</f>
      </c>
    </row>
    <row r="302">
      <c r="A302" s="22"/>
      <c r="B302" s="82" t="s">
        <v>65</v>
      </c>
      <c r="C302" s="82"/>
      <c r="D302" s="83">
        <f>D285+D290+D295+D301</f>
      </c>
      <c r="E302" s="84">
        <f>E285+E290+E295+E301</f>
      </c>
      <c r="F302" s="84">
        <f>F285+F290+F295+F301</f>
      </c>
      <c r="G302" s="84">
        <f>G285+G290+G295+G301</f>
      </c>
      <c r="H302" s="83">
        <f>H285+H290+H295+H301</f>
      </c>
      <c r="I302" s="84">
        <f>I285+I290+I295+I301</f>
      </c>
      <c r="J302" s="86">
        <f t="shared" si="231"/>
      </c>
      <c r="K302" s="87">
        <f t="shared" si="193"/>
      </c>
      <c r="L302" s="87">
        <f t="shared" si="155"/>
      </c>
      <c r="M302" s="88">
        <f t="shared" si="117"/>
      </c>
      <c r="N302" s="87">
        <f t="shared" si="68"/>
      </c>
      <c r="O302" s="87">
        <f t="shared" si="49"/>
      </c>
      <c r="P302" s="88">
        <f t="shared" si="30"/>
      </c>
      <c r="Q302" s="88">
        <f t="shared" si="11"/>
      </c>
      <c r="R302" s="88">
        <f t="shared" si="250"/>
      </c>
      <c r="S302" s="88">
        <f t="shared" si="212"/>
      </c>
      <c r="T302" s="89">
        <f t="shared" si="174"/>
      </c>
      <c r="U302" s="88">
        <f>(U285+U295+U290+U301)/4</f>
      </c>
      <c r="V302" s="87">
        <f>(V285+V295+V290+V301)/4</f>
      </c>
      <c r="W302" s="90">
        <f t="shared" si="136"/>
      </c>
      <c r="X302" s="84">
        <f>X285+X290+X295+X301</f>
      </c>
      <c r="Y302" s="84">
        <f>Y285+Y290+Y295+Y301</f>
      </c>
      <c r="Z302" s="84">
        <f>Z285+Z290+Z295+Z301</f>
      </c>
      <c r="AA302" s="84">
        <f>AA285+AA290+AA295+AA301</f>
      </c>
      <c r="AB302" s="84">
        <f>AB285+AB290+AB295+AB301</f>
      </c>
      <c r="AC302" s="84">
        <f>AC285+AC290+AC295+AC301</f>
      </c>
      <c r="AD302" s="84">
        <f>AD285+AD290+AD295+AD301</f>
      </c>
      <c r="AE302" s="84">
        <f>AE285+AE290+AE295+AE301</f>
      </c>
      <c r="AF302" s="87">
        <f>AF285</f>
      </c>
      <c r="AG302" s="82"/>
      <c r="AH302" s="82"/>
      <c r="AI302" s="84">
        <f>AI285+AI290+AI295+AI301</f>
      </c>
    </row>
    <row r="303">
      <c r="A303" s="1" t="s">
        <v>66</v>
      </c>
      <c r="B303" s="2" t="s">
        <v>1</v>
      </c>
      <c r="C303" s="2"/>
      <c r="D303" s="3" t="s">
        <v>2</v>
      </c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5" t="s">
        <v>3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6"/>
    </row>
    <row r="304">
      <c r="A304" s="1"/>
      <c r="B304" s="2" t="s">
        <v>4</v>
      </c>
      <c r="C304" s="7" t="s">
        <v>5</v>
      </c>
      <c r="D304" s="8" t="s">
        <v>6</v>
      </c>
      <c r="E304" s="9" t="s">
        <v>7</v>
      </c>
      <c r="F304" s="10" t="s">
        <v>8</v>
      </c>
      <c r="G304" s="11" t="s">
        <v>9</v>
      </c>
      <c r="H304" s="8" t="s">
        <v>10</v>
      </c>
      <c r="I304" s="12" t="s">
        <v>11</v>
      </c>
      <c r="J304" s="107" t="s">
        <v>12</v>
      </c>
      <c r="K304" s="13" t="s">
        <v>13</v>
      </c>
      <c r="L304" s="13" t="s">
        <v>14</v>
      </c>
      <c r="M304" s="14" t="s">
        <v>15</v>
      </c>
      <c r="N304" s="13" t="s">
        <v>16</v>
      </c>
      <c r="O304" s="15" t="s">
        <v>17</v>
      </c>
      <c r="P304" s="16" t="s">
        <v>18</v>
      </c>
      <c r="Q304" s="16" t="s">
        <v>19</v>
      </c>
      <c r="R304" s="16" t="s">
        <v>20</v>
      </c>
      <c r="S304" s="16" t="s">
        <v>21</v>
      </c>
      <c r="T304" s="17" t="s">
        <v>22</v>
      </c>
      <c r="U304" s="18" t="s">
        <v>23</v>
      </c>
      <c r="V304" s="19" t="s">
        <v>24</v>
      </c>
      <c r="W304" s="5" t="s">
        <v>25</v>
      </c>
      <c r="X304" s="20" t="s">
        <v>26</v>
      </c>
      <c r="Y304" s="20" t="s">
        <v>27</v>
      </c>
      <c r="Z304" s="20" t="s">
        <v>28</v>
      </c>
      <c r="AA304" s="20" t="s">
        <v>29</v>
      </c>
      <c r="AB304" s="20" t="s">
        <v>30</v>
      </c>
      <c r="AC304" s="20" t="s">
        <v>31</v>
      </c>
      <c r="AD304" s="20" t="s">
        <v>32</v>
      </c>
      <c r="AE304" s="20" t="s">
        <v>33</v>
      </c>
      <c r="AF304" s="5" t="s">
        <v>34</v>
      </c>
      <c r="AG304" s="21" t="s">
        <v>35</v>
      </c>
      <c r="AH304" s="21" t="s">
        <v>36</v>
      </c>
      <c r="AI304" s="6" t="s">
        <v>37</v>
      </c>
    </row>
    <row r="305">
      <c r="A305" s="22">
        <v>46216</v>
      </c>
      <c r="B305" s="49" t="s">
        <v>47</v>
      </c>
      <c r="C305" s="24" t="s">
        <v>39</v>
      </c>
      <c r="D305" s="25">
        <v>3000</v>
      </c>
      <c r="E305" s="26">
        <v>4</v>
      </c>
      <c r="F305" s="26">
        <v>4</v>
      </c>
      <c r="G305" s="27">
        <v>4</v>
      </c>
      <c r="H305" s="25">
        <v>2464</v>
      </c>
      <c r="I305" s="108">
        <v>0</v>
      </c>
      <c r="J305" s="29">
        <f t="shared" ref="J305:J327" si="232">H305/D305</f>
      </c>
      <c r="K305" s="28">
        <f t="shared" ref="K305:K327" si="194">D305/F305</f>
      </c>
      <c r="L305" s="29">
        <f t="shared" ref="L305:L327" si="156">D305/G305</f>
      </c>
      <c r="M305" s="30">
        <f t="shared" ref="M305:M327" si="118">F305/E305</f>
      </c>
      <c r="N305" s="29">
        <f t="shared" ref="N305:N327" si="69">H305/F305</f>
      </c>
      <c r="O305" s="29">
        <f t="shared" ref="O305:O327" si="50">D305/Y305</f>
      </c>
      <c r="P305" s="30">
        <f t="shared" ref="P305:P327" si="31">T305/X305*1</f>
      </c>
      <c r="Q305" s="30">
        <f t="shared" ref="Q305:Q327" si="12">Y305/X305</f>
      </c>
      <c r="R305" s="30">
        <f t="shared" ref="R305:R327" si="251">AA305/X305</f>
      </c>
      <c r="S305" s="30">
        <f t="shared" ref="S305:S327" si="213">AB305/AA305</f>
      </c>
      <c r="T305" s="31">
        <f t="shared" ref="T305:T327" si="175">Z305/U305</f>
      </c>
      <c r="U305" s="32">
        <v>0.0067</v>
      </c>
      <c r="V305" s="33">
        <v>44</v>
      </c>
      <c r="W305" s="29">
        <f t="shared" ref="W305:W327" si="137">(D305/X305)*1000</f>
      </c>
      <c r="X305" s="33">
        <v>35700</v>
      </c>
      <c r="Y305" s="33">
        <v>2577</v>
      </c>
      <c r="Z305" s="31">
        <v>62</v>
      </c>
      <c r="AA305" s="31">
        <v>5304</v>
      </c>
      <c r="AB305" s="31">
        <v>85</v>
      </c>
      <c r="AC305" s="31">
        <v>23</v>
      </c>
      <c r="AD305" s="33">
        <v>4</v>
      </c>
      <c r="AE305" s="33">
        <v>24</v>
      </c>
      <c r="AF305" s="29">
        <f t="shared" ref="AF305:AF320" si="92">AI305*1000/D305</f>
      </c>
      <c r="AG305" s="34" t="s">
        <v>40</v>
      </c>
      <c r="AH305" s="35" t="s">
        <v>41</v>
      </c>
      <c r="AI305" s="33">
        <v>36</v>
      </c>
    </row>
    <row r="306">
      <c r="A306" s="22"/>
      <c r="B306" s="49" t="s">
        <v>47</v>
      </c>
      <c r="C306" s="24" t="s">
        <v>42</v>
      </c>
      <c r="D306" s="25">
        <v>3006.73</v>
      </c>
      <c r="E306" s="26">
        <v>12</v>
      </c>
      <c r="F306" s="26">
        <v>11</v>
      </c>
      <c r="G306" s="27">
        <v>9</v>
      </c>
      <c r="H306" s="25">
        <v>6653.9</v>
      </c>
      <c r="I306" s="108">
        <v>1</v>
      </c>
      <c r="J306" s="29">
        <f t="shared" si="232"/>
      </c>
      <c r="K306" s="28">
        <f t="shared" si="194"/>
      </c>
      <c r="L306" s="29">
        <f t="shared" si="156"/>
      </c>
      <c r="M306" s="30">
        <f t="shared" si="118"/>
      </c>
      <c r="N306" s="29">
        <f t="shared" si="69"/>
      </c>
      <c r="O306" s="29">
        <f t="shared" si="50"/>
      </c>
      <c r="P306" s="30">
        <f t="shared" si="31"/>
      </c>
      <c r="Q306" s="30">
        <f t="shared" si="12"/>
      </c>
      <c r="R306" s="30">
        <f t="shared" si="251"/>
      </c>
      <c r="S306" s="30">
        <f t="shared" si="213"/>
      </c>
      <c r="T306" s="31">
        <f t="shared" si="175"/>
      </c>
      <c r="U306" s="32">
        <v>0.0079</v>
      </c>
      <c r="V306" s="33">
        <v>42</v>
      </c>
      <c r="W306" s="29">
        <f t="shared" si="137"/>
      </c>
      <c r="X306" s="33">
        <v>39203</v>
      </c>
      <c r="Y306" s="33">
        <v>1569</v>
      </c>
      <c r="Z306" s="31">
        <v>81</v>
      </c>
      <c r="AA306" s="31">
        <v>4273</v>
      </c>
      <c r="AB306" s="33">
        <v>164</v>
      </c>
      <c r="AC306" s="31">
        <v>20</v>
      </c>
      <c r="AD306" s="33">
        <v>5</v>
      </c>
      <c r="AE306" s="33">
        <v>40</v>
      </c>
      <c r="AF306" s="29">
        <f t="shared" si="92"/>
      </c>
      <c r="AG306" s="34" t="s">
        <v>40</v>
      </c>
      <c r="AH306" s="35" t="s">
        <v>41</v>
      </c>
      <c r="AI306" s="33">
        <v>44</v>
      </c>
    </row>
    <row r="307">
      <c r="A307" s="22"/>
      <c r="B307" s="49" t="s">
        <v>47</v>
      </c>
      <c r="C307" s="24" t="s">
        <v>43</v>
      </c>
      <c r="D307" s="25">
        <v>3464.36</v>
      </c>
      <c r="E307" s="26">
        <v>10</v>
      </c>
      <c r="F307" s="26">
        <v>9</v>
      </c>
      <c r="G307" s="27">
        <v>8</v>
      </c>
      <c r="H307" s="25">
        <v>7849.6</v>
      </c>
      <c r="I307" s="108">
        <v>1</v>
      </c>
      <c r="J307" s="29">
        <f t="shared" si="232"/>
      </c>
      <c r="K307" s="28">
        <f t="shared" si="194"/>
      </c>
      <c r="L307" s="29">
        <f t="shared" si="156"/>
      </c>
      <c r="M307" s="30">
        <f t="shared" si="118"/>
      </c>
      <c r="N307" s="29">
        <f t="shared" si="69"/>
      </c>
      <c r="O307" s="29">
        <f t="shared" si="50"/>
      </c>
      <c r="P307" s="30">
        <f t="shared" si="31"/>
      </c>
      <c r="Q307" s="30">
        <f t="shared" si="12"/>
      </c>
      <c r="R307" s="30">
        <f t="shared" si="251"/>
      </c>
      <c r="S307" s="30">
        <f t="shared" si="213"/>
      </c>
      <c r="T307" s="31">
        <f t="shared" si="175"/>
      </c>
      <c r="U307" s="32">
        <v>0.0083</v>
      </c>
      <c r="V307" s="33">
        <v>45</v>
      </c>
      <c r="W307" s="29">
        <f t="shared" si="137"/>
      </c>
      <c r="X307" s="33">
        <v>44355</v>
      </c>
      <c r="Y307" s="33">
        <v>1437</v>
      </c>
      <c r="Z307" s="31">
        <v>103</v>
      </c>
      <c r="AA307" s="31">
        <v>1626</v>
      </c>
      <c r="AB307" s="33">
        <v>111</v>
      </c>
      <c r="AC307" s="31">
        <v>22</v>
      </c>
      <c r="AD307" s="33">
        <v>3</v>
      </c>
      <c r="AE307" s="33">
        <v>35</v>
      </c>
      <c r="AF307" s="29">
        <f t="shared" si="92"/>
      </c>
      <c r="AG307" s="34" t="s">
        <v>40</v>
      </c>
      <c r="AH307" s="35" t="s">
        <v>41</v>
      </c>
      <c r="AI307" s="33">
        <v>49</v>
      </c>
    </row>
    <row r="308">
      <c r="A308" s="22"/>
      <c r="B308" s="49" t="s">
        <v>47</v>
      </c>
      <c r="C308" s="36" t="s">
        <v>44</v>
      </c>
      <c r="D308" s="25">
        <v>3509.39</v>
      </c>
      <c r="E308" s="26">
        <v>7</v>
      </c>
      <c r="F308" s="26">
        <v>4</v>
      </c>
      <c r="G308" s="27">
        <v>3</v>
      </c>
      <c r="H308" s="25">
        <v>2539.9000000000015</v>
      </c>
      <c r="I308" s="108">
        <v>0</v>
      </c>
      <c r="J308" s="29">
        <f t="shared" si="232"/>
      </c>
      <c r="K308" s="28">
        <f t="shared" si="194"/>
      </c>
      <c r="L308" s="29">
        <f t="shared" si="156"/>
      </c>
      <c r="M308" s="30">
        <f t="shared" si="118"/>
      </c>
      <c r="N308" s="29">
        <f t="shared" si="69"/>
      </c>
      <c r="O308" s="29">
        <f t="shared" si="50"/>
      </c>
      <c r="P308" s="30">
        <f t="shared" si="31"/>
      </c>
      <c r="Q308" s="30">
        <f t="shared" si="12"/>
      </c>
      <c r="R308" s="30">
        <f t="shared" si="251"/>
      </c>
      <c r="S308" s="30">
        <f t="shared" si="213"/>
      </c>
      <c r="T308" s="31">
        <f t="shared" si="175"/>
      </c>
      <c r="U308" s="32">
        <v>0.0086</v>
      </c>
      <c r="V308" s="33">
        <v>44</v>
      </c>
      <c r="W308" s="29">
        <f t="shared" si="137"/>
      </c>
      <c r="X308" s="33">
        <v>45255</v>
      </c>
      <c r="Y308" s="33">
        <v>1384</v>
      </c>
      <c r="Z308" s="31">
        <v>112</v>
      </c>
      <c r="AA308" s="31">
        <v>2265</v>
      </c>
      <c r="AB308" s="33">
        <v>102</v>
      </c>
      <c r="AC308" s="31">
        <v>12</v>
      </c>
      <c r="AD308" s="33">
        <v>1</v>
      </c>
      <c r="AE308" s="33">
        <v>43</v>
      </c>
      <c r="AF308" s="29">
        <f t="shared" si="92"/>
      </c>
      <c r="AG308" s="34" t="s">
        <v>40</v>
      </c>
      <c r="AH308" s="35" t="s">
        <v>41</v>
      </c>
      <c r="AI308" s="33">
        <v>58</v>
      </c>
    </row>
    <row r="309">
      <c r="A309" s="22"/>
      <c r="B309" s="49" t="s">
        <v>47</v>
      </c>
      <c r="C309" s="24" t="s">
        <v>45</v>
      </c>
      <c r="D309" s="25">
        <v>3180.98</v>
      </c>
      <c r="E309" s="26">
        <v>9</v>
      </c>
      <c r="F309" s="26">
        <v>7</v>
      </c>
      <c r="G309" s="27">
        <v>6</v>
      </c>
      <c r="H309" s="25">
        <v>3892.899999999998</v>
      </c>
      <c r="I309" s="108">
        <v>1</v>
      </c>
      <c r="J309" s="29">
        <f t="shared" si="232"/>
      </c>
      <c r="K309" s="28">
        <f t="shared" si="194"/>
      </c>
      <c r="L309" s="29">
        <f t="shared" si="156"/>
      </c>
      <c r="M309" s="30">
        <f t="shared" si="118"/>
      </c>
      <c r="N309" s="29">
        <f t="shared" si="69"/>
      </c>
      <c r="O309" s="29">
        <f t="shared" si="50"/>
      </c>
      <c r="P309" s="30">
        <f t="shared" si="31"/>
      </c>
      <c r="Q309" s="30">
        <f t="shared" si="12"/>
      </c>
      <c r="R309" s="30">
        <f t="shared" si="251"/>
      </c>
      <c r="S309" s="30">
        <f t="shared" si="213"/>
      </c>
      <c r="T309" s="31">
        <f t="shared" si="175"/>
      </c>
      <c r="U309" s="32">
        <v>0.0157</v>
      </c>
      <c r="V309" s="33">
        <v>45</v>
      </c>
      <c r="W309" s="29">
        <f t="shared" si="137"/>
      </c>
      <c r="X309" s="33">
        <v>32358</v>
      </c>
      <c r="Y309" s="33">
        <v>898</v>
      </c>
      <c r="Z309" s="33">
        <v>114</v>
      </c>
      <c r="AA309" s="33">
        <v>1043</v>
      </c>
      <c r="AB309" s="33">
        <v>78</v>
      </c>
      <c r="AC309" s="33">
        <v>14</v>
      </c>
      <c r="AD309" s="33">
        <v>2</v>
      </c>
      <c r="AE309" s="33">
        <v>52</v>
      </c>
      <c r="AF309" s="29">
        <f t="shared" si="92"/>
      </c>
      <c r="AG309" s="34" t="s">
        <v>40</v>
      </c>
      <c r="AH309" s="35" t="s">
        <v>41</v>
      </c>
      <c r="AI309" s="33">
        <v>54</v>
      </c>
    </row>
    <row r="310">
      <c r="A310" s="22"/>
      <c r="B310" s="40" t="s">
        <v>46</v>
      </c>
      <c r="C310" s="40"/>
      <c r="D310" s="41">
        <f>SUM(D305:D309)</f>
      </c>
      <c r="E310" s="42">
        <f>SUM(E305:E309)</f>
      </c>
      <c r="F310" s="42">
        <f>SUM(F305:F309)</f>
      </c>
      <c r="G310" s="43">
        <f>SUM(G305:G309)</f>
      </c>
      <c r="H310" s="45">
        <f>SUM(H305:H309)</f>
      </c>
      <c r="I310" s="44">
        <f>SUM(I305:I309)</f>
      </c>
      <c r="J310" s="109">
        <f t="shared" si="232"/>
      </c>
      <c r="K310" s="45">
        <f t="shared" si="194"/>
      </c>
      <c r="L310" s="45">
        <f t="shared" si="156"/>
      </c>
      <c r="M310" s="46">
        <f t="shared" si="118"/>
      </c>
      <c r="N310" s="45">
        <f t="shared" si="69"/>
      </c>
      <c r="O310" s="45">
        <f t="shared" si="50"/>
      </c>
      <c r="P310" s="46">
        <f t="shared" si="31"/>
      </c>
      <c r="Q310" s="46">
        <f t="shared" si="12"/>
      </c>
      <c r="R310" s="46">
        <f t="shared" si="251"/>
      </c>
      <c r="S310" s="46">
        <f t="shared" si="213"/>
      </c>
      <c r="T310" s="42">
        <f t="shared" si="175"/>
      </c>
      <c r="U310" s="46">
        <f>AVERAGE(U305:U309)</f>
      </c>
      <c r="V310" s="41">
        <f>AVERAGE(V305:V309)</f>
      </c>
      <c r="W310" s="45">
        <f t="shared" si="137"/>
      </c>
      <c r="X310" s="42">
        <f>SUM(X305:X309)</f>
      </c>
      <c r="Y310" s="42">
        <f>SUM(Y305:Y309)</f>
      </c>
      <c r="Z310" s="42">
        <f>SUM(Z305:Z309)</f>
      </c>
      <c r="AA310" s="42">
        <f>SUM(AA305:AA309)</f>
      </c>
      <c r="AB310" s="42">
        <f>SUM(AB305:AB309)</f>
      </c>
      <c r="AC310" s="42">
        <f>SUM(AC305:AC309)</f>
      </c>
      <c r="AD310" s="42">
        <f>SUM(AD305:AD309)</f>
      </c>
      <c r="AE310" s="42">
        <f>SUM(AE305:AE309)</f>
      </c>
      <c r="AF310" s="47">
        <f t="shared" si="92"/>
      </c>
      <c r="AG310" s="48"/>
      <c r="AH310" s="48"/>
      <c r="AI310" s="43">
        <f>SUM(AI305:AI309)</f>
      </c>
    </row>
    <row r="311">
      <c r="A311" s="22"/>
      <c r="B311" s="23" t="s">
        <v>54</v>
      </c>
      <c r="C311" s="23" t="s">
        <v>48</v>
      </c>
      <c r="D311" s="50">
        <v>3837.83</v>
      </c>
      <c r="E311" s="51">
        <v>19</v>
      </c>
      <c r="F311" s="51">
        <v>15</v>
      </c>
      <c r="G311" s="52">
        <v>12</v>
      </c>
      <c r="H311" s="53">
        <v>8085</v>
      </c>
      <c r="I311" s="54">
        <v>0</v>
      </c>
      <c r="J311" s="55">
        <f t="shared" si="232"/>
      </c>
      <c r="K311" s="55">
        <f t="shared" si="194"/>
      </c>
      <c r="L311" s="55">
        <f t="shared" si="156"/>
      </c>
      <c r="M311" s="56">
        <f t="shared" si="118"/>
      </c>
      <c r="N311" s="55">
        <f t="shared" si="69"/>
      </c>
      <c r="O311" s="55">
        <f t="shared" si="50"/>
      </c>
      <c r="P311" s="56">
        <f t="shared" si="31"/>
      </c>
      <c r="Q311" s="56">
        <f t="shared" si="12"/>
      </c>
      <c r="R311" s="56">
        <f t="shared" si="251"/>
      </c>
      <c r="S311" s="56">
        <f t="shared" si="213"/>
      </c>
      <c r="T311" s="57">
        <f t="shared" si="175"/>
      </c>
      <c r="U311" s="58">
        <v>0.0101</v>
      </c>
      <c r="V311" s="59">
        <v>47</v>
      </c>
      <c r="W311" s="55">
        <f t="shared" si="137"/>
      </c>
      <c r="X311" s="57">
        <v>40614</v>
      </c>
      <c r="Y311" s="57">
        <v>1654</v>
      </c>
      <c r="Z311" s="57">
        <v>121</v>
      </c>
      <c r="AA311" s="57">
        <v>3717</v>
      </c>
      <c r="AB311" s="57">
        <v>172</v>
      </c>
      <c r="AC311" s="57">
        <v>47</v>
      </c>
      <c r="AD311" s="57">
        <v>2</v>
      </c>
      <c r="AE311" s="57">
        <v>37</v>
      </c>
      <c r="AF311" s="55">
        <f t="shared" si="92"/>
      </c>
      <c r="AG311" s="34" t="s">
        <v>40</v>
      </c>
      <c r="AH311" s="35" t="s">
        <v>41</v>
      </c>
      <c r="AI311" s="59">
        <v>60</v>
      </c>
    </row>
    <row r="312">
      <c r="A312" s="22"/>
      <c r="B312" s="23" t="s">
        <v>54</v>
      </c>
      <c r="C312" s="60" t="s">
        <v>49</v>
      </c>
      <c r="D312" s="50">
        <v>4500.71</v>
      </c>
      <c r="E312" s="51">
        <v>7</v>
      </c>
      <c r="F312" s="51">
        <v>5</v>
      </c>
      <c r="G312" s="52">
        <v>5</v>
      </c>
      <c r="H312" s="53">
        <v>2255.0000000000036</v>
      </c>
      <c r="I312" s="110">
        <v>0</v>
      </c>
      <c r="J312" s="55">
        <f t="shared" si="232"/>
      </c>
      <c r="K312" s="55">
        <f t="shared" si="194"/>
      </c>
      <c r="L312" s="55">
        <f t="shared" si="156"/>
      </c>
      <c r="M312" s="56">
        <f t="shared" si="118"/>
      </c>
      <c r="N312" s="55">
        <f t="shared" si="69"/>
      </c>
      <c r="O312" s="55">
        <f t="shared" si="50"/>
      </c>
      <c r="P312" s="56">
        <f t="shared" si="31"/>
      </c>
      <c r="Q312" s="56">
        <f t="shared" si="12"/>
      </c>
      <c r="R312" s="56">
        <f t="shared" si="251"/>
      </c>
      <c r="S312" s="56">
        <f t="shared" si="213"/>
      </c>
      <c r="T312" s="57">
        <f t="shared" si="175"/>
      </c>
      <c r="U312" s="58">
        <v>0.0072</v>
      </c>
      <c r="V312" s="59">
        <v>45</v>
      </c>
      <c r="W312" s="55">
        <f t="shared" si="137"/>
      </c>
      <c r="X312" s="57">
        <v>48628</v>
      </c>
      <c r="Y312" s="57">
        <v>1835</v>
      </c>
      <c r="Z312" s="57">
        <v>117</v>
      </c>
      <c r="AA312" s="57">
        <v>3540</v>
      </c>
      <c r="AB312" s="57">
        <v>111</v>
      </c>
      <c r="AC312" s="57">
        <v>18</v>
      </c>
      <c r="AD312" s="57">
        <v>10</v>
      </c>
      <c r="AE312" s="57">
        <v>45</v>
      </c>
      <c r="AF312" s="55">
        <f t="shared" si="92"/>
      </c>
      <c r="AG312" s="34" t="s">
        <v>40</v>
      </c>
      <c r="AH312" s="35" t="s">
        <v>41</v>
      </c>
      <c r="AI312" s="59">
        <v>51</v>
      </c>
    </row>
    <row r="313">
      <c r="A313" s="22"/>
      <c r="B313" s="23" t="s">
        <v>54</v>
      </c>
      <c r="C313" s="61" t="s">
        <v>50</v>
      </c>
      <c r="D313" s="62">
        <v>3666.39</v>
      </c>
      <c r="E313" s="63">
        <v>19</v>
      </c>
      <c r="F313" s="63">
        <v>14</v>
      </c>
      <c r="G313" s="64">
        <v>11</v>
      </c>
      <c r="H313" s="111">
        <v>8191.699999999997</v>
      </c>
      <c r="I313" s="26">
        <v>3</v>
      </c>
      <c r="J313" s="28">
        <f t="shared" si="232"/>
      </c>
      <c r="K313" s="29">
        <f t="shared" si="194"/>
      </c>
      <c r="L313" s="29">
        <f t="shared" si="156"/>
      </c>
      <c r="M313" s="30">
        <f t="shared" si="118"/>
      </c>
      <c r="N313" s="29">
        <f t="shared" si="69"/>
      </c>
      <c r="O313" s="29">
        <f t="shared" si="50"/>
      </c>
      <c r="P313" s="30">
        <f t="shared" si="31"/>
      </c>
      <c r="Q313" s="30">
        <f t="shared" si="12"/>
      </c>
      <c r="R313" s="30">
        <f t="shared" si="251"/>
      </c>
      <c r="S313" s="30">
        <f t="shared" si="213"/>
      </c>
      <c r="T313" s="31">
        <f t="shared" si="175"/>
      </c>
      <c r="U313" s="32">
        <v>0.0095</v>
      </c>
      <c r="V313" s="33">
        <v>47</v>
      </c>
      <c r="W313" s="29">
        <f t="shared" si="137"/>
      </c>
      <c r="X313" s="33">
        <v>38047</v>
      </c>
      <c r="Y313" s="33">
        <v>1493</v>
      </c>
      <c r="Z313" s="31">
        <v>105</v>
      </c>
      <c r="AA313" s="31">
        <v>1688</v>
      </c>
      <c r="AB313" s="33">
        <v>105</v>
      </c>
      <c r="AC313" s="31">
        <v>31</v>
      </c>
      <c r="AD313" s="33">
        <v>5</v>
      </c>
      <c r="AE313" s="33">
        <v>53</v>
      </c>
      <c r="AF313" s="29">
        <f t="shared" si="92"/>
      </c>
      <c r="AG313" s="34" t="s">
        <v>40</v>
      </c>
      <c r="AH313" s="35" t="s">
        <v>41</v>
      </c>
      <c r="AI313" s="33">
        <v>48</v>
      </c>
    </row>
    <row r="314">
      <c r="A314" s="22"/>
      <c r="B314" s="23" t="s">
        <v>54</v>
      </c>
      <c r="C314" s="60" t="s">
        <v>51</v>
      </c>
      <c r="D314" s="62">
        <v>5996.05</v>
      </c>
      <c r="E314" s="63">
        <v>25</v>
      </c>
      <c r="F314" s="63">
        <v>21</v>
      </c>
      <c r="G314" s="64">
        <v>19</v>
      </c>
      <c r="H314" s="53">
        <v>13972.199999999997</v>
      </c>
      <c r="I314" s="112">
        <v>2</v>
      </c>
      <c r="J314" s="55">
        <f t="shared" si="232"/>
      </c>
      <c r="K314" s="55">
        <f t="shared" si="194"/>
      </c>
      <c r="L314" s="55">
        <f t="shared" si="156"/>
      </c>
      <c r="M314" s="56">
        <f t="shared" si="118"/>
      </c>
      <c r="N314" s="55">
        <f t="shared" si="69"/>
      </c>
      <c r="O314" s="55">
        <f t="shared" si="50"/>
      </c>
      <c r="P314" s="56">
        <f t="shared" si="31"/>
      </c>
      <c r="Q314" s="56">
        <f t="shared" si="12"/>
      </c>
      <c r="R314" s="56">
        <f t="shared" si="251"/>
      </c>
      <c r="S314" s="56">
        <f t="shared" si="213"/>
      </c>
      <c r="T314" s="57">
        <f t="shared" si="175"/>
      </c>
      <c r="U314" s="58">
        <v>0.0069</v>
      </c>
      <c r="V314" s="59">
        <v>45</v>
      </c>
      <c r="W314" s="55">
        <f t="shared" si="137"/>
      </c>
      <c r="X314" s="57">
        <v>56492</v>
      </c>
      <c r="Y314" s="57">
        <v>4142</v>
      </c>
      <c r="Z314" s="57">
        <v>172</v>
      </c>
      <c r="AA314" s="57">
        <v>7761</v>
      </c>
      <c r="AB314" s="57">
        <v>221</v>
      </c>
      <c r="AC314" s="57">
        <v>45</v>
      </c>
      <c r="AD314" s="57">
        <v>11</v>
      </c>
      <c r="AE314" s="57">
        <v>36</v>
      </c>
      <c r="AF314" s="55">
        <f t="shared" si="92"/>
      </c>
      <c r="AG314" s="34" t="s">
        <v>40</v>
      </c>
      <c r="AH314" s="35" t="s">
        <v>41</v>
      </c>
      <c r="AI314" s="59">
        <v>88</v>
      </c>
    </row>
    <row r="315">
      <c r="A315" s="22"/>
      <c r="B315" s="67" t="s">
        <v>46</v>
      </c>
      <c r="C315" s="67"/>
      <c r="D315" s="68">
        <f>SUM(D311:D314)</f>
      </c>
      <c r="E315" s="69">
        <f>SUM(E311:E314)</f>
      </c>
      <c r="F315" s="69">
        <f>SUM(F311:F314)</f>
      </c>
      <c r="G315" s="70">
        <f>SUM(G311:G314)</f>
      </c>
      <c r="H315" s="68">
        <f>SUM(H311:H314)</f>
      </c>
      <c r="I315" s="69">
        <f>SUM(I311:I314)</f>
      </c>
      <c r="J315" s="71">
        <f t="shared" si="232"/>
      </c>
      <c r="K315" s="71">
        <f t="shared" si="194"/>
      </c>
      <c r="L315" s="71">
        <f t="shared" si="156"/>
      </c>
      <c r="M315" s="72">
        <f t="shared" si="118"/>
      </c>
      <c r="N315" s="71">
        <f t="shared" si="69"/>
      </c>
      <c r="O315" s="71">
        <f t="shared" si="50"/>
      </c>
      <c r="P315" s="72">
        <f t="shared" si="31"/>
      </c>
      <c r="Q315" s="72">
        <f t="shared" si="12"/>
      </c>
      <c r="R315" s="72">
        <f t="shared" si="251"/>
      </c>
      <c r="S315" s="72">
        <f t="shared" si="213"/>
      </c>
      <c r="T315" s="73">
        <f t="shared" si="175"/>
      </c>
      <c r="U315" s="46">
        <f>AVERAGE(U311:U314)</f>
      </c>
      <c r="V315" s="41">
        <f>AVERAGE(V311:V314)</f>
      </c>
      <c r="W315" s="71">
        <f t="shared" si="137"/>
      </c>
      <c r="X315" s="73">
        <f>SUM(X311:X314)</f>
      </c>
      <c r="Y315" s="73">
        <f>SUM(Y311:Y314)</f>
      </c>
      <c r="Z315" s="73">
        <f>SUM(Z311:Z314)</f>
      </c>
      <c r="AA315" s="73">
        <f>SUM(AA311:AA314)</f>
      </c>
      <c r="AB315" s="73">
        <f>SUM(AB311:AB314)</f>
      </c>
      <c r="AC315" s="73">
        <f>SUM(AC311:AC314)</f>
      </c>
      <c r="AD315" s="73">
        <f>SUM(AD311:AD314)</f>
      </c>
      <c r="AE315" s="73">
        <f>SUM(AE311:AE314)</f>
      </c>
      <c r="AF315" s="74">
        <f t="shared" si="92"/>
      </c>
      <c r="AG315" s="75"/>
      <c r="AH315" s="75"/>
      <c r="AI315" s="70">
        <f>SUM(AI311:AI314)</f>
      </c>
    </row>
    <row r="316">
      <c r="A316" s="22"/>
      <c r="B316" s="49" t="s">
        <v>60</v>
      </c>
      <c r="C316" s="49" t="s">
        <v>53</v>
      </c>
      <c r="D316" s="23">
        <v>4770.82</v>
      </c>
      <c r="E316" s="26">
        <v>8</v>
      </c>
      <c r="F316" s="26">
        <v>6</v>
      </c>
      <c r="G316" s="27">
        <v>6</v>
      </c>
      <c r="H316" s="76">
        <v>4396.700000000004</v>
      </c>
      <c r="I316" s="26">
        <v>1</v>
      </c>
      <c r="J316" s="29">
        <f t="shared" si="232"/>
      </c>
      <c r="K316" s="29">
        <f t="shared" si="194"/>
      </c>
      <c r="L316" s="29">
        <f t="shared" si="156"/>
      </c>
      <c r="M316" s="30">
        <f t="shared" si="118"/>
      </c>
      <c r="N316" s="29">
        <f t="shared" si="69"/>
      </c>
      <c r="O316" s="29">
        <f t="shared" si="50"/>
      </c>
      <c r="P316" s="30">
        <f t="shared" si="31"/>
      </c>
      <c r="Q316" s="30">
        <f t="shared" si="12"/>
      </c>
      <c r="R316" s="30">
        <f t="shared" si="251"/>
      </c>
      <c r="S316" s="30">
        <f t="shared" si="213"/>
      </c>
      <c r="T316" s="31">
        <f t="shared" si="175"/>
      </c>
      <c r="U316" s="32">
        <v>0.0091</v>
      </c>
      <c r="V316" s="33">
        <v>45</v>
      </c>
      <c r="W316" s="29">
        <f t="shared" si="137"/>
      </c>
      <c r="X316" s="33">
        <v>50927</v>
      </c>
      <c r="Y316" s="33">
        <v>2727</v>
      </c>
      <c r="Z316" s="31">
        <v>142</v>
      </c>
      <c r="AA316" s="31">
        <v>4635</v>
      </c>
      <c r="AB316" s="31">
        <v>138</v>
      </c>
      <c r="AC316" s="31">
        <v>33</v>
      </c>
      <c r="AD316" s="33">
        <v>12</v>
      </c>
      <c r="AE316" s="33">
        <v>61</v>
      </c>
      <c r="AF316" s="29">
        <f t="shared" si="92"/>
      </c>
      <c r="AG316" s="34" t="s">
        <v>56</v>
      </c>
      <c r="AH316" s="35" t="s">
        <v>41</v>
      </c>
      <c r="AI316" s="33">
        <v>56</v>
      </c>
    </row>
    <row r="317">
      <c r="A317" s="22"/>
      <c r="B317" s="49" t="s">
        <v>60</v>
      </c>
      <c r="C317" s="60" t="s">
        <v>55</v>
      </c>
      <c r="D317" s="23">
        <v>4047.33</v>
      </c>
      <c r="E317" s="26">
        <v>11</v>
      </c>
      <c r="F317" s="26">
        <v>9</v>
      </c>
      <c r="G317" s="27">
        <v>8</v>
      </c>
      <c r="H317" s="76">
        <v>7147.799999999996</v>
      </c>
      <c r="I317" s="26">
        <v>1</v>
      </c>
      <c r="J317" s="29">
        <f t="shared" si="232"/>
      </c>
      <c r="K317" s="29">
        <f t="shared" si="194"/>
      </c>
      <c r="L317" s="29">
        <f t="shared" si="156"/>
      </c>
      <c r="M317" s="30">
        <f t="shared" si="118"/>
      </c>
      <c r="N317" s="29">
        <f t="shared" si="69"/>
      </c>
      <c r="O317" s="29">
        <f t="shared" si="50"/>
      </c>
      <c r="P317" s="30">
        <f t="shared" si="31"/>
      </c>
      <c r="Q317" s="30">
        <f t="shared" si="12"/>
      </c>
      <c r="R317" s="30">
        <f t="shared" si="251"/>
      </c>
      <c r="S317" s="30">
        <f t="shared" si="213"/>
      </c>
      <c r="T317" s="31">
        <f t="shared" si="175"/>
      </c>
      <c r="U317" s="32">
        <v>0.0089</v>
      </c>
      <c r="V317" s="33">
        <v>45</v>
      </c>
      <c r="W317" s="29">
        <f t="shared" si="137"/>
      </c>
      <c r="X317" s="33">
        <v>40189</v>
      </c>
      <c r="Y317" s="33">
        <v>2232</v>
      </c>
      <c r="Z317" s="31">
        <v>119</v>
      </c>
      <c r="AA317" s="31">
        <v>3571</v>
      </c>
      <c r="AB317" s="31">
        <v>115</v>
      </c>
      <c r="AC317" s="31">
        <v>20</v>
      </c>
      <c r="AD317" s="33">
        <v>10</v>
      </c>
      <c r="AE317" s="33">
        <v>52</v>
      </c>
      <c r="AF317" s="29">
        <f t="shared" si="92"/>
      </c>
      <c r="AG317" s="34" t="s">
        <v>56</v>
      </c>
      <c r="AH317" s="66" t="s">
        <v>72</v>
      </c>
      <c r="AI317" s="33">
        <v>49</v>
      </c>
    </row>
    <row r="318">
      <c r="A318" s="22"/>
      <c r="B318" s="49" t="s">
        <v>60</v>
      </c>
      <c r="C318" s="61" t="s">
        <v>57</v>
      </c>
      <c r="D318" s="23">
        <v>2155.87</v>
      </c>
      <c r="E318" s="26">
        <v>1</v>
      </c>
      <c r="F318" s="26">
        <v>1</v>
      </c>
      <c r="G318" s="27">
        <v>1</v>
      </c>
      <c r="H318" s="76">
        <v>451</v>
      </c>
      <c r="I318" s="26">
        <v>0</v>
      </c>
      <c r="J318" s="29">
        <f t="shared" si="232"/>
      </c>
      <c r="K318" s="29">
        <f t="shared" si="194"/>
      </c>
      <c r="L318" s="29">
        <f t="shared" si="156"/>
      </c>
      <c r="M318" s="30">
        <f t="shared" si="118"/>
      </c>
      <c r="N318" s="29">
        <f t="shared" si="69"/>
      </c>
      <c r="O318" s="29">
        <f t="shared" si="50"/>
      </c>
      <c r="P318" s="30">
        <f t="shared" si="31"/>
      </c>
      <c r="Q318" s="30">
        <f t="shared" si="12"/>
      </c>
      <c r="R318" s="30">
        <f t="shared" si="251"/>
      </c>
      <c r="S318" s="30">
        <f t="shared" si="213"/>
      </c>
      <c r="T318" s="31">
        <f t="shared" si="175"/>
      </c>
      <c r="U318" s="32">
        <v>0.0081</v>
      </c>
      <c r="V318" s="33">
        <v>44</v>
      </c>
      <c r="W318" s="29">
        <f t="shared" si="137"/>
      </c>
      <c r="X318" s="31">
        <v>22443</v>
      </c>
      <c r="Y318" s="31">
        <v>1089</v>
      </c>
      <c r="Z318" s="31">
        <v>68</v>
      </c>
      <c r="AA318" s="31">
        <v>1275</v>
      </c>
      <c r="AB318" s="31">
        <v>57</v>
      </c>
      <c r="AC318" s="31">
        <v>13</v>
      </c>
      <c r="AD318" s="31">
        <v>4</v>
      </c>
      <c r="AE318" s="33">
        <v>23</v>
      </c>
      <c r="AF318" s="29">
        <f t="shared" si="92"/>
      </c>
      <c r="AG318" s="34" t="s">
        <v>56</v>
      </c>
      <c r="AH318" s="66" t="s">
        <v>72</v>
      </c>
      <c r="AI318" s="33">
        <v>25</v>
      </c>
    </row>
    <row r="319">
      <c r="A319" s="22"/>
      <c r="B319" s="49" t="s">
        <v>60</v>
      </c>
      <c r="C319" s="60" t="s">
        <v>58</v>
      </c>
      <c r="D319" s="23">
        <v>3046.8</v>
      </c>
      <c r="E319" s="26">
        <v>5</v>
      </c>
      <c r="F319" s="26">
        <v>5</v>
      </c>
      <c r="G319" s="27">
        <v>3</v>
      </c>
      <c r="H319" s="76">
        <v>2255</v>
      </c>
      <c r="I319" s="26">
        <v>0</v>
      </c>
      <c r="J319" s="29">
        <f t="shared" si="232"/>
      </c>
      <c r="K319" s="29">
        <f t="shared" si="194"/>
      </c>
      <c r="L319" s="29">
        <f t="shared" si="156"/>
      </c>
      <c r="M319" s="30">
        <f t="shared" si="118"/>
      </c>
      <c r="N319" s="29">
        <f t="shared" si="69"/>
      </c>
      <c r="O319" s="29">
        <f t="shared" si="50"/>
      </c>
      <c r="P319" s="30">
        <f t="shared" si="31"/>
      </c>
      <c r="Q319" s="30">
        <f t="shared" si="12"/>
      </c>
      <c r="R319" s="30">
        <f t="shared" si="251"/>
      </c>
      <c r="S319" s="30">
        <f t="shared" si="213"/>
      </c>
      <c r="T319" s="31">
        <f t="shared" si="175"/>
      </c>
      <c r="U319" s="32">
        <v>0.0074</v>
      </c>
      <c r="V319" s="33">
        <v>43</v>
      </c>
      <c r="W319" s="29">
        <f t="shared" si="137"/>
      </c>
      <c r="X319" s="33">
        <v>31458</v>
      </c>
      <c r="Y319" s="33">
        <v>2096</v>
      </c>
      <c r="Z319" s="33">
        <v>95</v>
      </c>
      <c r="AA319" s="33">
        <v>4157</v>
      </c>
      <c r="AB319" s="33">
        <v>58</v>
      </c>
      <c r="AC319" s="33">
        <v>14</v>
      </c>
      <c r="AD319" s="33">
        <v>8</v>
      </c>
      <c r="AE319" s="33">
        <v>13</v>
      </c>
      <c r="AF319" s="29">
        <f t="shared" si="92"/>
      </c>
      <c r="AG319" s="34" t="s">
        <v>56</v>
      </c>
      <c r="AH319" s="66" t="s">
        <v>72</v>
      </c>
      <c r="AI319" s="33">
        <v>30</v>
      </c>
    </row>
    <row r="320">
      <c r="A320" s="22"/>
      <c r="B320" s="40" t="s">
        <v>46</v>
      </c>
      <c r="C320" s="40"/>
      <c r="D320" s="77">
        <f>SUM(D316:D319)</f>
      </c>
      <c r="E320" s="78">
        <f>SUM(E316:E319)</f>
      </c>
      <c r="F320" s="78">
        <f>SUM(F316:F319)</f>
      </c>
      <c r="G320" s="79">
        <f>SUM(G316:G319)</f>
      </c>
      <c r="H320" s="77">
        <f>SUM(H316:H319)</f>
      </c>
      <c r="I320" s="78">
        <f>SUM(I316:I319)</f>
      </c>
      <c r="J320" s="45">
        <f t="shared" si="232"/>
      </c>
      <c r="K320" s="45">
        <f t="shared" si="194"/>
      </c>
      <c r="L320" s="45">
        <f t="shared" si="156"/>
      </c>
      <c r="M320" s="46">
        <f t="shared" si="118"/>
      </c>
      <c r="N320" s="45">
        <f t="shared" si="69"/>
      </c>
      <c r="O320" s="45">
        <f t="shared" si="50"/>
      </c>
      <c r="P320" s="46">
        <f t="shared" si="31"/>
      </c>
      <c r="Q320" s="46">
        <f t="shared" si="12"/>
      </c>
      <c r="R320" s="46">
        <f t="shared" si="251"/>
      </c>
      <c r="S320" s="46">
        <f t="shared" si="213"/>
      </c>
      <c r="T320" s="42">
        <f t="shared" si="175"/>
      </c>
      <c r="U320" s="46">
        <f>AVERAGE(U317:U319)</f>
      </c>
      <c r="V320" s="41">
        <f>AVERAGE(V317:V319)</f>
      </c>
      <c r="W320" s="45">
        <f t="shared" si="137"/>
      </c>
      <c r="X320" s="42">
        <f>SUM(X316:X319)</f>
      </c>
      <c r="Y320" s="42">
        <f>SUM(Y316:Y319)</f>
      </c>
      <c r="Z320" s="42">
        <f>SUM(Z316:Z319)</f>
      </c>
      <c r="AA320" s="42">
        <f>SUM(AA316:AA319)</f>
      </c>
      <c r="AB320" s="42">
        <f>SUM(AB316:AB319)</f>
      </c>
      <c r="AC320" s="42">
        <f>SUM(AC316:AC319)</f>
      </c>
      <c r="AD320" s="42">
        <f>SUM(AD316:AD319)</f>
      </c>
      <c r="AE320" s="42">
        <f>SUM(AE316:AE319)</f>
      </c>
      <c r="AF320" s="47">
        <f t="shared" si="92"/>
      </c>
      <c r="AG320" s="48"/>
      <c r="AH320" s="48"/>
      <c r="AI320" s="42">
        <f>SUM(AI316:AI319)</f>
      </c>
    </row>
    <row r="321">
      <c r="A321" s="22"/>
      <c r="B321" s="23" t="s">
        <v>69</v>
      </c>
      <c r="C321" s="49" t="s">
        <v>59</v>
      </c>
      <c r="D321" s="80">
        <v>2555.81</v>
      </c>
      <c r="E321" s="51">
        <v>13</v>
      </c>
      <c r="F321" s="51">
        <v>10</v>
      </c>
      <c r="G321" s="52">
        <v>8</v>
      </c>
      <c r="H321" s="53">
        <v>5575.900000000009</v>
      </c>
      <c r="I321" s="54">
        <v>1</v>
      </c>
      <c r="J321" s="55">
        <f t="shared" si="232"/>
      </c>
      <c r="K321" s="55">
        <f t="shared" si="194"/>
      </c>
      <c r="L321" s="55">
        <f t="shared" si="156"/>
      </c>
      <c r="M321" s="56">
        <f t="shared" si="118"/>
      </c>
      <c r="N321" s="55">
        <f t="shared" si="69"/>
      </c>
      <c r="O321" s="55">
        <f t="shared" si="50"/>
      </c>
      <c r="P321" s="56">
        <f t="shared" si="31"/>
      </c>
      <c r="Q321" s="56">
        <f t="shared" si="12"/>
      </c>
      <c r="R321" s="56">
        <f t="shared" si="251"/>
      </c>
      <c r="S321" s="56">
        <f t="shared" si="213"/>
      </c>
      <c r="T321" s="57">
        <f t="shared" si="175"/>
      </c>
      <c r="U321" s="58">
        <v>0.0204</v>
      </c>
      <c r="V321" s="59">
        <v>43</v>
      </c>
      <c r="W321" s="29">
        <f t="shared" si="137"/>
      </c>
      <c r="X321" s="57">
        <v>23991</v>
      </c>
      <c r="Y321" s="57">
        <v>1099</v>
      </c>
      <c r="Z321" s="57">
        <v>107</v>
      </c>
      <c r="AA321" s="57">
        <v>2025</v>
      </c>
      <c r="AB321" s="57">
        <v>127</v>
      </c>
      <c r="AC321" s="57">
        <v>12</v>
      </c>
      <c r="AD321" s="57">
        <v>5</v>
      </c>
      <c r="AE321" s="57">
        <v>32</v>
      </c>
      <c r="AF321" s="55" t="str">
        <v>#DIV/0!</v>
      </c>
      <c r="AG321" s="34" t="s">
        <v>56</v>
      </c>
      <c r="AH321" s="66" t="s">
        <v>72</v>
      </c>
      <c r="AI321" s="59">
        <v>50</v>
      </c>
    </row>
    <row r="322">
      <c r="A322" s="22"/>
      <c r="B322" s="23" t="s">
        <v>69</v>
      </c>
      <c r="C322" s="49" t="s">
        <v>61</v>
      </c>
      <c r="D322" s="80">
        <v>3989.88</v>
      </c>
      <c r="E322" s="51">
        <v>9</v>
      </c>
      <c r="F322" s="51">
        <v>8</v>
      </c>
      <c r="G322" s="52">
        <v>4</v>
      </c>
      <c r="H322" s="53">
        <v>4268</v>
      </c>
      <c r="I322" s="54">
        <v>0</v>
      </c>
      <c r="J322" s="55">
        <f t="shared" si="232"/>
      </c>
      <c r="K322" s="55">
        <f t="shared" si="194"/>
      </c>
      <c r="L322" s="55">
        <f t="shared" si="156"/>
      </c>
      <c r="M322" s="56">
        <f t="shared" si="118"/>
      </c>
      <c r="N322" s="55">
        <f t="shared" si="69"/>
      </c>
      <c r="O322" s="55">
        <f t="shared" si="50"/>
      </c>
      <c r="P322" s="56">
        <f t="shared" si="31"/>
      </c>
      <c r="Q322" s="56">
        <f t="shared" si="12"/>
      </c>
      <c r="R322" s="56">
        <f t="shared" si="251"/>
      </c>
      <c r="S322" s="56">
        <f t="shared" si="213"/>
      </c>
      <c r="T322" s="57">
        <f t="shared" si="175"/>
      </c>
      <c r="U322" s="58">
        <v>0.007</v>
      </c>
      <c r="V322" s="59">
        <v>41</v>
      </c>
      <c r="W322" s="55">
        <f t="shared" si="137"/>
      </c>
      <c r="X322" s="57">
        <v>36645</v>
      </c>
      <c r="Y322" s="57">
        <v>2844</v>
      </c>
      <c r="Z322" s="57">
        <v>117</v>
      </c>
      <c r="AA322" s="57">
        <v>5822</v>
      </c>
      <c r="AB322" s="57">
        <v>133</v>
      </c>
      <c r="AC322" s="57">
        <v>26</v>
      </c>
      <c r="AD322" s="57">
        <v>3</v>
      </c>
      <c r="AE322" s="57">
        <v>5</v>
      </c>
      <c r="AF322" s="55">
        <f t="shared" ref="AF322:AF326" si="93">AI322*1000/D322</f>
      </c>
      <c r="AG322" s="34" t="s">
        <v>56</v>
      </c>
      <c r="AH322" s="66" t="s">
        <v>72</v>
      </c>
      <c r="AI322" s="59">
        <v>57</v>
      </c>
    </row>
    <row r="323">
      <c r="A323" s="22"/>
      <c r="B323" s="23" t="s">
        <v>69</v>
      </c>
      <c r="C323" s="49" t="s">
        <v>62</v>
      </c>
      <c r="D323" s="81">
        <v>5649.52</v>
      </c>
      <c r="E323" s="63">
        <v>13</v>
      </c>
      <c r="F323" s="63">
        <v>10</v>
      </c>
      <c r="G323" s="64">
        <v>9</v>
      </c>
      <c r="H323" s="91">
        <v>5169.999999999985</v>
      </c>
      <c r="I323" s="54">
        <v>0</v>
      </c>
      <c r="J323" s="55">
        <f t="shared" si="232"/>
      </c>
      <c r="K323" s="55">
        <f t="shared" si="194"/>
      </c>
      <c r="L323" s="55">
        <f t="shared" si="156"/>
      </c>
      <c r="M323" s="56">
        <f t="shared" si="118"/>
      </c>
      <c r="N323" s="55">
        <f t="shared" si="69"/>
      </c>
      <c r="O323" s="55">
        <f t="shared" si="50"/>
      </c>
      <c r="P323" s="56">
        <f t="shared" si="31"/>
      </c>
      <c r="Q323" s="56">
        <f t="shared" si="12"/>
      </c>
      <c r="R323" s="56">
        <f t="shared" si="251"/>
      </c>
      <c r="S323" s="56">
        <f t="shared" si="213"/>
      </c>
      <c r="T323" s="57">
        <f t="shared" si="175"/>
      </c>
      <c r="U323" s="58">
        <v>0.0116</v>
      </c>
      <c r="V323" s="59">
        <v>39</v>
      </c>
      <c r="W323" s="55">
        <f t="shared" si="137"/>
      </c>
      <c r="X323" s="57">
        <v>55914</v>
      </c>
      <c r="Y323" s="57">
        <v>3463</v>
      </c>
      <c r="Z323" s="57">
        <v>190</v>
      </c>
      <c r="AA323" s="57">
        <v>8777</v>
      </c>
      <c r="AB323" s="57">
        <v>169</v>
      </c>
      <c r="AC323" s="57">
        <v>37</v>
      </c>
      <c r="AD323" s="57">
        <v>6</v>
      </c>
      <c r="AE323" s="57">
        <v>35</v>
      </c>
      <c r="AF323" s="55">
        <f t="shared" si="93"/>
      </c>
      <c r="AG323" s="34" t="s">
        <v>56</v>
      </c>
      <c r="AH323" s="66" t="s">
        <v>72</v>
      </c>
      <c r="AI323" s="59">
        <v>61</v>
      </c>
    </row>
    <row r="324">
      <c r="A324" s="22"/>
      <c r="B324" s="23" t="s">
        <v>69</v>
      </c>
      <c r="C324" s="49" t="s">
        <v>63</v>
      </c>
      <c r="D324" s="80">
        <v>3642.49</v>
      </c>
      <c r="E324" s="63">
        <v>14</v>
      </c>
      <c r="F324" s="63">
        <v>12</v>
      </c>
      <c r="G324" s="64">
        <v>11</v>
      </c>
      <c r="H324" s="50">
        <v>6807.900000000009</v>
      </c>
      <c r="I324" s="65">
        <v>1</v>
      </c>
      <c r="J324" s="55">
        <f t="shared" si="232"/>
      </c>
      <c r="K324" s="55">
        <f t="shared" si="194"/>
      </c>
      <c r="L324" s="55">
        <f t="shared" si="156"/>
      </c>
      <c r="M324" s="56">
        <f t="shared" si="118"/>
      </c>
      <c r="N324" s="55">
        <f t="shared" si="69"/>
      </c>
      <c r="O324" s="55">
        <f t="shared" si="50"/>
      </c>
      <c r="P324" s="56">
        <f t="shared" si="31"/>
      </c>
      <c r="Q324" s="56">
        <f t="shared" si="12"/>
      </c>
      <c r="R324" s="56">
        <f t="shared" si="251"/>
      </c>
      <c r="S324" s="56">
        <f t="shared" si="213"/>
      </c>
      <c r="T324" s="57">
        <f t="shared" si="175"/>
      </c>
      <c r="U324" s="58">
        <v>0.0139</v>
      </c>
      <c r="V324" s="59">
        <v>40</v>
      </c>
      <c r="W324" s="55">
        <f t="shared" si="137"/>
      </c>
      <c r="X324" s="57">
        <v>33826</v>
      </c>
      <c r="Y324" s="57">
        <v>1869</v>
      </c>
      <c r="Z324" s="57">
        <v>128</v>
      </c>
      <c r="AA324" s="57">
        <v>5611</v>
      </c>
      <c r="AB324" s="57">
        <v>96</v>
      </c>
      <c r="AC324" s="57">
        <v>19</v>
      </c>
      <c r="AD324" s="57">
        <v>0</v>
      </c>
      <c r="AE324" s="57">
        <v>38</v>
      </c>
      <c r="AF324" s="55">
        <f t="shared" si="93"/>
      </c>
      <c r="AG324" s="34" t="s">
        <v>56</v>
      </c>
      <c r="AH324" s="66" t="s">
        <v>72</v>
      </c>
      <c r="AI324" s="59">
        <v>36</v>
      </c>
    </row>
    <row r="325">
      <c r="A325" s="22"/>
      <c r="B325" s="23" t="s">
        <v>69</v>
      </c>
      <c r="C325" s="49" t="s">
        <v>64</v>
      </c>
      <c r="D325" s="50">
        <v>902.32</v>
      </c>
      <c r="E325" s="65">
        <v>10</v>
      </c>
      <c r="F325" s="65">
        <v>8</v>
      </c>
      <c r="G325" s="52">
        <v>4</v>
      </c>
      <c r="H325" s="80">
        <v>4013.899999999994</v>
      </c>
      <c r="I325" s="65">
        <v>1</v>
      </c>
      <c r="J325" s="55">
        <f t="shared" si="232"/>
      </c>
      <c r="K325" s="55">
        <f t="shared" si="194"/>
      </c>
      <c r="L325" s="55">
        <f t="shared" si="156"/>
      </c>
      <c r="M325" s="56">
        <f t="shared" si="118"/>
      </c>
      <c r="N325" s="55">
        <f t="shared" si="69"/>
      </c>
      <c r="O325" s="55">
        <f t="shared" si="50"/>
      </c>
      <c r="P325" s="56">
        <f t="shared" si="31"/>
      </c>
      <c r="Q325" s="56">
        <f t="shared" si="12"/>
      </c>
      <c r="R325" s="56">
        <f t="shared" si="251"/>
      </c>
      <c r="S325" s="56">
        <f t="shared" si="213"/>
      </c>
      <c r="T325" s="57">
        <f t="shared" si="175"/>
      </c>
      <c r="U325" s="58">
        <v>0.0304</v>
      </c>
      <c r="V325" s="59">
        <v>41</v>
      </c>
      <c r="W325" s="55">
        <f t="shared" si="137"/>
      </c>
      <c r="X325" s="57">
        <v>7973</v>
      </c>
      <c r="Y325" s="57">
        <v>183</v>
      </c>
      <c r="Z325" s="57">
        <v>53</v>
      </c>
      <c r="AA325" s="57">
        <v>256</v>
      </c>
      <c r="AB325" s="57">
        <v>32</v>
      </c>
      <c r="AC325" s="57">
        <v>5</v>
      </c>
      <c r="AD325" s="57">
        <v>1</v>
      </c>
      <c r="AE325" s="59">
        <v>17</v>
      </c>
      <c r="AF325" s="55">
        <f t="shared" si="93"/>
      </c>
      <c r="AG325" s="34" t="s">
        <v>56</v>
      </c>
      <c r="AH325" s="66" t="s">
        <v>72</v>
      </c>
      <c r="AI325" s="59">
        <v>19</v>
      </c>
    </row>
    <row r="326">
      <c r="A326" s="22"/>
      <c r="B326" s="67" t="s">
        <v>46</v>
      </c>
      <c r="C326" s="67"/>
      <c r="D326" s="41">
        <f>SUM(D321:D325)</f>
      </c>
      <c r="E326" s="42">
        <f>SUM(E321:E325)</f>
      </c>
      <c r="F326" s="42">
        <f>SUM(F321:F325)</f>
      </c>
      <c r="G326" s="43">
        <f>SUM(G321:G325)</f>
      </c>
      <c r="H326" s="41">
        <f>SUM(H321:H325)</f>
      </c>
      <c r="I326" s="44">
        <f>SUM(I321:I325)</f>
      </c>
      <c r="J326" s="109">
        <f t="shared" si="232"/>
      </c>
      <c r="K326" s="45">
        <f t="shared" si="194"/>
      </c>
      <c r="L326" s="45">
        <f t="shared" si="156"/>
      </c>
      <c r="M326" s="46">
        <f t="shared" si="118"/>
      </c>
      <c r="N326" s="45">
        <f t="shared" si="69"/>
      </c>
      <c r="O326" s="45">
        <f t="shared" si="50"/>
      </c>
      <c r="P326" s="46">
        <f t="shared" si="31"/>
      </c>
      <c r="Q326" s="46">
        <f t="shared" si="12"/>
      </c>
      <c r="R326" s="46">
        <f t="shared" si="251"/>
      </c>
      <c r="S326" s="46">
        <f t="shared" si="213"/>
      </c>
      <c r="T326" s="42">
        <f t="shared" si="175"/>
      </c>
      <c r="U326" s="46">
        <f>AVERAGE(U321:U325)</f>
      </c>
      <c r="V326" s="41">
        <f>AVERAGE(V321:V325)</f>
      </c>
      <c r="W326" s="45">
        <f t="shared" si="137"/>
      </c>
      <c r="X326" s="42">
        <f>SUM(X321:X325)</f>
      </c>
      <c r="Y326" s="42">
        <f>SUM(Y321:Y325)</f>
      </c>
      <c r="Z326" s="42">
        <f>SUM(Z321:Z325)</f>
      </c>
      <c r="AA326" s="42">
        <f>SUM(AA321:AA325)</f>
      </c>
      <c r="AB326" s="42">
        <f>SUM(AB321:AB325)</f>
      </c>
      <c r="AC326" s="42">
        <f>SUM(AC321:AC325)</f>
      </c>
      <c r="AD326" s="42">
        <f>SUM(AD321:AD325)</f>
      </c>
      <c r="AE326" s="42">
        <f>SUM(AE321:AE325)</f>
      </c>
      <c r="AF326" s="47">
        <f t="shared" si="93"/>
      </c>
      <c r="AG326" s="75"/>
      <c r="AH326" s="75"/>
      <c r="AI326" s="42">
        <f>SUM(AI321:AI325)</f>
      </c>
    </row>
    <row r="327">
      <c r="A327" s="22"/>
      <c r="B327" s="82" t="s">
        <v>65</v>
      </c>
      <c r="C327" s="82"/>
      <c r="D327" s="83">
        <f>D310+D315+D320+D326</f>
      </c>
      <c r="E327" s="84">
        <f>E310+E315+E320+E326</f>
      </c>
      <c r="F327" s="84">
        <f>F310+F315+F320+F326</f>
      </c>
      <c r="G327" s="84">
        <f>G310+G315+G320+G326</f>
      </c>
      <c r="H327" s="83">
        <f>H310+H315+H320+H326</f>
      </c>
      <c r="I327" s="84">
        <f>I310+I315+I320+I326</f>
      </c>
      <c r="J327" s="86">
        <f t="shared" si="232"/>
      </c>
      <c r="K327" s="87">
        <f t="shared" si="194"/>
      </c>
      <c r="L327" s="87">
        <f t="shared" si="156"/>
      </c>
      <c r="M327" s="88">
        <f t="shared" si="118"/>
      </c>
      <c r="N327" s="87">
        <f t="shared" si="69"/>
      </c>
      <c r="O327" s="87">
        <f t="shared" si="50"/>
      </c>
      <c r="P327" s="88">
        <f t="shared" si="31"/>
      </c>
      <c r="Q327" s="88">
        <f t="shared" si="12"/>
      </c>
      <c r="R327" s="88">
        <f t="shared" si="251"/>
      </c>
      <c r="S327" s="88">
        <f t="shared" si="213"/>
      </c>
      <c r="T327" s="89">
        <f t="shared" si="175"/>
      </c>
      <c r="U327" s="88">
        <f>(U310+U320+U315+U326)/4</f>
      </c>
      <c r="V327" s="87">
        <f>(V310+V320+V315+V326)/4</f>
      </c>
      <c r="W327" s="90">
        <f t="shared" si="137"/>
      </c>
      <c r="X327" s="84">
        <f>X310+X315+X320+X326</f>
      </c>
      <c r="Y327" s="84">
        <f>Y310+Y315+Y320+Y326</f>
      </c>
      <c r="Z327" s="84">
        <f>Z310+Z315+Z320+Z326</f>
      </c>
      <c r="AA327" s="84">
        <f>AA310+AA315+AA320+AA326</f>
      </c>
      <c r="AB327" s="84">
        <f>AB310+AB315+AB320+AB326</f>
      </c>
      <c r="AC327" s="84">
        <f>AC310+AC315+AC320+AC326</f>
      </c>
      <c r="AD327" s="84">
        <f>AD310+AD315+AD320+AD326</f>
      </c>
      <c r="AE327" s="84">
        <f>AE310+AE315+AE320+AE326</f>
      </c>
      <c r="AF327" s="87">
        <f>AF310</f>
      </c>
      <c r="AG327" s="82"/>
      <c r="AH327" s="82"/>
      <c r="AI327" s="84">
        <f>AI310+AI315+AI320+AI326</f>
      </c>
    </row>
    <row r="328">
      <c r="A328" s="1" t="s">
        <v>66</v>
      </c>
      <c r="B328" s="2" t="s">
        <v>1</v>
      </c>
      <c r="C328" s="2"/>
      <c r="D328" s="3" t="s">
        <v>2</v>
      </c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5" t="s">
        <v>3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6"/>
    </row>
    <row r="329">
      <c r="A329" s="1"/>
      <c r="B329" s="2" t="s">
        <v>4</v>
      </c>
      <c r="C329" s="7" t="s">
        <v>5</v>
      </c>
      <c r="D329" s="8" t="s">
        <v>6</v>
      </c>
      <c r="E329" s="9" t="s">
        <v>7</v>
      </c>
      <c r="F329" s="10" t="s">
        <v>8</v>
      </c>
      <c r="G329" s="11" t="s">
        <v>9</v>
      </c>
      <c r="H329" s="8" t="s">
        <v>10</v>
      </c>
      <c r="I329" s="12" t="s">
        <v>11</v>
      </c>
      <c r="J329" s="107" t="s">
        <v>12</v>
      </c>
      <c r="K329" s="13" t="s">
        <v>13</v>
      </c>
      <c r="L329" s="13" t="s">
        <v>14</v>
      </c>
      <c r="M329" s="14" t="s">
        <v>15</v>
      </c>
      <c r="N329" s="13" t="s">
        <v>16</v>
      </c>
      <c r="O329" s="15" t="s">
        <v>17</v>
      </c>
      <c r="P329" s="16" t="s">
        <v>18</v>
      </c>
      <c r="Q329" s="16" t="s">
        <v>19</v>
      </c>
      <c r="R329" s="16" t="s">
        <v>20</v>
      </c>
      <c r="S329" s="16" t="s">
        <v>21</v>
      </c>
      <c r="T329" s="17" t="s">
        <v>22</v>
      </c>
      <c r="U329" s="18" t="s">
        <v>23</v>
      </c>
      <c r="V329" s="19" t="s">
        <v>24</v>
      </c>
      <c r="W329" s="5" t="s">
        <v>25</v>
      </c>
      <c r="X329" s="20" t="s">
        <v>26</v>
      </c>
      <c r="Y329" s="20" t="s">
        <v>27</v>
      </c>
      <c r="Z329" s="20" t="s">
        <v>28</v>
      </c>
      <c r="AA329" s="20" t="s">
        <v>29</v>
      </c>
      <c r="AB329" s="20" t="s">
        <v>30</v>
      </c>
      <c r="AC329" s="20" t="s">
        <v>31</v>
      </c>
      <c r="AD329" s="20" t="s">
        <v>32</v>
      </c>
      <c r="AE329" s="20" t="s">
        <v>33</v>
      </c>
      <c r="AF329" s="5" t="s">
        <v>34</v>
      </c>
      <c r="AG329" s="21" t="s">
        <v>35</v>
      </c>
      <c r="AH329" s="21" t="s">
        <v>36</v>
      </c>
      <c r="AI329" s="6" t="s">
        <v>37</v>
      </c>
    </row>
    <row r="330">
      <c r="A330" s="22">
        <v>46217</v>
      </c>
      <c r="B330" s="49" t="s">
        <v>47</v>
      </c>
      <c r="C330" s="24" t="s">
        <v>39</v>
      </c>
      <c r="D330" s="25">
        <v>3000</v>
      </c>
      <c r="E330" s="26">
        <v>11</v>
      </c>
      <c r="F330" s="26">
        <v>7</v>
      </c>
      <c r="G330" s="27">
        <v>6</v>
      </c>
      <c r="H330" s="25">
        <v>5958.7</v>
      </c>
      <c r="I330" s="108">
        <v>3</v>
      </c>
      <c r="J330" s="29">
        <f t="shared" ref="J330:J353" si="233">H330/D330</f>
      </c>
      <c r="K330" s="28">
        <f t="shared" ref="K330:K353" si="195">D330/F330</f>
      </c>
      <c r="L330" s="29">
        <f t="shared" ref="L330:L353" si="157">D330/G330</f>
      </c>
      <c r="M330" s="30">
        <f t="shared" ref="M330:M353" si="119">F330/E330</f>
      </c>
      <c r="N330" s="29">
        <f t="shared" ref="N330:N353" si="70">H330/F330</f>
      </c>
      <c r="O330" s="29">
        <f t="shared" ref="O330:O353" si="51">D330/Y330</f>
      </c>
      <c r="P330" s="30">
        <f t="shared" ref="P330:P353" si="32">T330/X330*1</f>
      </c>
      <c r="Q330" s="30">
        <f t="shared" ref="Q330:Q353" si="13">Y330/X330</f>
      </c>
      <c r="R330" s="30">
        <f t="shared" ref="R330:R353" si="252">AA330/X330</f>
      </c>
      <c r="S330" s="30">
        <f t="shared" ref="S330:S353" si="214">AB330/AA330</f>
      </c>
      <c r="T330" s="31">
        <f t="shared" ref="T330:T353" si="176">Z330/U330</f>
      </c>
      <c r="U330" s="32">
        <v>0.0101</v>
      </c>
      <c r="V330" s="33">
        <v>35</v>
      </c>
      <c r="W330" s="29">
        <f t="shared" ref="W330:W353" si="138">(D330/X330)*1000</f>
      </c>
      <c r="X330" s="33">
        <v>28440</v>
      </c>
      <c r="Y330" s="33">
        <v>2183</v>
      </c>
      <c r="Z330" s="31">
        <v>89</v>
      </c>
      <c r="AA330" s="31">
        <v>4511</v>
      </c>
      <c r="AB330" s="31">
        <v>80</v>
      </c>
      <c r="AC330" s="31">
        <v>16</v>
      </c>
      <c r="AD330" s="33">
        <v>8</v>
      </c>
      <c r="AE330" s="33">
        <v>25</v>
      </c>
      <c r="AF330" s="29">
        <f t="shared" ref="AF330:AF346" si="94">AI330*1000/D330</f>
      </c>
      <c r="AG330" s="34" t="s">
        <v>40</v>
      </c>
      <c r="AH330" s="35" t="s">
        <v>41</v>
      </c>
      <c r="AI330" s="33">
        <v>45</v>
      </c>
    </row>
    <row r="331">
      <c r="A331" s="22"/>
      <c r="B331" s="49" t="s">
        <v>47</v>
      </c>
      <c r="C331" s="24" t="s">
        <v>42</v>
      </c>
      <c r="D331" s="25">
        <v>3500</v>
      </c>
      <c r="E331" s="26">
        <v>13</v>
      </c>
      <c r="F331" s="26">
        <v>8</v>
      </c>
      <c r="G331" s="27">
        <v>6</v>
      </c>
      <c r="H331" s="25">
        <v>3608.000000000001</v>
      </c>
      <c r="I331" s="108">
        <v>0</v>
      </c>
      <c r="J331" s="29">
        <f t="shared" si="233"/>
      </c>
      <c r="K331" s="28">
        <f t="shared" si="195"/>
      </c>
      <c r="L331" s="29">
        <f t="shared" si="157"/>
      </c>
      <c r="M331" s="30">
        <f t="shared" si="119"/>
      </c>
      <c r="N331" s="29">
        <f t="shared" si="70"/>
      </c>
      <c r="O331" s="29">
        <f t="shared" si="51"/>
      </c>
      <c r="P331" s="30">
        <f t="shared" si="32"/>
      </c>
      <c r="Q331" s="30">
        <f t="shared" si="13"/>
      </c>
      <c r="R331" s="30">
        <f t="shared" si="252"/>
      </c>
      <c r="S331" s="30">
        <f t="shared" si="214"/>
      </c>
      <c r="T331" s="31">
        <f t="shared" si="176"/>
      </c>
      <c r="U331" s="32">
        <v>0.0114</v>
      </c>
      <c r="V331" s="33">
        <v>35</v>
      </c>
      <c r="W331" s="29">
        <f t="shared" si="138"/>
      </c>
      <c r="X331" s="33">
        <v>35044</v>
      </c>
      <c r="Y331" s="33">
        <v>1640</v>
      </c>
      <c r="Z331" s="31">
        <v>102</v>
      </c>
      <c r="AA331" s="31">
        <v>4067</v>
      </c>
      <c r="AB331" s="33">
        <v>115</v>
      </c>
      <c r="AC331" s="31">
        <v>26</v>
      </c>
      <c r="AD331" s="33">
        <v>4</v>
      </c>
      <c r="AE331" s="33">
        <v>26</v>
      </c>
      <c r="AF331" s="29">
        <f t="shared" si="94"/>
      </c>
      <c r="AG331" s="34" t="s">
        <v>40</v>
      </c>
      <c r="AH331" s="35" t="s">
        <v>41</v>
      </c>
      <c r="AI331" s="33">
        <v>49</v>
      </c>
    </row>
    <row r="332">
      <c r="A332" s="22"/>
      <c r="B332" s="49" t="s">
        <v>47</v>
      </c>
      <c r="C332" s="24" t="s">
        <v>43</v>
      </c>
      <c r="D332" s="25">
        <v>2746.5</v>
      </c>
      <c r="E332" s="26">
        <v>5</v>
      </c>
      <c r="F332" s="26">
        <v>3</v>
      </c>
      <c r="G332" s="27">
        <v>3</v>
      </c>
      <c r="H332" s="25">
        <v>1353</v>
      </c>
      <c r="I332" s="108">
        <v>0</v>
      </c>
      <c r="J332" s="29">
        <f t="shared" si="233"/>
      </c>
      <c r="K332" s="28">
        <f t="shared" si="195"/>
      </c>
      <c r="L332" s="29">
        <f t="shared" si="157"/>
      </c>
      <c r="M332" s="30">
        <f t="shared" si="119"/>
      </c>
      <c r="N332" s="29">
        <f t="shared" si="70"/>
      </c>
      <c r="O332" s="29">
        <f t="shared" si="51"/>
      </c>
      <c r="P332" s="30">
        <f t="shared" si="32"/>
      </c>
      <c r="Q332" s="30">
        <f t="shared" si="13"/>
      </c>
      <c r="R332" s="30">
        <f t="shared" si="252"/>
      </c>
      <c r="S332" s="30">
        <f t="shared" si="214"/>
      </c>
      <c r="T332" s="31">
        <f t="shared" si="176"/>
      </c>
      <c r="U332" s="32">
        <v>0.0114</v>
      </c>
      <c r="V332" s="33">
        <v>35</v>
      </c>
      <c r="W332" s="29">
        <f t="shared" si="138"/>
      </c>
      <c r="X332" s="33">
        <v>23240</v>
      </c>
      <c r="Y332" s="33">
        <v>910</v>
      </c>
      <c r="Z332" s="31">
        <v>63</v>
      </c>
      <c r="AA332" s="31">
        <v>1969</v>
      </c>
      <c r="AB332" s="33">
        <v>102</v>
      </c>
      <c r="AC332" s="31">
        <v>18</v>
      </c>
      <c r="AD332" s="33">
        <v>2</v>
      </c>
      <c r="AE332" s="33">
        <v>35</v>
      </c>
      <c r="AF332" s="29">
        <f t="shared" si="94"/>
      </c>
      <c r="AG332" s="34" t="s">
        <v>40</v>
      </c>
      <c r="AH332" s="35" t="s">
        <v>41</v>
      </c>
      <c r="AI332" s="33">
        <v>35</v>
      </c>
    </row>
    <row r="333">
      <c r="A333" s="22"/>
      <c r="B333" s="49" t="s">
        <v>47</v>
      </c>
      <c r="C333" s="36" t="s">
        <v>44</v>
      </c>
      <c r="D333" s="25">
        <v>3620.72</v>
      </c>
      <c r="E333" s="26">
        <v>11</v>
      </c>
      <c r="F333" s="26">
        <v>7</v>
      </c>
      <c r="G333" s="27">
        <v>6</v>
      </c>
      <c r="H333" s="25">
        <v>5288.799999999999</v>
      </c>
      <c r="I333" s="108">
        <v>2</v>
      </c>
      <c r="J333" s="29">
        <f t="shared" si="233"/>
      </c>
      <c r="K333" s="28">
        <f t="shared" si="195"/>
      </c>
      <c r="L333" s="29">
        <f t="shared" si="157"/>
      </c>
      <c r="M333" s="30">
        <f t="shared" si="119"/>
      </c>
      <c r="N333" s="29">
        <f t="shared" si="70"/>
      </c>
      <c r="O333" s="29">
        <f t="shared" si="51"/>
      </c>
      <c r="P333" s="30">
        <f t="shared" si="32"/>
      </c>
      <c r="Q333" s="30">
        <f t="shared" si="13"/>
      </c>
      <c r="R333" s="30">
        <f t="shared" si="252"/>
      </c>
      <c r="S333" s="30">
        <f t="shared" si="214"/>
      </c>
      <c r="T333" s="31">
        <f t="shared" si="176"/>
      </c>
      <c r="U333" s="32">
        <v>0.015</v>
      </c>
      <c r="V333" s="33">
        <v>36</v>
      </c>
      <c r="W333" s="29">
        <f t="shared" si="138"/>
      </c>
      <c r="X333" s="33">
        <v>30142</v>
      </c>
      <c r="Y333" s="33">
        <v>1589</v>
      </c>
      <c r="Z333" s="31">
        <v>122</v>
      </c>
      <c r="AA333" s="31">
        <v>3661</v>
      </c>
      <c r="AB333" s="33">
        <v>137</v>
      </c>
      <c r="AC333" s="31">
        <v>31</v>
      </c>
      <c r="AD333" s="33">
        <v>7</v>
      </c>
      <c r="AE333" s="33">
        <v>30</v>
      </c>
      <c r="AF333" s="29">
        <f t="shared" si="94"/>
      </c>
      <c r="AG333" s="34" t="s">
        <v>40</v>
      </c>
      <c r="AH333" s="35" t="s">
        <v>41</v>
      </c>
      <c r="AI333" s="33">
        <v>55</v>
      </c>
    </row>
    <row r="334">
      <c r="A334" s="22"/>
      <c r="B334" s="40" t="s">
        <v>46</v>
      </c>
      <c r="C334" s="40"/>
      <c r="D334" s="41">
        <f>SUM(D330:D333)</f>
      </c>
      <c r="E334" s="42">
        <f>SUM(E330:E333)</f>
      </c>
      <c r="F334" s="42">
        <f>SUM(F330:F333)</f>
      </c>
      <c r="G334" s="43">
        <f>SUM(G330:G333)</f>
      </c>
      <c r="H334" s="45">
        <f>SUM(H330:H333)</f>
      </c>
      <c r="I334" s="44">
        <f>SUM(I330:I333)</f>
      </c>
      <c r="J334" s="109">
        <f t="shared" si="233"/>
      </c>
      <c r="K334" s="45">
        <f t="shared" si="195"/>
      </c>
      <c r="L334" s="45">
        <f t="shared" si="157"/>
      </c>
      <c r="M334" s="46">
        <f t="shared" si="119"/>
      </c>
      <c r="N334" s="45">
        <f t="shared" si="70"/>
      </c>
      <c r="O334" s="45">
        <f t="shared" si="51"/>
      </c>
      <c r="P334" s="46">
        <f t="shared" si="32"/>
      </c>
      <c r="Q334" s="46">
        <f t="shared" si="13"/>
      </c>
      <c r="R334" s="46">
        <f t="shared" si="252"/>
      </c>
      <c r="S334" s="46">
        <f t="shared" si="214"/>
      </c>
      <c r="T334" s="42">
        <f t="shared" si="176"/>
      </c>
      <c r="U334" s="46">
        <f>AVERAGE(U330:U333)</f>
      </c>
      <c r="V334" s="41">
        <f>AVERAGE(V330:V333)</f>
      </c>
      <c r="W334" s="45">
        <f t="shared" si="138"/>
      </c>
      <c r="X334" s="42">
        <f>SUM(X330:X333)</f>
      </c>
      <c r="Y334" s="42">
        <f>SUM(Y330:Y333)</f>
      </c>
      <c r="Z334" s="42">
        <f>SUM(Z330:Z333)</f>
      </c>
      <c r="AA334" s="42">
        <f>SUM(AA330:AA333)</f>
      </c>
      <c r="AB334" s="42">
        <f>SUM(AB330:AB333)</f>
      </c>
      <c r="AC334" s="42">
        <f>SUM(AC330:AC333)</f>
      </c>
      <c r="AD334" s="42">
        <f>SUM(AD330:AD333)</f>
      </c>
      <c r="AE334" s="42">
        <f>SUM(AE330:AE333)</f>
      </c>
      <c r="AF334" s="47">
        <f t="shared" si="94"/>
      </c>
      <c r="AG334" s="48"/>
      <c r="AH334" s="48"/>
      <c r="AI334" s="43">
        <f>SUM(AI330:AI333)</f>
      </c>
    </row>
    <row r="335">
      <c r="A335" s="22"/>
      <c r="B335" s="23" t="s">
        <v>69</v>
      </c>
      <c r="C335" s="24" t="s">
        <v>45</v>
      </c>
      <c r="D335" s="50">
        <v>3248.38</v>
      </c>
      <c r="E335" s="51">
        <v>13</v>
      </c>
      <c r="F335" s="51">
        <v>10</v>
      </c>
      <c r="G335" s="52">
        <v>10</v>
      </c>
      <c r="H335" s="53">
        <v>6202.9000000000015</v>
      </c>
      <c r="I335" s="54">
        <v>1</v>
      </c>
      <c r="J335" s="55">
        <f t="shared" si="233"/>
      </c>
      <c r="K335" s="55">
        <f t="shared" si="195"/>
      </c>
      <c r="L335" s="55">
        <f t="shared" si="157"/>
      </c>
      <c r="M335" s="56">
        <f t="shared" si="119"/>
      </c>
      <c r="N335" s="55">
        <f t="shared" si="70"/>
      </c>
      <c r="O335" s="55">
        <f t="shared" si="51"/>
      </c>
      <c r="P335" s="56">
        <f t="shared" si="32"/>
      </c>
      <c r="Q335" s="56">
        <f t="shared" si="13"/>
      </c>
      <c r="R335" s="56">
        <f t="shared" si="252"/>
      </c>
      <c r="S335" s="56">
        <f t="shared" si="214"/>
      </c>
      <c r="T335" s="57">
        <f t="shared" si="176"/>
      </c>
      <c r="U335" s="58">
        <v>0.0101</v>
      </c>
      <c r="V335" s="59">
        <v>34</v>
      </c>
      <c r="W335" s="55">
        <f t="shared" si="138"/>
      </c>
      <c r="X335" s="57">
        <v>33118</v>
      </c>
      <c r="Y335" s="57">
        <v>1661</v>
      </c>
      <c r="Z335" s="57">
        <v>86</v>
      </c>
      <c r="AA335" s="57">
        <v>4134</v>
      </c>
      <c r="AB335" s="57">
        <v>124</v>
      </c>
      <c r="AC335" s="57">
        <v>12</v>
      </c>
      <c r="AD335" s="57">
        <v>4</v>
      </c>
      <c r="AE335" s="57">
        <v>47</v>
      </c>
      <c r="AF335" s="55">
        <f t="shared" si="94"/>
      </c>
      <c r="AG335" s="34" t="s">
        <v>40</v>
      </c>
      <c r="AH335" s="35" t="s">
        <v>41</v>
      </c>
      <c r="AI335" s="59">
        <v>40</v>
      </c>
    </row>
    <row r="336">
      <c r="A336" s="22"/>
      <c r="B336" s="23" t="s">
        <v>69</v>
      </c>
      <c r="C336" s="23" t="s">
        <v>48</v>
      </c>
      <c r="D336" s="50">
        <v>4171.02</v>
      </c>
      <c r="E336" s="51">
        <v>13</v>
      </c>
      <c r="F336" s="51">
        <v>13</v>
      </c>
      <c r="G336" s="52">
        <v>6</v>
      </c>
      <c r="H336" s="53">
        <v>8621.8</v>
      </c>
      <c r="I336" s="110">
        <v>2</v>
      </c>
      <c r="J336" s="55">
        <f t="shared" si="233"/>
      </c>
      <c r="K336" s="55">
        <f t="shared" si="195"/>
      </c>
      <c r="L336" s="55">
        <f t="shared" si="157"/>
      </c>
      <c r="M336" s="56">
        <f t="shared" si="119"/>
      </c>
      <c r="N336" s="55">
        <f t="shared" si="70"/>
      </c>
      <c r="O336" s="55">
        <f t="shared" si="51"/>
      </c>
      <c r="P336" s="56">
        <f t="shared" si="32"/>
      </c>
      <c r="Q336" s="56">
        <f t="shared" si="13"/>
      </c>
      <c r="R336" s="56">
        <f t="shared" si="252"/>
      </c>
      <c r="S336" s="56">
        <f t="shared" si="214"/>
      </c>
      <c r="T336" s="57">
        <f t="shared" si="176"/>
      </c>
      <c r="U336" s="58">
        <v>0.0186</v>
      </c>
      <c r="V336" s="59">
        <v>33</v>
      </c>
      <c r="W336" s="55">
        <f t="shared" si="138"/>
      </c>
      <c r="X336" s="57">
        <v>38608</v>
      </c>
      <c r="Y336" s="57">
        <v>1369</v>
      </c>
      <c r="Z336" s="57">
        <v>115</v>
      </c>
      <c r="AA336" s="57">
        <v>3818</v>
      </c>
      <c r="AB336" s="57">
        <v>71</v>
      </c>
      <c r="AC336" s="57">
        <v>12</v>
      </c>
      <c r="AD336" s="57">
        <v>1</v>
      </c>
      <c r="AE336" s="57">
        <v>45</v>
      </c>
      <c r="AF336" s="55">
        <f t="shared" si="94"/>
      </c>
      <c r="AG336" s="34" t="s">
        <v>40</v>
      </c>
      <c r="AH336" s="35" t="s">
        <v>41</v>
      </c>
      <c r="AI336" s="59">
        <v>45</v>
      </c>
    </row>
    <row r="337">
      <c r="A337" s="22"/>
      <c r="B337" s="23" t="s">
        <v>69</v>
      </c>
      <c r="C337" s="60" t="s">
        <v>49</v>
      </c>
      <c r="D337" s="62">
        <v>5322.51</v>
      </c>
      <c r="E337" s="63">
        <v>21</v>
      </c>
      <c r="F337" s="63">
        <v>15</v>
      </c>
      <c r="G337" s="64">
        <v>12</v>
      </c>
      <c r="H337" s="111">
        <v>7830.899999999998</v>
      </c>
      <c r="I337" s="26">
        <v>2</v>
      </c>
      <c r="J337" s="28">
        <f t="shared" si="233"/>
      </c>
      <c r="K337" s="29">
        <f t="shared" si="195"/>
      </c>
      <c r="L337" s="29">
        <f t="shared" si="157"/>
      </c>
      <c r="M337" s="30">
        <f t="shared" si="119"/>
      </c>
      <c r="N337" s="29">
        <f t="shared" si="70"/>
      </c>
      <c r="O337" s="29">
        <f t="shared" si="51"/>
      </c>
      <c r="P337" s="30">
        <f t="shared" si="32"/>
      </c>
      <c r="Q337" s="30">
        <f t="shared" si="13"/>
      </c>
      <c r="R337" s="30">
        <f t="shared" si="252"/>
      </c>
      <c r="S337" s="30">
        <f t="shared" si="214"/>
      </c>
      <c r="T337" s="31">
        <f t="shared" si="176"/>
      </c>
      <c r="U337" s="32">
        <v>0.0295</v>
      </c>
      <c r="V337" s="33">
        <v>33</v>
      </c>
      <c r="W337" s="29">
        <f t="shared" si="138"/>
      </c>
      <c r="X337" s="33">
        <v>46015</v>
      </c>
      <c r="Y337" s="33">
        <v>1431</v>
      </c>
      <c r="Z337" s="31">
        <v>136</v>
      </c>
      <c r="AA337" s="31">
        <v>4650</v>
      </c>
      <c r="AB337" s="33">
        <v>191</v>
      </c>
      <c r="AC337" s="31">
        <v>24</v>
      </c>
      <c r="AD337" s="33">
        <v>2</v>
      </c>
      <c r="AE337" s="33">
        <v>73</v>
      </c>
      <c r="AF337" s="29">
        <f t="shared" si="94"/>
      </c>
      <c r="AG337" s="34" t="s">
        <v>40</v>
      </c>
      <c r="AH337" s="35" t="s">
        <v>41</v>
      </c>
      <c r="AI337" s="33">
        <v>56</v>
      </c>
    </row>
    <row r="338">
      <c r="A338" s="22"/>
      <c r="B338" s="23" t="s">
        <v>69</v>
      </c>
      <c r="C338" s="61" t="s">
        <v>50</v>
      </c>
      <c r="D338" s="62">
        <v>4600.35</v>
      </c>
      <c r="E338" s="63">
        <v>26</v>
      </c>
      <c r="F338" s="63">
        <v>22</v>
      </c>
      <c r="G338" s="64">
        <v>16</v>
      </c>
      <c r="H338" s="53">
        <v>16240.400000000001</v>
      </c>
      <c r="I338" s="112">
        <v>1</v>
      </c>
      <c r="J338" s="55">
        <f t="shared" si="233"/>
      </c>
      <c r="K338" s="55">
        <f t="shared" si="195"/>
      </c>
      <c r="L338" s="55">
        <f t="shared" si="157"/>
      </c>
      <c r="M338" s="56">
        <f t="shared" si="119"/>
      </c>
      <c r="N338" s="55">
        <f t="shared" si="70"/>
      </c>
      <c r="O338" s="55">
        <f t="shared" si="51"/>
      </c>
      <c r="P338" s="56">
        <f t="shared" si="32"/>
      </c>
      <c r="Q338" s="56">
        <f t="shared" si="13"/>
      </c>
      <c r="R338" s="56">
        <f t="shared" si="252"/>
      </c>
      <c r="S338" s="56">
        <f t="shared" si="214"/>
      </c>
      <c r="T338" s="57">
        <f t="shared" si="176"/>
      </c>
      <c r="U338" s="58">
        <v>0.016</v>
      </c>
      <c r="V338" s="59">
        <v>32</v>
      </c>
      <c r="W338" s="55">
        <f t="shared" si="138"/>
      </c>
      <c r="X338" s="57">
        <v>43037</v>
      </c>
      <c r="Y338" s="57">
        <v>1769</v>
      </c>
      <c r="Z338" s="57">
        <v>103</v>
      </c>
      <c r="AA338" s="57">
        <v>7374</v>
      </c>
      <c r="AB338" s="57">
        <v>129</v>
      </c>
      <c r="AC338" s="57">
        <v>18</v>
      </c>
      <c r="AD338" s="57">
        <v>6</v>
      </c>
      <c r="AE338" s="57">
        <v>60</v>
      </c>
      <c r="AF338" s="55">
        <f t="shared" si="94"/>
      </c>
      <c r="AG338" s="34" t="s">
        <v>40</v>
      </c>
      <c r="AH338" s="35" t="s">
        <v>41</v>
      </c>
      <c r="AI338" s="59">
        <v>50</v>
      </c>
    </row>
    <row r="339">
      <c r="A339" s="22"/>
      <c r="B339" s="67" t="s">
        <v>46</v>
      </c>
      <c r="C339" s="67"/>
      <c r="D339" s="68">
        <f>SUM(D335:D338)</f>
      </c>
      <c r="E339" s="69">
        <f>SUM(E335:E338)</f>
      </c>
      <c r="F339" s="69">
        <f>SUM(F335:F338)</f>
      </c>
      <c r="G339" s="70">
        <f>SUM(G335:G338)</f>
      </c>
      <c r="H339" s="68">
        <f>SUM(H335:H338)</f>
      </c>
      <c r="I339" s="69">
        <f>SUM(I335:I338)</f>
      </c>
      <c r="J339" s="71">
        <f t="shared" si="233"/>
      </c>
      <c r="K339" s="71">
        <f t="shared" si="195"/>
      </c>
      <c r="L339" s="71">
        <f t="shared" si="157"/>
      </c>
      <c r="M339" s="72">
        <f t="shared" si="119"/>
      </c>
      <c r="N339" s="71">
        <f t="shared" si="70"/>
      </c>
      <c r="O339" s="71">
        <f t="shared" si="51"/>
      </c>
      <c r="P339" s="72">
        <f t="shared" si="32"/>
      </c>
      <c r="Q339" s="72">
        <f t="shared" si="13"/>
      </c>
      <c r="R339" s="72">
        <f t="shared" si="252"/>
      </c>
      <c r="S339" s="72">
        <f t="shared" si="214"/>
      </c>
      <c r="T339" s="73">
        <f t="shared" si="176"/>
      </c>
      <c r="U339" s="46">
        <f>AVERAGE(U335:U338)</f>
      </c>
      <c r="V339" s="41">
        <f>AVERAGE(V335:V338)</f>
      </c>
      <c r="W339" s="71">
        <f t="shared" si="138"/>
      </c>
      <c r="X339" s="73">
        <f>SUM(X335:X338)</f>
      </c>
      <c r="Y339" s="73">
        <f>SUM(Y335:Y338)</f>
      </c>
      <c r="Z339" s="73">
        <f>SUM(Z335:Z338)</f>
      </c>
      <c r="AA339" s="73">
        <f>SUM(AA335:AA338)</f>
      </c>
      <c r="AB339" s="73">
        <f>SUM(AB335:AB338)</f>
      </c>
      <c r="AC339" s="73">
        <f>SUM(AC335:AC338)</f>
      </c>
      <c r="AD339" s="73">
        <f>SUM(AD335:AD338)</f>
      </c>
      <c r="AE339" s="73">
        <f>SUM(AE335:AE338)</f>
      </c>
      <c r="AF339" s="74">
        <f t="shared" si="94"/>
      </c>
      <c r="AG339" s="75"/>
      <c r="AH339" s="75"/>
      <c r="AI339" s="70">
        <f>SUM(AI335:AI338)</f>
      </c>
    </row>
    <row r="340">
      <c r="A340" s="22"/>
      <c r="B340" s="49" t="s">
        <v>67</v>
      </c>
      <c r="C340" s="60" t="s">
        <v>51</v>
      </c>
      <c r="D340" s="23">
        <v>4242.38</v>
      </c>
      <c r="E340" s="26">
        <v>12</v>
      </c>
      <c r="F340" s="26">
        <v>8</v>
      </c>
      <c r="G340" s="27">
        <v>8</v>
      </c>
      <c r="H340" s="76">
        <v>3938</v>
      </c>
      <c r="I340" s="26">
        <v>0</v>
      </c>
      <c r="J340" s="29">
        <f t="shared" si="233"/>
      </c>
      <c r="K340" s="29">
        <f t="shared" si="195"/>
      </c>
      <c r="L340" s="29">
        <f t="shared" si="157"/>
      </c>
      <c r="M340" s="30">
        <f t="shared" si="119"/>
      </c>
      <c r="N340" s="29">
        <f t="shared" si="70"/>
      </c>
      <c r="O340" s="29">
        <f t="shared" si="51"/>
      </c>
      <c r="P340" s="30">
        <f t="shared" si="32"/>
      </c>
      <c r="Q340" s="30">
        <f t="shared" si="13"/>
      </c>
      <c r="R340" s="30">
        <f t="shared" si="252"/>
      </c>
      <c r="S340" s="30">
        <f t="shared" si="214"/>
      </c>
      <c r="T340" s="31">
        <f t="shared" si="176"/>
      </c>
      <c r="U340" s="32">
        <v>0.0203</v>
      </c>
      <c r="V340" s="33">
        <v>34</v>
      </c>
      <c r="W340" s="29">
        <f t="shared" si="138"/>
      </c>
      <c r="X340" s="33">
        <v>42894</v>
      </c>
      <c r="Y340" s="33">
        <v>1701</v>
      </c>
      <c r="Z340" s="31">
        <v>122</v>
      </c>
      <c r="AA340" s="31">
        <v>5939</v>
      </c>
      <c r="AB340" s="31">
        <v>180</v>
      </c>
      <c r="AC340" s="31">
        <v>26</v>
      </c>
      <c r="AD340" s="33">
        <v>1</v>
      </c>
      <c r="AE340" s="33">
        <v>38</v>
      </c>
      <c r="AF340" s="29">
        <f t="shared" si="94"/>
      </c>
      <c r="AG340" s="34" t="s">
        <v>56</v>
      </c>
      <c r="AH340" s="35" t="s">
        <v>41</v>
      </c>
      <c r="AI340" s="33">
        <v>59</v>
      </c>
    </row>
    <row r="341">
      <c r="A341" s="22"/>
      <c r="B341" s="49" t="s">
        <v>67</v>
      </c>
      <c r="C341" s="49" t="s">
        <v>53</v>
      </c>
      <c r="D341" s="23">
        <v>4048.16</v>
      </c>
      <c r="E341" s="26">
        <v>15</v>
      </c>
      <c r="F341" s="26">
        <v>13</v>
      </c>
      <c r="G341" s="27">
        <v>9</v>
      </c>
      <c r="H341" s="76">
        <v>7004.799999999988</v>
      </c>
      <c r="I341" s="26">
        <v>2</v>
      </c>
      <c r="J341" s="29">
        <f t="shared" si="233"/>
      </c>
      <c r="K341" s="29">
        <f t="shared" si="195"/>
      </c>
      <c r="L341" s="29">
        <f t="shared" si="157"/>
      </c>
      <c r="M341" s="30">
        <f t="shared" si="119"/>
      </c>
      <c r="N341" s="29">
        <f t="shared" si="70"/>
      </c>
      <c r="O341" s="29">
        <f t="shared" si="51"/>
      </c>
      <c r="P341" s="30">
        <f t="shared" si="32"/>
      </c>
      <c r="Q341" s="30">
        <f t="shared" si="13"/>
      </c>
      <c r="R341" s="30">
        <f t="shared" si="252"/>
      </c>
      <c r="S341" s="30">
        <f t="shared" si="214"/>
      </c>
      <c r="T341" s="31">
        <f t="shared" si="176"/>
      </c>
      <c r="U341" s="32">
        <v>0.0158</v>
      </c>
      <c r="V341" s="33">
        <v>34</v>
      </c>
      <c r="W341" s="29">
        <f t="shared" si="138"/>
      </c>
      <c r="X341" s="33">
        <v>41047</v>
      </c>
      <c r="Y341" s="33">
        <v>1725</v>
      </c>
      <c r="Z341" s="31">
        <v>94</v>
      </c>
      <c r="AA341" s="31">
        <v>6297</v>
      </c>
      <c r="AB341" s="31">
        <v>107</v>
      </c>
      <c r="AC341" s="31">
        <v>23</v>
      </c>
      <c r="AD341" s="33">
        <v>3</v>
      </c>
      <c r="AE341" s="33">
        <v>28</v>
      </c>
      <c r="AF341" s="29">
        <f t="shared" si="94"/>
      </c>
      <c r="AG341" s="34" t="s">
        <v>56</v>
      </c>
      <c r="AH341" s="35" t="s">
        <v>41</v>
      </c>
      <c r="AI341" s="33">
        <v>46</v>
      </c>
    </row>
    <row r="342">
      <c r="A342" s="22"/>
      <c r="B342" s="49" t="s">
        <v>67</v>
      </c>
      <c r="C342" s="60" t="s">
        <v>55</v>
      </c>
      <c r="D342" s="23">
        <v>1625.91</v>
      </c>
      <c r="E342" s="26">
        <v>7</v>
      </c>
      <c r="F342" s="26">
        <v>5</v>
      </c>
      <c r="G342" s="27">
        <v>2</v>
      </c>
      <c r="H342" s="76">
        <v>2255</v>
      </c>
      <c r="I342" s="26">
        <v>0</v>
      </c>
      <c r="J342" s="29">
        <f t="shared" si="233"/>
      </c>
      <c r="K342" s="29">
        <f t="shared" si="195"/>
      </c>
      <c r="L342" s="29">
        <f t="shared" si="157"/>
      </c>
      <c r="M342" s="30">
        <f t="shared" si="119"/>
      </c>
      <c r="N342" s="29">
        <f t="shared" si="70"/>
      </c>
      <c r="O342" s="29">
        <f t="shared" si="51"/>
      </c>
      <c r="P342" s="30">
        <f t="shared" si="32"/>
      </c>
      <c r="Q342" s="30">
        <f t="shared" si="13"/>
      </c>
      <c r="R342" s="30">
        <f t="shared" si="252"/>
      </c>
      <c r="S342" s="30">
        <f t="shared" si="214"/>
      </c>
      <c r="T342" s="31">
        <f t="shared" si="176"/>
      </c>
      <c r="U342" s="32">
        <v>0.0184</v>
      </c>
      <c r="V342" s="33">
        <v>35</v>
      </c>
      <c r="W342" s="29">
        <f t="shared" si="138"/>
      </c>
      <c r="X342" s="31">
        <v>14822</v>
      </c>
      <c r="Y342" s="31">
        <v>430</v>
      </c>
      <c r="Z342" s="31">
        <v>47</v>
      </c>
      <c r="AA342" s="31">
        <v>707</v>
      </c>
      <c r="AB342" s="31">
        <v>78</v>
      </c>
      <c r="AC342" s="31">
        <v>6</v>
      </c>
      <c r="AD342" s="31">
        <v>1</v>
      </c>
      <c r="AE342" s="33">
        <v>17</v>
      </c>
      <c r="AF342" s="29">
        <f t="shared" si="94"/>
      </c>
      <c r="AG342" s="34" t="s">
        <v>56</v>
      </c>
      <c r="AH342" s="66" t="s">
        <v>72</v>
      </c>
      <c r="AI342" s="33">
        <v>23</v>
      </c>
    </row>
    <row r="343">
      <c r="A343" s="22"/>
      <c r="B343" s="40" t="s">
        <v>46</v>
      </c>
      <c r="C343" s="40"/>
      <c r="D343" s="77">
        <f>SUM(D340:D342)</f>
      </c>
      <c r="E343" s="78">
        <f>SUM(E340:E342)</f>
      </c>
      <c r="F343" s="78">
        <f>SUM(F340:F342)</f>
      </c>
      <c r="G343" s="79">
        <f>SUM(G340:G342)</f>
      </c>
      <c r="H343" s="77">
        <f>SUM(H340:H342)</f>
      </c>
      <c r="I343" s="78">
        <f>SUM(I340:I342)</f>
      </c>
      <c r="J343" s="45">
        <f t="shared" si="233"/>
      </c>
      <c r="K343" s="45">
        <f t="shared" si="195"/>
      </c>
      <c r="L343" s="45">
        <f t="shared" si="157"/>
      </c>
      <c r="M343" s="46">
        <f t="shared" si="119"/>
      </c>
      <c r="N343" s="45">
        <f t="shared" si="70"/>
      </c>
      <c r="O343" s="45">
        <f t="shared" si="51"/>
      </c>
      <c r="P343" s="46">
        <f t="shared" si="32"/>
      </c>
      <c r="Q343" s="46">
        <f t="shared" si="13"/>
      </c>
      <c r="R343" s="46">
        <f t="shared" si="252"/>
      </c>
      <c r="S343" s="46">
        <f t="shared" si="214"/>
      </c>
      <c r="T343" s="42">
        <f t="shared" si="176"/>
      </c>
      <c r="U343" s="46">
        <f>AVERAGE(U341:U342)</f>
      </c>
      <c r="V343" s="41">
        <f>AVERAGE(V341:V342)</f>
      </c>
      <c r="W343" s="45">
        <f t="shared" si="138"/>
      </c>
      <c r="X343" s="42">
        <f>SUM(X340:X342)</f>
      </c>
      <c r="Y343" s="42">
        <f>SUM(Y340:Y342)</f>
      </c>
      <c r="Z343" s="42">
        <f>SUM(Z340:Z342)</f>
      </c>
      <c r="AA343" s="42">
        <f>SUM(AA340:AA342)</f>
      </c>
      <c r="AB343" s="42">
        <f>SUM(AB340:AB342)</f>
      </c>
      <c r="AC343" s="42">
        <f>SUM(AC340:AC342)</f>
      </c>
      <c r="AD343" s="42">
        <f>SUM(AD340:AD342)</f>
      </c>
      <c r="AE343" s="42">
        <f>SUM(AE340:AE342)</f>
      </c>
      <c r="AF343" s="47">
        <f t="shared" si="94"/>
      </c>
      <c r="AG343" s="48"/>
      <c r="AH343" s="48"/>
      <c r="AI343" s="42">
        <f>SUM(AI340:AI342)</f>
      </c>
    </row>
    <row customHeight="true" ht="18.452380952380953" r="344">
      <c r="A344" s="22"/>
      <c r="B344" s="49" t="s">
        <v>75</v>
      </c>
      <c r="C344" s="61" t="s">
        <v>57</v>
      </c>
      <c r="D344" s="23">
        <v>3501.47</v>
      </c>
      <c r="E344" s="26">
        <v>9</v>
      </c>
      <c r="F344" s="26">
        <v>8</v>
      </c>
      <c r="G344" s="27">
        <v>8</v>
      </c>
      <c r="H344" s="76">
        <v>5991.699999999997</v>
      </c>
      <c r="I344" s="26">
        <v>1</v>
      </c>
      <c r="J344" s="29">
        <f t="shared" si="233"/>
      </c>
      <c r="K344" s="29">
        <f t="shared" si="195"/>
      </c>
      <c r="L344" s="29">
        <f t="shared" si="157"/>
      </c>
      <c r="M344" s="30">
        <f t="shared" si="119"/>
      </c>
      <c r="N344" s="29">
        <f t="shared" si="70"/>
      </c>
      <c r="O344" s="29">
        <f t="shared" si="51"/>
      </c>
      <c r="P344" s="30">
        <f t="shared" si="32"/>
      </c>
      <c r="Q344" s="30">
        <f t="shared" si="13"/>
      </c>
      <c r="R344" s="30">
        <f t="shared" si="252"/>
      </c>
      <c r="S344" s="30">
        <f t="shared" si="214"/>
      </c>
      <c r="T344" s="31">
        <f t="shared" si="176"/>
      </c>
      <c r="U344" s="32">
        <v>0.0198</v>
      </c>
      <c r="V344" s="33">
        <v>34</v>
      </c>
      <c r="W344" s="29">
        <f t="shared" si="138"/>
      </c>
      <c r="X344" s="33">
        <v>34668</v>
      </c>
      <c r="Y344" s="33">
        <v>1304</v>
      </c>
      <c r="Z344" s="31">
        <v>87</v>
      </c>
      <c r="AA344" s="31">
        <v>3679</v>
      </c>
      <c r="AB344" s="31">
        <v>59</v>
      </c>
      <c r="AC344" s="31">
        <v>20</v>
      </c>
      <c r="AD344" s="33">
        <v>6</v>
      </c>
      <c r="AE344" s="33">
        <v>45</v>
      </c>
      <c r="AF344" s="29">
        <f t="shared" si="94"/>
      </c>
      <c r="AG344" s="34" t="s">
        <v>56</v>
      </c>
      <c r="AH344" s="66" t="s">
        <v>72</v>
      </c>
      <c r="AI344" s="33">
        <v>37</v>
      </c>
    </row>
    <row customHeight="true" ht="18.452380952380953" r="345">
      <c r="A345" s="22"/>
      <c r="B345" s="49" t="s">
        <v>75</v>
      </c>
      <c r="C345" s="60" t="s">
        <v>58</v>
      </c>
      <c r="D345" s="23">
        <v>3914.44</v>
      </c>
      <c r="E345" s="26">
        <v>13</v>
      </c>
      <c r="F345" s="26">
        <v>11</v>
      </c>
      <c r="G345" s="27">
        <v>10</v>
      </c>
      <c r="H345" s="76">
        <v>5696.900000000009</v>
      </c>
      <c r="I345" s="26">
        <v>1</v>
      </c>
      <c r="J345" s="29">
        <f t="shared" si="233"/>
      </c>
      <c r="K345" s="29">
        <f t="shared" si="195"/>
      </c>
      <c r="L345" s="29">
        <f t="shared" si="157"/>
      </c>
      <c r="M345" s="30">
        <f t="shared" si="119"/>
      </c>
      <c r="N345" s="29">
        <f t="shared" si="70"/>
      </c>
      <c r="O345" s="29">
        <f t="shared" si="51"/>
      </c>
      <c r="P345" s="30">
        <f t="shared" si="32"/>
      </c>
      <c r="Q345" s="30">
        <f t="shared" si="13"/>
      </c>
      <c r="R345" s="30">
        <f t="shared" si="252"/>
      </c>
      <c r="S345" s="30">
        <f t="shared" si="214"/>
      </c>
      <c r="T345" s="31">
        <f t="shared" si="176"/>
      </c>
      <c r="U345" s="32">
        <v>0.0274</v>
      </c>
      <c r="V345" s="33">
        <v>35</v>
      </c>
      <c r="W345" s="29">
        <f t="shared" si="138"/>
      </c>
      <c r="X345" s="31">
        <v>45812</v>
      </c>
      <c r="Y345" s="31">
        <v>1311</v>
      </c>
      <c r="Z345" s="31">
        <v>104</v>
      </c>
      <c r="AA345" s="31">
        <v>3433</v>
      </c>
      <c r="AB345" s="31">
        <v>111</v>
      </c>
      <c r="AC345" s="31">
        <v>17</v>
      </c>
      <c r="AD345" s="31">
        <v>1</v>
      </c>
      <c r="AE345" s="33">
        <v>55</v>
      </c>
      <c r="AF345" s="29">
        <f t="shared" si="94"/>
      </c>
      <c r="AG345" s="34" t="s">
        <v>56</v>
      </c>
      <c r="AH345" s="66" t="s">
        <v>72</v>
      </c>
      <c r="AI345" s="33">
        <v>38</v>
      </c>
    </row>
    <row customHeight="true" ht="18.452380952380953" r="346">
      <c r="A346" s="22"/>
      <c r="B346" s="40" t="s">
        <v>46</v>
      </c>
      <c r="C346" s="40"/>
      <c r="D346" s="77">
        <f>SUM(D344:D345)</f>
      </c>
      <c r="E346" s="78">
        <f>SUM(E344:E345)</f>
      </c>
      <c r="F346" s="78">
        <f>SUM(F344:F345)</f>
      </c>
      <c r="G346" s="79">
        <f>SUM(G344:G345)</f>
      </c>
      <c r="H346" s="77">
        <f>SUM(H344:H345)</f>
      </c>
      <c r="I346" s="78">
        <f>SUM(I344:I345)</f>
      </c>
      <c r="J346" s="45">
        <f t="shared" si="233"/>
      </c>
      <c r="K346" s="45">
        <f t="shared" si="195"/>
      </c>
      <c r="L346" s="45">
        <f t="shared" si="157"/>
      </c>
      <c r="M346" s="46">
        <f t="shared" si="119"/>
      </c>
      <c r="N346" s="45">
        <f t="shared" si="70"/>
      </c>
      <c r="O346" s="45">
        <f t="shared" si="51"/>
      </c>
      <c r="P346" s="46">
        <f t="shared" si="32"/>
      </c>
      <c r="Q346" s="46">
        <f t="shared" si="13"/>
      </c>
      <c r="R346" s="46">
        <f t="shared" si="252"/>
      </c>
      <c r="S346" s="46">
        <f t="shared" si="214"/>
      </c>
      <c r="T346" s="42">
        <f t="shared" si="176"/>
      </c>
      <c r="U346" s="46">
        <f>AVERAGE(U344:U345)</f>
      </c>
      <c r="V346" s="41">
        <f>AVERAGE(V344:V345)</f>
      </c>
      <c r="W346" s="45">
        <f t="shared" si="138"/>
      </c>
      <c r="X346" s="42">
        <f>SUM(X344:X345)</f>
      </c>
      <c r="Y346" s="42">
        <f>SUM(Y344:Y345)</f>
      </c>
      <c r="Z346" s="42">
        <f>SUM(Z344:Z345)</f>
      </c>
      <c r="AA346" s="42">
        <f>SUM(AA344:AA345)</f>
      </c>
      <c r="AB346" s="42">
        <f>SUM(AB344:AB345)</f>
      </c>
      <c r="AC346" s="42">
        <f>SUM(AC344:AC345)</f>
      </c>
      <c r="AD346" s="42">
        <f>SUM(AD344:AD345)</f>
      </c>
      <c r="AE346" s="42">
        <f>SUM(AE344:AE345)</f>
      </c>
      <c r="AF346" s="47">
        <f t="shared" si="94"/>
      </c>
      <c r="AG346" s="48"/>
      <c r="AH346" s="48"/>
      <c r="AI346" s="42">
        <f>SUM(AI344:AI345)</f>
      </c>
    </row>
    <row r="347">
      <c r="A347" s="22"/>
      <c r="B347" s="23" t="s">
        <v>54</v>
      </c>
      <c r="C347" s="49" t="s">
        <v>59</v>
      </c>
      <c r="D347" s="80">
        <v>3052.69</v>
      </c>
      <c r="E347" s="51">
        <v>10</v>
      </c>
      <c r="F347" s="51">
        <v>7</v>
      </c>
      <c r="G347" s="52">
        <v>7</v>
      </c>
      <c r="H347" s="53">
        <v>3157</v>
      </c>
      <c r="I347" s="54">
        <v>0</v>
      </c>
      <c r="J347" s="55">
        <f t="shared" si="233"/>
      </c>
      <c r="K347" s="55">
        <f t="shared" si="195"/>
      </c>
      <c r="L347" s="55">
        <f t="shared" si="157"/>
      </c>
      <c r="M347" s="56">
        <f t="shared" si="119"/>
      </c>
      <c r="N347" s="55">
        <f t="shared" si="70"/>
      </c>
      <c r="O347" s="55">
        <f t="shared" si="51"/>
      </c>
      <c r="P347" s="56">
        <f t="shared" si="32"/>
      </c>
      <c r="Q347" s="56">
        <f t="shared" si="13"/>
      </c>
      <c r="R347" s="56">
        <f t="shared" si="252"/>
      </c>
      <c r="S347" s="56">
        <f t="shared" si="214"/>
      </c>
      <c r="T347" s="57">
        <f t="shared" si="176"/>
      </c>
      <c r="U347" s="58">
        <v>0.0398</v>
      </c>
      <c r="V347" s="59">
        <v>35</v>
      </c>
      <c r="W347" s="29">
        <f t="shared" si="138"/>
      </c>
      <c r="X347" s="57">
        <v>29986</v>
      </c>
      <c r="Y347" s="57">
        <v>778</v>
      </c>
      <c r="Z347" s="57">
        <v>89</v>
      </c>
      <c r="AA347" s="57">
        <v>1951</v>
      </c>
      <c r="AB347" s="57">
        <v>111</v>
      </c>
      <c r="AC347" s="57">
        <v>12</v>
      </c>
      <c r="AD347" s="57">
        <v>8</v>
      </c>
      <c r="AE347" s="57">
        <v>50</v>
      </c>
      <c r="AF347" s="55" t="str">
        <v>#DIV/0!</v>
      </c>
      <c r="AG347" s="34" t="s">
        <v>56</v>
      </c>
      <c r="AH347" s="66" t="s">
        <v>72</v>
      </c>
      <c r="AI347" s="59">
        <v>43</v>
      </c>
    </row>
    <row r="348">
      <c r="A348" s="22"/>
      <c r="B348" s="23" t="s">
        <v>54</v>
      </c>
      <c r="C348" s="49" t="s">
        <v>61</v>
      </c>
      <c r="D348" s="80">
        <v>4686.85</v>
      </c>
      <c r="E348" s="51">
        <v>21</v>
      </c>
      <c r="F348" s="51">
        <v>18</v>
      </c>
      <c r="G348" s="52">
        <v>15</v>
      </c>
      <c r="H348" s="53">
        <v>10198.399999999994</v>
      </c>
      <c r="I348" s="54">
        <v>0</v>
      </c>
      <c r="J348" s="55">
        <f t="shared" si="233"/>
      </c>
      <c r="K348" s="55">
        <f t="shared" si="195"/>
      </c>
      <c r="L348" s="55">
        <f t="shared" si="157"/>
      </c>
      <c r="M348" s="56">
        <f t="shared" si="119"/>
      </c>
      <c r="N348" s="55">
        <f t="shared" si="70"/>
      </c>
      <c r="O348" s="55">
        <f t="shared" si="51"/>
      </c>
      <c r="P348" s="56">
        <f t="shared" si="32"/>
      </c>
      <c r="Q348" s="56">
        <f t="shared" si="13"/>
      </c>
      <c r="R348" s="56">
        <f t="shared" si="252"/>
      </c>
      <c r="S348" s="56">
        <f t="shared" si="214"/>
      </c>
      <c r="T348" s="57">
        <f t="shared" si="176"/>
      </c>
      <c r="U348" s="58">
        <v>0.0313</v>
      </c>
      <c r="V348" s="59">
        <v>36</v>
      </c>
      <c r="W348" s="55">
        <f t="shared" si="138"/>
      </c>
      <c r="X348" s="57">
        <v>43262</v>
      </c>
      <c r="Y348" s="57">
        <v>1215</v>
      </c>
      <c r="Z348" s="57">
        <v>135</v>
      </c>
      <c r="AA348" s="57">
        <v>3365</v>
      </c>
      <c r="AB348" s="57">
        <v>138</v>
      </c>
      <c r="AC348" s="57">
        <v>35</v>
      </c>
      <c r="AD348" s="57">
        <v>7</v>
      </c>
      <c r="AE348" s="57">
        <v>84</v>
      </c>
      <c r="AF348" s="55">
        <f t="shared" ref="AF348:AF352" si="95">AI348*1000/D348</f>
      </c>
      <c r="AG348" s="34" t="s">
        <v>56</v>
      </c>
      <c r="AH348" s="66" t="s">
        <v>72</v>
      </c>
      <c r="AI348" s="59">
        <v>49</v>
      </c>
    </row>
    <row r="349">
      <c r="A349" s="22"/>
      <c r="B349" s="23" t="s">
        <v>54</v>
      </c>
      <c r="C349" s="49" t="s">
        <v>62</v>
      </c>
      <c r="D349" s="81">
        <v>5041.22</v>
      </c>
      <c r="E349" s="63">
        <v>27</v>
      </c>
      <c r="F349" s="63">
        <v>23</v>
      </c>
      <c r="G349" s="64">
        <v>16</v>
      </c>
      <c r="H349" s="91">
        <v>17498.800000000017</v>
      </c>
      <c r="I349" s="54">
        <v>5</v>
      </c>
      <c r="J349" s="55">
        <f t="shared" si="233"/>
      </c>
      <c r="K349" s="55">
        <f t="shared" si="195"/>
      </c>
      <c r="L349" s="55">
        <f t="shared" si="157"/>
      </c>
      <c r="M349" s="56">
        <f t="shared" si="119"/>
      </c>
      <c r="N349" s="55">
        <f t="shared" si="70"/>
      </c>
      <c r="O349" s="55">
        <f t="shared" si="51"/>
      </c>
      <c r="P349" s="56">
        <f t="shared" si="32"/>
      </c>
      <c r="Q349" s="56">
        <f t="shared" si="13"/>
      </c>
      <c r="R349" s="56">
        <f t="shared" si="252"/>
      </c>
      <c r="S349" s="56">
        <f t="shared" si="214"/>
      </c>
      <c r="T349" s="57">
        <f t="shared" si="176"/>
      </c>
      <c r="U349" s="58">
        <v>0.0311</v>
      </c>
      <c r="V349" s="59">
        <v>37</v>
      </c>
      <c r="W349" s="55">
        <f t="shared" si="138"/>
      </c>
      <c r="X349" s="57">
        <v>49391</v>
      </c>
      <c r="Y349" s="57">
        <v>1135</v>
      </c>
      <c r="Z349" s="57">
        <v>117</v>
      </c>
      <c r="AA349" s="57">
        <v>2966</v>
      </c>
      <c r="AB349" s="57">
        <v>165</v>
      </c>
      <c r="AC349" s="57">
        <v>35</v>
      </c>
      <c r="AD349" s="57">
        <v>1</v>
      </c>
      <c r="AE349" s="57">
        <v>90</v>
      </c>
      <c r="AF349" s="55">
        <f t="shared" si="95"/>
      </c>
      <c r="AG349" s="34" t="s">
        <v>56</v>
      </c>
      <c r="AH349" s="66" t="s">
        <v>72</v>
      </c>
      <c r="AI349" s="59">
        <v>67</v>
      </c>
    </row>
    <row r="350">
      <c r="A350" s="22"/>
      <c r="B350" s="23" t="s">
        <v>54</v>
      </c>
      <c r="C350" s="49" t="s">
        <v>63</v>
      </c>
      <c r="D350" s="80">
        <v>3968.74</v>
      </c>
      <c r="E350" s="63">
        <v>17</v>
      </c>
      <c r="F350" s="63">
        <v>14</v>
      </c>
      <c r="G350" s="64">
        <v>14</v>
      </c>
      <c r="H350" s="50">
        <v>10466.499999999985</v>
      </c>
      <c r="I350" s="65">
        <v>3</v>
      </c>
      <c r="J350" s="55">
        <f t="shared" si="233"/>
      </c>
      <c r="K350" s="55">
        <f t="shared" si="195"/>
      </c>
      <c r="L350" s="55">
        <f t="shared" si="157"/>
      </c>
      <c r="M350" s="56">
        <f t="shared" si="119"/>
      </c>
      <c r="N350" s="55">
        <f t="shared" si="70"/>
      </c>
      <c r="O350" s="55">
        <f t="shared" si="51"/>
      </c>
      <c r="P350" s="56">
        <f t="shared" si="32"/>
      </c>
      <c r="Q350" s="56">
        <f t="shared" si="13"/>
      </c>
      <c r="R350" s="56">
        <f t="shared" si="252"/>
      </c>
      <c r="S350" s="56">
        <f t="shared" si="214"/>
      </c>
      <c r="T350" s="57">
        <f t="shared" si="176"/>
      </c>
      <c r="U350" s="58">
        <v>0.0172</v>
      </c>
      <c r="V350" s="59">
        <v>39</v>
      </c>
      <c r="W350" s="55">
        <f t="shared" si="138"/>
      </c>
      <c r="X350" s="57">
        <v>42266</v>
      </c>
      <c r="Y350" s="57">
        <v>1121</v>
      </c>
      <c r="Z350" s="57">
        <v>83</v>
      </c>
      <c r="AA350" s="57">
        <v>4083</v>
      </c>
      <c r="AB350" s="57">
        <v>126</v>
      </c>
      <c r="AC350" s="57">
        <v>34</v>
      </c>
      <c r="AD350" s="57">
        <v>8</v>
      </c>
      <c r="AE350" s="57">
        <v>57</v>
      </c>
      <c r="AF350" s="55">
        <f t="shared" si="95"/>
      </c>
      <c r="AG350" s="34" t="s">
        <v>56</v>
      </c>
      <c r="AH350" s="66" t="s">
        <v>72</v>
      </c>
      <c r="AI350" s="59">
        <v>40</v>
      </c>
    </row>
    <row r="351">
      <c r="A351" s="22"/>
      <c r="B351" s="23" t="s">
        <v>54</v>
      </c>
      <c r="C351" s="49" t="s">
        <v>64</v>
      </c>
      <c r="D351" s="50">
        <v>1943.88</v>
      </c>
      <c r="E351" s="65">
        <v>9</v>
      </c>
      <c r="F351" s="65">
        <v>9</v>
      </c>
      <c r="G351" s="52">
        <v>6</v>
      </c>
      <c r="H351" s="80">
        <v>6779.300000000003</v>
      </c>
      <c r="I351" s="65">
        <v>4</v>
      </c>
      <c r="J351" s="55">
        <f t="shared" si="233"/>
      </c>
      <c r="K351" s="55">
        <f t="shared" si="195"/>
      </c>
      <c r="L351" s="55">
        <f t="shared" si="157"/>
      </c>
      <c r="M351" s="56">
        <f t="shared" si="119"/>
      </c>
      <c r="N351" s="55">
        <f t="shared" si="70"/>
      </c>
      <c r="O351" s="55">
        <f t="shared" si="51"/>
      </c>
      <c r="P351" s="56">
        <f t="shared" si="32"/>
      </c>
      <c r="Q351" s="56">
        <f t="shared" si="13"/>
      </c>
      <c r="R351" s="56">
        <f t="shared" si="252"/>
      </c>
      <c r="S351" s="56">
        <f t="shared" si="214"/>
      </c>
      <c r="T351" s="57">
        <f t="shared" si="176"/>
      </c>
      <c r="U351" s="58">
        <v>0.0472</v>
      </c>
      <c r="V351" s="59">
        <v>40</v>
      </c>
      <c r="W351" s="55">
        <f t="shared" si="138"/>
      </c>
      <c r="X351" s="57">
        <v>29837</v>
      </c>
      <c r="Y351" s="57">
        <v>214</v>
      </c>
      <c r="Z351" s="57">
        <v>29</v>
      </c>
      <c r="AA351" s="57">
        <v>244</v>
      </c>
      <c r="AB351" s="57">
        <v>71</v>
      </c>
      <c r="AC351" s="57">
        <v>13</v>
      </c>
      <c r="AD351" s="57">
        <v>1</v>
      </c>
      <c r="AE351" s="59">
        <v>68</v>
      </c>
      <c r="AF351" s="55">
        <f t="shared" si="95"/>
      </c>
      <c r="AG351" s="34" t="s">
        <v>56</v>
      </c>
      <c r="AH351" s="66" t="s">
        <v>72</v>
      </c>
      <c r="AI351" s="59">
        <v>17</v>
      </c>
    </row>
    <row r="352">
      <c r="A352" s="22"/>
      <c r="B352" s="67" t="s">
        <v>46</v>
      </c>
      <c r="C352" s="67"/>
      <c r="D352" s="41">
        <f>SUM(D347:D351)</f>
      </c>
      <c r="E352" s="42">
        <f>SUM(E347:E351)</f>
      </c>
      <c r="F352" s="42">
        <f>SUM(F347:F351)</f>
      </c>
      <c r="G352" s="43">
        <f>SUM(G347:G351)</f>
      </c>
      <c r="H352" s="41">
        <f>SUM(H347:H351)</f>
      </c>
      <c r="I352" s="44">
        <f>SUM(I347:I351)</f>
      </c>
      <c r="J352" s="109">
        <f t="shared" si="233"/>
      </c>
      <c r="K352" s="45">
        <f t="shared" si="195"/>
      </c>
      <c r="L352" s="45">
        <f t="shared" si="157"/>
      </c>
      <c r="M352" s="46">
        <f t="shared" si="119"/>
      </c>
      <c r="N352" s="45">
        <f t="shared" si="70"/>
      </c>
      <c r="O352" s="45">
        <f t="shared" si="51"/>
      </c>
      <c r="P352" s="46">
        <f t="shared" si="32"/>
      </c>
      <c r="Q352" s="46">
        <f t="shared" si="13"/>
      </c>
      <c r="R352" s="46">
        <f t="shared" si="252"/>
      </c>
      <c r="S352" s="46">
        <f t="shared" si="214"/>
      </c>
      <c r="T352" s="42">
        <f t="shared" si="176"/>
      </c>
      <c r="U352" s="46">
        <f>AVERAGE(U347:U351)</f>
      </c>
      <c r="V352" s="41">
        <f>AVERAGE(V347:V351)</f>
      </c>
      <c r="W352" s="45">
        <f t="shared" si="138"/>
      </c>
      <c r="X352" s="42">
        <f>SUM(X347:X351)</f>
      </c>
      <c r="Y352" s="42">
        <f>SUM(Y347:Y351)</f>
      </c>
      <c r="Z352" s="42">
        <f>SUM(Z347:Z351)</f>
      </c>
      <c r="AA352" s="42">
        <f>SUM(AA347:AA351)</f>
      </c>
      <c r="AB352" s="42">
        <f>SUM(AB347:AB351)</f>
      </c>
      <c r="AC352" s="42">
        <f>SUM(AC347:AC351)</f>
      </c>
      <c r="AD352" s="42">
        <f>SUM(AD347:AD351)</f>
      </c>
      <c r="AE352" s="42">
        <f>SUM(AE347:AE351)</f>
      </c>
      <c r="AF352" s="47">
        <f t="shared" si="95"/>
      </c>
      <c r="AG352" s="75"/>
      <c r="AH352" s="75"/>
      <c r="AI352" s="42">
        <f>SUM(AI347:AI351)</f>
      </c>
    </row>
    <row r="353">
      <c r="A353" s="22"/>
      <c r="B353" s="82" t="s">
        <v>65</v>
      </c>
      <c r="C353" s="82"/>
      <c r="D353" s="83">
        <f>D334+D339+D343+D352+D346</f>
      </c>
      <c r="E353" s="85">
        <f>E334+E339+E343+E352+E346</f>
      </c>
      <c r="F353" s="85">
        <f>F334+F339+F343+F352+F346</f>
      </c>
      <c r="G353" s="84">
        <f>G334+G339+G343+G352+G346</f>
      </c>
      <c r="H353" s="83">
        <f>H334+H339+H343+H352+H346</f>
      </c>
      <c r="I353" s="85">
        <f>I334+I339+I343+I352+I346</f>
      </c>
      <c r="J353" s="86">
        <f t="shared" si="233"/>
      </c>
      <c r="K353" s="87">
        <f t="shared" si="195"/>
      </c>
      <c r="L353" s="87">
        <f t="shared" si="157"/>
      </c>
      <c r="M353" s="88">
        <f t="shared" si="119"/>
      </c>
      <c r="N353" s="87">
        <f t="shared" si="70"/>
      </c>
      <c r="O353" s="87">
        <f t="shared" si="51"/>
      </c>
      <c r="P353" s="88">
        <f t="shared" si="32"/>
      </c>
      <c r="Q353" s="88">
        <f t="shared" si="13"/>
      </c>
      <c r="R353" s="88">
        <f t="shared" si="252"/>
      </c>
      <c r="S353" s="88">
        <f t="shared" si="214"/>
      </c>
      <c r="T353" s="89">
        <f t="shared" si="176"/>
      </c>
      <c r="U353" s="88">
        <f>(U334+U343+U339+U352)/4</f>
      </c>
      <c r="V353" s="87">
        <f>(V334+V343+V339+V352)/4</f>
      </c>
      <c r="W353" s="90">
        <f t="shared" si="138"/>
      </c>
      <c r="X353" s="84">
        <f>X334+X339+X343+X352+X346</f>
      </c>
      <c r="Y353" s="84">
        <f>Y334+Y339+Y343+Y352+Y346</f>
      </c>
      <c r="Z353" s="84">
        <f>Z334+Z339+Z343+Z352+Z346</f>
      </c>
      <c r="AA353" s="84">
        <f>AA334+AA339+AA343+AA352+AA346</f>
      </c>
      <c r="AB353" s="84">
        <f>AB334+AB339+AB343+AB352+AB346</f>
      </c>
      <c r="AC353" s="84">
        <f>AC334+AC339+AC343+AC352+AC346</f>
      </c>
      <c r="AD353" s="84">
        <f>AD334+AD339+AD343+AD352+AD346</f>
      </c>
      <c r="AE353" s="84">
        <f>AE334+AE339+AE343+AE352+AE346</f>
      </c>
      <c r="AF353" s="87">
        <f>AF334</f>
      </c>
      <c r="AG353" s="82"/>
      <c r="AH353" s="82"/>
      <c r="AI353" s="84">
        <f>AI334+AI339+AI343+AI352+AI346</f>
      </c>
    </row>
    <row r="354">
      <c r="A354" s="1" t="s">
        <v>66</v>
      </c>
      <c r="B354" s="2" t="s">
        <v>1</v>
      </c>
      <c r="C354" s="2"/>
      <c r="D354" s="3" t="s">
        <v>2</v>
      </c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5" t="s">
        <v>3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6"/>
    </row>
    <row r="355">
      <c r="A355" s="1"/>
      <c r="B355" s="2" t="s">
        <v>4</v>
      </c>
      <c r="C355" s="7" t="s">
        <v>5</v>
      </c>
      <c r="D355" s="8" t="s">
        <v>6</v>
      </c>
      <c r="E355" s="9" t="s">
        <v>7</v>
      </c>
      <c r="F355" s="10" t="s">
        <v>8</v>
      </c>
      <c r="G355" s="11" t="s">
        <v>9</v>
      </c>
      <c r="H355" s="8" t="s">
        <v>10</v>
      </c>
      <c r="I355" s="12" t="s">
        <v>11</v>
      </c>
      <c r="J355" s="107" t="s">
        <v>12</v>
      </c>
      <c r="K355" s="13" t="s">
        <v>13</v>
      </c>
      <c r="L355" s="13" t="s">
        <v>14</v>
      </c>
      <c r="M355" s="14" t="s">
        <v>15</v>
      </c>
      <c r="N355" s="13" t="s">
        <v>16</v>
      </c>
      <c r="O355" s="15" t="s">
        <v>17</v>
      </c>
      <c r="P355" s="16" t="s">
        <v>18</v>
      </c>
      <c r="Q355" s="16" t="s">
        <v>19</v>
      </c>
      <c r="R355" s="16" t="s">
        <v>20</v>
      </c>
      <c r="S355" s="16" t="s">
        <v>21</v>
      </c>
      <c r="T355" s="17" t="s">
        <v>22</v>
      </c>
      <c r="U355" s="18" t="s">
        <v>23</v>
      </c>
      <c r="V355" s="19" t="s">
        <v>24</v>
      </c>
      <c r="W355" s="5" t="s">
        <v>25</v>
      </c>
      <c r="X355" s="20" t="s">
        <v>26</v>
      </c>
      <c r="Y355" s="20" t="s">
        <v>27</v>
      </c>
      <c r="Z355" s="20" t="s">
        <v>28</v>
      </c>
      <c r="AA355" s="20" t="s">
        <v>29</v>
      </c>
      <c r="AB355" s="20" t="s">
        <v>30</v>
      </c>
      <c r="AC355" s="20" t="s">
        <v>31</v>
      </c>
      <c r="AD355" s="20" t="s">
        <v>32</v>
      </c>
      <c r="AE355" s="20" t="s">
        <v>33</v>
      </c>
      <c r="AF355" s="5" t="s">
        <v>34</v>
      </c>
      <c r="AG355" s="21" t="s">
        <v>35</v>
      </c>
      <c r="AH355" s="21" t="s">
        <v>36</v>
      </c>
      <c r="AI355" s="6" t="s">
        <v>37</v>
      </c>
    </row>
    <row r="356">
      <c r="A356" s="22">
        <v>46218</v>
      </c>
      <c r="B356" s="49" t="s">
        <v>47</v>
      </c>
      <c r="C356" s="24" t="s">
        <v>43</v>
      </c>
      <c r="D356" s="25">
        <v>3000</v>
      </c>
      <c r="E356" s="26">
        <v>7</v>
      </c>
      <c r="F356" s="26">
        <v>5</v>
      </c>
      <c r="G356" s="27">
        <v>5</v>
      </c>
      <c r="H356" s="25">
        <v>3685.35</v>
      </c>
      <c r="I356" s="108">
        <v>0</v>
      </c>
      <c r="J356" s="29">
        <f t="shared" ref="J356:J376" si="234">H356/D356</f>
      </c>
      <c r="K356" s="28">
        <f t="shared" ref="K356:K376" si="196">D356/F356</f>
      </c>
      <c r="L356" s="29">
        <f t="shared" ref="L356:L376" si="158">D356/G356</f>
      </c>
      <c r="M356" s="30">
        <f t="shared" ref="M356:M376" si="120">F356/E356</f>
      </c>
      <c r="N356" s="29">
        <f t="shared" ref="N356:N376" si="71">H356/F356</f>
      </c>
      <c r="O356" s="29">
        <f t="shared" ref="O356:O376" si="52">D356/Y356</f>
      </c>
      <c r="P356" s="30">
        <f t="shared" ref="P356:P376" si="33">T356/X356*1</f>
      </c>
      <c r="Q356" s="30">
        <f t="shared" ref="Q356:Q376" si="14">Y356/X356</f>
      </c>
      <c r="R356" s="30">
        <f t="shared" ref="R356:R376" si="253">AA356/X356</f>
      </c>
      <c r="S356" s="30">
        <f t="shared" ref="S356:S376" si="215">AB356/AA356</f>
      </c>
      <c r="T356" s="31">
        <f t="shared" ref="T356:T376" si="177">Z356/U356</f>
      </c>
      <c r="U356" s="32">
        <v>0.007</v>
      </c>
      <c r="V356" s="33">
        <v>37</v>
      </c>
      <c r="W356" s="29">
        <f t="shared" ref="W356:W376" si="139">(D356/X356)*1000</f>
      </c>
      <c r="X356" s="33">
        <v>30543</v>
      </c>
      <c r="Y356" s="33">
        <v>1448</v>
      </c>
      <c r="Z356" s="31">
        <v>52</v>
      </c>
      <c r="AA356" s="31">
        <v>3886</v>
      </c>
      <c r="AB356" s="31">
        <v>50</v>
      </c>
      <c r="AC356" s="31">
        <v>20</v>
      </c>
      <c r="AD356" s="33">
        <v>0</v>
      </c>
      <c r="AE356" s="33">
        <v>18</v>
      </c>
      <c r="AF356" s="29">
        <f t="shared" ref="AF356:AF369" si="96">AI356*1000/D356</f>
      </c>
      <c r="AG356" s="34" t="s">
        <v>40</v>
      </c>
      <c r="AH356" s="35" t="s">
        <v>41</v>
      </c>
      <c r="AI356" s="33">
        <v>28</v>
      </c>
    </row>
    <row r="357">
      <c r="A357" s="22"/>
      <c r="B357" s="49" t="s">
        <v>47</v>
      </c>
      <c r="C357" s="36" t="s">
        <v>44</v>
      </c>
      <c r="D357" s="25">
        <v>2765.88</v>
      </c>
      <c r="E357" s="26">
        <v>3</v>
      </c>
      <c r="F357" s="26">
        <v>1</v>
      </c>
      <c r="G357" s="27">
        <v>1</v>
      </c>
      <c r="H357" s="25">
        <v>451.00000000000045</v>
      </c>
      <c r="I357" s="108">
        <v>1</v>
      </c>
      <c r="J357" s="29">
        <f t="shared" si="234"/>
      </c>
      <c r="K357" s="28">
        <f t="shared" si="196"/>
      </c>
      <c r="L357" s="29">
        <f t="shared" si="158"/>
      </c>
      <c r="M357" s="30">
        <f t="shared" si="120"/>
      </c>
      <c r="N357" s="29">
        <f t="shared" si="71"/>
      </c>
      <c r="O357" s="29">
        <f t="shared" si="52"/>
      </c>
      <c r="P357" s="30">
        <f t="shared" si="33"/>
      </c>
      <c r="Q357" s="30">
        <f t="shared" si="14"/>
      </c>
      <c r="R357" s="30">
        <f t="shared" si="253"/>
      </c>
      <c r="S357" s="30">
        <f t="shared" si="215"/>
      </c>
      <c r="T357" s="31">
        <f t="shared" si="177"/>
      </c>
      <c r="U357" s="32">
        <v>0.0116</v>
      </c>
      <c r="V357" s="33">
        <v>28</v>
      </c>
      <c r="W357" s="29">
        <f t="shared" si="139"/>
      </c>
      <c r="X357" s="33">
        <v>25235</v>
      </c>
      <c r="Y357" s="33">
        <v>748</v>
      </c>
      <c r="Z357" s="31">
        <v>58</v>
      </c>
      <c r="AA357" s="31">
        <v>2375</v>
      </c>
      <c r="AB357" s="33">
        <v>59</v>
      </c>
      <c r="AC357" s="31">
        <v>9</v>
      </c>
      <c r="AD357" s="33">
        <v>2</v>
      </c>
      <c r="AE357" s="33">
        <v>42</v>
      </c>
      <c r="AF357" s="29">
        <f t="shared" si="96"/>
      </c>
      <c r="AG357" s="34" t="s">
        <v>40</v>
      </c>
      <c r="AH357" s="35" t="s">
        <v>41</v>
      </c>
      <c r="AI357" s="33">
        <v>32</v>
      </c>
    </row>
    <row r="358">
      <c r="A358" s="22"/>
      <c r="B358" s="49" t="s">
        <v>47</v>
      </c>
      <c r="C358" s="24" t="s">
        <v>45</v>
      </c>
      <c r="D358" s="25">
        <v>4130.8</v>
      </c>
      <c r="E358" s="26">
        <v>13</v>
      </c>
      <c r="F358" s="26">
        <v>7</v>
      </c>
      <c r="G358" s="27">
        <v>6</v>
      </c>
      <c r="H358" s="25">
        <v>5255.799999999999</v>
      </c>
      <c r="I358" s="108">
        <v>2</v>
      </c>
      <c r="J358" s="29">
        <f t="shared" si="234"/>
      </c>
      <c r="K358" s="28">
        <f t="shared" si="196"/>
      </c>
      <c r="L358" s="29">
        <f t="shared" si="158"/>
      </c>
      <c r="M358" s="30">
        <f t="shared" si="120"/>
      </c>
      <c r="N358" s="29">
        <f t="shared" si="71"/>
      </c>
      <c r="O358" s="29">
        <f t="shared" si="52"/>
      </c>
      <c r="P358" s="30">
        <f t="shared" si="33"/>
      </c>
      <c r="Q358" s="30">
        <f t="shared" si="14"/>
      </c>
      <c r="R358" s="30">
        <f t="shared" si="253"/>
      </c>
      <c r="S358" s="30">
        <f t="shared" si="215"/>
      </c>
      <c r="T358" s="31">
        <f t="shared" si="177"/>
      </c>
      <c r="U358" s="32">
        <v>0.0096</v>
      </c>
      <c r="V358" s="33">
        <v>30</v>
      </c>
      <c r="W358" s="29">
        <f t="shared" si="139"/>
      </c>
      <c r="X358" s="33">
        <v>38424</v>
      </c>
      <c r="Y358" s="33">
        <v>2249</v>
      </c>
      <c r="Z358" s="31">
        <v>105</v>
      </c>
      <c r="AA358" s="31">
        <v>7912</v>
      </c>
      <c r="AB358" s="33">
        <v>136</v>
      </c>
      <c r="AC358" s="31">
        <v>28</v>
      </c>
      <c r="AD358" s="33">
        <v>7</v>
      </c>
      <c r="AE358" s="33">
        <v>30</v>
      </c>
      <c r="AF358" s="29">
        <f t="shared" si="96"/>
      </c>
      <c r="AG358" s="34" t="s">
        <v>40</v>
      </c>
      <c r="AH358" s="35" t="s">
        <v>41</v>
      </c>
      <c r="AI358" s="33">
        <v>72</v>
      </c>
    </row>
    <row r="359">
      <c r="A359" s="22"/>
      <c r="B359" s="49" t="s">
        <v>47</v>
      </c>
      <c r="C359" s="23" t="s">
        <v>48</v>
      </c>
      <c r="D359" s="25">
        <v>4385.28</v>
      </c>
      <c r="E359" s="26">
        <v>7</v>
      </c>
      <c r="F359" s="26">
        <v>9</v>
      </c>
      <c r="G359" s="27">
        <v>8</v>
      </c>
      <c r="H359" s="25">
        <v>5091.9</v>
      </c>
      <c r="I359" s="108">
        <v>1</v>
      </c>
      <c r="J359" s="29">
        <f t="shared" si="234"/>
      </c>
      <c r="K359" s="28">
        <f t="shared" si="196"/>
      </c>
      <c r="L359" s="29">
        <f t="shared" si="158"/>
      </c>
      <c r="M359" s="30">
        <f t="shared" si="120"/>
      </c>
      <c r="N359" s="29">
        <f t="shared" si="71"/>
      </c>
      <c r="O359" s="29">
        <f t="shared" si="52"/>
      </c>
      <c r="P359" s="30">
        <f t="shared" si="33"/>
      </c>
      <c r="Q359" s="30">
        <f t="shared" si="14"/>
      </c>
      <c r="R359" s="30">
        <f t="shared" si="253"/>
      </c>
      <c r="S359" s="30">
        <f t="shared" si="215"/>
      </c>
      <c r="T359" s="31">
        <f t="shared" si="177"/>
      </c>
      <c r="U359" s="32">
        <v>0.0268</v>
      </c>
      <c r="V359" s="33">
        <v>35</v>
      </c>
      <c r="W359" s="29">
        <f t="shared" si="139"/>
      </c>
      <c r="X359" s="33">
        <v>36577</v>
      </c>
      <c r="Y359" s="33">
        <v>1336</v>
      </c>
      <c r="Z359" s="31">
        <v>129</v>
      </c>
      <c r="AA359" s="31">
        <v>3562</v>
      </c>
      <c r="AB359" s="33">
        <v>108</v>
      </c>
      <c r="AC359" s="31">
        <v>26</v>
      </c>
      <c r="AD359" s="33">
        <v>6</v>
      </c>
      <c r="AE359" s="33">
        <v>51</v>
      </c>
      <c r="AF359" s="29">
        <f t="shared" si="96"/>
      </c>
      <c r="AG359" s="34" t="s">
        <v>40</v>
      </c>
      <c r="AH359" s="35" t="s">
        <v>41</v>
      </c>
      <c r="AI359" s="33">
        <v>66</v>
      </c>
    </row>
    <row r="360">
      <c r="A360" s="22"/>
      <c r="B360" s="49" t="s">
        <v>47</v>
      </c>
      <c r="C360" s="60" t="s">
        <v>49</v>
      </c>
      <c r="D360" s="25">
        <v>2887.09</v>
      </c>
      <c r="E360" s="26">
        <v>18</v>
      </c>
      <c r="F360" s="26">
        <v>14</v>
      </c>
      <c r="G360" s="27">
        <v>12</v>
      </c>
      <c r="H360" s="25">
        <v>7861.699999999997</v>
      </c>
      <c r="I360" s="108">
        <v>2</v>
      </c>
      <c r="J360" s="29">
        <f t="shared" si="234"/>
      </c>
      <c r="K360" s="28">
        <f t="shared" si="196"/>
      </c>
      <c r="L360" s="29">
        <f t="shared" si="158"/>
      </c>
      <c r="M360" s="30">
        <f t="shared" si="120"/>
      </c>
      <c r="N360" s="29">
        <f t="shared" si="71"/>
      </c>
      <c r="O360" s="29">
        <f t="shared" si="52"/>
      </c>
      <c r="P360" s="30">
        <f t="shared" si="33"/>
      </c>
      <c r="Q360" s="30">
        <f t="shared" si="14"/>
      </c>
      <c r="R360" s="30">
        <f t="shared" si="253"/>
      </c>
      <c r="S360" s="30">
        <f t="shared" si="215"/>
      </c>
      <c r="T360" s="31">
        <f t="shared" si="177"/>
      </c>
      <c r="U360" s="32">
        <v>0.0243</v>
      </c>
      <c r="V360" s="33">
        <v>37</v>
      </c>
      <c r="W360" s="29">
        <f t="shared" si="139"/>
      </c>
      <c r="X360" s="33">
        <v>23590</v>
      </c>
      <c r="Y360" s="33">
        <v>810</v>
      </c>
      <c r="Z360" s="33">
        <v>94</v>
      </c>
      <c r="AA360" s="33">
        <v>1120</v>
      </c>
      <c r="AB360" s="33">
        <v>111</v>
      </c>
      <c r="AC360" s="33">
        <v>14</v>
      </c>
      <c r="AD360" s="33">
        <v>3</v>
      </c>
      <c r="AE360" s="33">
        <v>39</v>
      </c>
      <c r="AF360" s="29">
        <f t="shared" si="96"/>
      </c>
      <c r="AG360" s="34" t="s">
        <v>40</v>
      </c>
      <c r="AH360" s="35" t="s">
        <v>41</v>
      </c>
      <c r="AI360" s="33">
        <v>41</v>
      </c>
    </row>
    <row r="361">
      <c r="A361" s="22"/>
      <c r="B361" s="40" t="s">
        <v>46</v>
      </c>
      <c r="C361" s="40"/>
      <c r="D361" s="41">
        <f>SUM(D356:D360)</f>
      </c>
      <c r="E361" s="42">
        <f>SUM(E356:E360)</f>
      </c>
      <c r="F361" s="42">
        <f>SUM(F356:F360)</f>
      </c>
      <c r="G361" s="43">
        <f>SUM(G356:G360)</f>
      </c>
      <c r="H361" s="45">
        <f>SUM(H356:H360)</f>
      </c>
      <c r="I361" s="44">
        <f>SUM(I356:I360)</f>
      </c>
      <c r="J361" s="109">
        <f t="shared" si="234"/>
      </c>
      <c r="K361" s="45">
        <f t="shared" si="196"/>
      </c>
      <c r="L361" s="45">
        <f t="shared" si="158"/>
      </c>
      <c r="M361" s="46">
        <f t="shared" si="120"/>
      </c>
      <c r="N361" s="45">
        <f t="shared" si="71"/>
      </c>
      <c r="O361" s="45">
        <f t="shared" si="52"/>
      </c>
      <c r="P361" s="46">
        <f t="shared" si="33"/>
      </c>
      <c r="Q361" s="46">
        <f t="shared" si="14"/>
      </c>
      <c r="R361" s="46">
        <f t="shared" si="253"/>
      </c>
      <c r="S361" s="46">
        <f t="shared" si="215"/>
      </c>
      <c r="T361" s="42">
        <f t="shared" si="177"/>
      </c>
      <c r="U361" s="46">
        <f>AVERAGE(U356:U360)</f>
      </c>
      <c r="V361" s="41">
        <f>AVERAGE(V356:V360)</f>
      </c>
      <c r="W361" s="45">
        <f t="shared" si="139"/>
      </c>
      <c r="X361" s="42">
        <f>SUM(X356:X360)</f>
      </c>
      <c r="Y361" s="42">
        <f>SUM(Y356:Y360)</f>
      </c>
      <c r="Z361" s="42">
        <f>SUM(Z356:Z360)</f>
      </c>
      <c r="AA361" s="42">
        <f>SUM(AA356:AA360)</f>
      </c>
      <c r="AB361" s="42">
        <f>SUM(AB356:AB360)</f>
      </c>
      <c r="AC361" s="42">
        <f>SUM(AC356:AC360)</f>
      </c>
      <c r="AD361" s="42">
        <f>SUM(AD356:AD360)</f>
      </c>
      <c r="AE361" s="42">
        <f>SUM(AE356:AE360)</f>
      </c>
      <c r="AF361" s="47">
        <f t="shared" si="96"/>
      </c>
      <c r="AG361" s="48"/>
      <c r="AH361" s="48"/>
      <c r="AI361" s="43">
        <f>SUM(AI356:AI360)</f>
      </c>
    </row>
    <row r="362">
      <c r="A362" s="22"/>
      <c r="B362" s="23" t="s">
        <v>54</v>
      </c>
      <c r="C362" s="61" t="s">
        <v>50</v>
      </c>
      <c r="D362" s="50">
        <v>2843.95</v>
      </c>
      <c r="E362" s="51">
        <v>8</v>
      </c>
      <c r="F362" s="51">
        <v>5</v>
      </c>
      <c r="G362" s="52">
        <v>4</v>
      </c>
      <c r="H362" s="53">
        <v>2255</v>
      </c>
      <c r="I362" s="54">
        <v>0</v>
      </c>
      <c r="J362" s="55">
        <f t="shared" si="234"/>
      </c>
      <c r="K362" s="55">
        <f t="shared" si="196"/>
      </c>
      <c r="L362" s="55">
        <f t="shared" si="158"/>
      </c>
      <c r="M362" s="56">
        <f t="shared" si="120"/>
      </c>
      <c r="N362" s="55">
        <f t="shared" si="71"/>
      </c>
      <c r="O362" s="55">
        <f t="shared" si="52"/>
      </c>
      <c r="P362" s="56">
        <f t="shared" si="33"/>
      </c>
      <c r="Q362" s="56">
        <f t="shared" si="14"/>
      </c>
      <c r="R362" s="56">
        <f t="shared" si="253"/>
      </c>
      <c r="S362" s="56">
        <f t="shared" si="215"/>
      </c>
      <c r="T362" s="57">
        <f t="shared" si="177"/>
      </c>
      <c r="U362" s="58">
        <v>0.0143</v>
      </c>
      <c r="V362" s="59">
        <v>38</v>
      </c>
      <c r="W362" s="55">
        <f t="shared" si="139"/>
      </c>
      <c r="X362" s="57">
        <v>23598</v>
      </c>
      <c r="Y362" s="57">
        <v>1291</v>
      </c>
      <c r="Z362" s="57">
        <v>105</v>
      </c>
      <c r="AA362" s="57">
        <v>2949</v>
      </c>
      <c r="AB362" s="57">
        <v>129</v>
      </c>
      <c r="AC362" s="57">
        <v>19</v>
      </c>
      <c r="AD362" s="57">
        <v>6</v>
      </c>
      <c r="AE362" s="57">
        <v>22</v>
      </c>
      <c r="AF362" s="55">
        <f t="shared" si="96"/>
      </c>
      <c r="AG362" s="34" t="s">
        <v>40</v>
      </c>
      <c r="AH362" s="35" t="s">
        <v>41</v>
      </c>
      <c r="AI362" s="59">
        <v>59</v>
      </c>
    </row>
    <row r="363">
      <c r="A363" s="22"/>
      <c r="B363" s="23" t="s">
        <v>54</v>
      </c>
      <c r="C363" s="60" t="s">
        <v>51</v>
      </c>
      <c r="D363" s="50">
        <v>4575.07</v>
      </c>
      <c r="E363" s="51">
        <v>10</v>
      </c>
      <c r="F363" s="51">
        <v>7</v>
      </c>
      <c r="G363" s="52">
        <v>7</v>
      </c>
      <c r="H363" s="53">
        <v>4222.899999999998</v>
      </c>
      <c r="I363" s="110">
        <v>1</v>
      </c>
      <c r="J363" s="55">
        <f t="shared" si="234"/>
      </c>
      <c r="K363" s="55">
        <f t="shared" si="196"/>
      </c>
      <c r="L363" s="55">
        <f t="shared" si="158"/>
      </c>
      <c r="M363" s="56">
        <f t="shared" si="120"/>
      </c>
      <c r="N363" s="55">
        <f t="shared" si="71"/>
      </c>
      <c r="O363" s="55">
        <f t="shared" si="52"/>
      </c>
      <c r="P363" s="56">
        <f t="shared" si="33"/>
      </c>
      <c r="Q363" s="56">
        <f t="shared" si="14"/>
      </c>
      <c r="R363" s="56">
        <f t="shared" si="253"/>
      </c>
      <c r="S363" s="56">
        <f t="shared" si="215"/>
      </c>
      <c r="T363" s="57">
        <f t="shared" si="177"/>
      </c>
      <c r="U363" s="58">
        <v>0.0141</v>
      </c>
      <c r="V363" s="59">
        <v>39</v>
      </c>
      <c r="W363" s="55">
        <f t="shared" si="139"/>
      </c>
      <c r="X363" s="57">
        <v>40783</v>
      </c>
      <c r="Y363" s="57">
        <v>2076</v>
      </c>
      <c r="Z363" s="57">
        <v>123</v>
      </c>
      <c r="AA363" s="57">
        <v>5805</v>
      </c>
      <c r="AB363" s="57">
        <v>195</v>
      </c>
      <c r="AC363" s="57">
        <v>29</v>
      </c>
      <c r="AD363" s="57">
        <v>5</v>
      </c>
      <c r="AE363" s="57">
        <v>33</v>
      </c>
      <c r="AF363" s="55">
        <f t="shared" si="96"/>
      </c>
      <c r="AG363" s="34" t="s">
        <v>40</v>
      </c>
      <c r="AH363" s="35" t="s">
        <v>41</v>
      </c>
      <c r="AI363" s="59">
        <v>64</v>
      </c>
    </row>
    <row r="364">
      <c r="A364" s="22"/>
      <c r="B364" s="23" t="s">
        <v>54</v>
      </c>
      <c r="C364" s="49" t="s">
        <v>53</v>
      </c>
      <c r="D364" s="62">
        <v>3014.6</v>
      </c>
      <c r="E364" s="63">
        <v>11</v>
      </c>
      <c r="F364" s="63">
        <v>9</v>
      </c>
      <c r="G364" s="64">
        <v>9</v>
      </c>
      <c r="H364" s="111">
        <v>6155.600000000006</v>
      </c>
      <c r="I364" s="26">
        <v>2</v>
      </c>
      <c r="J364" s="28">
        <f t="shared" si="234"/>
      </c>
      <c r="K364" s="29">
        <f t="shared" si="196"/>
      </c>
      <c r="L364" s="29">
        <f t="shared" si="158"/>
      </c>
      <c r="M364" s="30">
        <f t="shared" si="120"/>
      </c>
      <c r="N364" s="29">
        <f t="shared" si="71"/>
      </c>
      <c r="O364" s="29">
        <f t="shared" si="52"/>
      </c>
      <c r="P364" s="30">
        <f t="shared" si="33"/>
      </c>
      <c r="Q364" s="30">
        <f t="shared" si="14"/>
      </c>
      <c r="R364" s="30">
        <f t="shared" si="253"/>
      </c>
      <c r="S364" s="30">
        <f t="shared" si="215"/>
      </c>
      <c r="T364" s="31">
        <f t="shared" si="177"/>
      </c>
      <c r="U364" s="32">
        <v>0.0087</v>
      </c>
      <c r="V364" s="33">
        <v>38</v>
      </c>
      <c r="W364" s="29">
        <f t="shared" si="139"/>
      </c>
      <c r="X364" s="33">
        <v>29515</v>
      </c>
      <c r="Y364" s="33">
        <v>2107</v>
      </c>
      <c r="Z364" s="31">
        <v>95</v>
      </c>
      <c r="AA364" s="31">
        <v>6604</v>
      </c>
      <c r="AB364" s="33">
        <v>100</v>
      </c>
      <c r="AC364" s="31">
        <v>25</v>
      </c>
      <c r="AD364" s="33">
        <v>9</v>
      </c>
      <c r="AE364" s="33">
        <v>12</v>
      </c>
      <c r="AF364" s="29">
        <f t="shared" si="96"/>
      </c>
      <c r="AG364" s="34" t="s">
        <v>40</v>
      </c>
      <c r="AH364" s="35" t="s">
        <v>41</v>
      </c>
      <c r="AI364" s="33">
        <v>51</v>
      </c>
    </row>
    <row r="365">
      <c r="A365" s="22"/>
      <c r="B365" s="23" t="s">
        <v>54</v>
      </c>
      <c r="C365" s="60" t="s">
        <v>55</v>
      </c>
      <c r="D365" s="62">
        <v>5445.59</v>
      </c>
      <c r="E365" s="63">
        <v>22</v>
      </c>
      <c r="F365" s="63">
        <v>16</v>
      </c>
      <c r="G365" s="64">
        <v>13</v>
      </c>
      <c r="H365" s="53">
        <v>8536</v>
      </c>
      <c r="I365" s="112">
        <v>0</v>
      </c>
      <c r="J365" s="55">
        <f t="shared" si="234"/>
      </c>
      <c r="K365" s="55">
        <f t="shared" si="196"/>
      </c>
      <c r="L365" s="55">
        <f t="shared" si="158"/>
      </c>
      <c r="M365" s="56">
        <f t="shared" si="120"/>
      </c>
      <c r="N365" s="55">
        <f t="shared" si="71"/>
      </c>
      <c r="O365" s="55">
        <f t="shared" si="52"/>
      </c>
      <c r="P365" s="56">
        <f t="shared" si="33"/>
      </c>
      <c r="Q365" s="56">
        <f t="shared" si="14"/>
      </c>
      <c r="R365" s="56">
        <f t="shared" si="253"/>
      </c>
      <c r="S365" s="56">
        <f t="shared" si="215"/>
      </c>
      <c r="T365" s="57">
        <f t="shared" si="177"/>
      </c>
      <c r="U365" s="58">
        <v>0.0084</v>
      </c>
      <c r="V365" s="59">
        <v>37</v>
      </c>
      <c r="W365" s="55">
        <f t="shared" si="139"/>
      </c>
      <c r="X365" s="57">
        <v>46830</v>
      </c>
      <c r="Y365" s="57">
        <v>3112</v>
      </c>
      <c r="Z365" s="57">
        <v>131</v>
      </c>
      <c r="AA365" s="57">
        <v>7908</v>
      </c>
      <c r="AB365" s="57">
        <v>151</v>
      </c>
      <c r="AC365" s="57">
        <v>39</v>
      </c>
      <c r="AD365" s="57">
        <v>6</v>
      </c>
      <c r="AE365" s="57">
        <v>44</v>
      </c>
      <c r="AF365" s="55">
        <f t="shared" si="96"/>
      </c>
      <c r="AG365" s="34" t="s">
        <v>40</v>
      </c>
      <c r="AH365" s="35" t="s">
        <v>41</v>
      </c>
      <c r="AI365" s="59">
        <v>53</v>
      </c>
    </row>
    <row r="366">
      <c r="A366" s="22"/>
      <c r="B366" s="67" t="s">
        <v>46</v>
      </c>
      <c r="C366" s="67"/>
      <c r="D366" s="68">
        <f>SUM(D362:D365)</f>
      </c>
      <c r="E366" s="69">
        <f>SUM(E362:E365)</f>
      </c>
      <c r="F366" s="69">
        <f>SUM(F362:F365)</f>
      </c>
      <c r="G366" s="70">
        <f>SUM(G362:G365)</f>
      </c>
      <c r="H366" s="68">
        <f>SUM(H362:H365)</f>
      </c>
      <c r="I366" s="69">
        <f>SUM(I362:I365)</f>
      </c>
      <c r="J366" s="71">
        <f t="shared" si="234"/>
      </c>
      <c r="K366" s="71">
        <f t="shared" si="196"/>
      </c>
      <c r="L366" s="71">
        <f t="shared" si="158"/>
      </c>
      <c r="M366" s="72">
        <f t="shared" si="120"/>
      </c>
      <c r="N366" s="71">
        <f t="shared" si="71"/>
      </c>
      <c r="O366" s="71">
        <f t="shared" si="52"/>
      </c>
      <c r="P366" s="72">
        <f t="shared" si="33"/>
      </c>
      <c r="Q366" s="72">
        <f t="shared" si="14"/>
      </c>
      <c r="R366" s="72">
        <f t="shared" si="253"/>
      </c>
      <c r="S366" s="72">
        <f t="shared" si="215"/>
      </c>
      <c r="T366" s="73">
        <f t="shared" si="177"/>
      </c>
      <c r="U366" s="46">
        <f>AVERAGE(U362:U365)</f>
      </c>
      <c r="V366" s="41">
        <f>AVERAGE(V362:V365)</f>
      </c>
      <c r="W366" s="71">
        <f t="shared" si="139"/>
      </c>
      <c r="X366" s="73">
        <f>SUM(X362:X365)</f>
      </c>
      <c r="Y366" s="73">
        <f>SUM(Y362:Y365)</f>
      </c>
      <c r="Z366" s="73">
        <f>SUM(Z362:Z365)</f>
      </c>
      <c r="AA366" s="73">
        <f>SUM(AA362:AA365)</f>
      </c>
      <c r="AB366" s="73">
        <f>SUM(AB362:AB365)</f>
      </c>
      <c r="AC366" s="73">
        <f>SUM(AC362:AC365)</f>
      </c>
      <c r="AD366" s="73">
        <f>SUM(AD362:AD365)</f>
      </c>
      <c r="AE366" s="73">
        <f>SUM(AE362:AE365)</f>
      </c>
      <c r="AF366" s="74">
        <f t="shared" si="96"/>
      </c>
      <c r="AG366" s="75"/>
      <c r="AH366" s="75"/>
      <c r="AI366" s="70">
        <f>SUM(AI362:AI365)</f>
      </c>
    </row>
    <row r="367">
      <c r="A367" s="22"/>
      <c r="B367" s="49" t="s">
        <v>75</v>
      </c>
      <c r="C367" s="61" t="s">
        <v>57</v>
      </c>
      <c r="D367" s="23">
        <v>4531.69</v>
      </c>
      <c r="E367" s="26">
        <v>14</v>
      </c>
      <c r="F367" s="26">
        <v>10</v>
      </c>
      <c r="G367" s="27">
        <v>9</v>
      </c>
      <c r="H367" s="76">
        <v>6295.300000000003</v>
      </c>
      <c r="I367" s="26">
        <v>2</v>
      </c>
      <c r="J367" s="29">
        <f t="shared" si="234"/>
      </c>
      <c r="K367" s="29">
        <f t="shared" si="196"/>
      </c>
      <c r="L367" s="29">
        <f t="shared" si="158"/>
      </c>
      <c r="M367" s="30">
        <f t="shared" si="120"/>
      </c>
      <c r="N367" s="29">
        <f t="shared" si="71"/>
      </c>
      <c r="O367" s="29">
        <f t="shared" si="52"/>
      </c>
      <c r="P367" s="30">
        <f t="shared" si="33"/>
      </c>
      <c r="Q367" s="30">
        <f t="shared" si="14"/>
      </c>
      <c r="R367" s="30">
        <f t="shared" si="253"/>
      </c>
      <c r="S367" s="30">
        <f t="shared" si="215"/>
      </c>
      <c r="T367" s="31">
        <f t="shared" si="177"/>
      </c>
      <c r="U367" s="32">
        <v>0.0065</v>
      </c>
      <c r="V367" s="33">
        <v>36</v>
      </c>
      <c r="W367" s="29">
        <f t="shared" si="139"/>
      </c>
      <c r="X367" s="33">
        <v>48916</v>
      </c>
      <c r="Y367" s="33">
        <v>2775</v>
      </c>
      <c r="Z367" s="31">
        <v>89</v>
      </c>
      <c r="AA367" s="31">
        <v>8245</v>
      </c>
      <c r="AB367" s="31">
        <v>112</v>
      </c>
      <c r="AC367" s="31">
        <v>26</v>
      </c>
      <c r="AD367" s="33">
        <v>3</v>
      </c>
      <c r="AE367" s="33">
        <v>47</v>
      </c>
      <c r="AF367" s="29">
        <f t="shared" si="96"/>
      </c>
      <c r="AG367" s="34" t="s">
        <v>56</v>
      </c>
      <c r="AH367" s="106" t="s">
        <v>68</v>
      </c>
      <c r="AI367" s="33">
        <v>42</v>
      </c>
    </row>
    <row r="368">
      <c r="A368" s="22"/>
      <c r="B368" s="49" t="s">
        <v>75</v>
      </c>
      <c r="C368" s="60" t="s">
        <v>58</v>
      </c>
      <c r="D368" s="23">
        <v>3235.56</v>
      </c>
      <c r="E368" s="26">
        <v>5</v>
      </c>
      <c r="F368" s="26">
        <v>4</v>
      </c>
      <c r="G368" s="27">
        <v>3</v>
      </c>
      <c r="H368" s="76">
        <v>1804</v>
      </c>
      <c r="I368" s="26">
        <v>0</v>
      </c>
      <c r="J368" s="29">
        <f t="shared" si="234"/>
      </c>
      <c r="K368" s="29">
        <f t="shared" si="196"/>
      </c>
      <c r="L368" s="29">
        <f t="shared" si="158"/>
      </c>
      <c r="M368" s="30">
        <f t="shared" si="120"/>
      </c>
      <c r="N368" s="29">
        <f t="shared" si="71"/>
      </c>
      <c r="O368" s="29">
        <f t="shared" si="52"/>
      </c>
      <c r="P368" s="30">
        <f t="shared" si="33"/>
      </c>
      <c r="Q368" s="30">
        <f t="shared" si="14"/>
      </c>
      <c r="R368" s="30">
        <f t="shared" si="253"/>
      </c>
      <c r="S368" s="30">
        <f t="shared" si="215"/>
      </c>
      <c r="T368" s="31">
        <f t="shared" si="177"/>
      </c>
      <c r="U368" s="32">
        <v>0.0077</v>
      </c>
      <c r="V368" s="33">
        <v>36</v>
      </c>
      <c r="W368" s="29">
        <f t="shared" si="139"/>
      </c>
      <c r="X368" s="33">
        <v>39008</v>
      </c>
      <c r="Y368" s="33">
        <v>1847</v>
      </c>
      <c r="Z368" s="31">
        <v>82</v>
      </c>
      <c r="AA368" s="31">
        <v>4561</v>
      </c>
      <c r="AB368" s="31">
        <v>86</v>
      </c>
      <c r="AC368" s="31">
        <v>19</v>
      </c>
      <c r="AD368" s="33">
        <v>3</v>
      </c>
      <c r="AE368" s="33">
        <v>41</v>
      </c>
      <c r="AF368" s="29">
        <f t="shared" si="96"/>
      </c>
      <c r="AG368" s="34" t="s">
        <v>56</v>
      </c>
      <c r="AH368" s="106" t="s">
        <v>68</v>
      </c>
      <c r="AI368" s="33">
        <v>35</v>
      </c>
    </row>
    <row r="369">
      <c r="A369" s="22"/>
      <c r="B369" s="40" t="s">
        <v>46</v>
      </c>
      <c r="C369" s="40"/>
      <c r="D369" s="77">
        <f>SUM(D367:D368)</f>
      </c>
      <c r="E369" s="78">
        <f>SUM(E367:E368)</f>
      </c>
      <c r="F369" s="78">
        <f>SUM(F367:F368)</f>
      </c>
      <c r="G369" s="79">
        <f>SUM(G367:G368)</f>
      </c>
      <c r="H369" s="77">
        <f>SUM(H367:H368)</f>
      </c>
      <c r="I369" s="78">
        <f>SUM(I367:I368)</f>
      </c>
      <c r="J369" s="45">
        <f t="shared" si="234"/>
      </c>
      <c r="K369" s="45">
        <f t="shared" si="196"/>
      </c>
      <c r="L369" s="45">
        <f t="shared" si="158"/>
      </c>
      <c r="M369" s="46">
        <f t="shared" si="120"/>
      </c>
      <c r="N369" s="45">
        <f t="shared" si="71"/>
      </c>
      <c r="O369" s="45">
        <f t="shared" si="52"/>
      </c>
      <c r="P369" s="46">
        <f t="shared" si="33"/>
      </c>
      <c r="Q369" s="46">
        <f t="shared" si="14"/>
      </c>
      <c r="R369" s="46">
        <f t="shared" si="253"/>
      </c>
      <c r="S369" s="46">
        <f t="shared" si="215"/>
      </c>
      <c r="T369" s="42">
        <f t="shared" si="177"/>
      </c>
      <c r="U369" s="46">
        <f>AVERAGE(U368)</f>
      </c>
      <c r="V369" s="41">
        <f>AVERAGE(V368)</f>
      </c>
      <c r="W369" s="45">
        <f t="shared" si="139"/>
      </c>
      <c r="X369" s="42">
        <f>SUM(X367:X368)</f>
      </c>
      <c r="Y369" s="42">
        <f>SUM(Y367:Y368)</f>
      </c>
      <c r="Z369" s="42">
        <f>SUM(Z367:Z368)</f>
      </c>
      <c r="AA369" s="42">
        <f>SUM(AA367:AA368)</f>
      </c>
      <c r="AB369" s="42">
        <f>SUM(AB367:AB368)</f>
      </c>
      <c r="AC369" s="42">
        <f>SUM(AC367:AC368)</f>
      </c>
      <c r="AD369" s="42">
        <f>SUM(AD367:AD368)</f>
      </c>
      <c r="AE369" s="42">
        <f>SUM(AE367:AE368)</f>
      </c>
      <c r="AF369" s="47">
        <f t="shared" si="96"/>
      </c>
      <c r="AG369" s="48"/>
      <c r="AH369" s="48"/>
      <c r="AI369" s="42">
        <f>SUM(AI367:AI368)</f>
      </c>
    </row>
    <row r="370">
      <c r="A370" s="22"/>
      <c r="B370" s="23" t="s">
        <v>69</v>
      </c>
      <c r="C370" s="49" t="s">
        <v>59</v>
      </c>
      <c r="D370" s="80">
        <v>3923.35</v>
      </c>
      <c r="E370" s="51">
        <v>12</v>
      </c>
      <c r="F370" s="51">
        <v>6</v>
      </c>
      <c r="G370" s="52">
        <v>4</v>
      </c>
      <c r="H370" s="53">
        <v>3366</v>
      </c>
      <c r="I370" s="54">
        <v>0</v>
      </c>
      <c r="J370" s="55">
        <f t="shared" si="234"/>
      </c>
      <c r="K370" s="55">
        <f t="shared" si="196"/>
      </c>
      <c r="L370" s="55">
        <f t="shared" si="158"/>
      </c>
      <c r="M370" s="56">
        <f t="shared" si="120"/>
      </c>
      <c r="N370" s="55">
        <f t="shared" si="71"/>
      </c>
      <c r="O370" s="55">
        <f t="shared" si="52"/>
      </c>
      <c r="P370" s="56">
        <f t="shared" si="33"/>
      </c>
      <c r="Q370" s="56">
        <f t="shared" si="14"/>
      </c>
      <c r="R370" s="56">
        <f t="shared" si="253"/>
      </c>
      <c r="S370" s="56">
        <f t="shared" si="215"/>
      </c>
      <c r="T370" s="57">
        <f t="shared" si="177"/>
      </c>
      <c r="U370" s="58">
        <v>0.0079</v>
      </c>
      <c r="V370" s="59">
        <v>35</v>
      </c>
      <c r="W370" s="29">
        <f t="shared" si="139"/>
      </c>
      <c r="X370" s="57">
        <v>40895</v>
      </c>
      <c r="Y370" s="57">
        <v>2252</v>
      </c>
      <c r="Z370" s="57">
        <v>98</v>
      </c>
      <c r="AA370" s="57">
        <v>6839</v>
      </c>
      <c r="AB370" s="57">
        <v>111</v>
      </c>
      <c r="AC370" s="57">
        <v>28</v>
      </c>
      <c r="AD370" s="57">
        <v>1</v>
      </c>
      <c r="AE370" s="57">
        <v>14</v>
      </c>
      <c r="AF370" s="55" t="str">
        <v>#DIV/0!</v>
      </c>
      <c r="AG370" s="34" t="s">
        <v>56</v>
      </c>
      <c r="AH370" s="106" t="s">
        <v>68</v>
      </c>
      <c r="AI370" s="59">
        <v>56</v>
      </c>
    </row>
    <row r="371">
      <c r="A371" s="22"/>
      <c r="B371" s="23" t="s">
        <v>69</v>
      </c>
      <c r="C371" s="49" t="s">
        <v>61</v>
      </c>
      <c r="D371" s="80">
        <v>3991.63</v>
      </c>
      <c r="E371" s="51">
        <v>12</v>
      </c>
      <c r="F371" s="51">
        <v>10</v>
      </c>
      <c r="G371" s="52">
        <v>6</v>
      </c>
      <c r="H371" s="53">
        <v>7202.799999999996</v>
      </c>
      <c r="I371" s="54">
        <v>2</v>
      </c>
      <c r="J371" s="55">
        <f t="shared" si="234"/>
      </c>
      <c r="K371" s="55">
        <f t="shared" si="196"/>
      </c>
      <c r="L371" s="55">
        <f t="shared" si="158"/>
      </c>
      <c r="M371" s="56">
        <f t="shared" si="120"/>
      </c>
      <c r="N371" s="55">
        <f t="shared" si="71"/>
      </c>
      <c r="O371" s="55">
        <f t="shared" si="52"/>
      </c>
      <c r="P371" s="56">
        <f t="shared" si="33"/>
      </c>
      <c r="Q371" s="56">
        <f t="shared" si="14"/>
      </c>
      <c r="R371" s="56">
        <f t="shared" si="253"/>
      </c>
      <c r="S371" s="56">
        <f t="shared" si="215"/>
      </c>
      <c r="T371" s="57">
        <f t="shared" si="177"/>
      </c>
      <c r="U371" s="58">
        <v>0.0107</v>
      </c>
      <c r="V371" s="59">
        <v>34</v>
      </c>
      <c r="W371" s="55">
        <f t="shared" si="139"/>
      </c>
      <c r="X371" s="57">
        <v>39734</v>
      </c>
      <c r="Y371" s="57">
        <v>2322</v>
      </c>
      <c r="Z371" s="57">
        <v>98</v>
      </c>
      <c r="AA371" s="57">
        <v>7443</v>
      </c>
      <c r="AB371" s="57">
        <v>114</v>
      </c>
      <c r="AC371" s="57">
        <v>15</v>
      </c>
      <c r="AD371" s="57">
        <v>5</v>
      </c>
      <c r="AE371" s="57">
        <v>34</v>
      </c>
      <c r="AF371" s="55">
        <f t="shared" ref="AF371:AF375" si="97">AI371*1000/D371</f>
      </c>
      <c r="AG371" s="34" t="s">
        <v>56</v>
      </c>
      <c r="AH371" s="106" t="s">
        <v>68</v>
      </c>
      <c r="AI371" s="59">
        <v>43</v>
      </c>
    </row>
    <row r="372">
      <c r="A372" s="22"/>
      <c r="B372" s="23" t="s">
        <v>69</v>
      </c>
      <c r="C372" s="49" t="s">
        <v>62</v>
      </c>
      <c r="D372" s="81">
        <v>3219.75</v>
      </c>
      <c r="E372" s="63">
        <v>9</v>
      </c>
      <c r="F372" s="63">
        <v>7</v>
      </c>
      <c r="G372" s="64">
        <v>6</v>
      </c>
      <c r="H372" s="91">
        <v>4220.700000000004</v>
      </c>
      <c r="I372" s="54">
        <v>1</v>
      </c>
      <c r="J372" s="55">
        <f t="shared" si="234"/>
      </c>
      <c r="K372" s="55">
        <f t="shared" si="196"/>
      </c>
      <c r="L372" s="55">
        <f t="shared" si="158"/>
      </c>
      <c r="M372" s="56">
        <f t="shared" si="120"/>
      </c>
      <c r="N372" s="55">
        <f t="shared" si="71"/>
      </c>
      <c r="O372" s="55">
        <f t="shared" si="52"/>
      </c>
      <c r="P372" s="56">
        <f t="shared" si="33"/>
      </c>
      <c r="Q372" s="56">
        <f t="shared" si="14"/>
      </c>
      <c r="R372" s="56">
        <f t="shared" si="253"/>
      </c>
      <c r="S372" s="56">
        <f t="shared" si="215"/>
      </c>
      <c r="T372" s="57">
        <f t="shared" si="177"/>
      </c>
      <c r="U372" s="58">
        <v>0.0084</v>
      </c>
      <c r="V372" s="59">
        <v>34</v>
      </c>
      <c r="W372" s="55">
        <f t="shared" si="139"/>
      </c>
      <c r="X372" s="57">
        <v>32203</v>
      </c>
      <c r="Y372" s="57">
        <v>2105</v>
      </c>
      <c r="Z372" s="57">
        <v>72</v>
      </c>
      <c r="AA372" s="57">
        <v>6615</v>
      </c>
      <c r="AB372" s="57">
        <v>62</v>
      </c>
      <c r="AC372" s="57">
        <v>27</v>
      </c>
      <c r="AD372" s="57">
        <v>5</v>
      </c>
      <c r="AE372" s="57">
        <v>17</v>
      </c>
      <c r="AF372" s="55">
        <f t="shared" si="97"/>
      </c>
      <c r="AG372" s="34" t="s">
        <v>56</v>
      </c>
      <c r="AH372" s="106" t="s">
        <v>68</v>
      </c>
      <c r="AI372" s="59">
        <v>25</v>
      </c>
    </row>
    <row r="373">
      <c r="A373" s="22"/>
      <c r="B373" s="23" t="s">
        <v>69</v>
      </c>
      <c r="C373" s="49" t="s">
        <v>63</v>
      </c>
      <c r="D373" s="80">
        <v>2883.71</v>
      </c>
      <c r="E373" s="63">
        <v>17</v>
      </c>
      <c r="F373" s="63">
        <v>14</v>
      </c>
      <c r="G373" s="64">
        <v>13</v>
      </c>
      <c r="H373" s="50">
        <v>7964</v>
      </c>
      <c r="I373" s="65">
        <v>0</v>
      </c>
      <c r="J373" s="55">
        <f t="shared" si="234"/>
      </c>
      <c r="K373" s="55">
        <f t="shared" si="196"/>
      </c>
      <c r="L373" s="55">
        <f t="shared" si="158"/>
      </c>
      <c r="M373" s="56">
        <f t="shared" si="120"/>
      </c>
      <c r="N373" s="55">
        <f t="shared" si="71"/>
      </c>
      <c r="O373" s="55">
        <f t="shared" si="52"/>
      </c>
      <c r="P373" s="56">
        <f t="shared" si="33"/>
      </c>
      <c r="Q373" s="56">
        <f t="shared" si="14"/>
      </c>
      <c r="R373" s="56">
        <f t="shared" si="253"/>
      </c>
      <c r="S373" s="56">
        <f t="shared" si="215"/>
      </c>
      <c r="T373" s="57">
        <f t="shared" si="177"/>
      </c>
      <c r="U373" s="58">
        <v>0.0141</v>
      </c>
      <c r="V373" s="59">
        <v>34</v>
      </c>
      <c r="W373" s="55">
        <f t="shared" si="139"/>
      </c>
      <c r="X373" s="57">
        <v>24265</v>
      </c>
      <c r="Y373" s="57">
        <v>1542</v>
      </c>
      <c r="Z373" s="57">
        <v>73</v>
      </c>
      <c r="AA373" s="57">
        <v>4030</v>
      </c>
      <c r="AB373" s="57">
        <v>74</v>
      </c>
      <c r="AC373" s="57">
        <v>35</v>
      </c>
      <c r="AD373" s="57">
        <v>2</v>
      </c>
      <c r="AE373" s="57">
        <v>39</v>
      </c>
      <c r="AF373" s="55">
        <f t="shared" si="97"/>
      </c>
      <c r="AG373" s="34" t="s">
        <v>56</v>
      </c>
      <c r="AH373" s="106" t="s">
        <v>68</v>
      </c>
      <c r="AI373" s="59">
        <v>30</v>
      </c>
    </row>
    <row r="374">
      <c r="A374" s="22"/>
      <c r="B374" s="23" t="s">
        <v>69</v>
      </c>
      <c r="C374" s="49" t="s">
        <v>64</v>
      </c>
      <c r="D374" s="50">
        <v>2573.73</v>
      </c>
      <c r="E374" s="65">
        <v>8</v>
      </c>
      <c r="F374" s="65">
        <v>7</v>
      </c>
      <c r="G374" s="52">
        <v>7</v>
      </c>
      <c r="H374" s="80">
        <v>4519.899999999994</v>
      </c>
      <c r="I374" s="65">
        <v>1</v>
      </c>
      <c r="J374" s="55">
        <f t="shared" si="234"/>
      </c>
      <c r="K374" s="55">
        <f t="shared" si="196"/>
      </c>
      <c r="L374" s="55">
        <f t="shared" si="158"/>
      </c>
      <c r="M374" s="56">
        <f t="shared" si="120"/>
      </c>
      <c r="N374" s="55">
        <f t="shared" si="71"/>
      </c>
      <c r="O374" s="55">
        <f t="shared" si="52"/>
      </c>
      <c r="P374" s="56">
        <f t="shared" si="33"/>
      </c>
      <c r="Q374" s="56">
        <f t="shared" si="14"/>
      </c>
      <c r="R374" s="56">
        <f t="shared" si="253"/>
      </c>
      <c r="S374" s="56">
        <f t="shared" si="215"/>
      </c>
      <c r="T374" s="57">
        <f t="shared" si="177"/>
      </c>
      <c r="U374" s="58">
        <v>0.0165</v>
      </c>
      <c r="V374" s="59">
        <v>36</v>
      </c>
      <c r="W374" s="55">
        <f t="shared" si="139"/>
      </c>
      <c r="X374" s="57">
        <v>21807</v>
      </c>
      <c r="Y374" s="57">
        <v>1080</v>
      </c>
      <c r="Z374" s="57">
        <v>65</v>
      </c>
      <c r="AA374" s="57">
        <v>2559</v>
      </c>
      <c r="AB374" s="57">
        <v>98</v>
      </c>
      <c r="AC374" s="57">
        <v>13</v>
      </c>
      <c r="AD374" s="57">
        <v>2</v>
      </c>
      <c r="AE374" s="59">
        <v>44</v>
      </c>
      <c r="AF374" s="55">
        <f t="shared" si="97"/>
      </c>
      <c r="AG374" s="34" t="s">
        <v>56</v>
      </c>
      <c r="AH374" s="106" t="s">
        <v>68</v>
      </c>
      <c r="AI374" s="59">
        <v>27</v>
      </c>
    </row>
    <row r="375">
      <c r="A375" s="22"/>
      <c r="B375" s="67" t="s">
        <v>46</v>
      </c>
      <c r="C375" s="67"/>
      <c r="D375" s="41">
        <f>SUM(D370:D374)</f>
      </c>
      <c r="E375" s="42">
        <f>SUM(E370:E374)</f>
      </c>
      <c r="F375" s="42">
        <f>SUM(F370:F374)</f>
      </c>
      <c r="G375" s="43">
        <f>SUM(G370:G374)</f>
      </c>
      <c r="H375" s="41">
        <f>SUM(H370:H374)</f>
      </c>
      <c r="I375" s="44">
        <f>SUM(I370:I374)</f>
      </c>
      <c r="J375" s="109">
        <f t="shared" si="234"/>
      </c>
      <c r="K375" s="45">
        <f t="shared" si="196"/>
      </c>
      <c r="L375" s="45">
        <f t="shared" si="158"/>
      </c>
      <c r="M375" s="46">
        <f t="shared" si="120"/>
      </c>
      <c r="N375" s="45">
        <f t="shared" si="71"/>
      </c>
      <c r="O375" s="45">
        <f t="shared" si="52"/>
      </c>
      <c r="P375" s="46">
        <f t="shared" si="33"/>
      </c>
      <c r="Q375" s="46">
        <f t="shared" si="14"/>
      </c>
      <c r="R375" s="46">
        <f t="shared" si="253"/>
      </c>
      <c r="S375" s="46">
        <f t="shared" si="215"/>
      </c>
      <c r="T375" s="42">
        <f t="shared" si="177"/>
      </c>
      <c r="U375" s="46">
        <f>AVERAGE(U370:U374)</f>
      </c>
      <c r="V375" s="41">
        <f>AVERAGE(V370:V374)</f>
      </c>
      <c r="W375" s="45">
        <f t="shared" si="139"/>
      </c>
      <c r="X375" s="42">
        <f>SUM(X370:X374)</f>
      </c>
      <c r="Y375" s="42">
        <f>SUM(Y370:Y374)</f>
      </c>
      <c r="Z375" s="42">
        <f>SUM(Z370:Z374)</f>
      </c>
      <c r="AA375" s="42">
        <f>SUM(AA370:AA374)</f>
      </c>
      <c r="AB375" s="42">
        <f>SUM(AB370:AB374)</f>
      </c>
      <c r="AC375" s="42">
        <f>SUM(AC370:AC374)</f>
      </c>
      <c r="AD375" s="42">
        <f>SUM(AD370:AD374)</f>
      </c>
      <c r="AE375" s="42">
        <f>SUM(AE370:AE374)</f>
      </c>
      <c r="AF375" s="47">
        <f t="shared" si="97"/>
      </c>
      <c r="AG375" s="75"/>
      <c r="AH375" s="75"/>
      <c r="AI375" s="42">
        <f>SUM(AI370:AI374)</f>
      </c>
    </row>
    <row r="376">
      <c r="A376" s="22"/>
      <c r="B376" s="82" t="s">
        <v>65</v>
      </c>
      <c r="C376" s="82"/>
      <c r="D376" s="83">
        <f>D361+D366+D369+D375</f>
      </c>
      <c r="E376" s="84">
        <f>E361+E366+E369+E375</f>
      </c>
      <c r="F376" s="84">
        <f>F361+F366+F369+F375</f>
      </c>
      <c r="G376" s="84">
        <f>G361+G366+G369+G375</f>
      </c>
      <c r="H376" s="83">
        <f>H361+H366+H369+H375</f>
      </c>
      <c r="I376" s="84">
        <f>I361+I366+I369+I375</f>
      </c>
      <c r="J376" s="86">
        <f t="shared" si="234"/>
      </c>
      <c r="K376" s="87">
        <f t="shared" si="196"/>
      </c>
      <c r="L376" s="87">
        <f t="shared" si="158"/>
      </c>
      <c r="M376" s="88">
        <f t="shared" si="120"/>
      </c>
      <c r="N376" s="87">
        <f t="shared" si="71"/>
      </c>
      <c r="O376" s="87">
        <f t="shared" si="52"/>
      </c>
      <c r="P376" s="88">
        <f t="shared" si="33"/>
      </c>
      <c r="Q376" s="88">
        <f t="shared" si="14"/>
      </c>
      <c r="R376" s="88">
        <f t="shared" si="253"/>
      </c>
      <c r="S376" s="88">
        <f t="shared" si="215"/>
      </c>
      <c r="T376" s="89">
        <f t="shared" si="177"/>
      </c>
      <c r="U376" s="88">
        <f>(U361+U369+U366+U375)/4</f>
      </c>
      <c r="V376" s="87">
        <f>(V361+V369+V366+V375)/4</f>
      </c>
      <c r="W376" s="90">
        <f t="shared" si="139"/>
      </c>
      <c r="X376" s="84">
        <f>X361+X366+X369+X375</f>
      </c>
      <c r="Y376" s="84">
        <f>Y361+Y366+Y369+Y375</f>
      </c>
      <c r="Z376" s="84">
        <f>Z361+Z366+Z369+Z375</f>
      </c>
      <c r="AA376" s="84">
        <f>AA361+AA366+AA369+AA375</f>
      </c>
      <c r="AB376" s="84">
        <f>AB361+AB366+AB369+AB375</f>
      </c>
      <c r="AC376" s="84">
        <f>AC361+AC366+AC369+AC375</f>
      </c>
      <c r="AD376" s="84">
        <f>AD361+AD366+AD369+AD375</f>
      </c>
      <c r="AE376" s="84">
        <f>AE361+AE366+AE369+AE375</f>
      </c>
      <c r="AF376" s="87">
        <f>AF361</f>
      </c>
      <c r="AG376" s="82"/>
      <c r="AH376" s="82"/>
      <c r="AI376" s="84">
        <f>AI361+AI366+AI369+AI375</f>
      </c>
    </row>
    <row r="377">
      <c r="A377" s="1" t="s">
        <v>66</v>
      </c>
      <c r="B377" s="2" t="s">
        <v>1</v>
      </c>
      <c r="C377" s="2"/>
      <c r="D377" s="3" t="s">
        <v>2</v>
      </c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5" t="s">
        <v>3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6"/>
    </row>
    <row r="378">
      <c r="A378" s="1"/>
      <c r="B378" s="2" t="s">
        <v>4</v>
      </c>
      <c r="C378" s="7" t="s">
        <v>5</v>
      </c>
      <c r="D378" s="8" t="s">
        <v>6</v>
      </c>
      <c r="E378" s="9" t="s">
        <v>7</v>
      </c>
      <c r="F378" s="10" t="s">
        <v>8</v>
      </c>
      <c r="G378" s="11" t="s">
        <v>9</v>
      </c>
      <c r="H378" s="8" t="s">
        <v>10</v>
      </c>
      <c r="I378" s="12" t="s">
        <v>11</v>
      </c>
      <c r="J378" s="107" t="s">
        <v>12</v>
      </c>
      <c r="K378" s="13" t="s">
        <v>13</v>
      </c>
      <c r="L378" s="13" t="s">
        <v>14</v>
      </c>
      <c r="M378" s="14" t="s">
        <v>15</v>
      </c>
      <c r="N378" s="13" t="s">
        <v>16</v>
      </c>
      <c r="O378" s="15" t="s">
        <v>17</v>
      </c>
      <c r="P378" s="16" t="s">
        <v>18</v>
      </c>
      <c r="Q378" s="16" t="s">
        <v>19</v>
      </c>
      <c r="R378" s="16" t="s">
        <v>20</v>
      </c>
      <c r="S378" s="16" t="s">
        <v>21</v>
      </c>
      <c r="T378" s="17" t="s">
        <v>22</v>
      </c>
      <c r="U378" s="18" t="s">
        <v>23</v>
      </c>
      <c r="V378" s="19" t="s">
        <v>24</v>
      </c>
      <c r="W378" s="5" t="s">
        <v>25</v>
      </c>
      <c r="X378" s="20" t="s">
        <v>26</v>
      </c>
      <c r="Y378" s="20" t="s">
        <v>27</v>
      </c>
      <c r="Z378" s="20" t="s">
        <v>28</v>
      </c>
      <c r="AA378" s="20" t="s">
        <v>29</v>
      </c>
      <c r="AB378" s="20" t="s">
        <v>30</v>
      </c>
      <c r="AC378" s="20" t="s">
        <v>31</v>
      </c>
      <c r="AD378" s="20" t="s">
        <v>32</v>
      </c>
      <c r="AE378" s="20" t="s">
        <v>33</v>
      </c>
      <c r="AF378" s="5" t="s">
        <v>34</v>
      </c>
      <c r="AG378" s="21" t="s">
        <v>35</v>
      </c>
      <c r="AH378" s="21" t="s">
        <v>36</v>
      </c>
      <c r="AI378" s="6" t="s">
        <v>37</v>
      </c>
    </row>
    <row r="379">
      <c r="A379" s="22">
        <v>46219</v>
      </c>
      <c r="B379" s="49" t="s">
        <v>47</v>
      </c>
      <c r="C379" s="24" t="s">
        <v>43</v>
      </c>
      <c r="D379" s="25">
        <v>4000.85</v>
      </c>
      <c r="E379" s="26">
        <v>22</v>
      </c>
      <c r="F379" s="26">
        <v>17</v>
      </c>
      <c r="G379" s="27">
        <v>16</v>
      </c>
      <c r="H379" s="25">
        <v>10594.1</v>
      </c>
      <c r="I379" s="108">
        <v>4</v>
      </c>
      <c r="J379" s="29">
        <f t="shared" ref="J379:J399" si="235">H379/D379</f>
      </c>
      <c r="K379" s="28">
        <f t="shared" ref="K379:K399" si="197">D379/F379</f>
      </c>
      <c r="L379" s="29">
        <f t="shared" ref="L379:L399" si="159">D379/G379</f>
      </c>
      <c r="M379" s="30">
        <f t="shared" ref="M379:M399" si="121">F379/E379</f>
      </c>
      <c r="N379" s="29">
        <f t="shared" ref="N379:N399" si="72">H379/F379</f>
      </c>
      <c r="O379" s="29">
        <f t="shared" ref="O379:O399" si="53">D379/Y379</f>
      </c>
      <c r="P379" s="30">
        <f t="shared" ref="P379:P399" si="34">T379/X379*1</f>
      </c>
      <c r="Q379" s="30">
        <f t="shared" ref="Q379:Q399" si="15">Y379/X379</f>
      </c>
      <c r="R379" s="30">
        <f t="shared" ref="R379:R399" si="254">AA379/X379</f>
      </c>
      <c r="S379" s="30">
        <f t="shared" ref="S379:S399" si="216">AB379/AA379</f>
      </c>
      <c r="T379" s="31">
        <f t="shared" ref="T379:T399" si="178">Z379/U379</f>
      </c>
      <c r="U379" s="32">
        <v>0.0111</v>
      </c>
      <c r="V379" s="33">
        <v>35</v>
      </c>
      <c r="W379" s="29">
        <f t="shared" ref="W379:W399" si="140">(D379/X379)*1000</f>
      </c>
      <c r="X379" s="33">
        <v>33959</v>
      </c>
      <c r="Y379" s="33">
        <v>1900</v>
      </c>
      <c r="Z379" s="31">
        <v>96</v>
      </c>
      <c r="AA379" s="31">
        <v>4915</v>
      </c>
      <c r="AB379" s="31">
        <v>139</v>
      </c>
      <c r="AC379" s="31">
        <v>28</v>
      </c>
      <c r="AD379" s="33">
        <v>4</v>
      </c>
      <c r="AE379" s="33">
        <v>46</v>
      </c>
      <c r="AF379" s="29">
        <f t="shared" ref="AF379:AF392" si="98">AI379*1000/D379</f>
      </c>
      <c r="AG379" s="34" t="s">
        <v>40</v>
      </c>
      <c r="AH379" s="35" t="s">
        <v>41</v>
      </c>
      <c r="AI379" s="33">
        <v>52</v>
      </c>
    </row>
    <row r="380">
      <c r="A380" s="22"/>
      <c r="B380" s="49" t="s">
        <v>47</v>
      </c>
      <c r="C380" s="36" t="s">
        <v>44</v>
      </c>
      <c r="D380" s="25">
        <v>5825.37</v>
      </c>
      <c r="E380" s="26">
        <v>13</v>
      </c>
      <c r="F380" s="26">
        <v>9</v>
      </c>
      <c r="G380" s="27">
        <v>9</v>
      </c>
      <c r="H380" s="25">
        <v>4794.899999999998</v>
      </c>
      <c r="I380" s="108">
        <v>1</v>
      </c>
      <c r="J380" s="29">
        <f t="shared" si="235"/>
      </c>
      <c r="K380" s="28">
        <f t="shared" si="197"/>
      </c>
      <c r="L380" s="29">
        <f t="shared" si="159"/>
      </c>
      <c r="M380" s="30">
        <f t="shared" si="121"/>
      </c>
      <c r="N380" s="29">
        <f t="shared" si="72"/>
      </c>
      <c r="O380" s="29">
        <f t="shared" si="53"/>
      </c>
      <c r="P380" s="30">
        <f t="shared" si="34"/>
      </c>
      <c r="Q380" s="30">
        <f t="shared" si="15"/>
      </c>
      <c r="R380" s="30">
        <f t="shared" si="254"/>
      </c>
      <c r="S380" s="30">
        <f t="shared" si="216"/>
      </c>
      <c r="T380" s="31">
        <f t="shared" si="178"/>
      </c>
      <c r="U380" s="32">
        <v>0.0242</v>
      </c>
      <c r="V380" s="33">
        <v>39</v>
      </c>
      <c r="W380" s="29">
        <f t="shared" si="140"/>
      </c>
      <c r="X380" s="33">
        <v>47857</v>
      </c>
      <c r="Y380" s="33">
        <v>1813</v>
      </c>
      <c r="Z380" s="31">
        <v>161</v>
      </c>
      <c r="AA380" s="31">
        <v>4118</v>
      </c>
      <c r="AB380" s="33">
        <v>175</v>
      </c>
      <c r="AC380" s="31">
        <v>30</v>
      </c>
      <c r="AD380" s="33">
        <v>16</v>
      </c>
      <c r="AE380" s="33">
        <v>73</v>
      </c>
      <c r="AF380" s="29">
        <f t="shared" si="98"/>
      </c>
      <c r="AG380" s="34" t="s">
        <v>40</v>
      </c>
      <c r="AH380" s="35" t="s">
        <v>41</v>
      </c>
      <c r="AI380" s="33">
        <v>73</v>
      </c>
    </row>
    <row r="381">
      <c r="A381" s="22"/>
      <c r="B381" s="49" t="s">
        <v>47</v>
      </c>
      <c r="C381" s="24" t="s">
        <v>45</v>
      </c>
      <c r="D381" s="25">
        <v>6270.9</v>
      </c>
      <c r="E381" s="26">
        <v>20</v>
      </c>
      <c r="F381" s="26">
        <v>19</v>
      </c>
      <c r="G381" s="27">
        <v>15</v>
      </c>
      <c r="H381" s="25">
        <v>11199.1</v>
      </c>
      <c r="I381" s="108">
        <v>4</v>
      </c>
      <c r="J381" s="29">
        <f t="shared" si="235"/>
      </c>
      <c r="K381" s="28">
        <f t="shared" si="197"/>
      </c>
      <c r="L381" s="29">
        <f t="shared" si="159"/>
      </c>
      <c r="M381" s="30">
        <f t="shared" si="121"/>
      </c>
      <c r="N381" s="29">
        <f t="shared" si="72"/>
      </c>
      <c r="O381" s="29">
        <f t="shared" si="53"/>
      </c>
      <c r="P381" s="30">
        <f t="shared" si="34"/>
      </c>
      <c r="Q381" s="30">
        <f t="shared" si="15"/>
      </c>
      <c r="R381" s="30">
        <f t="shared" si="254"/>
      </c>
      <c r="S381" s="30">
        <f t="shared" si="216"/>
      </c>
      <c r="T381" s="31">
        <f t="shared" si="178"/>
      </c>
      <c r="U381" s="32">
        <v>0.0232</v>
      </c>
      <c r="V381" s="33">
        <v>39</v>
      </c>
      <c r="W381" s="29">
        <f t="shared" si="140"/>
      </c>
      <c r="X381" s="33">
        <v>53595</v>
      </c>
      <c r="Y381" s="33">
        <v>1757</v>
      </c>
      <c r="Z381" s="31">
        <v>148</v>
      </c>
      <c r="AA381" s="31">
        <v>4304</v>
      </c>
      <c r="AB381" s="33">
        <v>139</v>
      </c>
      <c r="AC381" s="31">
        <v>23</v>
      </c>
      <c r="AD381" s="33">
        <v>8</v>
      </c>
      <c r="AE381" s="33">
        <v>109</v>
      </c>
      <c r="AF381" s="29">
        <f t="shared" si="98"/>
      </c>
      <c r="AG381" s="34" t="s">
        <v>40</v>
      </c>
      <c r="AH381" s="35" t="s">
        <v>41</v>
      </c>
      <c r="AI381" s="33">
        <v>67</v>
      </c>
    </row>
    <row r="382">
      <c r="A382" s="22"/>
      <c r="B382" s="49" t="s">
        <v>47</v>
      </c>
      <c r="C382" s="23" t="s">
        <v>48</v>
      </c>
      <c r="D382" s="25">
        <v>5502.79</v>
      </c>
      <c r="E382" s="26">
        <v>15</v>
      </c>
      <c r="F382" s="26">
        <v>14</v>
      </c>
      <c r="G382" s="27">
        <v>13</v>
      </c>
      <c r="H382" s="25">
        <v>8611.900000000001</v>
      </c>
      <c r="I382" s="108">
        <v>4</v>
      </c>
      <c r="J382" s="29">
        <f t="shared" si="235"/>
      </c>
      <c r="K382" s="28">
        <f t="shared" si="197"/>
      </c>
      <c r="L382" s="29">
        <f t="shared" si="159"/>
      </c>
      <c r="M382" s="30">
        <f t="shared" si="121"/>
      </c>
      <c r="N382" s="29">
        <f t="shared" si="72"/>
      </c>
      <c r="O382" s="29">
        <f t="shared" si="53"/>
      </c>
      <c r="P382" s="30">
        <f t="shared" si="34"/>
      </c>
      <c r="Q382" s="30">
        <f t="shared" si="15"/>
      </c>
      <c r="R382" s="30">
        <f t="shared" si="254"/>
      </c>
      <c r="S382" s="30">
        <f t="shared" si="216"/>
      </c>
      <c r="T382" s="31">
        <f t="shared" si="178"/>
      </c>
      <c r="U382" s="32">
        <v>0.0214</v>
      </c>
      <c r="V382" s="33">
        <v>41</v>
      </c>
      <c r="W382" s="29">
        <f t="shared" si="140"/>
      </c>
      <c r="X382" s="33">
        <v>48177</v>
      </c>
      <c r="Y382" s="33">
        <v>2043</v>
      </c>
      <c r="Z382" s="31">
        <v>142</v>
      </c>
      <c r="AA382" s="31">
        <v>4597</v>
      </c>
      <c r="AB382" s="33">
        <v>200</v>
      </c>
      <c r="AC382" s="31">
        <v>22</v>
      </c>
      <c r="AD382" s="33">
        <v>8</v>
      </c>
      <c r="AE382" s="33">
        <v>87</v>
      </c>
      <c r="AF382" s="29">
        <f t="shared" si="98"/>
      </c>
      <c r="AG382" s="34" t="s">
        <v>40</v>
      </c>
      <c r="AH382" s="35" t="s">
        <v>41</v>
      </c>
      <c r="AI382" s="33">
        <v>71</v>
      </c>
    </row>
    <row r="383">
      <c r="A383" s="22"/>
      <c r="B383" s="49" t="s">
        <v>47</v>
      </c>
      <c r="C383" s="60" t="s">
        <v>49</v>
      </c>
      <c r="D383" s="25">
        <v>6274.51</v>
      </c>
      <c r="E383" s="26">
        <v>18</v>
      </c>
      <c r="F383" s="26">
        <v>18</v>
      </c>
      <c r="G383" s="27">
        <v>10</v>
      </c>
      <c r="H383" s="25">
        <v>12963.5</v>
      </c>
      <c r="I383" s="108">
        <v>3</v>
      </c>
      <c r="J383" s="29">
        <f t="shared" si="235"/>
      </c>
      <c r="K383" s="28">
        <f t="shared" si="197"/>
      </c>
      <c r="L383" s="29">
        <f t="shared" si="159"/>
      </c>
      <c r="M383" s="30">
        <f t="shared" si="121"/>
      </c>
      <c r="N383" s="29">
        <f t="shared" si="72"/>
      </c>
      <c r="O383" s="29">
        <f t="shared" si="53"/>
      </c>
      <c r="P383" s="30">
        <f t="shared" si="34"/>
      </c>
      <c r="Q383" s="30">
        <f t="shared" si="15"/>
      </c>
      <c r="R383" s="30">
        <f t="shared" si="254"/>
      </c>
      <c r="S383" s="30">
        <f t="shared" si="216"/>
      </c>
      <c r="T383" s="31">
        <f t="shared" si="178"/>
      </c>
      <c r="U383" s="32">
        <v>0.0153</v>
      </c>
      <c r="V383" s="33">
        <v>43</v>
      </c>
      <c r="W383" s="29">
        <f t="shared" si="140"/>
      </c>
      <c r="X383" s="33">
        <v>62100</v>
      </c>
      <c r="Y383" s="33">
        <v>2255</v>
      </c>
      <c r="Z383" s="33">
        <v>128</v>
      </c>
      <c r="AA383" s="33">
        <v>4878</v>
      </c>
      <c r="AB383" s="33">
        <v>154</v>
      </c>
      <c r="AC383" s="33">
        <v>30</v>
      </c>
      <c r="AD383" s="33">
        <v>22</v>
      </c>
      <c r="AE383" s="33">
        <v>118</v>
      </c>
      <c r="AF383" s="29">
        <f t="shared" si="98"/>
      </c>
      <c r="AG383" s="34" t="s">
        <v>40</v>
      </c>
      <c r="AH383" s="35" t="s">
        <v>41</v>
      </c>
      <c r="AI383" s="33">
        <v>62</v>
      </c>
    </row>
    <row r="384">
      <c r="A384" s="22"/>
      <c r="B384" s="40" t="s">
        <v>46</v>
      </c>
      <c r="C384" s="40"/>
      <c r="D384" s="41">
        <f>SUM(D379:D383)</f>
      </c>
      <c r="E384" s="42">
        <f>SUM(E379:E383)</f>
      </c>
      <c r="F384" s="42">
        <f>SUM(F379:F383)</f>
      </c>
      <c r="G384" s="43">
        <f>SUM(G379:G383)</f>
      </c>
      <c r="H384" s="45">
        <f>SUM(H379:H383)</f>
      </c>
      <c r="I384" s="44">
        <f>SUM(I379:I383)</f>
      </c>
      <c r="J384" s="109">
        <f t="shared" si="235"/>
      </c>
      <c r="K384" s="45">
        <f t="shared" si="197"/>
      </c>
      <c r="L384" s="45">
        <f t="shared" si="159"/>
      </c>
      <c r="M384" s="46">
        <f t="shared" si="121"/>
      </c>
      <c r="N384" s="45">
        <f t="shared" si="72"/>
      </c>
      <c r="O384" s="45">
        <f t="shared" si="53"/>
      </c>
      <c r="P384" s="46">
        <f t="shared" si="34"/>
      </c>
      <c r="Q384" s="46">
        <f t="shared" si="15"/>
      </c>
      <c r="R384" s="46">
        <f t="shared" si="254"/>
      </c>
      <c r="S384" s="46">
        <f t="shared" si="216"/>
      </c>
      <c r="T384" s="42">
        <f t="shared" si="178"/>
      </c>
      <c r="U384" s="46">
        <f>AVERAGE(U379:U383)</f>
      </c>
      <c r="V384" s="41">
        <f>AVERAGE(V379:V383)</f>
      </c>
      <c r="W384" s="45">
        <f t="shared" si="140"/>
      </c>
      <c r="X384" s="42">
        <f>SUM(X379:X383)</f>
      </c>
      <c r="Y384" s="42">
        <f>SUM(Y379:Y383)</f>
      </c>
      <c r="Z384" s="42">
        <f>SUM(Z379:Z383)</f>
      </c>
      <c r="AA384" s="42">
        <f>SUM(AA379:AA383)</f>
      </c>
      <c r="AB384" s="42">
        <f>SUM(AB379:AB383)</f>
      </c>
      <c r="AC384" s="42">
        <f>SUM(AC379:AC383)</f>
      </c>
      <c r="AD384" s="42">
        <f>SUM(AD379:AD383)</f>
      </c>
      <c r="AE384" s="42">
        <f>SUM(AE379:AE383)</f>
      </c>
      <c r="AF384" s="47">
        <f t="shared" si="98"/>
      </c>
      <c r="AG384" s="48"/>
      <c r="AH384" s="48"/>
      <c r="AI384" s="43">
        <f>SUM(AI379:AI383)</f>
      </c>
    </row>
    <row r="385">
      <c r="A385" s="22"/>
      <c r="B385" s="23" t="s">
        <v>54</v>
      </c>
      <c r="C385" s="61" t="s">
        <v>50</v>
      </c>
      <c r="D385" s="50">
        <v>10085.44</v>
      </c>
      <c r="E385" s="51">
        <v>28</v>
      </c>
      <c r="F385" s="51">
        <v>23</v>
      </c>
      <c r="G385" s="52">
        <v>23</v>
      </c>
      <c r="H385" s="53">
        <v>15567.199999999997</v>
      </c>
      <c r="I385" s="54">
        <v>8</v>
      </c>
      <c r="J385" s="55">
        <f t="shared" si="235"/>
      </c>
      <c r="K385" s="55">
        <f t="shared" si="197"/>
      </c>
      <c r="L385" s="55">
        <f t="shared" si="159"/>
      </c>
      <c r="M385" s="56">
        <f t="shared" si="121"/>
      </c>
      <c r="N385" s="55">
        <f t="shared" si="72"/>
      </c>
      <c r="O385" s="55">
        <f t="shared" si="53"/>
      </c>
      <c r="P385" s="56">
        <f t="shared" si="34"/>
      </c>
      <c r="Q385" s="56">
        <f t="shared" si="15"/>
      </c>
      <c r="R385" s="56">
        <f t="shared" si="254"/>
      </c>
      <c r="S385" s="56">
        <f t="shared" si="216"/>
      </c>
      <c r="T385" s="57">
        <f t="shared" si="178"/>
      </c>
      <c r="U385" s="58">
        <v>0.0279</v>
      </c>
      <c r="V385" s="59">
        <v>46</v>
      </c>
      <c r="W385" s="55">
        <f t="shared" si="140"/>
      </c>
      <c r="X385" s="57">
        <v>102299</v>
      </c>
      <c r="Y385" s="57">
        <v>3446</v>
      </c>
      <c r="Z385" s="57">
        <v>240</v>
      </c>
      <c r="AA385" s="57">
        <v>7893</v>
      </c>
      <c r="AB385" s="57">
        <v>310</v>
      </c>
      <c r="AC385" s="57">
        <v>54</v>
      </c>
      <c r="AD385" s="57">
        <v>13</v>
      </c>
      <c r="AE385" s="57">
        <v>217</v>
      </c>
      <c r="AF385" s="55">
        <f t="shared" si="98"/>
      </c>
      <c r="AG385" s="34" t="s">
        <v>40</v>
      </c>
      <c r="AH385" s="35" t="s">
        <v>41</v>
      </c>
      <c r="AI385" s="59">
        <v>111</v>
      </c>
    </row>
    <row r="386">
      <c r="A386" s="22"/>
      <c r="B386" s="23" t="s">
        <v>54</v>
      </c>
      <c r="C386" s="60" t="s">
        <v>51</v>
      </c>
      <c r="D386" s="50">
        <v>9170.99</v>
      </c>
      <c r="E386" s="51">
        <v>26</v>
      </c>
      <c r="F386" s="51">
        <v>23</v>
      </c>
      <c r="G386" s="52">
        <v>16</v>
      </c>
      <c r="H386" s="53">
        <v>17982.800000000003</v>
      </c>
      <c r="I386" s="110">
        <v>6</v>
      </c>
      <c r="J386" s="55">
        <f t="shared" si="235"/>
      </c>
      <c r="K386" s="55">
        <f t="shared" si="197"/>
      </c>
      <c r="L386" s="55">
        <f t="shared" si="159"/>
      </c>
      <c r="M386" s="56">
        <f t="shared" si="121"/>
      </c>
      <c r="N386" s="55">
        <f t="shared" si="72"/>
      </c>
      <c r="O386" s="55">
        <f t="shared" si="53"/>
      </c>
      <c r="P386" s="56">
        <f t="shared" si="34"/>
      </c>
      <c r="Q386" s="56">
        <f t="shared" si="15"/>
      </c>
      <c r="R386" s="56">
        <f t="shared" si="254"/>
      </c>
      <c r="S386" s="56">
        <f t="shared" si="216"/>
      </c>
      <c r="T386" s="57">
        <f t="shared" si="178"/>
      </c>
      <c r="U386" s="58">
        <v>0.021</v>
      </c>
      <c r="V386" s="59">
        <v>48</v>
      </c>
      <c r="W386" s="55">
        <f t="shared" si="140"/>
      </c>
      <c r="X386" s="57">
        <v>81789</v>
      </c>
      <c r="Y386" s="57">
        <v>3692</v>
      </c>
      <c r="Z386" s="57">
        <v>231</v>
      </c>
      <c r="AA386" s="57">
        <v>9134</v>
      </c>
      <c r="AB386" s="57">
        <v>338</v>
      </c>
      <c r="AC386" s="57">
        <v>68</v>
      </c>
      <c r="AD386" s="57">
        <v>20</v>
      </c>
      <c r="AE386" s="57">
        <v>186</v>
      </c>
      <c r="AF386" s="55">
        <f t="shared" si="98"/>
      </c>
      <c r="AG386" s="34" t="s">
        <v>40</v>
      </c>
      <c r="AH386" s="35" t="s">
        <v>41</v>
      </c>
      <c r="AI386" s="59">
        <v>135</v>
      </c>
    </row>
    <row r="387">
      <c r="A387" s="22"/>
      <c r="B387" s="23" t="s">
        <v>54</v>
      </c>
      <c r="C387" s="49" t="s">
        <v>53</v>
      </c>
      <c r="D387" s="62">
        <v>8844.68</v>
      </c>
      <c r="E387" s="63">
        <v>33</v>
      </c>
      <c r="F387" s="63">
        <v>27</v>
      </c>
      <c r="G387" s="64">
        <v>24</v>
      </c>
      <c r="H387" s="111">
        <v>20696.5</v>
      </c>
      <c r="I387" s="26">
        <v>7</v>
      </c>
      <c r="J387" s="28">
        <f t="shared" si="235"/>
      </c>
      <c r="K387" s="29">
        <f t="shared" si="197"/>
      </c>
      <c r="L387" s="29">
        <f t="shared" si="159"/>
      </c>
      <c r="M387" s="30">
        <f t="shared" si="121"/>
      </c>
      <c r="N387" s="29">
        <f t="shared" si="72"/>
      </c>
      <c r="O387" s="29">
        <f t="shared" si="53"/>
      </c>
      <c r="P387" s="30">
        <f t="shared" si="34"/>
      </c>
      <c r="Q387" s="30">
        <f t="shared" si="15"/>
      </c>
      <c r="R387" s="30">
        <f t="shared" si="254"/>
      </c>
      <c r="S387" s="30">
        <f t="shared" si="216"/>
      </c>
      <c r="T387" s="31">
        <f t="shared" si="178"/>
      </c>
      <c r="U387" s="32">
        <v>0.0191</v>
      </c>
      <c r="V387" s="33">
        <v>49</v>
      </c>
      <c r="W387" s="29">
        <f t="shared" si="140"/>
      </c>
      <c r="X387" s="33">
        <v>74933</v>
      </c>
      <c r="Y387" s="33">
        <v>3154</v>
      </c>
      <c r="Z387" s="31">
        <v>201</v>
      </c>
      <c r="AA387" s="31">
        <v>7586</v>
      </c>
      <c r="AB387" s="33">
        <v>303</v>
      </c>
      <c r="AC387" s="31">
        <v>69</v>
      </c>
      <c r="AD387" s="33">
        <v>12</v>
      </c>
      <c r="AE387" s="33">
        <v>155</v>
      </c>
      <c r="AF387" s="29">
        <f t="shared" si="98"/>
      </c>
      <c r="AG387" s="34" t="s">
        <v>40</v>
      </c>
      <c r="AH387" s="35" t="s">
        <v>41</v>
      </c>
      <c r="AI387" s="33">
        <v>118</v>
      </c>
    </row>
    <row r="388">
      <c r="A388" s="22"/>
      <c r="B388" s="23" t="s">
        <v>54</v>
      </c>
      <c r="C388" s="60" t="s">
        <v>55</v>
      </c>
      <c r="D388" s="62">
        <v>8803.39</v>
      </c>
      <c r="E388" s="63">
        <v>45</v>
      </c>
      <c r="F388" s="63">
        <v>38</v>
      </c>
      <c r="G388" s="64">
        <v>33</v>
      </c>
      <c r="H388" s="53">
        <v>23498.199999999997</v>
      </c>
      <c r="I388" s="112">
        <v>6</v>
      </c>
      <c r="J388" s="55">
        <f t="shared" si="235"/>
      </c>
      <c r="K388" s="55">
        <f t="shared" si="197"/>
      </c>
      <c r="L388" s="55">
        <f t="shared" si="159"/>
      </c>
      <c r="M388" s="56">
        <f t="shared" si="121"/>
      </c>
      <c r="N388" s="55">
        <f t="shared" si="72"/>
      </c>
      <c r="O388" s="55">
        <f t="shared" si="53"/>
      </c>
      <c r="P388" s="56">
        <f t="shared" si="34"/>
      </c>
      <c r="Q388" s="56">
        <f t="shared" si="15"/>
      </c>
      <c r="R388" s="56">
        <f t="shared" si="254"/>
      </c>
      <c r="S388" s="56">
        <f t="shared" si="216"/>
      </c>
      <c r="T388" s="57">
        <f t="shared" si="178"/>
      </c>
      <c r="U388" s="58">
        <v>0.0204</v>
      </c>
      <c r="V388" s="59">
        <v>49</v>
      </c>
      <c r="W388" s="55">
        <f t="shared" si="140"/>
      </c>
      <c r="X388" s="57">
        <v>76746</v>
      </c>
      <c r="Y388" s="57">
        <v>2949</v>
      </c>
      <c r="Z388" s="57">
        <v>204</v>
      </c>
      <c r="AA388" s="57">
        <v>6625</v>
      </c>
      <c r="AB388" s="57">
        <v>321</v>
      </c>
      <c r="AC388" s="57">
        <v>69</v>
      </c>
      <c r="AD388" s="57">
        <v>15</v>
      </c>
      <c r="AE388" s="57">
        <v>155</v>
      </c>
      <c r="AF388" s="55">
        <f t="shared" si="98"/>
      </c>
      <c r="AG388" s="34" t="s">
        <v>56</v>
      </c>
      <c r="AH388" s="106" t="s">
        <v>68</v>
      </c>
      <c r="AI388" s="59">
        <v>104</v>
      </c>
    </row>
    <row r="389">
      <c r="A389" s="22"/>
      <c r="B389" s="67" t="s">
        <v>46</v>
      </c>
      <c r="C389" s="67"/>
      <c r="D389" s="68">
        <f>SUM(D385:D388)</f>
      </c>
      <c r="E389" s="69">
        <f>SUM(E385:E388)</f>
      </c>
      <c r="F389" s="69">
        <f>SUM(F385:F388)</f>
      </c>
      <c r="G389" s="70">
        <f>SUM(G385:G388)</f>
      </c>
      <c r="H389" s="68">
        <f>SUM(H385:H388)</f>
      </c>
      <c r="I389" s="69">
        <f>SUM(I385:I388)</f>
      </c>
      <c r="J389" s="71">
        <f t="shared" si="235"/>
      </c>
      <c r="K389" s="71">
        <f t="shared" si="197"/>
      </c>
      <c r="L389" s="71">
        <f t="shared" si="159"/>
      </c>
      <c r="M389" s="72">
        <f t="shared" si="121"/>
      </c>
      <c r="N389" s="71">
        <f t="shared" si="72"/>
      </c>
      <c r="O389" s="71">
        <f t="shared" si="53"/>
      </c>
      <c r="P389" s="72">
        <f t="shared" si="34"/>
      </c>
      <c r="Q389" s="72">
        <f t="shared" si="15"/>
      </c>
      <c r="R389" s="72">
        <f t="shared" si="254"/>
      </c>
      <c r="S389" s="72">
        <f t="shared" si="216"/>
      </c>
      <c r="T389" s="73">
        <f t="shared" si="178"/>
      </c>
      <c r="U389" s="46">
        <f>AVERAGE(U385:U388)</f>
      </c>
      <c r="V389" s="41">
        <f>AVERAGE(V385:V388)</f>
      </c>
      <c r="W389" s="71">
        <f t="shared" si="140"/>
      </c>
      <c r="X389" s="73">
        <f>SUM(X385:X388)</f>
      </c>
      <c r="Y389" s="73">
        <f>SUM(Y385:Y388)</f>
      </c>
      <c r="Z389" s="73">
        <f>SUM(Z385:Z388)</f>
      </c>
      <c r="AA389" s="73">
        <f>SUM(AA385:AA388)</f>
      </c>
      <c r="AB389" s="73">
        <f>SUM(AB385:AB388)</f>
      </c>
      <c r="AC389" s="73">
        <f>SUM(AC385:AC388)</f>
      </c>
      <c r="AD389" s="73">
        <f>SUM(AD385:AD388)</f>
      </c>
      <c r="AE389" s="73">
        <f>SUM(AE385:AE388)</f>
      </c>
      <c r="AF389" s="74">
        <f t="shared" si="98"/>
      </c>
      <c r="AG389" s="75"/>
      <c r="AH389" s="75"/>
      <c r="AI389" s="70">
        <f>SUM(AI385:AI388)</f>
      </c>
    </row>
    <row r="390">
      <c r="A390" s="22"/>
      <c r="B390" s="49" t="s">
        <v>75</v>
      </c>
      <c r="C390" s="61" t="s">
        <v>57</v>
      </c>
      <c r="D390" s="23">
        <v>4906.83</v>
      </c>
      <c r="E390" s="26">
        <v>10</v>
      </c>
      <c r="F390" s="26">
        <v>8</v>
      </c>
      <c r="G390" s="27">
        <v>8</v>
      </c>
      <c r="H390" s="76">
        <v>4970.900000000009</v>
      </c>
      <c r="I390" s="26">
        <v>1</v>
      </c>
      <c r="J390" s="29">
        <f t="shared" si="235"/>
      </c>
      <c r="K390" s="29">
        <f t="shared" si="197"/>
      </c>
      <c r="L390" s="29">
        <f t="shared" si="159"/>
      </c>
      <c r="M390" s="30">
        <f t="shared" si="121"/>
      </c>
      <c r="N390" s="29">
        <f t="shared" si="72"/>
      </c>
      <c r="O390" s="29">
        <f t="shared" si="53"/>
      </c>
      <c r="P390" s="30">
        <f t="shared" si="34"/>
      </c>
      <c r="Q390" s="30">
        <f t="shared" si="15"/>
      </c>
      <c r="R390" s="30">
        <f t="shared" si="254"/>
      </c>
      <c r="S390" s="30">
        <f t="shared" si="216"/>
      </c>
      <c r="T390" s="31">
        <f t="shared" si="178"/>
      </c>
      <c r="U390" s="32">
        <v>0.007</v>
      </c>
      <c r="V390" s="33">
        <v>48</v>
      </c>
      <c r="W390" s="29">
        <f t="shared" si="140"/>
      </c>
      <c r="X390" s="33">
        <v>46461</v>
      </c>
      <c r="Y390" s="33">
        <v>2589</v>
      </c>
      <c r="Z390" s="31">
        <v>90</v>
      </c>
      <c r="AA390" s="31">
        <v>5840</v>
      </c>
      <c r="AB390" s="31">
        <v>139</v>
      </c>
      <c r="AC390" s="31">
        <v>19</v>
      </c>
      <c r="AD390" s="33">
        <v>10</v>
      </c>
      <c r="AE390" s="33">
        <v>59</v>
      </c>
      <c r="AF390" s="29">
        <f t="shared" si="98"/>
      </c>
      <c r="AG390" s="34" t="s">
        <v>56</v>
      </c>
      <c r="AH390" s="106" t="s">
        <v>68</v>
      </c>
      <c r="AI390" s="33">
        <v>36</v>
      </c>
    </row>
    <row r="391">
      <c r="A391" s="22"/>
      <c r="B391" s="49" t="s">
        <v>75</v>
      </c>
      <c r="C391" s="60" t="s">
        <v>58</v>
      </c>
      <c r="D391" s="23">
        <v>2712.68</v>
      </c>
      <c r="E391" s="26">
        <v>9</v>
      </c>
      <c r="F391" s="26">
        <v>8</v>
      </c>
      <c r="G391" s="27">
        <v>6</v>
      </c>
      <c r="H391" s="76">
        <v>4673.899999999994</v>
      </c>
      <c r="I391" s="26">
        <v>1</v>
      </c>
      <c r="J391" s="29">
        <f t="shared" si="235"/>
      </c>
      <c r="K391" s="29">
        <f t="shared" si="197"/>
      </c>
      <c r="L391" s="29">
        <f t="shared" si="159"/>
      </c>
      <c r="M391" s="30">
        <f t="shared" si="121"/>
      </c>
      <c r="N391" s="29">
        <f t="shared" si="72"/>
      </c>
      <c r="O391" s="29">
        <f t="shared" si="53"/>
      </c>
      <c r="P391" s="30">
        <f t="shared" si="34"/>
      </c>
      <c r="Q391" s="30">
        <f t="shared" si="15"/>
      </c>
      <c r="R391" s="30">
        <f t="shared" si="254"/>
      </c>
      <c r="S391" s="30">
        <f t="shared" si="216"/>
      </c>
      <c r="T391" s="31">
        <f t="shared" si="178"/>
      </c>
      <c r="U391" s="32">
        <v>0.015</v>
      </c>
      <c r="V391" s="33">
        <v>48</v>
      </c>
      <c r="W391" s="29">
        <f t="shared" si="140"/>
      </c>
      <c r="X391" s="33">
        <v>27231</v>
      </c>
      <c r="Y391" s="33">
        <v>986</v>
      </c>
      <c r="Z391" s="31">
        <v>68</v>
      </c>
      <c r="AA391" s="31">
        <v>2459</v>
      </c>
      <c r="AB391" s="31">
        <v>66</v>
      </c>
      <c r="AC391" s="31">
        <v>18</v>
      </c>
      <c r="AD391" s="33">
        <v>4</v>
      </c>
      <c r="AE391" s="33">
        <v>51</v>
      </c>
      <c r="AF391" s="29">
        <f t="shared" si="98"/>
      </c>
      <c r="AG391" s="34" t="s">
        <v>56</v>
      </c>
      <c r="AH391" s="106" t="s">
        <v>68</v>
      </c>
      <c r="AI391" s="33">
        <v>33</v>
      </c>
    </row>
    <row r="392">
      <c r="A392" s="22"/>
      <c r="B392" s="40" t="s">
        <v>46</v>
      </c>
      <c r="C392" s="40"/>
      <c r="D392" s="77">
        <f>SUM(D390:D391)</f>
      </c>
      <c r="E392" s="78">
        <f>SUM(E390:E391)</f>
      </c>
      <c r="F392" s="78">
        <f>SUM(F390:F391)</f>
      </c>
      <c r="G392" s="79">
        <f>SUM(G390:G391)</f>
      </c>
      <c r="H392" s="77">
        <f>SUM(H390:H391)</f>
      </c>
      <c r="I392" s="78">
        <f>SUM(I390:I391)</f>
      </c>
      <c r="J392" s="45">
        <f t="shared" si="235"/>
      </c>
      <c r="K392" s="45">
        <f t="shared" si="197"/>
      </c>
      <c r="L392" s="45">
        <f t="shared" si="159"/>
      </c>
      <c r="M392" s="46">
        <f t="shared" si="121"/>
      </c>
      <c r="N392" s="45">
        <f t="shared" si="72"/>
      </c>
      <c r="O392" s="45">
        <f t="shared" si="53"/>
      </c>
      <c r="P392" s="46">
        <f t="shared" si="34"/>
      </c>
      <c r="Q392" s="46">
        <f t="shared" si="15"/>
      </c>
      <c r="R392" s="46">
        <f t="shared" si="254"/>
      </c>
      <c r="S392" s="46">
        <f t="shared" si="216"/>
      </c>
      <c r="T392" s="42">
        <f t="shared" si="178"/>
      </c>
      <c r="U392" s="46">
        <f>AVERAGE(U391)</f>
      </c>
      <c r="V392" s="41">
        <f>AVERAGE(V391)</f>
      </c>
      <c r="W392" s="45">
        <f t="shared" si="140"/>
      </c>
      <c r="X392" s="42">
        <f>SUM(X390:X391)</f>
      </c>
      <c r="Y392" s="42">
        <f>SUM(Y390:Y391)</f>
      </c>
      <c r="Z392" s="42">
        <f>SUM(Z390:Z391)</f>
      </c>
      <c r="AA392" s="42">
        <f>SUM(AA390:AA391)</f>
      </c>
      <c r="AB392" s="42">
        <f>SUM(AB390:AB391)</f>
      </c>
      <c r="AC392" s="42">
        <f>SUM(AC390:AC391)</f>
      </c>
      <c r="AD392" s="42">
        <f>SUM(AD390:AD391)</f>
      </c>
      <c r="AE392" s="42">
        <f>SUM(AE390:AE391)</f>
      </c>
      <c r="AF392" s="47">
        <f t="shared" si="98"/>
      </c>
      <c r="AG392" s="48"/>
      <c r="AH392" s="48"/>
      <c r="AI392" s="42">
        <f>SUM(AI390:AI391)</f>
      </c>
    </row>
    <row r="393">
      <c r="A393" s="22"/>
      <c r="B393" s="23" t="s">
        <v>69</v>
      </c>
      <c r="C393" s="49" t="s">
        <v>59</v>
      </c>
      <c r="D393" s="80">
        <v>3289.65</v>
      </c>
      <c r="E393" s="51">
        <v>12</v>
      </c>
      <c r="F393" s="51">
        <v>9</v>
      </c>
      <c r="G393" s="52">
        <v>8</v>
      </c>
      <c r="H393" s="53">
        <v>5709</v>
      </c>
      <c r="I393" s="54">
        <v>0</v>
      </c>
      <c r="J393" s="55">
        <f t="shared" si="235"/>
      </c>
      <c r="K393" s="55">
        <f t="shared" si="197"/>
      </c>
      <c r="L393" s="55">
        <f t="shared" si="159"/>
      </c>
      <c r="M393" s="56">
        <f t="shared" si="121"/>
      </c>
      <c r="N393" s="55">
        <f t="shared" si="72"/>
      </c>
      <c r="O393" s="55">
        <f t="shared" si="53"/>
      </c>
      <c r="P393" s="56">
        <f t="shared" si="34"/>
      </c>
      <c r="Q393" s="56">
        <f t="shared" si="15"/>
      </c>
      <c r="R393" s="56">
        <f t="shared" si="254"/>
      </c>
      <c r="S393" s="56">
        <f t="shared" si="216"/>
      </c>
      <c r="T393" s="57">
        <f t="shared" si="178"/>
      </c>
      <c r="U393" s="58">
        <v>0.0182</v>
      </c>
      <c r="V393" s="59">
        <v>47</v>
      </c>
      <c r="W393" s="29">
        <f t="shared" si="140"/>
      </c>
      <c r="X393" s="57">
        <v>29114</v>
      </c>
      <c r="Y393" s="57">
        <v>795</v>
      </c>
      <c r="Z393" s="57">
        <v>73</v>
      </c>
      <c r="AA393" s="57">
        <v>1930</v>
      </c>
      <c r="AB393" s="57">
        <v>116</v>
      </c>
      <c r="AC393" s="57">
        <v>16</v>
      </c>
      <c r="AD393" s="57">
        <v>2</v>
      </c>
      <c r="AE393" s="57">
        <v>52</v>
      </c>
      <c r="AF393" s="55" t="str">
        <v>#DIV/0!</v>
      </c>
      <c r="AG393" s="34" t="s">
        <v>56</v>
      </c>
      <c r="AH393" s="106" t="s">
        <v>68</v>
      </c>
      <c r="AI393" s="59">
        <v>40</v>
      </c>
    </row>
    <row r="394">
      <c r="A394" s="22"/>
      <c r="B394" s="23" t="s">
        <v>69</v>
      </c>
      <c r="C394" s="49" t="s">
        <v>61</v>
      </c>
      <c r="D394" s="80">
        <v>7442.03</v>
      </c>
      <c r="E394" s="51">
        <v>24</v>
      </c>
      <c r="F394" s="51">
        <v>16</v>
      </c>
      <c r="G394" s="52">
        <v>14</v>
      </c>
      <c r="H394" s="53">
        <v>10007.799999999988</v>
      </c>
      <c r="I394" s="54">
        <v>2</v>
      </c>
      <c r="J394" s="55">
        <f t="shared" si="235"/>
      </c>
      <c r="K394" s="55">
        <f t="shared" si="197"/>
      </c>
      <c r="L394" s="55">
        <f t="shared" si="159"/>
      </c>
      <c r="M394" s="56">
        <f t="shared" si="121"/>
      </c>
      <c r="N394" s="55">
        <f t="shared" si="72"/>
      </c>
      <c r="O394" s="55">
        <f t="shared" si="53"/>
      </c>
      <c r="P394" s="56">
        <f t="shared" si="34"/>
      </c>
      <c r="Q394" s="56">
        <f t="shared" si="15"/>
      </c>
      <c r="R394" s="56">
        <f t="shared" si="254"/>
      </c>
      <c r="S394" s="56">
        <f t="shared" si="216"/>
      </c>
      <c r="T394" s="57">
        <f t="shared" si="178"/>
      </c>
      <c r="U394" s="58">
        <v>0.018</v>
      </c>
      <c r="V394" s="59">
        <v>46</v>
      </c>
      <c r="W394" s="55">
        <f t="shared" si="140"/>
      </c>
      <c r="X394" s="57">
        <v>84779</v>
      </c>
      <c r="Y394" s="57">
        <v>2061</v>
      </c>
      <c r="Z394" s="57">
        <v>138</v>
      </c>
      <c r="AA394" s="57">
        <v>6376</v>
      </c>
      <c r="AB394" s="57">
        <v>177</v>
      </c>
      <c r="AC394" s="57">
        <v>38</v>
      </c>
      <c r="AD394" s="57">
        <v>10</v>
      </c>
      <c r="AE394" s="57">
        <v>129</v>
      </c>
      <c r="AF394" s="55">
        <f t="shared" ref="AF394:AF398" si="99">AI394*1000/D394</f>
      </c>
      <c r="AG394" s="34" t="s">
        <v>56</v>
      </c>
      <c r="AH394" s="106" t="s">
        <v>68</v>
      </c>
      <c r="AI394" s="59">
        <v>52</v>
      </c>
    </row>
    <row r="395">
      <c r="A395" s="22"/>
      <c r="B395" s="23" t="s">
        <v>69</v>
      </c>
      <c r="C395" s="49" t="s">
        <v>62</v>
      </c>
      <c r="D395" s="81">
        <v>3710.49</v>
      </c>
      <c r="E395" s="63">
        <v>17</v>
      </c>
      <c r="F395" s="63">
        <v>14</v>
      </c>
      <c r="G395" s="64">
        <v>11</v>
      </c>
      <c r="H395" s="91">
        <v>8742.800000000017</v>
      </c>
      <c r="I395" s="54">
        <v>2</v>
      </c>
      <c r="J395" s="55">
        <f t="shared" si="235"/>
      </c>
      <c r="K395" s="55">
        <f t="shared" si="197"/>
      </c>
      <c r="L395" s="55">
        <f t="shared" si="159"/>
      </c>
      <c r="M395" s="56">
        <f t="shared" si="121"/>
      </c>
      <c r="N395" s="55">
        <f t="shared" si="72"/>
      </c>
      <c r="O395" s="55">
        <f t="shared" si="53"/>
      </c>
      <c r="P395" s="56">
        <f t="shared" si="34"/>
      </c>
      <c r="Q395" s="56">
        <f t="shared" si="15"/>
      </c>
      <c r="R395" s="56">
        <f t="shared" si="254"/>
      </c>
      <c r="S395" s="56">
        <f t="shared" si="216"/>
      </c>
      <c r="T395" s="57">
        <f t="shared" si="178"/>
      </c>
      <c r="U395" s="58">
        <v>0.0328</v>
      </c>
      <c r="V395" s="59">
        <v>46</v>
      </c>
      <c r="W395" s="55">
        <f t="shared" si="140"/>
      </c>
      <c r="X395" s="57">
        <v>49144</v>
      </c>
      <c r="Y395" s="57">
        <v>978</v>
      </c>
      <c r="Z395" s="57">
        <v>97</v>
      </c>
      <c r="AA395" s="57">
        <v>2459</v>
      </c>
      <c r="AB395" s="57">
        <v>114</v>
      </c>
      <c r="AC395" s="57">
        <v>12</v>
      </c>
      <c r="AD395" s="57">
        <v>2</v>
      </c>
      <c r="AE395" s="57">
        <v>80</v>
      </c>
      <c r="AF395" s="55">
        <f t="shared" si="99"/>
      </c>
      <c r="AG395" s="34" t="s">
        <v>56</v>
      </c>
      <c r="AH395" s="106" t="s">
        <v>68</v>
      </c>
      <c r="AI395" s="59">
        <v>36</v>
      </c>
    </row>
    <row r="396">
      <c r="A396" s="22"/>
      <c r="B396" s="23" t="s">
        <v>69</v>
      </c>
      <c r="C396" s="49" t="s">
        <v>63</v>
      </c>
      <c r="D396" s="80">
        <v>4459.4</v>
      </c>
      <c r="E396" s="63">
        <v>23</v>
      </c>
      <c r="F396" s="63">
        <v>20</v>
      </c>
      <c r="G396" s="64">
        <v>16</v>
      </c>
      <c r="H396" s="50">
        <v>12844.699999999983</v>
      </c>
      <c r="I396" s="65">
        <v>3</v>
      </c>
      <c r="J396" s="55">
        <f t="shared" si="235"/>
      </c>
      <c r="K396" s="55">
        <f t="shared" si="197"/>
      </c>
      <c r="L396" s="55">
        <f t="shared" si="159"/>
      </c>
      <c r="M396" s="56">
        <f t="shared" si="121"/>
      </c>
      <c r="N396" s="55">
        <f t="shared" si="72"/>
      </c>
      <c r="O396" s="55">
        <f t="shared" si="53"/>
      </c>
      <c r="P396" s="56">
        <f t="shared" si="34"/>
      </c>
      <c r="Q396" s="56">
        <f t="shared" si="15"/>
      </c>
      <c r="R396" s="56">
        <f t="shared" si="254"/>
      </c>
      <c r="S396" s="56">
        <f t="shared" si="216"/>
      </c>
      <c r="T396" s="57">
        <f t="shared" si="178"/>
      </c>
      <c r="U396" s="58">
        <v>0.0147</v>
      </c>
      <c r="V396" s="59">
        <v>47</v>
      </c>
      <c r="W396" s="55">
        <f t="shared" si="140"/>
      </c>
      <c r="X396" s="57">
        <v>50388</v>
      </c>
      <c r="Y396" s="57">
        <v>1302</v>
      </c>
      <c r="Z396" s="57">
        <v>81</v>
      </c>
      <c r="AA396" s="57">
        <v>4196</v>
      </c>
      <c r="AB396" s="57">
        <v>102</v>
      </c>
      <c r="AC396" s="57">
        <v>24</v>
      </c>
      <c r="AD396" s="57">
        <v>1</v>
      </c>
      <c r="AE396" s="57">
        <v>91</v>
      </c>
      <c r="AF396" s="55">
        <f t="shared" si="99"/>
      </c>
      <c r="AG396" s="34" t="s">
        <v>56</v>
      </c>
      <c r="AH396" s="106" t="s">
        <v>68</v>
      </c>
      <c r="AI396" s="59">
        <v>37</v>
      </c>
    </row>
    <row r="397">
      <c r="A397" s="22"/>
      <c r="B397" s="23" t="s">
        <v>69</v>
      </c>
      <c r="C397" s="49" t="s">
        <v>64</v>
      </c>
      <c r="D397" s="50">
        <v>1982.56</v>
      </c>
      <c r="E397" s="65">
        <v>5</v>
      </c>
      <c r="F397" s="65">
        <v>5</v>
      </c>
      <c r="G397" s="52">
        <v>4</v>
      </c>
      <c r="H397" s="80">
        <v>2585</v>
      </c>
      <c r="I397" s="65">
        <v>0</v>
      </c>
      <c r="J397" s="55">
        <f t="shared" si="235"/>
      </c>
      <c r="K397" s="55">
        <f t="shared" si="197"/>
      </c>
      <c r="L397" s="55">
        <f t="shared" si="159"/>
      </c>
      <c r="M397" s="56">
        <f t="shared" si="121"/>
      </c>
      <c r="N397" s="55">
        <f t="shared" si="72"/>
      </c>
      <c r="O397" s="55">
        <f t="shared" si="53"/>
      </c>
      <c r="P397" s="56">
        <f t="shared" si="34"/>
      </c>
      <c r="Q397" s="56">
        <f t="shared" si="15"/>
      </c>
      <c r="R397" s="56">
        <f t="shared" si="254"/>
      </c>
      <c r="S397" s="56">
        <f t="shared" si="216"/>
      </c>
      <c r="T397" s="57">
        <f t="shared" si="178"/>
      </c>
      <c r="U397" s="58">
        <v>0.042</v>
      </c>
      <c r="V397" s="59">
        <v>48</v>
      </c>
      <c r="W397" s="55">
        <f t="shared" si="140"/>
      </c>
      <c r="X397" s="57">
        <v>18396</v>
      </c>
      <c r="Y397" s="57">
        <v>234</v>
      </c>
      <c r="Z397" s="57">
        <v>36</v>
      </c>
      <c r="AA397" s="57">
        <v>284</v>
      </c>
      <c r="AB397" s="57">
        <v>47</v>
      </c>
      <c r="AC397" s="57">
        <v>12</v>
      </c>
      <c r="AD397" s="57">
        <v>0</v>
      </c>
      <c r="AE397" s="59">
        <v>52</v>
      </c>
      <c r="AF397" s="55">
        <f t="shared" si="99"/>
      </c>
      <c r="AG397" s="34" t="s">
        <v>56</v>
      </c>
      <c r="AH397" s="106" t="s">
        <v>68</v>
      </c>
      <c r="AI397" s="59">
        <v>12</v>
      </c>
    </row>
    <row r="398">
      <c r="A398" s="22"/>
      <c r="B398" s="67" t="s">
        <v>46</v>
      </c>
      <c r="C398" s="67"/>
      <c r="D398" s="41">
        <f>SUM(D393:D397)</f>
      </c>
      <c r="E398" s="42">
        <f>SUM(E393:E397)</f>
      </c>
      <c r="F398" s="42">
        <f>SUM(F393:F397)</f>
      </c>
      <c r="G398" s="43">
        <f>SUM(G393:G397)</f>
      </c>
      <c r="H398" s="41">
        <f>SUM(H393:H397)</f>
      </c>
      <c r="I398" s="44">
        <f>SUM(I393:I397)</f>
      </c>
      <c r="J398" s="109">
        <f t="shared" si="235"/>
      </c>
      <c r="K398" s="45">
        <f t="shared" si="197"/>
      </c>
      <c r="L398" s="45">
        <f t="shared" si="159"/>
      </c>
      <c r="M398" s="46">
        <f t="shared" si="121"/>
      </c>
      <c r="N398" s="45">
        <f t="shared" si="72"/>
      </c>
      <c r="O398" s="45">
        <f t="shared" si="53"/>
      </c>
      <c r="P398" s="46">
        <f t="shared" si="34"/>
      </c>
      <c r="Q398" s="46">
        <f t="shared" si="15"/>
      </c>
      <c r="R398" s="46">
        <f t="shared" si="254"/>
      </c>
      <c r="S398" s="46">
        <f t="shared" si="216"/>
      </c>
      <c r="T398" s="42">
        <f t="shared" si="178"/>
      </c>
      <c r="U398" s="46">
        <f>AVERAGE(U393:U397)</f>
      </c>
      <c r="V398" s="41">
        <f>AVERAGE(V393:V397)</f>
      </c>
      <c r="W398" s="45">
        <f t="shared" si="140"/>
      </c>
      <c r="X398" s="42">
        <f>SUM(X393:X397)</f>
      </c>
      <c r="Y398" s="42">
        <f>SUM(Y393:Y397)</f>
      </c>
      <c r="Z398" s="42">
        <f>SUM(Z393:Z397)</f>
      </c>
      <c r="AA398" s="42">
        <f>SUM(AA393:AA397)</f>
      </c>
      <c r="AB398" s="42">
        <f>SUM(AB393:AB397)</f>
      </c>
      <c r="AC398" s="42">
        <f>SUM(AC393:AC397)</f>
      </c>
      <c r="AD398" s="42">
        <f>SUM(AD393:AD397)</f>
      </c>
      <c r="AE398" s="42">
        <f>SUM(AE393:AE397)</f>
      </c>
      <c r="AF398" s="47">
        <f t="shared" si="99"/>
      </c>
      <c r="AG398" s="75"/>
      <c r="AH398" s="75"/>
      <c r="AI398" s="42">
        <f>SUM(AI393:AI397)</f>
      </c>
    </row>
    <row r="399">
      <c r="A399" s="22"/>
      <c r="B399" s="82" t="s">
        <v>65</v>
      </c>
      <c r="C399" s="82"/>
      <c r="D399" s="83">
        <f>D384+D389+D392+D398</f>
      </c>
      <c r="E399" s="84">
        <f>E384+E389+E392+E398</f>
      </c>
      <c r="F399" s="84">
        <f>F384+F389+F392+F398</f>
      </c>
      <c r="G399" s="84">
        <f>G384+G389+G392+G398</f>
      </c>
      <c r="H399" s="83">
        <f>H384+H389+H392+H398</f>
      </c>
      <c r="I399" s="84">
        <f>I384+I389+I392+I398</f>
      </c>
      <c r="J399" s="86">
        <f t="shared" si="235"/>
      </c>
      <c r="K399" s="87">
        <f t="shared" si="197"/>
      </c>
      <c r="L399" s="87">
        <f t="shared" si="159"/>
      </c>
      <c r="M399" s="88">
        <f t="shared" si="121"/>
      </c>
      <c r="N399" s="87">
        <f t="shared" si="72"/>
      </c>
      <c r="O399" s="87">
        <f t="shared" si="53"/>
      </c>
      <c r="P399" s="88">
        <f t="shared" si="34"/>
      </c>
      <c r="Q399" s="88">
        <f t="shared" si="15"/>
      </c>
      <c r="R399" s="88">
        <f t="shared" si="254"/>
      </c>
      <c r="S399" s="88">
        <f t="shared" si="216"/>
      </c>
      <c r="T399" s="89">
        <f t="shared" si="178"/>
      </c>
      <c r="U399" s="88">
        <f>(U384+U392+U389+U398)/4</f>
      </c>
      <c r="V399" s="87">
        <f>(V384+V392+V389+V398)/4</f>
      </c>
      <c r="W399" s="90">
        <f t="shared" si="140"/>
      </c>
      <c r="X399" s="84">
        <f>X384+X389+X392+X398</f>
      </c>
      <c r="Y399" s="84">
        <f>Y384+Y389+Y392+Y398</f>
      </c>
      <c r="Z399" s="84">
        <f>Z384+Z389+Z392+Z398</f>
      </c>
      <c r="AA399" s="84">
        <f>AA384+AA389+AA392+AA398</f>
      </c>
      <c r="AB399" s="84">
        <f>AB384+AB389+AB392+AB398</f>
      </c>
      <c r="AC399" s="84">
        <f>AC384+AC389+AC392+AC398</f>
      </c>
      <c r="AD399" s="84">
        <f>AD384+AD389+AD392+AD398</f>
      </c>
      <c r="AE399" s="84">
        <f>AE384+AE389+AE392+AE398</f>
      </c>
      <c r="AF399" s="87">
        <f>AF384</f>
      </c>
      <c r="AG399" s="82"/>
      <c r="AH399" s="82"/>
      <c r="AI399" s="84">
        <f>AI384+AI389+AI392+AI398</f>
      </c>
    </row>
    <row r="400">
      <c r="A400" s="1" t="s">
        <v>66</v>
      </c>
      <c r="B400" s="2" t="s">
        <v>1</v>
      </c>
      <c r="C400" s="2"/>
      <c r="D400" s="3" t="s">
        <v>2</v>
      </c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5" t="s">
        <v>3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6"/>
    </row>
    <row r="401">
      <c r="A401" s="1"/>
      <c r="B401" s="2" t="s">
        <v>4</v>
      </c>
      <c r="C401" s="7" t="s">
        <v>5</v>
      </c>
      <c r="D401" s="8" t="s">
        <v>6</v>
      </c>
      <c r="E401" s="9" t="s">
        <v>7</v>
      </c>
      <c r="F401" s="10" t="s">
        <v>8</v>
      </c>
      <c r="G401" s="11" t="s">
        <v>9</v>
      </c>
      <c r="H401" s="8" t="s">
        <v>10</v>
      </c>
      <c r="I401" s="12" t="s">
        <v>11</v>
      </c>
      <c r="J401" s="107" t="s">
        <v>12</v>
      </c>
      <c r="K401" s="13" t="s">
        <v>13</v>
      </c>
      <c r="L401" s="13" t="s">
        <v>14</v>
      </c>
      <c r="M401" s="14" t="s">
        <v>15</v>
      </c>
      <c r="N401" s="13" t="s">
        <v>16</v>
      </c>
      <c r="O401" s="15" t="s">
        <v>17</v>
      </c>
      <c r="P401" s="16" t="s">
        <v>18</v>
      </c>
      <c r="Q401" s="16" t="s">
        <v>19</v>
      </c>
      <c r="R401" s="16" t="s">
        <v>20</v>
      </c>
      <c r="S401" s="16" t="s">
        <v>21</v>
      </c>
      <c r="T401" s="17" t="s">
        <v>22</v>
      </c>
      <c r="U401" s="18" t="s">
        <v>23</v>
      </c>
      <c r="V401" s="19" t="s">
        <v>24</v>
      </c>
      <c r="W401" s="5" t="s">
        <v>25</v>
      </c>
      <c r="X401" s="20" t="s">
        <v>26</v>
      </c>
      <c r="Y401" s="20" t="s">
        <v>27</v>
      </c>
      <c r="Z401" s="20" t="s">
        <v>28</v>
      </c>
      <c r="AA401" s="20" t="s">
        <v>29</v>
      </c>
      <c r="AB401" s="20" t="s">
        <v>30</v>
      </c>
      <c r="AC401" s="20" t="s">
        <v>31</v>
      </c>
      <c r="AD401" s="20" t="s">
        <v>32</v>
      </c>
      <c r="AE401" s="20" t="s">
        <v>33</v>
      </c>
      <c r="AF401" s="5" t="s">
        <v>34</v>
      </c>
      <c r="AG401" s="21" t="s">
        <v>35</v>
      </c>
      <c r="AH401" s="21" t="s">
        <v>36</v>
      </c>
      <c r="AI401" s="6" t="s">
        <v>37</v>
      </c>
    </row>
    <row r="402">
      <c r="A402" s="22">
        <v>46220</v>
      </c>
      <c r="B402" s="49" t="s">
        <v>47</v>
      </c>
      <c r="C402" s="24" t="s">
        <v>43</v>
      </c>
      <c r="D402" s="25">
        <v>3571.42</v>
      </c>
      <c r="E402" s="26">
        <v>8</v>
      </c>
      <c r="F402" s="26">
        <v>6</v>
      </c>
      <c r="G402" s="27">
        <v>6</v>
      </c>
      <c r="H402" s="25">
        <v>5538.5</v>
      </c>
      <c r="I402" s="108">
        <v>3</v>
      </c>
      <c r="J402" s="29">
        <f t="shared" ref="J402:J422" si="236">H402/D402</f>
      </c>
      <c r="K402" s="28">
        <f t="shared" ref="K402:K422" si="198">D402/F402</f>
      </c>
      <c r="L402" s="29">
        <f t="shared" ref="L402:L422" si="160">D402/G402</f>
      </c>
      <c r="M402" s="30">
        <f t="shared" ref="M402:M422" si="122">F402/E402</f>
      </c>
      <c r="N402" s="29">
        <f t="shared" ref="N402:N422" si="73">H402/F402</f>
      </c>
      <c r="O402" s="29">
        <f t="shared" ref="O402:O422" si="54">D402/Y402</f>
      </c>
      <c r="P402" s="30">
        <f t="shared" ref="P402:P422" si="35">T402/X402*1</f>
      </c>
      <c r="Q402" s="30">
        <f t="shared" ref="Q402:Q422" si="16">Y402/X402</f>
      </c>
      <c r="R402" s="30">
        <f t="shared" ref="R402:R422" si="255">AA402/X402</f>
      </c>
      <c r="S402" s="30">
        <f t="shared" ref="S402:S422" si="217">AB402/AA402</f>
      </c>
      <c r="T402" s="31">
        <f t="shared" ref="T402:T422" si="179">Z402/U402</f>
      </c>
      <c r="U402" s="32">
        <v>0.0073</v>
      </c>
      <c r="V402" s="33">
        <v>38</v>
      </c>
      <c r="W402" s="29">
        <f t="shared" ref="W402:W422" si="141">(D402/X402)*1000</f>
      </c>
      <c r="X402" s="33">
        <v>38734</v>
      </c>
      <c r="Y402" s="33">
        <v>1689</v>
      </c>
      <c r="Z402" s="31">
        <v>53</v>
      </c>
      <c r="AA402" s="31">
        <v>4190</v>
      </c>
      <c r="AB402" s="31">
        <v>76</v>
      </c>
      <c r="AC402" s="31">
        <v>18</v>
      </c>
      <c r="AD402" s="33">
        <v>4</v>
      </c>
      <c r="AE402" s="33">
        <v>35</v>
      </c>
      <c r="AF402" s="29">
        <f t="shared" ref="AF402:AF415" si="100">AI402*1000/D402</f>
      </c>
      <c r="AG402" s="34" t="s">
        <v>40</v>
      </c>
      <c r="AH402" s="35" t="s">
        <v>41</v>
      </c>
      <c r="AI402" s="33">
        <v>37</v>
      </c>
    </row>
    <row r="403">
      <c r="A403" s="22"/>
      <c r="B403" s="49" t="s">
        <v>47</v>
      </c>
      <c r="C403" s="36" t="s">
        <v>44</v>
      </c>
      <c r="D403" s="25">
        <v>3428.58</v>
      </c>
      <c r="E403" s="26">
        <v>10</v>
      </c>
      <c r="F403" s="26">
        <v>8</v>
      </c>
      <c r="G403" s="27">
        <v>6</v>
      </c>
      <c r="H403" s="25">
        <v>6678.1</v>
      </c>
      <c r="I403" s="108">
        <v>2</v>
      </c>
      <c r="J403" s="29">
        <f t="shared" si="236"/>
      </c>
      <c r="K403" s="28">
        <f t="shared" si="198"/>
      </c>
      <c r="L403" s="29">
        <f t="shared" si="160"/>
      </c>
      <c r="M403" s="30">
        <f t="shared" si="122"/>
      </c>
      <c r="N403" s="29">
        <f t="shared" si="73"/>
      </c>
      <c r="O403" s="29">
        <f t="shared" si="54"/>
      </c>
      <c r="P403" s="30">
        <f t="shared" si="35"/>
      </c>
      <c r="Q403" s="30">
        <f t="shared" si="16"/>
      </c>
      <c r="R403" s="30">
        <f t="shared" si="255"/>
      </c>
      <c r="S403" s="30">
        <f t="shared" si="217"/>
      </c>
      <c r="T403" s="31">
        <f t="shared" si="179"/>
      </c>
      <c r="U403" s="32">
        <v>0.0139</v>
      </c>
      <c r="V403" s="33">
        <v>42</v>
      </c>
      <c r="W403" s="29">
        <f t="shared" si="141"/>
      </c>
      <c r="X403" s="33">
        <v>29756</v>
      </c>
      <c r="Y403" s="33">
        <v>1186</v>
      </c>
      <c r="Z403" s="31">
        <v>93</v>
      </c>
      <c r="AA403" s="31">
        <v>2064</v>
      </c>
      <c r="AB403" s="33">
        <v>133</v>
      </c>
      <c r="AC403" s="31">
        <v>12</v>
      </c>
      <c r="AD403" s="33">
        <v>1</v>
      </c>
      <c r="AE403" s="33">
        <v>52</v>
      </c>
      <c r="AF403" s="29">
        <f t="shared" si="100"/>
      </c>
      <c r="AG403" s="34" t="s">
        <v>40</v>
      </c>
      <c r="AH403" s="35" t="s">
        <v>41</v>
      </c>
      <c r="AI403" s="33">
        <v>60</v>
      </c>
    </row>
    <row r="404">
      <c r="A404" s="22"/>
      <c r="B404" s="49" t="s">
        <v>47</v>
      </c>
      <c r="C404" s="24" t="s">
        <v>45</v>
      </c>
      <c r="D404" s="25">
        <v>2464.95</v>
      </c>
      <c r="E404" s="26">
        <v>11</v>
      </c>
      <c r="F404" s="26">
        <v>11</v>
      </c>
      <c r="G404" s="27">
        <v>10</v>
      </c>
      <c r="H404" s="25">
        <v>5772.800000000001</v>
      </c>
      <c r="I404" s="108">
        <v>2</v>
      </c>
      <c r="J404" s="29">
        <f t="shared" si="236"/>
      </c>
      <c r="K404" s="28">
        <f t="shared" si="198"/>
      </c>
      <c r="L404" s="29">
        <f t="shared" si="160"/>
      </c>
      <c r="M404" s="30">
        <f t="shared" si="122"/>
      </c>
      <c r="N404" s="29">
        <f t="shared" si="73"/>
      </c>
      <c r="O404" s="29">
        <f t="shared" si="54"/>
      </c>
      <c r="P404" s="30">
        <f t="shared" si="35"/>
      </c>
      <c r="Q404" s="30">
        <f t="shared" si="16"/>
      </c>
      <c r="R404" s="30">
        <f t="shared" si="255"/>
      </c>
      <c r="S404" s="30">
        <f t="shared" si="217"/>
      </c>
      <c r="T404" s="31">
        <f t="shared" si="179"/>
      </c>
      <c r="U404" s="32">
        <v>0.0165</v>
      </c>
      <c r="V404" s="33">
        <v>46</v>
      </c>
      <c r="W404" s="29">
        <f t="shared" si="141"/>
      </c>
      <c r="X404" s="33">
        <v>19294</v>
      </c>
      <c r="Y404" s="33">
        <v>560</v>
      </c>
      <c r="Z404" s="31">
        <v>66</v>
      </c>
      <c r="AA404" s="31">
        <v>651</v>
      </c>
      <c r="AB404" s="33">
        <v>100</v>
      </c>
      <c r="AC404" s="31">
        <v>8</v>
      </c>
      <c r="AD404" s="33">
        <v>2</v>
      </c>
      <c r="AE404" s="33">
        <v>47</v>
      </c>
      <c r="AF404" s="29">
        <f t="shared" si="100"/>
      </c>
      <c r="AG404" s="34" t="s">
        <v>40</v>
      </c>
      <c r="AH404" s="35" t="s">
        <v>41</v>
      </c>
      <c r="AI404" s="33">
        <v>41</v>
      </c>
    </row>
    <row r="405">
      <c r="A405" s="22"/>
      <c r="B405" s="49" t="s">
        <v>47</v>
      </c>
      <c r="C405" s="23" t="s">
        <v>48</v>
      </c>
      <c r="D405" s="25">
        <v>5750.02</v>
      </c>
      <c r="E405" s="26">
        <v>12</v>
      </c>
      <c r="F405" s="26">
        <v>8</v>
      </c>
      <c r="G405" s="27">
        <v>8</v>
      </c>
      <c r="H405" s="25">
        <v>5360.299999999999</v>
      </c>
      <c r="I405" s="108">
        <v>2</v>
      </c>
      <c r="J405" s="29">
        <f t="shared" si="236"/>
      </c>
      <c r="K405" s="28">
        <f t="shared" si="198"/>
      </c>
      <c r="L405" s="29">
        <f t="shared" si="160"/>
      </c>
      <c r="M405" s="30">
        <f t="shared" si="122"/>
      </c>
      <c r="N405" s="29">
        <f t="shared" si="73"/>
      </c>
      <c r="O405" s="29">
        <f t="shared" si="54"/>
      </c>
      <c r="P405" s="30">
        <f t="shared" si="35"/>
      </c>
      <c r="Q405" s="30">
        <f t="shared" si="16"/>
      </c>
      <c r="R405" s="30">
        <f t="shared" si="255"/>
      </c>
      <c r="S405" s="30">
        <f t="shared" si="217"/>
      </c>
      <c r="T405" s="31">
        <f t="shared" si="179"/>
      </c>
      <c r="U405" s="32">
        <v>0.0074</v>
      </c>
      <c r="V405" s="33">
        <v>40</v>
      </c>
      <c r="W405" s="29">
        <f t="shared" si="141"/>
      </c>
      <c r="X405" s="33">
        <v>53378</v>
      </c>
      <c r="Y405" s="33">
        <v>2917</v>
      </c>
      <c r="Z405" s="31">
        <v>120</v>
      </c>
      <c r="AA405" s="31">
        <v>6394</v>
      </c>
      <c r="AB405" s="33">
        <v>152</v>
      </c>
      <c r="AC405" s="31">
        <v>26</v>
      </c>
      <c r="AD405" s="33">
        <v>6</v>
      </c>
      <c r="AE405" s="33">
        <v>57</v>
      </c>
      <c r="AF405" s="29">
        <f t="shared" si="100"/>
      </c>
      <c r="AG405" s="34" t="s">
        <v>40</v>
      </c>
      <c r="AH405" s="35" t="s">
        <v>41</v>
      </c>
      <c r="AI405" s="33">
        <v>67</v>
      </c>
    </row>
    <row r="406">
      <c r="A406" s="22"/>
      <c r="B406" s="40" t="s">
        <v>46</v>
      </c>
      <c r="C406" s="40"/>
      <c r="D406" s="41">
        <f>SUM(D402:D405)</f>
      </c>
      <c r="E406" s="42">
        <f>SUM(E402:E405)</f>
      </c>
      <c r="F406" s="42">
        <f>SUM(F402:F405)</f>
      </c>
      <c r="G406" s="43">
        <f>SUM(G402:G405)</f>
      </c>
      <c r="H406" s="45">
        <f>SUM(H402:H405)</f>
      </c>
      <c r="I406" s="44">
        <f>SUM(I402:I405)</f>
      </c>
      <c r="J406" s="109">
        <f t="shared" si="236"/>
      </c>
      <c r="K406" s="45">
        <f t="shared" si="198"/>
      </c>
      <c r="L406" s="45">
        <f t="shared" si="160"/>
      </c>
      <c r="M406" s="46">
        <f t="shared" si="122"/>
      </c>
      <c r="N406" s="45">
        <f t="shared" si="73"/>
      </c>
      <c r="O406" s="45">
        <f t="shared" si="54"/>
      </c>
      <c r="P406" s="46">
        <f t="shared" si="35"/>
      </c>
      <c r="Q406" s="46">
        <f t="shared" si="16"/>
      </c>
      <c r="R406" s="46">
        <f t="shared" si="255"/>
      </c>
      <c r="S406" s="46">
        <f t="shared" si="217"/>
      </c>
      <c r="T406" s="42">
        <f t="shared" si="179"/>
      </c>
      <c r="U406" s="46">
        <f>AVERAGE(U402:U405)</f>
      </c>
      <c r="V406" s="41">
        <f>AVERAGE(V402:V405)</f>
      </c>
      <c r="W406" s="45">
        <f t="shared" si="141"/>
      </c>
      <c r="X406" s="42">
        <f>SUM(X402:X405)</f>
      </c>
      <c r="Y406" s="42">
        <f>SUM(Y402:Y405)</f>
      </c>
      <c r="Z406" s="42">
        <f>SUM(Z402:Z405)</f>
      </c>
      <c r="AA406" s="42">
        <f>SUM(AA402:AA405)</f>
      </c>
      <c r="AB406" s="42">
        <f>SUM(AB402:AB405)</f>
      </c>
      <c r="AC406" s="42">
        <f>SUM(AC402:AC405)</f>
      </c>
      <c r="AD406" s="42">
        <f>SUM(AD402:AD405)</f>
      </c>
      <c r="AE406" s="42">
        <f>SUM(AE402:AE405)</f>
      </c>
      <c r="AF406" s="47">
        <f t="shared" si="100"/>
      </c>
      <c r="AG406" s="48"/>
      <c r="AH406" s="48"/>
      <c r="AI406" s="43">
        <f>SUM(AI402:AI405)</f>
      </c>
    </row>
    <row r="407">
      <c r="A407" s="22"/>
      <c r="B407" s="23" t="s">
        <v>54</v>
      </c>
      <c r="C407" s="60" t="s">
        <v>49</v>
      </c>
      <c r="D407" s="50">
        <v>3720.09</v>
      </c>
      <c r="E407" s="51">
        <v>16</v>
      </c>
      <c r="F407" s="51">
        <v>12</v>
      </c>
      <c r="G407" s="52">
        <v>12</v>
      </c>
      <c r="H407" s="53">
        <v>6791.399999999998</v>
      </c>
      <c r="I407" s="54">
        <v>1</v>
      </c>
      <c r="J407" s="55">
        <f t="shared" si="236"/>
      </c>
      <c r="K407" s="55">
        <f t="shared" si="198"/>
      </c>
      <c r="L407" s="55">
        <f t="shared" si="160"/>
      </c>
      <c r="M407" s="56">
        <f t="shared" si="122"/>
      </c>
      <c r="N407" s="55">
        <f t="shared" si="73"/>
      </c>
      <c r="O407" s="55">
        <f t="shared" si="54"/>
      </c>
      <c r="P407" s="56">
        <f t="shared" si="35"/>
      </c>
      <c r="Q407" s="56">
        <f t="shared" si="16"/>
      </c>
      <c r="R407" s="56">
        <f t="shared" si="255"/>
      </c>
      <c r="S407" s="56">
        <f t="shared" si="217"/>
      </c>
      <c r="T407" s="57">
        <f t="shared" si="179"/>
      </c>
      <c r="U407" s="58">
        <v>0.0107</v>
      </c>
      <c r="V407" s="59">
        <v>47</v>
      </c>
      <c r="W407" s="55">
        <f t="shared" si="141"/>
      </c>
      <c r="X407" s="57">
        <v>45150</v>
      </c>
      <c r="Y407" s="57">
        <v>2231</v>
      </c>
      <c r="Z407" s="57">
        <v>114</v>
      </c>
      <c r="AA407" s="57">
        <v>6122</v>
      </c>
      <c r="AB407" s="57">
        <v>192</v>
      </c>
      <c r="AC407" s="57">
        <v>33</v>
      </c>
      <c r="AD407" s="57">
        <v>4</v>
      </c>
      <c r="AE407" s="57">
        <v>82</v>
      </c>
      <c r="AF407" s="55">
        <f t="shared" si="100"/>
      </c>
      <c r="AG407" s="34" t="s">
        <v>40</v>
      </c>
      <c r="AH407" s="35" t="s">
        <v>41</v>
      </c>
      <c r="AI407" s="59">
        <v>55</v>
      </c>
    </row>
    <row r="408">
      <c r="A408" s="22"/>
      <c r="B408" s="23" t="s">
        <v>54</v>
      </c>
      <c r="C408" s="61" t="s">
        <v>50</v>
      </c>
      <c r="D408" s="50">
        <v>3553.01</v>
      </c>
      <c r="E408" s="51">
        <v>10</v>
      </c>
      <c r="F408" s="51">
        <v>9</v>
      </c>
      <c r="G408" s="52">
        <v>5</v>
      </c>
      <c r="H408" s="53">
        <v>9171.800000000003</v>
      </c>
      <c r="I408" s="110">
        <v>2</v>
      </c>
      <c r="J408" s="55">
        <f t="shared" si="236"/>
      </c>
      <c r="K408" s="55">
        <f t="shared" si="198"/>
      </c>
      <c r="L408" s="55">
        <f t="shared" si="160"/>
      </c>
      <c r="M408" s="56">
        <f t="shared" si="122"/>
      </c>
      <c r="N408" s="55">
        <f t="shared" si="73"/>
      </c>
      <c r="O408" s="55">
        <f t="shared" si="54"/>
      </c>
      <c r="P408" s="56">
        <f t="shared" si="35"/>
      </c>
      <c r="Q408" s="56">
        <f t="shared" si="16"/>
      </c>
      <c r="R408" s="56">
        <f t="shared" si="255"/>
      </c>
      <c r="S408" s="56">
        <f t="shared" si="217"/>
      </c>
      <c r="T408" s="57">
        <f t="shared" si="179"/>
      </c>
      <c r="U408" s="58">
        <v>0.0484</v>
      </c>
      <c r="V408" s="59">
        <v>51</v>
      </c>
      <c r="W408" s="55">
        <f t="shared" si="141"/>
      </c>
      <c r="X408" s="57">
        <v>35600</v>
      </c>
      <c r="Y408" s="57">
        <v>536</v>
      </c>
      <c r="Z408" s="57">
        <v>68</v>
      </c>
      <c r="AA408" s="57">
        <v>623</v>
      </c>
      <c r="AB408" s="57">
        <v>115</v>
      </c>
      <c r="AC408" s="57">
        <v>18</v>
      </c>
      <c r="AD408" s="57">
        <v>2</v>
      </c>
      <c r="AE408" s="57">
        <v>113</v>
      </c>
      <c r="AF408" s="55">
        <f t="shared" si="100"/>
      </c>
      <c r="AG408" s="34" t="s">
        <v>40</v>
      </c>
      <c r="AH408" s="106" t="s">
        <v>68</v>
      </c>
      <c r="AI408" s="59">
        <v>29</v>
      </c>
    </row>
    <row r="409">
      <c r="A409" s="22"/>
      <c r="B409" s="23" t="s">
        <v>54</v>
      </c>
      <c r="C409" s="60" t="s">
        <v>51</v>
      </c>
      <c r="D409" s="50">
        <v>4815.57</v>
      </c>
      <c r="E409" s="63">
        <v>19</v>
      </c>
      <c r="F409" s="63">
        <v>14</v>
      </c>
      <c r="G409" s="64">
        <v>13</v>
      </c>
      <c r="H409" s="111">
        <v>10011.099999999999</v>
      </c>
      <c r="I409" s="26">
        <v>3</v>
      </c>
      <c r="J409" s="28">
        <f t="shared" si="236"/>
      </c>
      <c r="K409" s="29">
        <f t="shared" si="198"/>
      </c>
      <c r="L409" s="29">
        <f t="shared" si="160"/>
      </c>
      <c r="M409" s="30">
        <f t="shared" si="122"/>
      </c>
      <c r="N409" s="29">
        <f t="shared" si="73"/>
      </c>
      <c r="O409" s="29">
        <f t="shared" si="54"/>
      </c>
      <c r="P409" s="30">
        <f t="shared" si="35"/>
      </c>
      <c r="Q409" s="30">
        <f t="shared" si="16"/>
      </c>
      <c r="R409" s="30">
        <f t="shared" si="255"/>
      </c>
      <c r="S409" s="30">
        <f t="shared" si="217"/>
      </c>
      <c r="T409" s="31">
        <f t="shared" si="179"/>
      </c>
      <c r="U409" s="32">
        <v>0.0219</v>
      </c>
      <c r="V409" s="33">
        <v>51</v>
      </c>
      <c r="W409" s="29">
        <f t="shared" si="141"/>
      </c>
      <c r="X409" s="33">
        <v>50647</v>
      </c>
      <c r="Y409" s="33">
        <v>2007</v>
      </c>
      <c r="Z409" s="31">
        <v>141</v>
      </c>
      <c r="AA409" s="31">
        <v>4055</v>
      </c>
      <c r="AB409" s="33">
        <v>185</v>
      </c>
      <c r="AC409" s="31">
        <v>32</v>
      </c>
      <c r="AD409" s="33">
        <v>4</v>
      </c>
      <c r="AE409" s="33">
        <v>109</v>
      </c>
      <c r="AF409" s="29">
        <f t="shared" si="100"/>
      </c>
      <c r="AG409" s="34" t="s">
        <v>40</v>
      </c>
      <c r="AH409" s="106" t="s">
        <v>68</v>
      </c>
      <c r="AI409" s="33">
        <v>70</v>
      </c>
    </row>
    <row r="410">
      <c r="A410" s="22"/>
      <c r="B410" s="23" t="s">
        <v>54</v>
      </c>
      <c r="C410" s="49" t="s">
        <v>53</v>
      </c>
      <c r="D410" s="50">
        <v>4819.21</v>
      </c>
      <c r="E410" s="63">
        <v>20</v>
      </c>
      <c r="F410" s="63">
        <v>13</v>
      </c>
      <c r="G410" s="64">
        <v>11</v>
      </c>
      <c r="H410" s="53">
        <v>9224.599999999999</v>
      </c>
      <c r="I410" s="112">
        <v>5</v>
      </c>
      <c r="J410" s="55">
        <f t="shared" si="236"/>
      </c>
      <c r="K410" s="55">
        <f t="shared" si="198"/>
      </c>
      <c r="L410" s="55">
        <f t="shared" si="160"/>
      </c>
      <c r="M410" s="56">
        <f t="shared" si="122"/>
      </c>
      <c r="N410" s="55">
        <f t="shared" si="73"/>
      </c>
      <c r="O410" s="55">
        <f t="shared" si="54"/>
      </c>
      <c r="P410" s="56">
        <f t="shared" si="35"/>
      </c>
      <c r="Q410" s="56">
        <f t="shared" si="16"/>
      </c>
      <c r="R410" s="56">
        <f t="shared" si="255"/>
      </c>
      <c r="S410" s="56">
        <f t="shared" si="217"/>
      </c>
      <c r="T410" s="57">
        <f t="shared" si="179"/>
      </c>
      <c r="U410" s="58">
        <v>0.014</v>
      </c>
      <c r="V410" s="59">
        <v>51</v>
      </c>
      <c r="W410" s="55">
        <f t="shared" si="141"/>
      </c>
      <c r="X410" s="57">
        <v>45504</v>
      </c>
      <c r="Y410" s="57">
        <v>2180</v>
      </c>
      <c r="Z410" s="57">
        <v>117</v>
      </c>
      <c r="AA410" s="57">
        <v>4699</v>
      </c>
      <c r="AB410" s="57">
        <v>209</v>
      </c>
      <c r="AC410" s="57">
        <v>27</v>
      </c>
      <c r="AD410" s="57">
        <v>8</v>
      </c>
      <c r="AE410" s="57">
        <v>90</v>
      </c>
      <c r="AF410" s="55">
        <f t="shared" si="100"/>
      </c>
      <c r="AG410" s="34" t="s">
        <v>40</v>
      </c>
      <c r="AH410" s="106" t="s">
        <v>68</v>
      </c>
      <c r="AI410" s="59">
        <v>63</v>
      </c>
    </row>
    <row customHeight="true" ht="18.452380952380953" r="411">
      <c r="A411" s="22"/>
      <c r="B411" s="23" t="s">
        <v>54</v>
      </c>
      <c r="C411" s="60" t="s">
        <v>55</v>
      </c>
      <c r="D411" s="50">
        <v>5253.67</v>
      </c>
      <c r="E411" s="26">
        <v>16</v>
      </c>
      <c r="F411" s="26">
        <v>11</v>
      </c>
      <c r="G411" s="27">
        <v>9</v>
      </c>
      <c r="H411" s="76">
        <v>6026.900000000009</v>
      </c>
      <c r="I411" s="26">
        <v>1</v>
      </c>
      <c r="J411" s="29">
        <f t="shared" si="236"/>
      </c>
      <c r="K411" s="29">
        <f t="shared" si="198"/>
      </c>
      <c r="L411" s="29">
        <f t="shared" si="160"/>
      </c>
      <c r="M411" s="30">
        <f t="shared" si="122"/>
      </c>
      <c r="N411" s="29">
        <f t="shared" si="73"/>
      </c>
      <c r="O411" s="29">
        <f t="shared" si="54"/>
      </c>
      <c r="P411" s="30">
        <f t="shared" si="35"/>
      </c>
      <c r="Q411" s="30">
        <f t="shared" si="16"/>
      </c>
      <c r="R411" s="30">
        <f t="shared" si="255"/>
      </c>
      <c r="S411" s="30">
        <f t="shared" si="217"/>
      </c>
      <c r="T411" s="31">
        <f t="shared" si="179"/>
      </c>
      <c r="U411" s="32">
        <v>0.022</v>
      </c>
      <c r="V411" s="33">
        <v>51</v>
      </c>
      <c r="W411" s="29">
        <f t="shared" si="141"/>
      </c>
      <c r="X411" s="33">
        <v>51437</v>
      </c>
      <c r="Y411" s="33">
        <v>1277</v>
      </c>
      <c r="Z411" s="31">
        <v>113</v>
      </c>
      <c r="AA411" s="31">
        <v>2955</v>
      </c>
      <c r="AB411" s="31">
        <v>200</v>
      </c>
      <c r="AC411" s="31">
        <v>39</v>
      </c>
      <c r="AD411" s="33">
        <v>5</v>
      </c>
      <c r="AE411" s="33">
        <v>87</v>
      </c>
      <c r="AF411" s="29">
        <f t="shared" si="100"/>
      </c>
      <c r="AG411" s="34" t="s">
        <v>56</v>
      </c>
      <c r="AH411" s="106" t="s">
        <v>68</v>
      </c>
      <c r="AI411" s="33">
        <v>53</v>
      </c>
    </row>
    <row r="412">
      <c r="A412" s="22"/>
      <c r="B412" s="67" t="s">
        <v>46</v>
      </c>
      <c r="C412" s="67"/>
      <c r="D412" s="68">
        <f>SUM(D407:D411)</f>
      </c>
      <c r="E412" s="69">
        <f>SUM(E407:E411)</f>
      </c>
      <c r="F412" s="69">
        <f>SUM(F407:F411)</f>
      </c>
      <c r="G412" s="70">
        <f>SUM(G407:G411)</f>
      </c>
      <c r="H412" s="68">
        <f>SUM(H407:H411)</f>
      </c>
      <c r="I412" s="69">
        <f>SUM(I407:I411)</f>
      </c>
      <c r="J412" s="71">
        <f t="shared" si="236"/>
      </c>
      <c r="K412" s="71">
        <f t="shared" si="198"/>
      </c>
      <c r="L412" s="71">
        <f t="shared" si="160"/>
      </c>
      <c r="M412" s="72">
        <f t="shared" si="122"/>
      </c>
      <c r="N412" s="71">
        <f t="shared" si="73"/>
      </c>
      <c r="O412" s="71">
        <f t="shared" si="54"/>
      </c>
      <c r="P412" s="72">
        <f t="shared" si="35"/>
      </c>
      <c r="Q412" s="72">
        <f t="shared" si="16"/>
      </c>
      <c r="R412" s="72">
        <f t="shared" si="255"/>
      </c>
      <c r="S412" s="72">
        <f t="shared" si="217"/>
      </c>
      <c r="T412" s="73">
        <f t="shared" si="179"/>
      </c>
      <c r="U412" s="46">
        <f>AVERAGE(U407:U410)</f>
      </c>
      <c r="V412" s="41">
        <f>AVERAGE(V407:V410)</f>
      </c>
      <c r="W412" s="71">
        <f t="shared" si="141"/>
      </c>
      <c r="X412" s="73">
        <f>SUM(X407:X411)</f>
      </c>
      <c r="Y412" s="73">
        <f>SUM(Y407:Y411)</f>
      </c>
      <c r="Z412" s="73">
        <f>SUM(Z407:Z411)</f>
      </c>
      <c r="AA412" s="73">
        <f>SUM(AA407:AA411)</f>
      </c>
      <c r="AB412" s="73">
        <f>SUM(AB407:AB411)</f>
      </c>
      <c r="AC412" s="73">
        <f>SUM(AC407:AC411)</f>
      </c>
      <c r="AD412" s="73">
        <f>SUM(AD407:AD411)</f>
      </c>
      <c r="AE412" s="73">
        <f>SUM(AE407:AE411)</f>
      </c>
      <c r="AF412" s="74">
        <f t="shared" si="100"/>
      </c>
      <c r="AG412" s="75"/>
      <c r="AH412" s="75"/>
      <c r="AI412" s="70">
        <f>SUM(AI407:AI411)</f>
      </c>
    </row>
    <row customHeight="true" ht="18.452380952380953" r="413">
      <c r="A413" s="22"/>
      <c r="B413" s="49" t="s">
        <v>75</v>
      </c>
      <c r="C413" s="61" t="s">
        <v>57</v>
      </c>
      <c r="D413" s="23">
        <v>3983.05</v>
      </c>
      <c r="E413" s="26">
        <v>10</v>
      </c>
      <c r="F413" s="26">
        <v>8</v>
      </c>
      <c r="G413" s="27">
        <v>8</v>
      </c>
      <c r="H413" s="76">
        <v>8487.600000000006</v>
      </c>
      <c r="I413" s="26">
        <v>2</v>
      </c>
      <c r="J413" s="29">
        <f t="shared" si="236"/>
      </c>
      <c r="K413" s="29">
        <f t="shared" si="198"/>
      </c>
      <c r="L413" s="29">
        <f t="shared" si="160"/>
      </c>
      <c r="M413" s="30">
        <f t="shared" si="122"/>
      </c>
      <c r="N413" s="29">
        <f t="shared" si="73"/>
      </c>
      <c r="O413" s="29">
        <f t="shared" si="54"/>
      </c>
      <c r="P413" s="30">
        <f t="shared" si="35"/>
      </c>
      <c r="Q413" s="30">
        <f t="shared" si="16"/>
      </c>
      <c r="R413" s="30">
        <f t="shared" si="255"/>
      </c>
      <c r="S413" s="30">
        <f t="shared" si="217"/>
      </c>
      <c r="T413" s="31">
        <f t="shared" si="179"/>
      </c>
      <c r="U413" s="32">
        <v>0.0156</v>
      </c>
      <c r="V413" s="33">
        <v>50</v>
      </c>
      <c r="W413" s="29">
        <f t="shared" si="141"/>
      </c>
      <c r="X413" s="33">
        <v>39339</v>
      </c>
      <c r="Y413" s="33">
        <v>1888</v>
      </c>
      <c r="Z413" s="31">
        <v>125</v>
      </c>
      <c r="AA413" s="31">
        <v>3542</v>
      </c>
      <c r="AB413" s="31">
        <v>122</v>
      </c>
      <c r="AC413" s="31">
        <v>31</v>
      </c>
      <c r="AD413" s="33">
        <v>4</v>
      </c>
      <c r="AE413" s="33">
        <v>80</v>
      </c>
      <c r="AF413" s="29">
        <f t="shared" si="100"/>
      </c>
      <c r="AG413" s="34" t="s">
        <v>56</v>
      </c>
      <c r="AH413" s="106" t="s">
        <v>68</v>
      </c>
      <c r="AI413" s="33">
        <v>43</v>
      </c>
    </row>
    <row r="414">
      <c r="A414" s="22"/>
      <c r="B414" s="49" t="s">
        <v>75</v>
      </c>
      <c r="C414" s="60" t="s">
        <v>58</v>
      </c>
      <c r="D414" s="23">
        <v>3083.62</v>
      </c>
      <c r="E414" s="26">
        <v>12</v>
      </c>
      <c r="F414" s="26">
        <v>10</v>
      </c>
      <c r="G414" s="27">
        <v>7</v>
      </c>
      <c r="H414" s="76">
        <v>5651.799999999988</v>
      </c>
      <c r="I414" s="26">
        <v>2</v>
      </c>
      <c r="J414" s="29">
        <f t="shared" si="236"/>
      </c>
      <c r="K414" s="29">
        <f t="shared" si="198"/>
      </c>
      <c r="L414" s="29">
        <f t="shared" si="160"/>
      </c>
      <c r="M414" s="30">
        <f t="shared" si="122"/>
      </c>
      <c r="N414" s="29">
        <f t="shared" si="73"/>
      </c>
      <c r="O414" s="29">
        <f t="shared" si="54"/>
      </c>
      <c r="P414" s="30">
        <f t="shared" si="35"/>
      </c>
      <c r="Q414" s="30">
        <f t="shared" si="16"/>
      </c>
      <c r="R414" s="30">
        <f t="shared" si="255"/>
      </c>
      <c r="S414" s="30">
        <f t="shared" si="217"/>
      </c>
      <c r="T414" s="31">
        <f t="shared" si="179"/>
      </c>
      <c r="U414" s="32">
        <v>0.0185</v>
      </c>
      <c r="V414" s="33">
        <v>50</v>
      </c>
      <c r="W414" s="29">
        <f t="shared" si="141"/>
      </c>
      <c r="X414" s="33">
        <v>30665</v>
      </c>
      <c r="Y414" s="33">
        <v>1244</v>
      </c>
      <c r="Z414" s="31">
        <v>81</v>
      </c>
      <c r="AA414" s="31">
        <v>2353</v>
      </c>
      <c r="AB414" s="31">
        <v>94</v>
      </c>
      <c r="AC414" s="31">
        <v>21</v>
      </c>
      <c r="AD414" s="33">
        <v>2</v>
      </c>
      <c r="AE414" s="33">
        <v>57</v>
      </c>
      <c r="AF414" s="29">
        <f t="shared" si="100"/>
      </c>
      <c r="AG414" s="34" t="s">
        <v>56</v>
      </c>
      <c r="AH414" s="106" t="s">
        <v>68</v>
      </c>
      <c r="AI414" s="33">
        <v>32</v>
      </c>
    </row>
    <row r="415">
      <c r="A415" s="22"/>
      <c r="B415" s="40" t="s">
        <v>46</v>
      </c>
      <c r="C415" s="40"/>
      <c r="D415" s="77">
        <f>SUM(D413:D414)</f>
      </c>
      <c r="E415" s="78">
        <f>SUM(E413:E414)</f>
      </c>
      <c r="F415" s="78">
        <f>SUM(F413:F414)</f>
      </c>
      <c r="G415" s="79">
        <f>SUM(G413:G414)</f>
      </c>
      <c r="H415" s="77">
        <f>SUM(H413:H414)</f>
      </c>
      <c r="I415" s="78">
        <f>SUM(I413:I414)</f>
      </c>
      <c r="J415" s="45">
        <f t="shared" si="236"/>
      </c>
      <c r="K415" s="45">
        <f t="shared" si="198"/>
      </c>
      <c r="L415" s="45">
        <f t="shared" si="160"/>
      </c>
      <c r="M415" s="46">
        <f t="shared" si="122"/>
      </c>
      <c r="N415" s="45">
        <f t="shared" si="73"/>
      </c>
      <c r="O415" s="45">
        <f t="shared" si="54"/>
      </c>
      <c r="P415" s="46">
        <f t="shared" si="35"/>
      </c>
      <c r="Q415" s="46">
        <f t="shared" si="16"/>
      </c>
      <c r="R415" s="46">
        <f t="shared" si="255"/>
      </c>
      <c r="S415" s="46">
        <f t="shared" si="217"/>
      </c>
      <c r="T415" s="42">
        <f t="shared" si="179"/>
      </c>
      <c r="U415" s="46">
        <f>AVERAGE(U414)</f>
      </c>
      <c r="V415" s="41">
        <f>AVERAGE(V414)</f>
      </c>
      <c r="W415" s="45">
        <f t="shared" si="141"/>
      </c>
      <c r="X415" s="42">
        <f>SUM(X413:X414)</f>
      </c>
      <c r="Y415" s="42">
        <f>SUM(Y413:Y414)</f>
      </c>
      <c r="Z415" s="42">
        <f>SUM(Z413:Z414)</f>
      </c>
      <c r="AA415" s="42">
        <f>SUM(AA413:AA414)</f>
      </c>
      <c r="AB415" s="42">
        <f>SUM(AB413:AB414)</f>
      </c>
      <c r="AC415" s="42">
        <f>SUM(AC413:AC414)</f>
      </c>
      <c r="AD415" s="42">
        <f>SUM(AD413:AD414)</f>
      </c>
      <c r="AE415" s="42">
        <f>SUM(AE413:AE414)</f>
      </c>
      <c r="AF415" s="47">
        <f t="shared" si="100"/>
      </c>
      <c r="AG415" s="48"/>
      <c r="AH415" s="48"/>
      <c r="AI415" s="42">
        <f>SUM(AI413:AI414)</f>
      </c>
    </row>
    <row r="416">
      <c r="A416" s="22"/>
      <c r="B416" s="23" t="s">
        <v>76</v>
      </c>
      <c r="C416" s="49" t="s">
        <v>59</v>
      </c>
      <c r="D416" s="80">
        <v>4828.6</v>
      </c>
      <c r="E416" s="51">
        <v>11</v>
      </c>
      <c r="F416" s="51">
        <v>9</v>
      </c>
      <c r="G416" s="52">
        <v>8</v>
      </c>
      <c r="H416" s="53">
        <v>4825.699999999997</v>
      </c>
      <c r="I416" s="54">
        <v>1</v>
      </c>
      <c r="J416" s="55">
        <f t="shared" si="236"/>
      </c>
      <c r="K416" s="55">
        <f t="shared" si="198"/>
      </c>
      <c r="L416" s="55">
        <f t="shared" si="160"/>
      </c>
      <c r="M416" s="56">
        <f t="shared" si="122"/>
      </c>
      <c r="N416" s="55">
        <f t="shared" si="73"/>
      </c>
      <c r="O416" s="55">
        <f t="shared" si="54"/>
      </c>
      <c r="P416" s="56">
        <f t="shared" si="35"/>
      </c>
      <c r="Q416" s="56">
        <f t="shared" si="16"/>
      </c>
      <c r="R416" s="56">
        <f t="shared" si="255"/>
      </c>
      <c r="S416" s="56">
        <f t="shared" si="217"/>
      </c>
      <c r="T416" s="57">
        <f t="shared" si="179"/>
      </c>
      <c r="U416" s="58">
        <v>0.0217</v>
      </c>
      <c r="V416" s="59">
        <v>49</v>
      </c>
      <c r="W416" s="29">
        <f t="shared" si="141"/>
      </c>
      <c r="X416" s="57">
        <v>44659</v>
      </c>
      <c r="Y416" s="57">
        <v>1730</v>
      </c>
      <c r="Z416" s="57">
        <v>114</v>
      </c>
      <c r="AA416" s="57">
        <v>2964</v>
      </c>
      <c r="AB416" s="57">
        <v>81</v>
      </c>
      <c r="AC416" s="57">
        <v>21</v>
      </c>
      <c r="AD416" s="57">
        <v>3</v>
      </c>
      <c r="AE416" s="57">
        <v>82</v>
      </c>
      <c r="AF416" s="55" t="str">
        <v>#DIV/0!</v>
      </c>
      <c r="AG416" s="34" t="s">
        <v>56</v>
      </c>
      <c r="AH416" s="106" t="s">
        <v>68</v>
      </c>
      <c r="AI416" s="59">
        <v>44</v>
      </c>
    </row>
    <row r="417">
      <c r="A417" s="22"/>
      <c r="B417" s="23" t="s">
        <v>76</v>
      </c>
      <c r="C417" s="49" t="s">
        <v>61</v>
      </c>
      <c r="D417" s="80">
        <v>3331.09</v>
      </c>
      <c r="E417" s="51">
        <v>23</v>
      </c>
      <c r="F417" s="51">
        <v>19</v>
      </c>
      <c r="G417" s="52">
        <v>14</v>
      </c>
      <c r="H417" s="53">
        <v>10776.699999999997</v>
      </c>
      <c r="I417" s="54">
        <v>3</v>
      </c>
      <c r="J417" s="55">
        <f t="shared" si="236"/>
      </c>
      <c r="K417" s="55">
        <f t="shared" si="198"/>
      </c>
      <c r="L417" s="55">
        <f t="shared" si="160"/>
      </c>
      <c r="M417" s="56">
        <f t="shared" si="122"/>
      </c>
      <c r="N417" s="55">
        <f t="shared" si="73"/>
      </c>
      <c r="O417" s="55">
        <f t="shared" si="54"/>
      </c>
      <c r="P417" s="56">
        <f t="shared" si="35"/>
      </c>
      <c r="Q417" s="56">
        <f t="shared" si="16"/>
      </c>
      <c r="R417" s="56">
        <f t="shared" si="255"/>
      </c>
      <c r="S417" s="56">
        <f t="shared" si="217"/>
      </c>
      <c r="T417" s="57">
        <f t="shared" si="179"/>
      </c>
      <c r="U417" s="58">
        <v>0.022</v>
      </c>
      <c r="V417" s="59">
        <v>50</v>
      </c>
      <c r="W417" s="55">
        <f t="shared" si="141"/>
      </c>
      <c r="X417" s="57">
        <v>35921</v>
      </c>
      <c r="Y417" s="57">
        <v>1404</v>
      </c>
      <c r="Z417" s="57">
        <v>104</v>
      </c>
      <c r="AA417" s="57">
        <v>2325</v>
      </c>
      <c r="AB417" s="57">
        <v>178</v>
      </c>
      <c r="AC417" s="57">
        <v>31</v>
      </c>
      <c r="AD417" s="57">
        <v>3</v>
      </c>
      <c r="AE417" s="57">
        <v>62</v>
      </c>
      <c r="AF417" s="55">
        <f t="shared" ref="AF417:AF421" si="101">AI417*1000/D417</f>
      </c>
      <c r="AG417" s="34" t="s">
        <v>56</v>
      </c>
      <c r="AH417" s="106" t="s">
        <v>68</v>
      </c>
      <c r="AI417" s="59">
        <v>56</v>
      </c>
    </row>
    <row r="418">
      <c r="A418" s="22"/>
      <c r="B418" s="23" t="s">
        <v>76</v>
      </c>
      <c r="C418" s="49" t="s">
        <v>62</v>
      </c>
      <c r="D418" s="81">
        <v>4974.08</v>
      </c>
      <c r="E418" s="63">
        <v>25</v>
      </c>
      <c r="F418" s="63">
        <v>20</v>
      </c>
      <c r="G418" s="64">
        <v>15</v>
      </c>
      <c r="H418" s="91">
        <v>12607.100000000006</v>
      </c>
      <c r="I418" s="54">
        <v>4</v>
      </c>
      <c r="J418" s="55">
        <f t="shared" si="236"/>
      </c>
      <c r="K418" s="55">
        <f t="shared" si="198"/>
      </c>
      <c r="L418" s="55">
        <f t="shared" si="160"/>
      </c>
      <c r="M418" s="56">
        <f t="shared" si="122"/>
      </c>
      <c r="N418" s="55">
        <f t="shared" si="73"/>
      </c>
      <c r="O418" s="55">
        <f t="shared" si="54"/>
      </c>
      <c r="P418" s="56">
        <f t="shared" si="35"/>
      </c>
      <c r="Q418" s="56">
        <f t="shared" si="16"/>
      </c>
      <c r="R418" s="56">
        <f t="shared" si="255"/>
      </c>
      <c r="S418" s="56">
        <f t="shared" si="217"/>
      </c>
      <c r="T418" s="57">
        <f t="shared" si="179"/>
      </c>
      <c r="U418" s="58">
        <v>0.0402</v>
      </c>
      <c r="V418" s="59">
        <v>51</v>
      </c>
      <c r="W418" s="55">
        <f t="shared" si="141"/>
      </c>
      <c r="X418" s="57">
        <v>59736</v>
      </c>
      <c r="Y418" s="57">
        <v>984</v>
      </c>
      <c r="Z418" s="57">
        <v>118</v>
      </c>
      <c r="AA418" s="57">
        <v>1148</v>
      </c>
      <c r="AB418" s="57">
        <v>166</v>
      </c>
      <c r="AC418" s="57">
        <v>31</v>
      </c>
      <c r="AD418" s="57">
        <v>17</v>
      </c>
      <c r="AE418" s="57">
        <v>143</v>
      </c>
      <c r="AF418" s="55">
        <f t="shared" si="101"/>
      </c>
      <c r="AG418" s="34" t="s">
        <v>56</v>
      </c>
      <c r="AH418" s="106" t="s">
        <v>68</v>
      </c>
      <c r="AI418" s="59">
        <v>48</v>
      </c>
    </row>
    <row r="419">
      <c r="A419" s="22"/>
      <c r="B419" s="23" t="s">
        <v>76</v>
      </c>
      <c r="C419" s="49" t="s">
        <v>63</v>
      </c>
      <c r="D419" s="80">
        <v>4295.03</v>
      </c>
      <c r="E419" s="63">
        <v>7</v>
      </c>
      <c r="F419" s="63">
        <v>7</v>
      </c>
      <c r="G419" s="64">
        <v>6</v>
      </c>
      <c r="H419" s="50">
        <v>6039</v>
      </c>
      <c r="I419" s="65">
        <v>3</v>
      </c>
      <c r="J419" s="55">
        <f t="shared" si="236"/>
      </c>
      <c r="K419" s="55">
        <f t="shared" si="198"/>
      </c>
      <c r="L419" s="55">
        <f t="shared" si="160"/>
      </c>
      <c r="M419" s="56">
        <f t="shared" si="122"/>
      </c>
      <c r="N419" s="55">
        <f t="shared" si="73"/>
      </c>
      <c r="O419" s="55">
        <f t="shared" si="54"/>
      </c>
      <c r="P419" s="56">
        <f t="shared" si="35"/>
      </c>
      <c r="Q419" s="56">
        <f t="shared" si="16"/>
      </c>
      <c r="R419" s="56">
        <f t="shared" si="255"/>
      </c>
      <c r="S419" s="56">
        <f t="shared" si="217"/>
      </c>
      <c r="T419" s="57">
        <f t="shared" si="179"/>
      </c>
      <c r="U419" s="58">
        <v>0.0245</v>
      </c>
      <c r="V419" s="59">
        <v>52</v>
      </c>
      <c r="W419" s="55">
        <f t="shared" si="141"/>
      </c>
      <c r="X419" s="57">
        <v>47174</v>
      </c>
      <c r="Y419" s="57">
        <v>1021</v>
      </c>
      <c r="Z419" s="57">
        <v>94</v>
      </c>
      <c r="AA419" s="57">
        <v>1087</v>
      </c>
      <c r="AB419" s="57">
        <v>131</v>
      </c>
      <c r="AC419" s="57">
        <v>22</v>
      </c>
      <c r="AD419" s="57">
        <v>8</v>
      </c>
      <c r="AE419" s="57">
        <v>123</v>
      </c>
      <c r="AF419" s="55">
        <f t="shared" si="101"/>
      </c>
      <c r="AG419" s="34" t="s">
        <v>56</v>
      </c>
      <c r="AH419" s="106" t="s">
        <v>68</v>
      </c>
      <c r="AI419" s="59">
        <v>31</v>
      </c>
    </row>
    <row r="420">
      <c r="A420" s="22"/>
      <c r="B420" s="23" t="s">
        <v>76</v>
      </c>
      <c r="C420" s="49" t="s">
        <v>64</v>
      </c>
      <c r="D420" s="50">
        <v>5459.5</v>
      </c>
      <c r="E420" s="65">
        <v>20</v>
      </c>
      <c r="F420" s="65">
        <v>21</v>
      </c>
      <c r="G420" s="52">
        <v>16</v>
      </c>
      <c r="H420" s="80">
        <v>15101.9</v>
      </c>
      <c r="I420" s="65">
        <v>4</v>
      </c>
      <c r="J420" s="55">
        <f t="shared" si="236"/>
      </c>
      <c r="K420" s="55">
        <f t="shared" si="198"/>
      </c>
      <c r="L420" s="55">
        <f t="shared" si="160"/>
      </c>
      <c r="M420" s="56">
        <f t="shared" si="122"/>
      </c>
      <c r="N420" s="55">
        <f t="shared" si="73"/>
      </c>
      <c r="O420" s="55">
        <f t="shared" si="54"/>
      </c>
      <c r="P420" s="56">
        <f t="shared" si="35"/>
      </c>
      <c r="Q420" s="56">
        <f t="shared" si="16"/>
      </c>
      <c r="R420" s="56">
        <f t="shared" si="255"/>
      </c>
      <c r="S420" s="56">
        <f t="shared" si="217"/>
      </c>
      <c r="T420" s="57">
        <f t="shared" si="179"/>
      </c>
      <c r="U420" s="58">
        <v>0.0136</v>
      </c>
      <c r="V420" s="59">
        <v>52</v>
      </c>
      <c r="W420" s="55">
        <f t="shared" si="141"/>
      </c>
      <c r="X420" s="57">
        <v>53855</v>
      </c>
      <c r="Y420" s="57">
        <v>2398</v>
      </c>
      <c r="Z420" s="57">
        <v>123</v>
      </c>
      <c r="AA420" s="57">
        <v>4025</v>
      </c>
      <c r="AB420" s="57">
        <v>188</v>
      </c>
      <c r="AC420" s="57">
        <v>24</v>
      </c>
      <c r="AD420" s="57">
        <v>8</v>
      </c>
      <c r="AE420" s="59">
        <v>111</v>
      </c>
      <c r="AF420" s="55">
        <f t="shared" si="101"/>
      </c>
      <c r="AG420" s="34" t="s">
        <v>56</v>
      </c>
      <c r="AH420" s="106" t="s">
        <v>68</v>
      </c>
      <c r="AI420" s="59">
        <v>45</v>
      </c>
    </row>
    <row r="421">
      <c r="A421" s="22"/>
      <c r="B421" s="67" t="s">
        <v>46</v>
      </c>
      <c r="C421" s="67"/>
      <c r="D421" s="41">
        <f>SUM(D416:D420)</f>
      </c>
      <c r="E421" s="42">
        <f>SUM(E416:E420)</f>
      </c>
      <c r="F421" s="42">
        <f>SUM(F416:F420)</f>
      </c>
      <c r="G421" s="43">
        <f>SUM(G416:G420)</f>
      </c>
      <c r="H421" s="41">
        <f>SUM(H416:H420)</f>
      </c>
      <c r="I421" s="44">
        <f>SUM(I416:I420)</f>
      </c>
      <c r="J421" s="109">
        <f t="shared" si="236"/>
      </c>
      <c r="K421" s="45">
        <f t="shared" si="198"/>
      </c>
      <c r="L421" s="45">
        <f t="shared" si="160"/>
      </c>
      <c r="M421" s="46">
        <f t="shared" si="122"/>
      </c>
      <c r="N421" s="45">
        <f t="shared" si="73"/>
      </c>
      <c r="O421" s="45">
        <f t="shared" si="54"/>
      </c>
      <c r="P421" s="46">
        <f t="shared" si="35"/>
      </c>
      <c r="Q421" s="46">
        <f t="shared" si="16"/>
      </c>
      <c r="R421" s="46">
        <f t="shared" si="255"/>
      </c>
      <c r="S421" s="46">
        <f t="shared" si="217"/>
      </c>
      <c r="T421" s="42">
        <f t="shared" si="179"/>
      </c>
      <c r="U421" s="46">
        <f>AVERAGE(U416:U420)</f>
      </c>
      <c r="V421" s="41">
        <f>AVERAGE(V416:V420)</f>
      </c>
      <c r="W421" s="45">
        <f t="shared" si="141"/>
      </c>
      <c r="X421" s="42">
        <f>SUM(X416:X420)</f>
      </c>
      <c r="Y421" s="42">
        <f>SUM(Y416:Y420)</f>
      </c>
      <c r="Z421" s="42">
        <f>SUM(Z416:Z420)</f>
      </c>
      <c r="AA421" s="42">
        <f>SUM(AA416:AA420)</f>
      </c>
      <c r="AB421" s="42">
        <f>SUM(AB416:AB420)</f>
      </c>
      <c r="AC421" s="42">
        <f>SUM(AC416:AC420)</f>
      </c>
      <c r="AD421" s="42">
        <f>SUM(AD416:AD420)</f>
      </c>
      <c r="AE421" s="42">
        <f>SUM(AE416:AE420)</f>
      </c>
      <c r="AF421" s="47">
        <f t="shared" si="101"/>
      </c>
      <c r="AG421" s="75"/>
      <c r="AH421" s="75"/>
      <c r="AI421" s="42">
        <f>SUM(AI416:AI420)</f>
      </c>
    </row>
    <row r="422">
      <c r="A422" s="113"/>
      <c r="B422" s="114" t="s">
        <v>65</v>
      </c>
      <c r="C422" s="114"/>
      <c r="D422" s="115">
        <f>D406+D412+D415+D421</f>
      </c>
      <c r="E422" s="116">
        <f>E406+E412+E415+E421</f>
      </c>
      <c r="F422" s="116">
        <f>F406+F412+F415+F421</f>
      </c>
      <c r="G422" s="116">
        <f>G406+G412+G415+G421</f>
      </c>
      <c r="H422" s="115">
        <f>H406+H412+H415+H421</f>
      </c>
      <c r="I422" s="116">
        <f>I406+I412+I415+I421</f>
      </c>
      <c r="J422" s="117">
        <f t="shared" si="236"/>
      </c>
      <c r="K422" s="118">
        <f t="shared" si="198"/>
      </c>
      <c r="L422" s="118">
        <f t="shared" si="160"/>
      </c>
      <c r="M422" s="119">
        <f t="shared" si="122"/>
      </c>
      <c r="N422" s="118">
        <f t="shared" si="73"/>
      </c>
      <c r="O422" s="118">
        <f t="shared" si="54"/>
      </c>
      <c r="P422" s="119">
        <f t="shared" si="35"/>
      </c>
      <c r="Q422" s="119">
        <f t="shared" si="16"/>
      </c>
      <c r="R422" s="119">
        <f t="shared" si="255"/>
      </c>
      <c r="S422" s="119">
        <f t="shared" si="217"/>
      </c>
      <c r="T422" s="120">
        <f t="shared" si="179"/>
      </c>
      <c r="U422" s="119">
        <f>(U406+U415+U412+U421)/4</f>
      </c>
      <c r="V422" s="118">
        <f>(V406+V415+V412+V421)/4</f>
      </c>
      <c r="W422" s="121">
        <f t="shared" si="141"/>
      </c>
      <c r="X422" s="116">
        <f>X406+X412+X415+X421</f>
      </c>
      <c r="Y422" s="116">
        <f>Y406+Y412+Y415+Y421</f>
      </c>
      <c r="Z422" s="116">
        <f>Z406+Z412+Z415+Z421</f>
      </c>
      <c r="AA422" s="116">
        <f>AA406+AA412+AA415+AA421</f>
      </c>
      <c r="AB422" s="116">
        <f>AB406+AB412+AB415+AB421</f>
      </c>
      <c r="AC422" s="116">
        <f>AC406+AC412+AC415+AC421</f>
      </c>
      <c r="AD422" s="116">
        <f>AD406+AD412+AD415+AD421</f>
      </c>
      <c r="AE422" s="116">
        <f>AE406+AE412+AE415+AE421</f>
      </c>
      <c r="AF422" s="118">
        <f>AF406</f>
      </c>
      <c r="AG422" s="114"/>
      <c r="AH422" s="114"/>
      <c r="AI422" s="84">
        <f>AI406+AI412+AI415+AI421</f>
      </c>
    </row>
    <row r="423">
      <c r="A423" s="1" t="s">
        <v>66</v>
      </c>
      <c r="B423" s="1" t="s">
        <v>1</v>
      </c>
      <c r="C423" s="1"/>
      <c r="D423" s="3" t="s">
        <v>2</v>
      </c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5" t="s">
        <v>3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122"/>
    </row>
    <row r="424">
      <c r="A424" s="1"/>
      <c r="B424" s="1" t="s">
        <v>4</v>
      </c>
      <c r="C424" s="1" t="s">
        <v>5</v>
      </c>
      <c r="D424" s="96" t="s">
        <v>6</v>
      </c>
      <c r="E424" s="123" t="s">
        <v>7</v>
      </c>
      <c r="F424" s="98" t="s">
        <v>8</v>
      </c>
      <c r="G424" s="99" t="s">
        <v>9</v>
      </c>
      <c r="H424" s="96" t="s">
        <v>10</v>
      </c>
      <c r="I424" s="124" t="s">
        <v>11</v>
      </c>
      <c r="J424" s="13" t="s">
        <v>12</v>
      </c>
      <c r="K424" s="13" t="s">
        <v>13</v>
      </c>
      <c r="L424" s="13" t="s">
        <v>14</v>
      </c>
      <c r="M424" s="14" t="s">
        <v>15</v>
      </c>
      <c r="N424" s="13" t="s">
        <v>16</v>
      </c>
      <c r="O424" s="15" t="s">
        <v>17</v>
      </c>
      <c r="P424" s="16" t="s">
        <v>18</v>
      </c>
      <c r="Q424" s="16" t="s">
        <v>19</v>
      </c>
      <c r="R424" s="16" t="s">
        <v>20</v>
      </c>
      <c r="S424" s="16" t="s">
        <v>21</v>
      </c>
      <c r="T424" s="17" t="s">
        <v>22</v>
      </c>
      <c r="U424" s="18" t="s">
        <v>23</v>
      </c>
      <c r="V424" s="19" t="s">
        <v>24</v>
      </c>
      <c r="W424" s="5" t="s">
        <v>25</v>
      </c>
      <c r="X424" s="20" t="s">
        <v>26</v>
      </c>
      <c r="Y424" s="20" t="s">
        <v>27</v>
      </c>
      <c r="Z424" s="20" t="s">
        <v>28</v>
      </c>
      <c r="AA424" s="20" t="s">
        <v>29</v>
      </c>
      <c r="AB424" s="20" t="s">
        <v>30</v>
      </c>
      <c r="AC424" s="20" t="s">
        <v>31</v>
      </c>
      <c r="AD424" s="20" t="s">
        <v>32</v>
      </c>
      <c r="AE424" s="20" t="s">
        <v>33</v>
      </c>
      <c r="AF424" s="5" t="s">
        <v>34</v>
      </c>
      <c r="AG424" s="21" t="s">
        <v>35</v>
      </c>
      <c r="AH424" s="21" t="s">
        <v>36</v>
      </c>
      <c r="AI424" s="122" t="s">
        <v>37</v>
      </c>
    </row>
    <row r="425">
      <c r="A425" s="125">
        <v>46221</v>
      </c>
      <c r="B425" s="23" t="s">
        <v>47</v>
      </c>
      <c r="C425" s="23" t="s">
        <v>43</v>
      </c>
      <c r="D425" s="25">
        <v>3000</v>
      </c>
      <c r="E425" s="26">
        <v>12</v>
      </c>
      <c r="F425" s="26">
        <v>4</v>
      </c>
      <c r="G425" s="27">
        <v>4</v>
      </c>
      <c r="H425" s="25">
        <v>1804</v>
      </c>
      <c r="I425" s="26">
        <v>1</v>
      </c>
      <c r="J425" s="29">
        <f t="shared" ref="J425:J445" si="237">H425/D425</f>
      </c>
      <c r="K425" s="29">
        <f t="shared" ref="K425:K445" si="199">D425/F425</f>
      </c>
      <c r="L425" s="29">
        <f t="shared" ref="L425:L445" si="161">D425/G425</f>
      </c>
      <c r="M425" s="30">
        <f t="shared" ref="M425:M445" si="123">F425/E425</f>
      </c>
      <c r="N425" s="29">
        <f t="shared" ref="N425:N445" si="74">H425/F425</f>
      </c>
      <c r="O425" s="29">
        <f t="shared" ref="O425:O445" si="55">D425/Y425</f>
      </c>
      <c r="P425" s="30">
        <f t="shared" ref="P425:P445" si="36">T425/X425*1</f>
      </c>
      <c r="Q425" s="30">
        <f t="shared" ref="Q425:Q445" si="17">Y425/X425</f>
      </c>
      <c r="R425" s="30">
        <f t="shared" ref="R425:R445" si="256">AA425/X425</f>
      </c>
      <c r="S425" s="30">
        <f t="shared" ref="S425:S445" si="218">AB425/AA425</f>
      </c>
      <c r="T425" s="31">
        <f t="shared" ref="T425:T445" si="180">Z425/U425</f>
      </c>
      <c r="U425" s="32">
        <v>0.007</v>
      </c>
      <c r="V425" s="33">
        <v>40</v>
      </c>
      <c r="W425" s="29">
        <f t="shared" ref="W425:W445" si="142">(D425/X425)*1000</f>
      </c>
      <c r="X425" s="33">
        <v>28596</v>
      </c>
      <c r="Y425" s="33">
        <v>1460</v>
      </c>
      <c r="Z425" s="31">
        <v>53</v>
      </c>
      <c r="AA425" s="31">
        <v>3560</v>
      </c>
      <c r="AB425" s="31">
        <v>79</v>
      </c>
      <c r="AC425" s="31">
        <v>16</v>
      </c>
      <c r="AD425" s="33">
        <v>2</v>
      </c>
      <c r="AE425" s="33">
        <v>28</v>
      </c>
      <c r="AF425" s="29">
        <f t="shared" ref="AF425:AF438" si="102">AI425*1000/D425</f>
      </c>
      <c r="AG425" s="34" t="s">
        <v>40</v>
      </c>
      <c r="AH425" s="126" t="s">
        <v>73</v>
      </c>
      <c r="AI425" s="127">
        <v>35</v>
      </c>
    </row>
    <row r="426">
      <c r="A426" s="125"/>
      <c r="B426" s="23" t="s">
        <v>47</v>
      </c>
      <c r="C426" s="23" t="s">
        <v>44</v>
      </c>
      <c r="D426" s="25">
        <v>2878.39</v>
      </c>
      <c r="E426" s="26">
        <v>16</v>
      </c>
      <c r="F426" s="26">
        <v>13</v>
      </c>
      <c r="G426" s="27">
        <v>10</v>
      </c>
      <c r="H426" s="25">
        <v>8966.1</v>
      </c>
      <c r="I426" s="26">
        <v>1</v>
      </c>
      <c r="J426" s="29">
        <f t="shared" si="237"/>
      </c>
      <c r="K426" s="29">
        <f t="shared" si="199"/>
      </c>
      <c r="L426" s="29">
        <f t="shared" si="161"/>
      </c>
      <c r="M426" s="30">
        <f t="shared" si="123"/>
      </c>
      <c r="N426" s="29">
        <f t="shared" si="74"/>
      </c>
      <c r="O426" s="29">
        <f t="shared" si="55"/>
      </c>
      <c r="P426" s="30">
        <f t="shared" si="36"/>
      </c>
      <c r="Q426" s="30">
        <f t="shared" si="17"/>
      </c>
      <c r="R426" s="30">
        <f t="shared" si="256"/>
      </c>
      <c r="S426" s="30">
        <f t="shared" si="218"/>
      </c>
      <c r="T426" s="31">
        <f t="shared" si="180"/>
      </c>
      <c r="U426" s="32">
        <v>0.0155</v>
      </c>
      <c r="V426" s="33">
        <v>38</v>
      </c>
      <c r="W426" s="29">
        <f t="shared" si="142"/>
      </c>
      <c r="X426" s="33">
        <v>22626</v>
      </c>
      <c r="Y426" s="33">
        <v>1176</v>
      </c>
      <c r="Z426" s="31">
        <v>87</v>
      </c>
      <c r="AA426" s="31">
        <v>2353</v>
      </c>
      <c r="AB426" s="33">
        <v>83</v>
      </c>
      <c r="AC426" s="31">
        <v>11</v>
      </c>
      <c r="AD426" s="33">
        <v>5</v>
      </c>
      <c r="AE426" s="33">
        <v>27</v>
      </c>
      <c r="AF426" s="29">
        <f t="shared" si="102"/>
      </c>
      <c r="AG426" s="34" t="s">
        <v>40</v>
      </c>
      <c r="AH426" s="126" t="s">
        <v>73</v>
      </c>
      <c r="AI426" s="127">
        <v>34</v>
      </c>
    </row>
    <row r="427">
      <c r="A427" s="125"/>
      <c r="B427" s="23" t="s">
        <v>47</v>
      </c>
      <c r="C427" s="23" t="s">
        <v>45</v>
      </c>
      <c r="D427" s="25">
        <v>4434.07</v>
      </c>
      <c r="E427" s="26">
        <v>11</v>
      </c>
      <c r="F427" s="26">
        <v>9</v>
      </c>
      <c r="G427" s="27">
        <v>7</v>
      </c>
      <c r="H427" s="25">
        <v>4719.000000000002</v>
      </c>
      <c r="I427" s="26">
        <v>0</v>
      </c>
      <c r="J427" s="29">
        <f t="shared" si="237"/>
      </c>
      <c r="K427" s="29">
        <f t="shared" si="199"/>
      </c>
      <c r="L427" s="29">
        <f t="shared" si="161"/>
      </c>
      <c r="M427" s="30">
        <f t="shared" si="123"/>
      </c>
      <c r="N427" s="29">
        <f t="shared" si="74"/>
      </c>
      <c r="O427" s="29">
        <f t="shared" si="55"/>
      </c>
      <c r="P427" s="30">
        <f t="shared" si="36"/>
      </c>
      <c r="Q427" s="30">
        <f t="shared" si="17"/>
      </c>
      <c r="R427" s="30">
        <f t="shared" si="256"/>
      </c>
      <c r="S427" s="30">
        <f t="shared" si="218"/>
      </c>
      <c r="T427" s="31">
        <f t="shared" si="180"/>
      </c>
      <c r="U427" s="32">
        <v>0.0162</v>
      </c>
      <c r="V427" s="33">
        <v>40</v>
      </c>
      <c r="W427" s="29">
        <f t="shared" si="142"/>
      </c>
      <c r="X427" s="33">
        <v>34504</v>
      </c>
      <c r="Y427" s="33">
        <v>1103</v>
      </c>
      <c r="Z427" s="31">
        <v>97</v>
      </c>
      <c r="AA427" s="31">
        <v>1863</v>
      </c>
      <c r="AB427" s="33">
        <v>98</v>
      </c>
      <c r="AC427" s="31">
        <v>14</v>
      </c>
      <c r="AD427" s="33">
        <v>4</v>
      </c>
      <c r="AE427" s="33">
        <v>61</v>
      </c>
      <c r="AF427" s="29">
        <f t="shared" si="102"/>
      </c>
      <c r="AG427" s="34" t="s">
        <v>40</v>
      </c>
      <c r="AH427" s="126" t="s">
        <v>73</v>
      </c>
      <c r="AI427" s="127">
        <v>48</v>
      </c>
    </row>
    <row r="428">
      <c r="A428" s="125"/>
      <c r="B428" s="23" t="s">
        <v>47</v>
      </c>
      <c r="C428" s="23" t="s">
        <v>48</v>
      </c>
      <c r="D428" s="25">
        <v>7150.06</v>
      </c>
      <c r="E428" s="26">
        <v>31</v>
      </c>
      <c r="F428" s="26">
        <v>23</v>
      </c>
      <c r="G428" s="27">
        <v>21</v>
      </c>
      <c r="H428" s="25">
        <v>14634.400000000003</v>
      </c>
      <c r="I428" s="26">
        <v>4</v>
      </c>
      <c r="J428" s="29">
        <f t="shared" si="237"/>
      </c>
      <c r="K428" s="29">
        <f t="shared" si="199"/>
      </c>
      <c r="L428" s="29">
        <f t="shared" si="161"/>
      </c>
      <c r="M428" s="30">
        <f t="shared" si="123"/>
      </c>
      <c r="N428" s="29">
        <f t="shared" si="74"/>
      </c>
      <c r="O428" s="29">
        <f t="shared" si="55"/>
      </c>
      <c r="P428" s="30">
        <f t="shared" si="36"/>
      </c>
      <c r="Q428" s="30">
        <f t="shared" si="17"/>
      </c>
      <c r="R428" s="30">
        <f t="shared" si="256"/>
      </c>
      <c r="S428" s="30">
        <f t="shared" si="218"/>
      </c>
      <c r="T428" s="31">
        <f t="shared" si="180"/>
      </c>
      <c r="U428" s="32">
        <v>0.0104</v>
      </c>
      <c r="V428" s="33">
        <v>44</v>
      </c>
      <c r="W428" s="29">
        <f t="shared" si="142"/>
      </c>
      <c r="X428" s="33">
        <v>65799</v>
      </c>
      <c r="Y428" s="33">
        <v>3529</v>
      </c>
      <c r="Z428" s="31">
        <v>194</v>
      </c>
      <c r="AA428" s="31">
        <v>5785</v>
      </c>
      <c r="AB428" s="33">
        <v>217</v>
      </c>
      <c r="AC428" s="31">
        <v>47</v>
      </c>
      <c r="AD428" s="33">
        <v>10</v>
      </c>
      <c r="AE428" s="33">
        <v>97</v>
      </c>
      <c r="AF428" s="29">
        <f t="shared" si="102"/>
      </c>
      <c r="AG428" s="34" t="s">
        <v>40</v>
      </c>
      <c r="AH428" s="126" t="s">
        <v>73</v>
      </c>
      <c r="AI428" s="127">
        <v>68</v>
      </c>
    </row>
    <row r="429">
      <c r="A429" s="125"/>
      <c r="B429" s="40" t="s">
        <v>46</v>
      </c>
      <c r="C429" s="40"/>
      <c r="D429" s="41">
        <f>SUM(D425:D428)</f>
      </c>
      <c r="E429" s="42">
        <f>SUM(E425:E428)</f>
      </c>
      <c r="F429" s="42">
        <f>SUM(F425:F428)</f>
      </c>
      <c r="G429" s="43">
        <f>SUM(G425:G428)</f>
      </c>
      <c r="H429" s="45">
        <f>SUM(H425:H428)</f>
      </c>
      <c r="I429" s="44">
        <f>SUM(I425:I428)</f>
      </c>
      <c r="J429" s="45">
        <f t="shared" si="237"/>
      </c>
      <c r="K429" s="45">
        <f t="shared" si="199"/>
      </c>
      <c r="L429" s="45">
        <f t="shared" si="161"/>
      </c>
      <c r="M429" s="46">
        <f t="shared" si="123"/>
      </c>
      <c r="N429" s="45">
        <f t="shared" si="74"/>
      </c>
      <c r="O429" s="45">
        <f t="shared" si="55"/>
      </c>
      <c r="P429" s="46">
        <f t="shared" si="36"/>
      </c>
      <c r="Q429" s="46">
        <f t="shared" si="17"/>
      </c>
      <c r="R429" s="46">
        <f t="shared" si="256"/>
      </c>
      <c r="S429" s="46">
        <f t="shared" si="218"/>
      </c>
      <c r="T429" s="42">
        <f t="shared" si="180"/>
      </c>
      <c r="U429" s="46">
        <f>AVERAGE(U425:U428)</f>
      </c>
      <c r="V429" s="41">
        <f>AVERAGE(V425:V428)</f>
      </c>
      <c r="W429" s="45">
        <f t="shared" si="142"/>
      </c>
      <c r="X429" s="42">
        <f>SUM(X425:X428)</f>
      </c>
      <c r="Y429" s="42">
        <f>SUM(Y425:Y428)</f>
      </c>
      <c r="Z429" s="42">
        <f>SUM(Z425:Z428)</f>
      </c>
      <c r="AA429" s="42">
        <f>SUM(AA425:AA428)</f>
      </c>
      <c r="AB429" s="42">
        <f>SUM(AB425:AB428)</f>
      </c>
      <c r="AC429" s="42">
        <f>SUM(AC425:AC428)</f>
      </c>
      <c r="AD429" s="42">
        <f>SUM(AD425:AD428)</f>
      </c>
      <c r="AE429" s="42">
        <f>SUM(AE425:AE428)</f>
      </c>
      <c r="AF429" s="47">
        <f t="shared" si="102"/>
      </c>
      <c r="AG429" s="48"/>
      <c r="AH429" s="48"/>
      <c r="AI429" s="128">
        <f>SUM(AI425:AI428)</f>
      </c>
    </row>
    <row r="430">
      <c r="A430" s="125"/>
      <c r="B430" s="23" t="s">
        <v>76</v>
      </c>
      <c r="C430" s="129" t="s">
        <v>49</v>
      </c>
      <c r="D430" s="25">
        <v>6880.36</v>
      </c>
      <c r="E430" s="26">
        <v>19</v>
      </c>
      <c r="F430" s="26">
        <v>11</v>
      </c>
      <c r="G430" s="27">
        <v>11</v>
      </c>
      <c r="H430" s="25">
        <v>4960.999999999996</v>
      </c>
      <c r="I430" s="26">
        <v>0</v>
      </c>
      <c r="J430" s="29">
        <f t="shared" si="237"/>
      </c>
      <c r="K430" s="29">
        <f t="shared" si="199"/>
      </c>
      <c r="L430" s="29">
        <f t="shared" si="161"/>
      </c>
      <c r="M430" s="30">
        <f t="shared" si="123"/>
      </c>
      <c r="N430" s="29">
        <f t="shared" si="74"/>
      </c>
      <c r="O430" s="29">
        <f t="shared" si="55"/>
      </c>
      <c r="P430" s="30">
        <f t="shared" si="36"/>
      </c>
      <c r="Q430" s="30">
        <f t="shared" si="17"/>
      </c>
      <c r="R430" s="30">
        <f t="shared" si="256"/>
      </c>
      <c r="S430" s="30">
        <f t="shared" si="218"/>
      </c>
      <c r="T430" s="31">
        <f t="shared" si="180"/>
      </c>
      <c r="U430" s="32">
        <v>0.0075</v>
      </c>
      <c r="V430" s="33">
        <v>44</v>
      </c>
      <c r="W430" s="29">
        <f t="shared" si="142"/>
      </c>
      <c r="X430" s="31">
        <v>61093</v>
      </c>
      <c r="Y430" s="31">
        <v>3768</v>
      </c>
      <c r="Z430" s="31">
        <v>181</v>
      </c>
      <c r="AA430" s="31">
        <v>6831</v>
      </c>
      <c r="AB430" s="31">
        <v>244</v>
      </c>
      <c r="AC430" s="31">
        <v>42</v>
      </c>
      <c r="AD430" s="31">
        <v>8</v>
      </c>
      <c r="AE430" s="31">
        <v>49</v>
      </c>
      <c r="AF430" s="29">
        <f t="shared" si="102"/>
      </c>
      <c r="AG430" s="34" t="s">
        <v>40</v>
      </c>
      <c r="AH430" s="126" t="s">
        <v>73</v>
      </c>
      <c r="AI430" s="130">
        <v>89</v>
      </c>
    </row>
    <row r="431">
      <c r="A431" s="125"/>
      <c r="B431" s="23" t="s">
        <v>76</v>
      </c>
      <c r="C431" s="129" t="s">
        <v>50</v>
      </c>
      <c r="D431" s="25">
        <v>2642.5</v>
      </c>
      <c r="E431" s="26">
        <v>12</v>
      </c>
      <c r="F431" s="26">
        <v>6</v>
      </c>
      <c r="G431" s="27">
        <v>5</v>
      </c>
      <c r="H431" s="25">
        <v>5165.600000000006</v>
      </c>
      <c r="I431" s="26">
        <v>2</v>
      </c>
      <c r="J431" s="29">
        <f t="shared" si="237"/>
      </c>
      <c r="K431" s="29">
        <f t="shared" si="199"/>
      </c>
      <c r="L431" s="29">
        <f t="shared" si="161"/>
      </c>
      <c r="M431" s="30">
        <f t="shared" si="123"/>
      </c>
      <c r="N431" s="29">
        <f t="shared" si="74"/>
      </c>
      <c r="O431" s="29">
        <f t="shared" si="55"/>
      </c>
      <c r="P431" s="30">
        <f t="shared" si="36"/>
      </c>
      <c r="Q431" s="30">
        <f t="shared" si="17"/>
      </c>
      <c r="R431" s="30">
        <f t="shared" si="256"/>
      </c>
      <c r="S431" s="30">
        <f t="shared" si="218"/>
      </c>
      <c r="T431" s="31">
        <f t="shared" si="180"/>
      </c>
      <c r="U431" s="32">
        <v>0.0084</v>
      </c>
      <c r="V431" s="33">
        <v>45</v>
      </c>
      <c r="W431" s="29">
        <f t="shared" si="142"/>
      </c>
      <c r="X431" s="31">
        <v>24601</v>
      </c>
      <c r="Y431" s="31">
        <v>2158</v>
      </c>
      <c r="Z431" s="31">
        <v>92</v>
      </c>
      <c r="AA431" s="31">
        <v>5002</v>
      </c>
      <c r="AB431" s="31">
        <v>154</v>
      </c>
      <c r="AC431" s="31">
        <v>20</v>
      </c>
      <c r="AD431" s="31">
        <v>9</v>
      </c>
      <c r="AE431" s="31">
        <v>16</v>
      </c>
      <c r="AF431" s="29">
        <f t="shared" si="102"/>
      </c>
      <c r="AG431" s="34" t="s">
        <v>40</v>
      </c>
      <c r="AH431" s="126" t="s">
        <v>73</v>
      </c>
      <c r="AI431" s="130">
        <v>42</v>
      </c>
    </row>
    <row r="432">
      <c r="A432" s="125"/>
      <c r="B432" s="23" t="s">
        <v>76</v>
      </c>
      <c r="C432" s="129" t="s">
        <v>51</v>
      </c>
      <c r="D432" s="25">
        <v>7453.46</v>
      </c>
      <c r="E432" s="26">
        <v>35</v>
      </c>
      <c r="F432" s="26">
        <v>18</v>
      </c>
      <c r="G432" s="27">
        <v>16</v>
      </c>
      <c r="H432" s="25">
        <v>15495.699999999997</v>
      </c>
      <c r="I432" s="26">
        <v>5</v>
      </c>
      <c r="J432" s="29">
        <f t="shared" si="237"/>
      </c>
      <c r="K432" s="29">
        <f t="shared" si="199"/>
      </c>
      <c r="L432" s="29">
        <f t="shared" si="161"/>
      </c>
      <c r="M432" s="30">
        <f t="shared" si="123"/>
      </c>
      <c r="N432" s="29">
        <f t="shared" si="74"/>
      </c>
      <c r="O432" s="29">
        <f t="shared" si="55"/>
      </c>
      <c r="P432" s="30">
        <f t="shared" si="36"/>
      </c>
      <c r="Q432" s="30">
        <f t="shared" si="17"/>
      </c>
      <c r="R432" s="30">
        <f t="shared" si="256"/>
      </c>
      <c r="S432" s="30">
        <f t="shared" si="218"/>
      </c>
      <c r="T432" s="31">
        <f t="shared" si="180"/>
      </c>
      <c r="U432" s="32">
        <v>0.0139</v>
      </c>
      <c r="V432" s="33">
        <v>45</v>
      </c>
      <c r="W432" s="29">
        <f t="shared" si="142"/>
      </c>
      <c r="X432" s="33">
        <v>62365</v>
      </c>
      <c r="Y432" s="33">
        <v>3702</v>
      </c>
      <c r="Z432" s="31">
        <v>211</v>
      </c>
      <c r="AA432" s="31">
        <v>6839</v>
      </c>
      <c r="AB432" s="33">
        <v>226</v>
      </c>
      <c r="AC432" s="31">
        <v>42</v>
      </c>
      <c r="AD432" s="33">
        <v>9</v>
      </c>
      <c r="AE432" s="33">
        <v>73</v>
      </c>
      <c r="AF432" s="29">
        <f t="shared" si="102"/>
      </c>
      <c r="AG432" s="34" t="s">
        <v>40</v>
      </c>
      <c r="AH432" s="126" t="s">
        <v>73</v>
      </c>
      <c r="AI432" s="127">
        <v>109</v>
      </c>
    </row>
    <row r="433">
      <c r="A433" s="125"/>
      <c r="B433" s="23" t="s">
        <v>76</v>
      </c>
      <c r="C433" s="23" t="s">
        <v>53</v>
      </c>
      <c r="D433" s="25">
        <v>5618.16</v>
      </c>
      <c r="E433" s="26">
        <v>37</v>
      </c>
      <c r="F433" s="26">
        <v>24</v>
      </c>
      <c r="G433" s="27">
        <v>18</v>
      </c>
      <c r="H433" s="25">
        <v>15225.100000000006</v>
      </c>
      <c r="I433" s="26">
        <v>5</v>
      </c>
      <c r="J433" s="29">
        <f t="shared" si="237"/>
      </c>
      <c r="K433" s="29">
        <f t="shared" si="199"/>
      </c>
      <c r="L433" s="29">
        <f t="shared" si="161"/>
      </c>
      <c r="M433" s="30">
        <f t="shared" si="123"/>
      </c>
      <c r="N433" s="29">
        <f t="shared" si="74"/>
      </c>
      <c r="O433" s="29">
        <f t="shared" si="55"/>
      </c>
      <c r="P433" s="30">
        <f t="shared" si="36"/>
      </c>
      <c r="Q433" s="30">
        <f t="shared" si="17"/>
      </c>
      <c r="R433" s="30">
        <f t="shared" si="256"/>
      </c>
      <c r="S433" s="30">
        <f t="shared" si="218"/>
      </c>
      <c r="T433" s="31">
        <f t="shared" si="180"/>
      </c>
      <c r="U433" s="32">
        <v>0.0111</v>
      </c>
      <c r="V433" s="33">
        <v>45</v>
      </c>
      <c r="W433" s="29">
        <f t="shared" si="142"/>
      </c>
      <c r="X433" s="31">
        <v>50486</v>
      </c>
      <c r="Y433" s="31">
        <v>3120</v>
      </c>
      <c r="Z433" s="31">
        <v>151</v>
      </c>
      <c r="AA433" s="31">
        <v>5909</v>
      </c>
      <c r="AB433" s="31">
        <v>279</v>
      </c>
      <c r="AC433" s="31">
        <v>37</v>
      </c>
      <c r="AD433" s="31">
        <v>7</v>
      </c>
      <c r="AE433" s="31">
        <v>45</v>
      </c>
      <c r="AF433" s="29">
        <f t="shared" si="102"/>
      </c>
      <c r="AG433" s="34" t="s">
        <v>40</v>
      </c>
      <c r="AH433" s="126" t="s">
        <v>73</v>
      </c>
      <c r="AI433" s="130">
        <v>101</v>
      </c>
    </row>
    <row r="434">
      <c r="A434" s="125"/>
      <c r="B434" s="23" t="s">
        <v>76</v>
      </c>
      <c r="C434" s="129" t="s">
        <v>55</v>
      </c>
      <c r="D434" s="25">
        <v>6372.4</v>
      </c>
      <c r="E434" s="26">
        <v>21</v>
      </c>
      <c r="F434" s="26">
        <v>12</v>
      </c>
      <c r="G434" s="27">
        <v>11</v>
      </c>
      <c r="H434" s="76">
        <v>8187.300000000003</v>
      </c>
      <c r="I434" s="26">
        <v>3</v>
      </c>
      <c r="J434" s="29">
        <f t="shared" si="237"/>
      </c>
      <c r="K434" s="29">
        <f t="shared" si="199"/>
      </c>
      <c r="L434" s="29">
        <f t="shared" si="161"/>
      </c>
      <c r="M434" s="30">
        <f t="shared" si="123"/>
      </c>
      <c r="N434" s="29">
        <f t="shared" si="74"/>
      </c>
      <c r="O434" s="29">
        <f t="shared" si="55"/>
      </c>
      <c r="P434" s="30">
        <f t="shared" si="36"/>
      </c>
      <c r="Q434" s="30">
        <f t="shared" si="17"/>
      </c>
      <c r="R434" s="30">
        <f t="shared" si="256"/>
      </c>
      <c r="S434" s="30">
        <f t="shared" si="218"/>
      </c>
      <c r="T434" s="31">
        <f t="shared" si="180"/>
      </c>
      <c r="U434" s="32">
        <v>0.0062</v>
      </c>
      <c r="V434" s="33">
        <v>44</v>
      </c>
      <c r="W434" s="29">
        <f t="shared" si="142"/>
      </c>
      <c r="X434" s="33">
        <v>56954</v>
      </c>
      <c r="Y434" s="33">
        <v>3920</v>
      </c>
      <c r="Z434" s="31">
        <v>128</v>
      </c>
      <c r="AA434" s="31">
        <v>7588</v>
      </c>
      <c r="AB434" s="31">
        <v>186</v>
      </c>
      <c r="AC434" s="31">
        <v>34</v>
      </c>
      <c r="AD434" s="33">
        <v>1</v>
      </c>
      <c r="AE434" s="33">
        <v>50</v>
      </c>
      <c r="AF434" s="29">
        <f t="shared" si="102"/>
      </c>
      <c r="AG434" s="34" t="s">
        <v>56</v>
      </c>
      <c r="AH434" s="126" t="s">
        <v>74</v>
      </c>
      <c r="AI434" s="127">
        <v>69</v>
      </c>
    </row>
    <row r="435">
      <c r="A435" s="125"/>
      <c r="B435" s="40" t="s">
        <v>46</v>
      </c>
      <c r="C435" s="40"/>
      <c r="D435" s="41">
        <f>SUM(D430:D434)</f>
      </c>
      <c r="E435" s="44">
        <f>SUM(E430:E434)</f>
      </c>
      <c r="F435" s="44">
        <f>SUM(F430:F434)</f>
      </c>
      <c r="G435" s="43">
        <f>SUM(G430:G434)</f>
      </c>
      <c r="H435" s="41">
        <f>SUM(H430:H434)</f>
      </c>
      <c r="I435" s="44">
        <f>SUM(I430:I434)</f>
      </c>
      <c r="J435" s="45">
        <f t="shared" si="237"/>
      </c>
      <c r="K435" s="45">
        <f t="shared" si="199"/>
      </c>
      <c r="L435" s="45">
        <f t="shared" si="161"/>
      </c>
      <c r="M435" s="46">
        <f t="shared" si="123"/>
      </c>
      <c r="N435" s="45">
        <f t="shared" si="74"/>
      </c>
      <c r="O435" s="45">
        <f t="shared" si="55"/>
      </c>
      <c r="P435" s="46">
        <f t="shared" si="36"/>
      </c>
      <c r="Q435" s="46">
        <f t="shared" si="17"/>
      </c>
      <c r="R435" s="46">
        <f t="shared" si="256"/>
      </c>
      <c r="S435" s="46">
        <f t="shared" si="218"/>
      </c>
      <c r="T435" s="42">
        <f t="shared" si="180"/>
      </c>
      <c r="U435" s="46">
        <f>AVERAGE(U430:U433)</f>
      </c>
      <c r="V435" s="41">
        <f>AVERAGE(V430:V433)</f>
      </c>
      <c r="W435" s="45">
        <f t="shared" si="142"/>
      </c>
      <c r="X435" s="42">
        <f>SUM(X430:X434)</f>
      </c>
      <c r="Y435" s="42">
        <f>SUM(Y430:Y434)</f>
      </c>
      <c r="Z435" s="42">
        <f>SUM(Z430:Z434)</f>
      </c>
      <c r="AA435" s="42">
        <f>SUM(AA430:AA434)</f>
      </c>
      <c r="AB435" s="42">
        <f>SUM(AB430:AB434)</f>
      </c>
      <c r="AC435" s="42">
        <f>SUM(AC430:AC434)</f>
      </c>
      <c r="AD435" s="42">
        <f>SUM(AD430:AD434)</f>
      </c>
      <c r="AE435" s="42">
        <f>SUM(AE430:AE434)</f>
      </c>
      <c r="AF435" s="47">
        <f t="shared" si="102"/>
      </c>
      <c r="AG435" s="48"/>
      <c r="AH435" s="48"/>
      <c r="AI435" s="131">
        <f>SUM(AI430:AI434)</f>
      </c>
    </row>
    <row r="436">
      <c r="A436" s="125"/>
      <c r="B436" s="23" t="s">
        <v>75</v>
      </c>
      <c r="C436" s="129" t="s">
        <v>57</v>
      </c>
      <c r="D436" s="23">
        <v>5038.55</v>
      </c>
      <c r="E436" s="26">
        <v>17</v>
      </c>
      <c r="F436" s="26">
        <v>10</v>
      </c>
      <c r="G436" s="27">
        <v>9</v>
      </c>
      <c r="H436" s="76">
        <v>5870.699999999997</v>
      </c>
      <c r="I436" s="26">
        <v>1</v>
      </c>
      <c r="J436" s="29">
        <f t="shared" si="237"/>
      </c>
      <c r="K436" s="29">
        <f t="shared" si="199"/>
      </c>
      <c r="L436" s="29">
        <f t="shared" si="161"/>
      </c>
      <c r="M436" s="30">
        <f t="shared" si="123"/>
      </c>
      <c r="N436" s="29">
        <f t="shared" si="74"/>
      </c>
      <c r="O436" s="29">
        <f t="shared" si="55"/>
      </c>
      <c r="P436" s="30">
        <f t="shared" si="36"/>
      </c>
      <c r="Q436" s="30">
        <f t="shared" si="17"/>
      </c>
      <c r="R436" s="30">
        <f t="shared" si="256"/>
      </c>
      <c r="S436" s="30">
        <f t="shared" si="218"/>
      </c>
      <c r="T436" s="31">
        <f t="shared" si="180"/>
      </c>
      <c r="U436" s="32">
        <v>0.0121</v>
      </c>
      <c r="V436" s="33">
        <v>44</v>
      </c>
      <c r="W436" s="29">
        <f t="shared" si="142"/>
      </c>
      <c r="X436" s="33">
        <v>50149</v>
      </c>
      <c r="Y436" s="33">
        <v>2593</v>
      </c>
      <c r="Z436" s="31">
        <v>138</v>
      </c>
      <c r="AA436" s="31">
        <v>5076</v>
      </c>
      <c r="AB436" s="31">
        <v>235</v>
      </c>
      <c r="AC436" s="31">
        <v>27</v>
      </c>
      <c r="AD436" s="33">
        <v>7</v>
      </c>
      <c r="AE436" s="33">
        <v>86</v>
      </c>
      <c r="AF436" s="29">
        <f t="shared" si="102"/>
      </c>
      <c r="AG436" s="34" t="s">
        <v>56</v>
      </c>
      <c r="AH436" s="126" t="s">
        <v>74</v>
      </c>
      <c r="AI436" s="127">
        <v>72</v>
      </c>
    </row>
    <row r="437">
      <c r="A437" s="125"/>
      <c r="B437" s="23" t="s">
        <v>75</v>
      </c>
      <c r="C437" s="129" t="s">
        <v>58</v>
      </c>
      <c r="D437" s="23">
        <v>4246.38</v>
      </c>
      <c r="E437" s="26">
        <v>16</v>
      </c>
      <c r="F437" s="26">
        <v>12</v>
      </c>
      <c r="G437" s="27">
        <v>10</v>
      </c>
      <c r="H437" s="76">
        <v>7168.699999999997</v>
      </c>
      <c r="I437" s="26">
        <v>2</v>
      </c>
      <c r="J437" s="29">
        <f t="shared" si="237"/>
      </c>
      <c r="K437" s="29">
        <f t="shared" si="199"/>
      </c>
      <c r="L437" s="29">
        <f t="shared" si="161"/>
      </c>
      <c r="M437" s="30">
        <f t="shared" si="123"/>
      </c>
      <c r="N437" s="29">
        <f t="shared" si="74"/>
      </c>
      <c r="O437" s="29">
        <f t="shared" si="55"/>
      </c>
      <c r="P437" s="30">
        <f t="shared" si="36"/>
      </c>
      <c r="Q437" s="30">
        <f t="shared" si="17"/>
      </c>
      <c r="R437" s="30">
        <f t="shared" si="256"/>
      </c>
      <c r="S437" s="30">
        <f t="shared" si="218"/>
      </c>
      <c r="T437" s="31">
        <f t="shared" si="180"/>
      </c>
      <c r="U437" s="32">
        <v>0.0151</v>
      </c>
      <c r="V437" s="33">
        <v>45</v>
      </c>
      <c r="W437" s="29">
        <f t="shared" si="142"/>
      </c>
      <c r="X437" s="33">
        <v>40591</v>
      </c>
      <c r="Y437" s="33">
        <v>1099</v>
      </c>
      <c r="Z437" s="31">
        <v>88</v>
      </c>
      <c r="AA437" s="31">
        <v>1951</v>
      </c>
      <c r="AB437" s="31">
        <v>88</v>
      </c>
      <c r="AC437" s="31">
        <v>21</v>
      </c>
      <c r="AD437" s="33">
        <v>7</v>
      </c>
      <c r="AE437" s="33">
        <v>58</v>
      </c>
      <c r="AF437" s="29">
        <f t="shared" si="102"/>
      </c>
      <c r="AG437" s="34" t="s">
        <v>56</v>
      </c>
      <c r="AH437" s="126" t="s">
        <v>74</v>
      </c>
      <c r="AI437" s="127">
        <v>32</v>
      </c>
    </row>
    <row r="438">
      <c r="A438" s="125"/>
      <c r="B438" s="40" t="s">
        <v>46</v>
      </c>
      <c r="C438" s="40"/>
      <c r="D438" s="41">
        <f>SUM(D436:D437)</f>
      </c>
      <c r="E438" s="44">
        <f>SUM(E436:E437)</f>
      </c>
      <c r="F438" s="44">
        <f>SUM(F436:F437)</f>
      </c>
      <c r="G438" s="43">
        <f>SUM(G436:G437)</f>
      </c>
      <c r="H438" s="41">
        <f>SUM(H436:H437)</f>
      </c>
      <c r="I438" s="44">
        <f>SUM(I436:I437)</f>
      </c>
      <c r="J438" s="45">
        <f t="shared" si="237"/>
      </c>
      <c r="K438" s="45">
        <f t="shared" si="199"/>
      </c>
      <c r="L438" s="45">
        <f t="shared" si="161"/>
      </c>
      <c r="M438" s="46">
        <f t="shared" si="123"/>
      </c>
      <c r="N438" s="45">
        <f t="shared" si="74"/>
      </c>
      <c r="O438" s="45">
        <f t="shared" si="55"/>
      </c>
      <c r="P438" s="46">
        <f t="shared" si="36"/>
      </c>
      <c r="Q438" s="46">
        <f t="shared" si="17"/>
      </c>
      <c r="R438" s="46">
        <f t="shared" si="256"/>
      </c>
      <c r="S438" s="46">
        <f t="shared" si="218"/>
      </c>
      <c r="T438" s="42">
        <f t="shared" si="180"/>
      </c>
      <c r="U438" s="46">
        <f>AVERAGE(U437)</f>
      </c>
      <c r="V438" s="41">
        <f>AVERAGE(V437)</f>
      </c>
      <c r="W438" s="45">
        <f t="shared" si="142"/>
      </c>
      <c r="X438" s="42">
        <f>SUM(X436:X437)</f>
      </c>
      <c r="Y438" s="42">
        <f>SUM(Y436:Y437)</f>
      </c>
      <c r="Z438" s="42">
        <f>SUM(Z436:Z437)</f>
      </c>
      <c r="AA438" s="42">
        <f>SUM(AA436:AA437)</f>
      </c>
      <c r="AB438" s="42">
        <f>SUM(AB436:AB437)</f>
      </c>
      <c r="AC438" s="42">
        <f>SUM(AC436:AC437)</f>
      </c>
      <c r="AD438" s="42">
        <f>SUM(AD436:AD437)</f>
      </c>
      <c r="AE438" s="42">
        <f>SUM(AE436:AE437)</f>
      </c>
      <c r="AF438" s="47">
        <f t="shared" si="102"/>
      </c>
      <c r="AG438" s="48"/>
      <c r="AH438" s="48"/>
      <c r="AI438" s="132">
        <f>SUM(AI436:AI437)</f>
      </c>
    </row>
    <row r="439">
      <c r="A439" s="125"/>
      <c r="B439" s="23" t="s">
        <v>54</v>
      </c>
      <c r="C439" s="23" t="s">
        <v>59</v>
      </c>
      <c r="D439" s="133">
        <v>5498.11</v>
      </c>
      <c r="E439" s="26">
        <v>18</v>
      </c>
      <c r="F439" s="26">
        <v>13</v>
      </c>
      <c r="G439" s="27">
        <v>11</v>
      </c>
      <c r="H439" s="25">
        <v>8308.299999999988</v>
      </c>
      <c r="I439" s="26">
        <v>2</v>
      </c>
      <c r="J439" s="29">
        <f t="shared" si="237"/>
      </c>
      <c r="K439" s="29">
        <f t="shared" si="199"/>
      </c>
      <c r="L439" s="29">
        <f t="shared" si="161"/>
      </c>
      <c r="M439" s="30">
        <f t="shared" si="123"/>
      </c>
      <c r="N439" s="29">
        <f t="shared" si="74"/>
      </c>
      <c r="O439" s="29">
        <f t="shared" si="55"/>
      </c>
      <c r="P439" s="30">
        <f t="shared" si="36"/>
      </c>
      <c r="Q439" s="30">
        <f t="shared" si="17"/>
      </c>
      <c r="R439" s="30">
        <f t="shared" si="256"/>
      </c>
      <c r="S439" s="30">
        <f t="shared" si="218"/>
      </c>
      <c r="T439" s="31">
        <f t="shared" si="180"/>
      </c>
      <c r="U439" s="32">
        <v>0.0238</v>
      </c>
      <c r="V439" s="33">
        <v>46</v>
      </c>
      <c r="W439" s="29">
        <f t="shared" si="142"/>
      </c>
      <c r="X439" s="31">
        <v>47000</v>
      </c>
      <c r="Y439" s="31">
        <v>1160</v>
      </c>
      <c r="Z439" s="31">
        <v>93</v>
      </c>
      <c r="AA439" s="31">
        <v>1715</v>
      </c>
      <c r="AB439" s="31">
        <v>118</v>
      </c>
      <c r="AC439" s="31">
        <v>20</v>
      </c>
      <c r="AD439" s="31">
        <v>3</v>
      </c>
      <c r="AE439" s="31">
        <v>80</v>
      </c>
      <c r="AF439" s="29" t="str">
        <v>#DIV/0!</v>
      </c>
      <c r="AG439" s="34" t="s">
        <v>56</v>
      </c>
      <c r="AH439" s="126" t="s">
        <v>74</v>
      </c>
      <c r="AI439" s="130">
        <v>57</v>
      </c>
    </row>
    <row r="440">
      <c r="A440" s="125"/>
      <c r="B440" s="23" t="s">
        <v>54</v>
      </c>
      <c r="C440" s="23" t="s">
        <v>61</v>
      </c>
      <c r="D440" s="133">
        <v>4951.5</v>
      </c>
      <c r="E440" s="26">
        <v>29</v>
      </c>
      <c r="F440" s="26">
        <v>22</v>
      </c>
      <c r="G440" s="27">
        <v>16</v>
      </c>
      <c r="H440" s="25">
        <v>14447.400000000009</v>
      </c>
      <c r="I440" s="26">
        <v>4</v>
      </c>
      <c r="J440" s="29">
        <f t="shared" si="237"/>
      </c>
      <c r="K440" s="29">
        <f t="shared" si="199"/>
      </c>
      <c r="L440" s="29">
        <f t="shared" si="161"/>
      </c>
      <c r="M440" s="30">
        <f t="shared" si="123"/>
      </c>
      <c r="N440" s="29">
        <f t="shared" si="74"/>
      </c>
      <c r="O440" s="29">
        <f t="shared" si="55"/>
      </c>
      <c r="P440" s="30">
        <f t="shared" si="36"/>
      </c>
      <c r="Q440" s="30">
        <f t="shared" si="17"/>
      </c>
      <c r="R440" s="30">
        <f t="shared" si="256"/>
      </c>
      <c r="S440" s="30">
        <f t="shared" si="218"/>
      </c>
      <c r="T440" s="31">
        <f t="shared" si="180"/>
      </c>
      <c r="U440" s="32">
        <v>0.0164</v>
      </c>
      <c r="V440" s="33">
        <v>35</v>
      </c>
      <c r="W440" s="29">
        <f t="shared" si="142"/>
      </c>
      <c r="X440" s="31">
        <v>59686</v>
      </c>
      <c r="Y440" s="31">
        <v>1549</v>
      </c>
      <c r="Z440" s="31">
        <v>113</v>
      </c>
      <c r="AA440" s="31">
        <v>3090</v>
      </c>
      <c r="AB440" s="31">
        <v>168</v>
      </c>
      <c r="AC440" s="31">
        <v>28</v>
      </c>
      <c r="AD440" s="31">
        <v>4</v>
      </c>
      <c r="AE440" s="31">
        <v>71</v>
      </c>
      <c r="AF440" s="29">
        <f t="shared" ref="AF440:AF444" si="103">AI440*1000/D440</f>
      </c>
      <c r="AG440" s="34" t="s">
        <v>56</v>
      </c>
      <c r="AH440" s="126" t="s">
        <v>74</v>
      </c>
      <c r="AI440" s="130">
        <v>70</v>
      </c>
    </row>
    <row r="441">
      <c r="A441" s="125"/>
      <c r="B441" s="23" t="s">
        <v>54</v>
      </c>
      <c r="C441" s="23" t="s">
        <v>62</v>
      </c>
      <c r="D441" s="133">
        <v>7314.72</v>
      </c>
      <c r="E441" s="26">
        <v>42</v>
      </c>
      <c r="F441" s="26">
        <v>29</v>
      </c>
      <c r="G441" s="27">
        <v>20</v>
      </c>
      <c r="H441" s="133">
        <v>19082.800000000032</v>
      </c>
      <c r="I441" s="26">
        <v>7</v>
      </c>
      <c r="J441" s="29">
        <f t="shared" si="237"/>
      </c>
      <c r="K441" s="29">
        <f t="shared" si="199"/>
      </c>
      <c r="L441" s="29">
        <f t="shared" si="161"/>
      </c>
      <c r="M441" s="30">
        <f t="shared" si="123"/>
      </c>
      <c r="N441" s="29">
        <f t="shared" si="74"/>
      </c>
      <c r="O441" s="29">
        <f t="shared" si="55"/>
      </c>
      <c r="P441" s="30">
        <f t="shared" si="36"/>
      </c>
      <c r="Q441" s="30">
        <f t="shared" si="17"/>
      </c>
      <c r="R441" s="30">
        <f t="shared" si="256"/>
      </c>
      <c r="S441" s="30">
        <f t="shared" si="218"/>
      </c>
      <c r="T441" s="31">
        <f t="shared" si="180"/>
      </c>
      <c r="U441" s="32">
        <v>0.0152</v>
      </c>
      <c r="V441" s="33">
        <v>41</v>
      </c>
      <c r="W441" s="29">
        <f t="shared" si="142"/>
      </c>
      <c r="X441" s="31">
        <v>76438</v>
      </c>
      <c r="Y441" s="31">
        <v>2258</v>
      </c>
      <c r="Z441" s="31">
        <v>129</v>
      </c>
      <c r="AA441" s="31">
        <v>6004</v>
      </c>
      <c r="AB441" s="31">
        <v>179</v>
      </c>
      <c r="AC441" s="31">
        <v>40</v>
      </c>
      <c r="AD441" s="31">
        <v>15</v>
      </c>
      <c r="AE441" s="31">
        <v>151</v>
      </c>
      <c r="AF441" s="29">
        <f t="shared" si="103"/>
      </c>
      <c r="AG441" s="34" t="s">
        <v>56</v>
      </c>
      <c r="AH441" s="126" t="s">
        <v>74</v>
      </c>
      <c r="AI441" s="130">
        <v>73</v>
      </c>
    </row>
    <row r="442">
      <c r="A442" s="125"/>
      <c r="B442" s="23" t="s">
        <v>54</v>
      </c>
      <c r="C442" s="23" t="s">
        <v>63</v>
      </c>
      <c r="D442" s="133">
        <v>5764.77</v>
      </c>
      <c r="E442" s="26">
        <v>15</v>
      </c>
      <c r="F442" s="26">
        <v>10</v>
      </c>
      <c r="G442" s="27">
        <v>8</v>
      </c>
      <c r="H442" s="25">
        <v>9617.299999999988</v>
      </c>
      <c r="I442" s="26">
        <v>4</v>
      </c>
      <c r="J442" s="29">
        <f t="shared" si="237"/>
      </c>
      <c r="K442" s="29">
        <f t="shared" si="199"/>
      </c>
      <c r="L442" s="29">
        <f t="shared" si="161"/>
      </c>
      <c r="M442" s="30">
        <f t="shared" si="123"/>
      </c>
      <c r="N442" s="29">
        <f t="shared" si="74"/>
      </c>
      <c r="O442" s="29">
        <f t="shared" si="55"/>
      </c>
      <c r="P442" s="30">
        <f t="shared" si="36"/>
      </c>
      <c r="Q442" s="30">
        <f t="shared" si="17"/>
      </c>
      <c r="R442" s="30">
        <f t="shared" si="256"/>
      </c>
      <c r="S442" s="30">
        <f t="shared" si="218"/>
      </c>
      <c r="T442" s="31">
        <f t="shared" si="180"/>
      </c>
      <c r="U442" s="32">
        <v>0.0149</v>
      </c>
      <c r="V442" s="33">
        <v>53</v>
      </c>
      <c r="W442" s="29">
        <f t="shared" si="142"/>
      </c>
      <c r="X442" s="31">
        <v>67469</v>
      </c>
      <c r="Y442" s="31">
        <v>1854</v>
      </c>
      <c r="Z442" s="31">
        <v>108</v>
      </c>
      <c r="AA442" s="31">
        <v>4814</v>
      </c>
      <c r="AB442" s="31">
        <v>141</v>
      </c>
      <c r="AC442" s="31">
        <v>37</v>
      </c>
      <c r="AD442" s="31">
        <v>3</v>
      </c>
      <c r="AE442" s="31">
        <v>128</v>
      </c>
      <c r="AF442" s="29">
        <f t="shared" si="103"/>
      </c>
      <c r="AG442" s="34" t="s">
        <v>56</v>
      </c>
      <c r="AH442" s="126" t="s">
        <v>74</v>
      </c>
      <c r="AI442" s="130">
        <v>59</v>
      </c>
    </row>
    <row r="443">
      <c r="A443" s="125"/>
      <c r="B443" s="23" t="s">
        <v>54</v>
      </c>
      <c r="C443" s="23" t="s">
        <v>64</v>
      </c>
      <c r="D443" s="25">
        <v>3675.41</v>
      </c>
      <c r="E443" s="26">
        <v>4</v>
      </c>
      <c r="F443" s="26">
        <v>4</v>
      </c>
      <c r="G443" s="27">
        <v>2</v>
      </c>
      <c r="H443" s="133">
        <v>3164.7000000000116</v>
      </c>
      <c r="I443" s="26">
        <v>1</v>
      </c>
      <c r="J443" s="29">
        <f t="shared" si="237"/>
      </c>
      <c r="K443" s="29">
        <f t="shared" si="199"/>
      </c>
      <c r="L443" s="29">
        <f t="shared" si="161"/>
      </c>
      <c r="M443" s="30">
        <f t="shared" si="123"/>
      </c>
      <c r="N443" s="29">
        <f t="shared" si="74"/>
      </c>
      <c r="O443" s="29">
        <f t="shared" si="55"/>
      </c>
      <c r="P443" s="30">
        <f t="shared" si="36"/>
      </c>
      <c r="Q443" s="30">
        <f t="shared" si="17"/>
      </c>
      <c r="R443" s="30">
        <f t="shared" si="256"/>
      </c>
      <c r="S443" s="30">
        <f t="shared" si="218"/>
      </c>
      <c r="T443" s="31">
        <f t="shared" si="180"/>
      </c>
      <c r="U443" s="32">
        <v>0.0097</v>
      </c>
      <c r="V443" s="33">
        <v>67</v>
      </c>
      <c r="W443" s="29">
        <f t="shared" si="142"/>
      </c>
      <c r="X443" s="31">
        <v>37345</v>
      </c>
      <c r="Y443" s="31">
        <v>1351</v>
      </c>
      <c r="Z443" s="31">
        <v>62</v>
      </c>
      <c r="AA443" s="31">
        <v>3525</v>
      </c>
      <c r="AB443" s="31">
        <v>152</v>
      </c>
      <c r="AC443" s="31">
        <v>22</v>
      </c>
      <c r="AD443" s="31">
        <v>5</v>
      </c>
      <c r="AE443" s="33">
        <v>51</v>
      </c>
      <c r="AF443" s="29">
        <f t="shared" si="103"/>
      </c>
      <c r="AG443" s="34" t="s">
        <v>56</v>
      </c>
      <c r="AH443" s="126" t="s">
        <v>74</v>
      </c>
      <c r="AI443" s="130">
        <v>46</v>
      </c>
    </row>
    <row r="444">
      <c r="A444" s="125"/>
      <c r="B444" s="40" t="s">
        <v>46</v>
      </c>
      <c r="C444" s="40"/>
      <c r="D444" s="41">
        <f>SUM(D439:D443)</f>
      </c>
      <c r="E444" s="42">
        <f>SUM(E439:E443)</f>
      </c>
      <c r="F444" s="42">
        <f>SUM(F439:F443)</f>
      </c>
      <c r="G444" s="43">
        <f>SUM(G439:G443)</f>
      </c>
      <c r="H444" s="41">
        <f>SUM(H439:H443)</f>
      </c>
      <c r="I444" s="44">
        <f>SUM(I439:I443)</f>
      </c>
      <c r="J444" s="45">
        <f t="shared" si="237"/>
      </c>
      <c r="K444" s="45">
        <f t="shared" si="199"/>
      </c>
      <c r="L444" s="45">
        <f t="shared" si="161"/>
      </c>
      <c r="M444" s="46">
        <f t="shared" si="123"/>
      </c>
      <c r="N444" s="45">
        <f t="shared" si="74"/>
      </c>
      <c r="O444" s="45">
        <f t="shared" si="55"/>
      </c>
      <c r="P444" s="46">
        <f t="shared" si="36"/>
      </c>
      <c r="Q444" s="46">
        <f t="shared" si="17"/>
      </c>
      <c r="R444" s="46">
        <f t="shared" si="256"/>
      </c>
      <c r="S444" s="46">
        <f t="shared" si="218"/>
      </c>
      <c r="T444" s="42">
        <f t="shared" si="180"/>
      </c>
      <c r="U444" s="46">
        <f>AVERAGE(U439:U443)</f>
      </c>
      <c r="V444" s="41">
        <f>AVERAGE(V439:V443)</f>
      </c>
      <c r="W444" s="45">
        <f t="shared" si="142"/>
      </c>
      <c r="X444" s="42">
        <f>SUM(X439:X443)</f>
      </c>
      <c r="Y444" s="42">
        <f>SUM(Y439:Y443)</f>
      </c>
      <c r="Z444" s="42">
        <f>SUM(Z439:Z443)</f>
      </c>
      <c r="AA444" s="42">
        <f>SUM(AA439:AA443)</f>
      </c>
      <c r="AB444" s="42">
        <f>SUM(AB439:AB443)</f>
      </c>
      <c r="AC444" s="42">
        <f>SUM(AC439:AC443)</f>
      </c>
      <c r="AD444" s="42">
        <f>SUM(AD439:AD443)</f>
      </c>
      <c r="AE444" s="42">
        <f>SUM(AE439:AE443)</f>
      </c>
      <c r="AF444" s="47">
        <f t="shared" si="103"/>
      </c>
      <c r="AG444" s="48"/>
      <c r="AH444" s="48"/>
      <c r="AI444" s="132">
        <f>SUM(AI439:AI443)</f>
      </c>
    </row>
    <row r="445">
      <c r="A445" s="125"/>
      <c r="B445" s="82" t="s">
        <v>65</v>
      </c>
      <c r="C445" s="82"/>
      <c r="D445" s="90">
        <f>D429+D435+D438+D444</f>
      </c>
      <c r="E445" s="134">
        <f>E429+E435+E438+E444</f>
      </c>
      <c r="F445" s="134">
        <f>F429+F435+F438+F444</f>
      </c>
      <c r="G445" s="134">
        <f>G429+G435+G438+G444</f>
      </c>
      <c r="H445" s="90">
        <f>H429+H435+H438+H444</f>
      </c>
      <c r="I445" s="134">
        <f>I429+I435+I438+I444</f>
      </c>
      <c r="J445" s="87">
        <f t="shared" si="237"/>
      </c>
      <c r="K445" s="87">
        <f t="shared" si="199"/>
      </c>
      <c r="L445" s="87">
        <f t="shared" si="161"/>
      </c>
      <c r="M445" s="88">
        <f t="shared" si="123"/>
      </c>
      <c r="N445" s="87">
        <f t="shared" si="74"/>
      </c>
      <c r="O445" s="87">
        <f t="shared" si="55"/>
      </c>
      <c r="P445" s="88">
        <f t="shared" si="36"/>
      </c>
      <c r="Q445" s="88">
        <f t="shared" si="17"/>
      </c>
      <c r="R445" s="88">
        <f t="shared" si="256"/>
      </c>
      <c r="S445" s="88">
        <f t="shared" si="218"/>
      </c>
      <c r="T445" s="89">
        <f t="shared" si="180"/>
      </c>
      <c r="U445" s="88">
        <f>(U429+U438+U435+U444)/4</f>
      </c>
      <c r="V445" s="87">
        <f>(V429+V438+V435+V444)/4</f>
      </c>
      <c r="W445" s="90">
        <f t="shared" si="142"/>
      </c>
      <c r="X445" s="134">
        <f>X429+X435+X438+X444</f>
      </c>
      <c r="Y445" s="134">
        <f>Y429+Y435+Y438+Y444</f>
      </c>
      <c r="Z445" s="134">
        <f>Z429+Z435+Z438+Z444</f>
      </c>
      <c r="AA445" s="134">
        <f>AA429+AA435+AA438+AA444</f>
      </c>
      <c r="AB445" s="134">
        <f>AB429+AB435+AB438+AB444</f>
      </c>
      <c r="AC445" s="134">
        <f>AC429+AC435+AC438+AC444</f>
      </c>
      <c r="AD445" s="134">
        <f>AD429+AD435+AD438+AD444</f>
      </c>
      <c r="AE445" s="134">
        <f>AE429+AE435+AE438+AE444</f>
      </c>
      <c r="AF445" s="87">
        <f>AF429</f>
      </c>
      <c r="AG445" s="82"/>
      <c r="AH445" s="82"/>
      <c r="AI445" s="135">
        <f>AI429+AI435+AI438+AI444</f>
      </c>
    </row>
    <row r="446">
      <c r="A446" s="1" t="s">
        <v>66</v>
      </c>
      <c r="B446" s="1" t="s">
        <v>1</v>
      </c>
      <c r="C446" s="1"/>
      <c r="D446" s="3" t="s">
        <v>2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5" t="s">
        <v>3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122"/>
    </row>
    <row r="447">
      <c r="A447" s="1"/>
      <c r="B447" s="1" t="s">
        <v>4</v>
      </c>
      <c r="C447" s="1" t="s">
        <v>5</v>
      </c>
      <c r="D447" s="96" t="s">
        <v>6</v>
      </c>
      <c r="E447" s="123" t="s">
        <v>7</v>
      </c>
      <c r="F447" s="98" t="s">
        <v>8</v>
      </c>
      <c r="G447" s="99" t="s">
        <v>9</v>
      </c>
      <c r="H447" s="96" t="s">
        <v>10</v>
      </c>
      <c r="I447" s="124" t="s">
        <v>11</v>
      </c>
      <c r="J447" s="13" t="s">
        <v>12</v>
      </c>
      <c r="K447" s="13" t="s">
        <v>13</v>
      </c>
      <c r="L447" s="13" t="s">
        <v>14</v>
      </c>
      <c r="M447" s="14" t="s">
        <v>15</v>
      </c>
      <c r="N447" s="13" t="s">
        <v>16</v>
      </c>
      <c r="O447" s="15" t="s">
        <v>17</v>
      </c>
      <c r="P447" s="16" t="s">
        <v>18</v>
      </c>
      <c r="Q447" s="16" t="s">
        <v>19</v>
      </c>
      <c r="R447" s="16" t="s">
        <v>20</v>
      </c>
      <c r="S447" s="16" t="s">
        <v>21</v>
      </c>
      <c r="T447" s="17" t="s">
        <v>22</v>
      </c>
      <c r="U447" s="18" t="s">
        <v>23</v>
      </c>
      <c r="V447" s="19" t="s">
        <v>24</v>
      </c>
      <c r="W447" s="5" t="s">
        <v>25</v>
      </c>
      <c r="X447" s="20" t="s">
        <v>26</v>
      </c>
      <c r="Y447" s="20" t="s">
        <v>27</v>
      </c>
      <c r="Z447" s="20" t="s">
        <v>28</v>
      </c>
      <c r="AA447" s="20" t="s">
        <v>29</v>
      </c>
      <c r="AB447" s="20" t="s">
        <v>30</v>
      </c>
      <c r="AC447" s="20" t="s">
        <v>31</v>
      </c>
      <c r="AD447" s="20" t="s">
        <v>32</v>
      </c>
      <c r="AE447" s="20" t="s">
        <v>33</v>
      </c>
      <c r="AF447" s="5" t="s">
        <v>34</v>
      </c>
      <c r="AG447" s="21" t="s">
        <v>35</v>
      </c>
      <c r="AH447" s="21" t="s">
        <v>36</v>
      </c>
      <c r="AI447" s="122" t="s">
        <v>37</v>
      </c>
    </row>
    <row r="448">
      <c r="A448" s="125">
        <v>46222</v>
      </c>
      <c r="B448" s="23" t="s">
        <v>47</v>
      </c>
      <c r="C448" s="23" t="s">
        <v>43</v>
      </c>
      <c r="D448" s="25">
        <v>3000</v>
      </c>
      <c r="E448" s="26">
        <v>12</v>
      </c>
      <c r="F448" s="26">
        <v>8</v>
      </c>
      <c r="G448" s="27">
        <v>7</v>
      </c>
      <c r="H448" s="25">
        <v>3938</v>
      </c>
      <c r="I448" s="26">
        <v>0</v>
      </c>
      <c r="J448" s="29">
        <f t="shared" ref="J448:J468" si="238">H448/D448</f>
      </c>
      <c r="K448" s="29">
        <f t="shared" ref="K448:K468" si="200">D448/F448</f>
      </c>
      <c r="L448" s="29">
        <f t="shared" ref="L448:L468" si="162">D448/G448</f>
      </c>
      <c r="M448" s="30">
        <f t="shared" ref="M448:M468" si="124">F448/E448</f>
      </c>
      <c r="N448" s="29">
        <f t="shared" ref="N448:N468" si="75">H448/F448</f>
      </c>
      <c r="O448" s="29">
        <f t="shared" ref="O448:O468" si="56">D448/Y448</f>
      </c>
      <c r="P448" s="30">
        <f t="shared" ref="P448:P468" si="37">T448/X448*1</f>
      </c>
      <c r="Q448" s="30">
        <f t="shared" ref="Q448:Q468" si="18">Y448/X448</f>
      </c>
      <c r="R448" s="30">
        <f t="shared" ref="R448:R468" si="257">AA448/X448</f>
      </c>
      <c r="S448" s="30">
        <f t="shared" ref="S448:S468" si="219">AB448/AA448</f>
      </c>
      <c r="T448" s="31">
        <f t="shared" ref="T448:T468" si="181">Z448/U448</f>
      </c>
      <c r="U448" s="32">
        <v>0.0096</v>
      </c>
      <c r="V448" s="33">
        <v>41</v>
      </c>
      <c r="W448" s="29">
        <f t="shared" ref="W448:W468" si="143">(D448/X448)*1000</f>
      </c>
      <c r="X448" s="33">
        <v>25920</v>
      </c>
      <c r="Y448" s="33">
        <v>1489</v>
      </c>
      <c r="Z448" s="31">
        <v>70</v>
      </c>
      <c r="AA448" s="31">
        <v>3123</v>
      </c>
      <c r="AB448" s="31">
        <v>64</v>
      </c>
      <c r="AC448" s="31">
        <v>14</v>
      </c>
      <c r="AD448" s="33">
        <v>4</v>
      </c>
      <c r="AE448" s="33">
        <v>18</v>
      </c>
      <c r="AF448" s="29">
        <f t="shared" ref="AF448:AF462" si="104">AI448*1000/D448</f>
      </c>
      <c r="AG448" s="34" t="s">
        <v>40</v>
      </c>
      <c r="AH448" s="126" t="s">
        <v>73</v>
      </c>
      <c r="AI448" s="127">
        <v>27</v>
      </c>
    </row>
    <row r="449">
      <c r="A449" s="125"/>
      <c r="B449" s="23" t="s">
        <v>47</v>
      </c>
      <c r="C449" s="23" t="s">
        <v>44</v>
      </c>
      <c r="D449" s="25">
        <v>2985.77</v>
      </c>
      <c r="E449" s="26">
        <v>8</v>
      </c>
      <c r="F449" s="26">
        <v>3</v>
      </c>
      <c r="G449" s="27">
        <v>2</v>
      </c>
      <c r="H449" s="25">
        <v>1683</v>
      </c>
      <c r="I449" s="26">
        <v>0</v>
      </c>
      <c r="J449" s="29">
        <f t="shared" si="238"/>
      </c>
      <c r="K449" s="29">
        <f t="shared" si="200"/>
      </c>
      <c r="L449" s="29">
        <f t="shared" si="162"/>
      </c>
      <c r="M449" s="30">
        <f t="shared" si="124"/>
      </c>
      <c r="N449" s="29">
        <f t="shared" si="75"/>
      </c>
      <c r="O449" s="29">
        <f t="shared" si="56"/>
      </c>
      <c r="P449" s="30">
        <f t="shared" si="37"/>
      </c>
      <c r="Q449" s="30">
        <f t="shared" si="18"/>
      </c>
      <c r="R449" s="30">
        <f t="shared" si="257"/>
      </c>
      <c r="S449" s="30">
        <f t="shared" si="219"/>
      </c>
      <c r="T449" s="31">
        <f t="shared" si="181"/>
      </c>
      <c r="U449" s="32">
        <v>0.0112</v>
      </c>
      <c r="V449" s="33">
        <v>39</v>
      </c>
      <c r="W449" s="29">
        <f t="shared" si="143"/>
      </c>
      <c r="X449" s="33">
        <v>24497</v>
      </c>
      <c r="Y449" s="33">
        <v>1389</v>
      </c>
      <c r="Z449" s="31">
        <v>77</v>
      </c>
      <c r="AA449" s="31">
        <v>3746</v>
      </c>
      <c r="AB449" s="33">
        <v>90</v>
      </c>
      <c r="AC449" s="31">
        <v>27</v>
      </c>
      <c r="AD449" s="33">
        <v>7</v>
      </c>
      <c r="AE449" s="33">
        <v>26</v>
      </c>
      <c r="AF449" s="29">
        <f t="shared" si="104"/>
      </c>
      <c r="AG449" s="34" t="s">
        <v>40</v>
      </c>
      <c r="AH449" s="126" t="s">
        <v>73</v>
      </c>
      <c r="AI449" s="127">
        <v>38</v>
      </c>
    </row>
    <row r="450">
      <c r="A450" s="125"/>
      <c r="B450" s="23" t="s">
        <v>47</v>
      </c>
      <c r="C450" s="23" t="s">
        <v>45</v>
      </c>
      <c r="D450" s="25">
        <v>3012.73</v>
      </c>
      <c r="E450" s="26">
        <v>11</v>
      </c>
      <c r="F450" s="26">
        <v>6</v>
      </c>
      <c r="G450" s="27">
        <v>6</v>
      </c>
      <c r="H450" s="25">
        <v>3036</v>
      </c>
      <c r="I450" s="26">
        <v>0</v>
      </c>
      <c r="J450" s="29">
        <f t="shared" si="238"/>
      </c>
      <c r="K450" s="29">
        <f t="shared" si="200"/>
      </c>
      <c r="L450" s="29">
        <f t="shared" si="162"/>
      </c>
      <c r="M450" s="30">
        <f t="shared" si="124"/>
      </c>
      <c r="N450" s="29">
        <f t="shared" si="75"/>
      </c>
      <c r="O450" s="29">
        <f t="shared" si="56"/>
      </c>
      <c r="P450" s="30">
        <f t="shared" si="37"/>
      </c>
      <c r="Q450" s="30">
        <f t="shared" si="18"/>
      </c>
      <c r="R450" s="30">
        <f t="shared" si="257"/>
      </c>
      <c r="S450" s="30">
        <f t="shared" si="219"/>
      </c>
      <c r="T450" s="31">
        <f t="shared" si="181"/>
      </c>
      <c r="U450" s="32">
        <v>0.0172</v>
      </c>
      <c r="V450" s="33">
        <v>38</v>
      </c>
      <c r="W450" s="29">
        <f t="shared" si="143"/>
      </c>
      <c r="X450" s="33">
        <v>26165</v>
      </c>
      <c r="Y450" s="33">
        <v>979</v>
      </c>
      <c r="Z450" s="31">
        <v>81</v>
      </c>
      <c r="AA450" s="31">
        <v>2180</v>
      </c>
      <c r="AB450" s="33">
        <v>119</v>
      </c>
      <c r="AC450" s="31">
        <v>18</v>
      </c>
      <c r="AD450" s="33">
        <v>1</v>
      </c>
      <c r="AE450" s="33">
        <v>40</v>
      </c>
      <c r="AF450" s="29">
        <f t="shared" si="104"/>
      </c>
      <c r="AG450" s="34" t="s">
        <v>40</v>
      </c>
      <c r="AH450" s="126" t="s">
        <v>73</v>
      </c>
      <c r="AI450" s="127">
        <v>44</v>
      </c>
    </row>
    <row r="451">
      <c r="A451" s="125"/>
      <c r="B451" s="23" t="s">
        <v>47</v>
      </c>
      <c r="C451" s="23" t="s">
        <v>48</v>
      </c>
      <c r="D451" s="25">
        <v>4532.11</v>
      </c>
      <c r="E451" s="26">
        <v>20</v>
      </c>
      <c r="F451" s="26">
        <v>11</v>
      </c>
      <c r="G451" s="27">
        <v>10</v>
      </c>
      <c r="H451" s="25">
        <v>6653.9</v>
      </c>
      <c r="I451" s="26">
        <v>1</v>
      </c>
      <c r="J451" s="29">
        <f t="shared" si="238"/>
      </c>
      <c r="K451" s="29">
        <f t="shared" si="200"/>
      </c>
      <c r="L451" s="29">
        <f t="shared" si="162"/>
      </c>
      <c r="M451" s="30">
        <f t="shared" si="124"/>
      </c>
      <c r="N451" s="29">
        <f t="shared" si="75"/>
      </c>
      <c r="O451" s="29">
        <f t="shared" si="56"/>
      </c>
      <c r="P451" s="30">
        <f t="shared" si="37"/>
      </c>
      <c r="Q451" s="30">
        <f t="shared" si="18"/>
      </c>
      <c r="R451" s="30">
        <f t="shared" si="257"/>
      </c>
      <c r="S451" s="30">
        <f t="shared" si="219"/>
      </c>
      <c r="T451" s="31">
        <f t="shared" si="181"/>
      </c>
      <c r="U451" s="32">
        <v>0.0085</v>
      </c>
      <c r="V451" s="33">
        <v>37</v>
      </c>
      <c r="W451" s="29">
        <f t="shared" si="143"/>
      </c>
      <c r="X451" s="33">
        <v>43718</v>
      </c>
      <c r="Y451" s="33">
        <v>2848</v>
      </c>
      <c r="Z451" s="31">
        <v>112</v>
      </c>
      <c r="AA451" s="31">
        <v>7585</v>
      </c>
      <c r="AB451" s="33">
        <v>134</v>
      </c>
      <c r="AC451" s="31">
        <v>30</v>
      </c>
      <c r="AD451" s="33">
        <v>6</v>
      </c>
      <c r="AE451" s="33">
        <v>37</v>
      </c>
      <c r="AF451" s="29">
        <f t="shared" si="104"/>
      </c>
      <c r="AG451" s="34" t="s">
        <v>40</v>
      </c>
      <c r="AH451" s="126" t="s">
        <v>73</v>
      </c>
      <c r="AI451" s="127">
        <v>56</v>
      </c>
    </row>
    <row r="452">
      <c r="A452" s="125"/>
      <c r="B452" s="40" t="s">
        <v>46</v>
      </c>
      <c r="C452" s="40"/>
      <c r="D452" s="41">
        <f>SUM(D448:D451)</f>
      </c>
      <c r="E452" s="42">
        <f>SUM(E448:E451)</f>
      </c>
      <c r="F452" s="42">
        <f>SUM(F448:F451)</f>
      </c>
      <c r="G452" s="43">
        <f>SUM(G448:G451)</f>
      </c>
      <c r="H452" s="45">
        <f>SUM(H448:H451)</f>
      </c>
      <c r="I452" s="44">
        <f>SUM(I448:I451)</f>
      </c>
      <c r="J452" s="45">
        <f t="shared" si="238"/>
      </c>
      <c r="K452" s="45">
        <f t="shared" si="200"/>
      </c>
      <c r="L452" s="45">
        <f t="shared" si="162"/>
      </c>
      <c r="M452" s="46">
        <f t="shared" si="124"/>
      </c>
      <c r="N452" s="45">
        <f t="shared" si="75"/>
      </c>
      <c r="O452" s="45">
        <f t="shared" si="56"/>
      </c>
      <c r="P452" s="46">
        <f t="shared" si="37"/>
      </c>
      <c r="Q452" s="46">
        <f t="shared" si="18"/>
      </c>
      <c r="R452" s="46">
        <f t="shared" si="257"/>
      </c>
      <c r="S452" s="46">
        <f t="shared" si="219"/>
      </c>
      <c r="T452" s="42">
        <f t="shared" si="181"/>
      </c>
      <c r="U452" s="46">
        <f>AVERAGE(U448:U451)</f>
      </c>
      <c r="V452" s="41">
        <f>AVERAGE(V448:V451)</f>
      </c>
      <c r="W452" s="45">
        <f t="shared" si="143"/>
      </c>
      <c r="X452" s="42">
        <f>SUM(X448:X451)</f>
      </c>
      <c r="Y452" s="42">
        <f>SUM(Y448:Y451)</f>
      </c>
      <c r="Z452" s="42">
        <f>SUM(Z448:Z451)</f>
      </c>
      <c r="AA452" s="42">
        <f>SUM(AA448:AA451)</f>
      </c>
      <c r="AB452" s="42">
        <f>SUM(AB448:AB451)</f>
      </c>
      <c r="AC452" s="42">
        <f>SUM(AC448:AC451)</f>
      </c>
      <c r="AD452" s="42">
        <f>SUM(AD448:AD451)</f>
      </c>
      <c r="AE452" s="42">
        <f>SUM(AE448:AE451)</f>
      </c>
      <c r="AF452" s="47">
        <f t="shared" si="104"/>
      </c>
      <c r="AG452" s="48"/>
      <c r="AH452" s="48"/>
      <c r="AI452" s="128">
        <f>SUM(AI448:AI451)</f>
      </c>
    </row>
    <row r="453">
      <c r="A453" s="125"/>
      <c r="B453" s="23" t="s">
        <v>76</v>
      </c>
      <c r="C453" s="129" t="s">
        <v>49</v>
      </c>
      <c r="D453" s="25">
        <v>3425.27</v>
      </c>
      <c r="E453" s="26">
        <v>33</v>
      </c>
      <c r="F453" s="26">
        <v>24</v>
      </c>
      <c r="G453" s="27">
        <v>23</v>
      </c>
      <c r="H453" s="25">
        <v>13418.4</v>
      </c>
      <c r="I453" s="26">
        <v>2</v>
      </c>
      <c r="J453" s="29">
        <f t="shared" si="238"/>
      </c>
      <c r="K453" s="29">
        <f t="shared" si="200"/>
      </c>
      <c r="L453" s="29">
        <f t="shared" si="162"/>
      </c>
      <c r="M453" s="30">
        <f t="shared" si="124"/>
      </c>
      <c r="N453" s="29">
        <f t="shared" si="75"/>
      </c>
      <c r="O453" s="29">
        <f t="shared" si="56"/>
      </c>
      <c r="P453" s="30">
        <f t="shared" si="37"/>
      </c>
      <c r="Q453" s="30">
        <f t="shared" si="18"/>
      </c>
      <c r="R453" s="30">
        <f t="shared" si="257"/>
      </c>
      <c r="S453" s="30">
        <f t="shared" si="219"/>
      </c>
      <c r="T453" s="31">
        <f t="shared" si="181"/>
      </c>
      <c r="U453" s="32">
        <v>0.0132</v>
      </c>
      <c r="V453" s="33">
        <v>40</v>
      </c>
      <c r="W453" s="29">
        <f t="shared" si="143"/>
      </c>
      <c r="X453" s="31">
        <v>40257</v>
      </c>
      <c r="Y453" s="31">
        <v>2077</v>
      </c>
      <c r="Z453" s="31">
        <v>118</v>
      </c>
      <c r="AA453" s="31">
        <v>5860</v>
      </c>
      <c r="AB453" s="31">
        <v>195</v>
      </c>
      <c r="AC453" s="31">
        <v>29</v>
      </c>
      <c r="AD453" s="31">
        <v>2</v>
      </c>
      <c r="AE453" s="31">
        <v>61</v>
      </c>
      <c r="AF453" s="29">
        <f t="shared" si="104"/>
      </c>
      <c r="AG453" s="34" t="s">
        <v>40</v>
      </c>
      <c r="AH453" s="126" t="s">
        <v>73</v>
      </c>
      <c r="AI453" s="130">
        <v>63</v>
      </c>
    </row>
    <row r="454">
      <c r="A454" s="125"/>
      <c r="B454" s="23" t="s">
        <v>76</v>
      </c>
      <c r="C454" s="129" t="s">
        <v>50</v>
      </c>
      <c r="D454" s="25">
        <v>3589.69</v>
      </c>
      <c r="E454" s="26">
        <v>18</v>
      </c>
      <c r="F454" s="26">
        <v>12</v>
      </c>
      <c r="G454" s="27">
        <v>10</v>
      </c>
      <c r="H454" s="25">
        <v>6477.899999999998</v>
      </c>
      <c r="I454" s="26">
        <v>1</v>
      </c>
      <c r="J454" s="29">
        <f t="shared" si="238"/>
      </c>
      <c r="K454" s="29">
        <f t="shared" si="200"/>
      </c>
      <c r="L454" s="29">
        <f t="shared" si="162"/>
      </c>
      <c r="M454" s="30">
        <f t="shared" si="124"/>
      </c>
      <c r="N454" s="29">
        <f t="shared" si="75"/>
      </c>
      <c r="O454" s="29">
        <f t="shared" si="56"/>
      </c>
      <c r="P454" s="30">
        <f t="shared" si="37"/>
      </c>
      <c r="Q454" s="30">
        <f t="shared" si="18"/>
      </c>
      <c r="R454" s="30">
        <f t="shared" si="257"/>
      </c>
      <c r="S454" s="30">
        <f t="shared" si="219"/>
      </c>
      <c r="T454" s="31">
        <f t="shared" si="181"/>
      </c>
      <c r="U454" s="32">
        <v>0.0154</v>
      </c>
      <c r="V454" s="33">
        <v>43</v>
      </c>
      <c r="W454" s="29">
        <f t="shared" si="143"/>
      </c>
      <c r="X454" s="31">
        <v>35578</v>
      </c>
      <c r="Y454" s="31">
        <v>1220</v>
      </c>
      <c r="Z454" s="31">
        <v>119</v>
      </c>
      <c r="AA454" s="31">
        <v>2116</v>
      </c>
      <c r="AB454" s="31">
        <v>193</v>
      </c>
      <c r="AC454" s="31">
        <v>25</v>
      </c>
      <c r="AD454" s="31">
        <v>2</v>
      </c>
      <c r="AE454" s="31">
        <v>52</v>
      </c>
      <c r="AF454" s="29">
        <f t="shared" si="104"/>
      </c>
      <c r="AG454" s="34" t="s">
        <v>40</v>
      </c>
      <c r="AH454" s="126" t="s">
        <v>73</v>
      </c>
      <c r="AI454" s="130">
        <v>62</v>
      </c>
    </row>
    <row r="455">
      <c r="A455" s="125"/>
      <c r="B455" s="23" t="s">
        <v>76</v>
      </c>
      <c r="C455" s="129" t="s">
        <v>51</v>
      </c>
      <c r="D455" s="25">
        <v>4768.55</v>
      </c>
      <c r="E455" s="26">
        <v>16</v>
      </c>
      <c r="F455" s="26">
        <v>10</v>
      </c>
      <c r="G455" s="27">
        <v>8</v>
      </c>
      <c r="H455" s="25">
        <v>5889.4000000000015</v>
      </c>
      <c r="I455" s="26">
        <v>1</v>
      </c>
      <c r="J455" s="29">
        <f t="shared" si="238"/>
      </c>
      <c r="K455" s="29">
        <f t="shared" si="200"/>
      </c>
      <c r="L455" s="29">
        <f t="shared" si="162"/>
      </c>
      <c r="M455" s="30">
        <f t="shared" si="124"/>
      </c>
      <c r="N455" s="29">
        <f t="shared" si="75"/>
      </c>
      <c r="O455" s="29">
        <f t="shared" si="56"/>
      </c>
      <c r="P455" s="30">
        <f t="shared" si="37"/>
      </c>
      <c r="Q455" s="30">
        <f t="shared" si="18"/>
      </c>
      <c r="R455" s="30">
        <f t="shared" si="257"/>
      </c>
      <c r="S455" s="30">
        <f t="shared" si="219"/>
      </c>
      <c r="T455" s="31">
        <f t="shared" si="181"/>
      </c>
      <c r="U455" s="32">
        <v>0.0211</v>
      </c>
      <c r="V455" s="33">
        <v>47</v>
      </c>
      <c r="W455" s="29">
        <f t="shared" si="143"/>
      </c>
      <c r="X455" s="33">
        <v>42923</v>
      </c>
      <c r="Y455" s="33">
        <v>1275</v>
      </c>
      <c r="Z455" s="31">
        <v>116</v>
      </c>
      <c r="AA455" s="31">
        <v>1851</v>
      </c>
      <c r="AB455" s="33">
        <v>190</v>
      </c>
      <c r="AC455" s="31">
        <v>20</v>
      </c>
      <c r="AD455" s="33">
        <v>5</v>
      </c>
      <c r="AE455" s="33">
        <v>93</v>
      </c>
      <c r="AF455" s="29">
        <f t="shared" si="104"/>
      </c>
      <c r="AG455" s="34" t="s">
        <v>40</v>
      </c>
      <c r="AH455" s="126" t="s">
        <v>73</v>
      </c>
      <c r="AI455" s="127">
        <v>190</v>
      </c>
    </row>
    <row r="456">
      <c r="A456" s="125"/>
      <c r="B456" s="23" t="s">
        <v>76</v>
      </c>
      <c r="C456" s="23" t="s">
        <v>53</v>
      </c>
      <c r="D456" s="25">
        <v>16457.12</v>
      </c>
      <c r="E456" s="26">
        <v>61</v>
      </c>
      <c r="F456" s="26">
        <v>45</v>
      </c>
      <c r="G456" s="27">
        <v>35</v>
      </c>
      <c r="H456" s="76">
        <v>25648.7</v>
      </c>
      <c r="I456" s="26">
        <v>4</v>
      </c>
      <c r="J456" s="29">
        <f t="shared" si="238"/>
      </c>
      <c r="K456" s="29">
        <f t="shared" si="200"/>
      </c>
      <c r="L456" s="29">
        <f t="shared" si="162"/>
      </c>
      <c r="M456" s="30">
        <f t="shared" si="124"/>
      </c>
      <c r="N456" s="29">
        <f t="shared" si="75"/>
      </c>
      <c r="O456" s="29">
        <f t="shared" si="56"/>
      </c>
      <c r="P456" s="30">
        <f t="shared" si="37"/>
      </c>
      <c r="Q456" s="30">
        <f t="shared" si="18"/>
      </c>
      <c r="R456" s="30">
        <f t="shared" si="257"/>
      </c>
      <c r="S456" s="30">
        <f t="shared" si="219"/>
      </c>
      <c r="T456" s="31">
        <f t="shared" si="181"/>
      </c>
      <c r="U456" s="32">
        <v>0.0114</v>
      </c>
      <c r="V456" s="33">
        <v>43</v>
      </c>
      <c r="W456" s="29">
        <f t="shared" si="143"/>
      </c>
      <c r="X456" s="33">
        <v>153069</v>
      </c>
      <c r="Y456" s="33">
        <v>7229</v>
      </c>
      <c r="Z456" s="31">
        <v>385</v>
      </c>
      <c r="AA456" s="31">
        <v>12323</v>
      </c>
      <c r="AB456" s="31">
        <v>430</v>
      </c>
      <c r="AC456" s="31">
        <v>92</v>
      </c>
      <c r="AD456" s="33">
        <v>21</v>
      </c>
      <c r="AE456" s="33">
        <v>270</v>
      </c>
      <c r="AF456" s="29">
        <f t="shared" si="104"/>
      </c>
      <c r="AG456" s="34" t="s">
        <v>40</v>
      </c>
      <c r="AH456" s="126" t="s">
        <v>73</v>
      </c>
      <c r="AI456" s="127">
        <v>60</v>
      </c>
    </row>
    <row r="457">
      <c r="A457" s="125"/>
      <c r="B457" s="40" t="s">
        <v>46</v>
      </c>
      <c r="C457" s="40"/>
      <c r="D457" s="41">
        <f>SUM(D453:D456)</f>
      </c>
      <c r="E457" s="44">
        <f>SUM(E453:E456)</f>
      </c>
      <c r="F457" s="44">
        <f>SUM(F453:F456)</f>
      </c>
      <c r="G457" s="43">
        <f>SUM(G453:G456)</f>
      </c>
      <c r="H457" s="41">
        <f>SUM(H453:H456)</f>
      </c>
      <c r="I457" s="44">
        <f>SUM(I453:I456)</f>
      </c>
      <c r="J457" s="45">
        <f t="shared" si="238"/>
      </c>
      <c r="K457" s="45">
        <f t="shared" si="200"/>
      </c>
      <c r="L457" s="45">
        <f t="shared" si="162"/>
      </c>
      <c r="M457" s="46">
        <f t="shared" si="124"/>
      </c>
      <c r="N457" s="45">
        <f t="shared" si="75"/>
      </c>
      <c r="O457" s="45">
        <f t="shared" si="56"/>
      </c>
      <c r="P457" s="46">
        <f t="shared" si="37"/>
      </c>
      <c r="Q457" s="46">
        <f t="shared" si="18"/>
      </c>
      <c r="R457" s="46">
        <f t="shared" si="257"/>
      </c>
      <c r="S457" s="46">
        <f t="shared" si="219"/>
      </c>
      <c r="T457" s="42">
        <f t="shared" si="181"/>
      </c>
      <c r="U457" s="46">
        <f>AVERAGE(U453:U455)</f>
      </c>
      <c r="V457" s="41">
        <f>AVERAGE(V453:V455)</f>
      </c>
      <c r="W457" s="45">
        <f t="shared" si="143"/>
      </c>
      <c r="X457" s="42">
        <f>SUM(X453:X456)</f>
      </c>
      <c r="Y457" s="42">
        <f>SUM(Y453:Y456)</f>
      </c>
      <c r="Z457" s="42">
        <f>SUM(Z453:Z456)</f>
      </c>
      <c r="AA457" s="42">
        <f>SUM(AA453:AA456)</f>
      </c>
      <c r="AB457" s="42">
        <f>SUM(AB453:AB456)</f>
      </c>
      <c r="AC457" s="42">
        <f>SUM(AC453:AC456)</f>
      </c>
      <c r="AD457" s="42">
        <f>SUM(AD453:AD456)</f>
      </c>
      <c r="AE457" s="42">
        <f>SUM(AE453:AE456)</f>
      </c>
      <c r="AF457" s="47">
        <f t="shared" si="104"/>
      </c>
      <c r="AG457" s="48"/>
      <c r="AH457" s="48"/>
      <c r="AI457" s="131">
        <f>SUM(AI453:AI456)</f>
      </c>
    </row>
    <row r="458">
      <c r="A458" s="125"/>
      <c r="B458" s="23" t="s">
        <v>54</v>
      </c>
      <c r="C458" s="129" t="s">
        <v>55</v>
      </c>
      <c r="D458" s="136">
        <v>3262.04</v>
      </c>
      <c r="E458" s="26">
        <v>11</v>
      </c>
      <c r="F458" s="26">
        <v>9</v>
      </c>
      <c r="G458" s="27">
        <v>9</v>
      </c>
      <c r="H458" s="76">
        <v>5049</v>
      </c>
      <c r="I458" s="26">
        <v>1</v>
      </c>
      <c r="J458" s="29">
        <f t="shared" si="238"/>
      </c>
      <c r="K458" s="29">
        <f t="shared" si="200"/>
      </c>
      <c r="L458" s="29">
        <f t="shared" si="162"/>
      </c>
      <c r="M458" s="30">
        <f t="shared" si="124"/>
      </c>
      <c r="N458" s="29">
        <f t="shared" si="75"/>
      </c>
      <c r="O458" s="29">
        <f t="shared" si="56"/>
      </c>
      <c r="P458" s="30">
        <f t="shared" si="37"/>
      </c>
      <c r="Q458" s="30">
        <f t="shared" si="18"/>
      </c>
      <c r="R458" s="30">
        <f t="shared" si="257"/>
      </c>
      <c r="S458" s="30">
        <f t="shared" si="219"/>
      </c>
      <c r="T458" s="31">
        <f t="shared" si="181"/>
      </c>
      <c r="U458" s="32">
        <v>0.011</v>
      </c>
      <c r="V458" s="33">
        <v>46</v>
      </c>
      <c r="W458" s="29">
        <f t="shared" si="143"/>
      </c>
      <c r="X458" s="33">
        <v>42939</v>
      </c>
      <c r="Y458" s="33">
        <v>1792</v>
      </c>
      <c r="Z458" s="31">
        <v>101</v>
      </c>
      <c r="AA458" s="31">
        <v>3057</v>
      </c>
      <c r="AB458" s="31">
        <v>166</v>
      </c>
      <c r="AC458" s="31">
        <v>25</v>
      </c>
      <c r="AD458" s="33">
        <v>3</v>
      </c>
      <c r="AE458" s="33">
        <v>57</v>
      </c>
      <c r="AF458" s="29">
        <f t="shared" si="104"/>
      </c>
      <c r="AG458" s="34" t="s">
        <v>56</v>
      </c>
      <c r="AH458" s="126" t="s">
        <v>74</v>
      </c>
      <c r="AI458" s="127">
        <v>43</v>
      </c>
    </row>
    <row customHeight="true" ht="18.452380952380953" r="459">
      <c r="A459" s="125"/>
      <c r="B459" s="23" t="s">
        <v>54</v>
      </c>
      <c r="C459" s="129" t="s">
        <v>57</v>
      </c>
      <c r="D459" s="25">
        <v>4430.15</v>
      </c>
      <c r="E459" s="26">
        <v>20</v>
      </c>
      <c r="F459" s="26">
        <v>18</v>
      </c>
      <c r="G459" s="27">
        <v>15</v>
      </c>
      <c r="H459" s="76">
        <v>11741.4</v>
      </c>
      <c r="I459" s="26">
        <v>4</v>
      </c>
      <c r="J459" s="29">
        <f t="shared" si="238"/>
      </c>
      <c r="K459" s="29">
        <f t="shared" si="200"/>
      </c>
      <c r="L459" s="29">
        <f t="shared" si="162"/>
      </c>
      <c r="M459" s="30">
        <f t="shared" si="124"/>
      </c>
      <c r="N459" s="29">
        <f t="shared" si="75"/>
      </c>
      <c r="O459" s="29">
        <f t="shared" si="56"/>
      </c>
      <c r="P459" s="30">
        <f t="shared" si="37"/>
      </c>
      <c r="Q459" s="30">
        <f t="shared" si="18"/>
      </c>
      <c r="R459" s="30">
        <f t="shared" si="257"/>
      </c>
      <c r="S459" s="30">
        <f t="shared" si="219"/>
      </c>
      <c r="T459" s="31">
        <f t="shared" si="181"/>
      </c>
      <c r="U459" s="32">
        <v>0.0068</v>
      </c>
      <c r="V459" s="33">
        <v>47</v>
      </c>
      <c r="W459" s="29">
        <f t="shared" si="143"/>
      </c>
      <c r="X459" s="33">
        <v>62079</v>
      </c>
      <c r="Y459" s="33">
        <v>2955</v>
      </c>
      <c r="Z459" s="31">
        <v>132</v>
      </c>
      <c r="AA459" s="31">
        <v>4707</v>
      </c>
      <c r="AB459" s="31">
        <v>226</v>
      </c>
      <c r="AC459" s="31">
        <v>33</v>
      </c>
      <c r="AD459" s="33">
        <v>11</v>
      </c>
      <c r="AE459" s="33">
        <v>106</v>
      </c>
      <c r="AF459" s="29">
        <f t="shared" si="104"/>
      </c>
      <c r="AG459" s="34" t="s">
        <v>56</v>
      </c>
      <c r="AH459" s="126" t="s">
        <v>74</v>
      </c>
      <c r="AI459" s="127">
        <v>62</v>
      </c>
    </row>
    <row customHeight="true" ht="18.452380952380953" r="460">
      <c r="A460" s="125"/>
      <c r="B460" s="23" t="s">
        <v>54</v>
      </c>
      <c r="C460" s="129" t="s">
        <v>58</v>
      </c>
      <c r="D460" s="25">
        <v>4001.94</v>
      </c>
      <c r="E460" s="26">
        <v>3</v>
      </c>
      <c r="F460" s="26">
        <v>2</v>
      </c>
      <c r="G460" s="27">
        <v>2</v>
      </c>
      <c r="H460" s="76">
        <v>1934.9000000000087</v>
      </c>
      <c r="I460" s="26">
        <v>1</v>
      </c>
      <c r="J460" s="29">
        <f t="shared" si="238"/>
      </c>
      <c r="K460" s="29">
        <f t="shared" si="200"/>
      </c>
      <c r="L460" s="29">
        <f t="shared" si="162"/>
      </c>
      <c r="M460" s="30">
        <f t="shared" si="124"/>
      </c>
      <c r="N460" s="29">
        <f t="shared" si="75"/>
      </c>
      <c r="O460" s="29">
        <f t="shared" si="56"/>
      </c>
      <c r="P460" s="30">
        <f t="shared" si="37"/>
      </c>
      <c r="Q460" s="30">
        <f t="shared" si="18"/>
      </c>
      <c r="R460" s="30">
        <f t="shared" si="257"/>
      </c>
      <c r="S460" s="30">
        <f t="shared" si="219"/>
      </c>
      <c r="T460" s="31">
        <f t="shared" si="181"/>
      </c>
      <c r="U460" s="32">
        <v>0.0058</v>
      </c>
      <c r="V460" s="33">
        <v>48</v>
      </c>
      <c r="W460" s="29">
        <f t="shared" si="143"/>
      </c>
      <c r="X460" s="33">
        <v>50350</v>
      </c>
      <c r="Y460" s="33">
        <v>1901</v>
      </c>
      <c r="Z460" s="31">
        <v>104</v>
      </c>
      <c r="AA460" s="31">
        <v>2471</v>
      </c>
      <c r="AB460" s="31">
        <v>115</v>
      </c>
      <c r="AC460" s="31">
        <v>23</v>
      </c>
      <c r="AD460" s="33">
        <v>7</v>
      </c>
      <c r="AE460" s="33">
        <v>52</v>
      </c>
      <c r="AF460" s="29">
        <f t="shared" si="104"/>
      </c>
      <c r="AG460" s="34" t="s">
        <v>56</v>
      </c>
      <c r="AH460" s="126" t="s">
        <v>74</v>
      </c>
      <c r="AI460" s="127">
        <v>51</v>
      </c>
    </row>
    <row r="461">
      <c r="A461" s="125"/>
      <c r="B461" s="23" t="s">
        <v>54</v>
      </c>
      <c r="C461" s="23" t="s">
        <v>59</v>
      </c>
      <c r="D461" s="136">
        <v>2801.13</v>
      </c>
      <c r="E461" s="26">
        <v>5</v>
      </c>
      <c r="F461" s="26">
        <v>4</v>
      </c>
      <c r="G461" s="27">
        <v>4</v>
      </c>
      <c r="H461" s="76">
        <v>2134</v>
      </c>
      <c r="I461" s="26">
        <v>0</v>
      </c>
      <c r="J461" s="29">
        <f t="shared" si="238"/>
      </c>
      <c r="K461" s="29">
        <f t="shared" si="200"/>
      </c>
      <c r="L461" s="29">
        <f t="shared" si="162"/>
      </c>
      <c r="M461" s="30">
        <f t="shared" si="124"/>
      </c>
      <c r="N461" s="29">
        <f t="shared" si="75"/>
      </c>
      <c r="O461" s="29">
        <f t="shared" si="56"/>
      </c>
      <c r="P461" s="30">
        <f t="shared" si="37"/>
      </c>
      <c r="Q461" s="30">
        <f t="shared" si="18"/>
      </c>
      <c r="R461" s="30">
        <f t="shared" si="257"/>
      </c>
      <c r="S461" s="30">
        <f t="shared" si="219"/>
      </c>
      <c r="T461" s="31">
        <f t="shared" si="181"/>
      </c>
      <c r="U461" s="32">
        <v>0.006</v>
      </c>
      <c r="V461" s="33">
        <v>48</v>
      </c>
      <c r="W461" s="29">
        <f t="shared" si="143"/>
      </c>
      <c r="X461" s="33">
        <v>33778</v>
      </c>
      <c r="Y461" s="33">
        <v>1093</v>
      </c>
      <c r="Z461" s="31">
        <v>56</v>
      </c>
      <c r="AA461" s="31">
        <v>1560</v>
      </c>
      <c r="AB461" s="31">
        <v>75</v>
      </c>
      <c r="AC461" s="31">
        <v>10</v>
      </c>
      <c r="AD461" s="33">
        <v>1</v>
      </c>
      <c r="AE461" s="33">
        <v>37</v>
      </c>
      <c r="AF461" s="29">
        <f t="shared" si="104"/>
      </c>
      <c r="AG461" s="34" t="s">
        <v>56</v>
      </c>
      <c r="AH461" s="126" t="s">
        <v>74</v>
      </c>
      <c r="AI461" s="127">
        <v>37</v>
      </c>
    </row>
    <row r="462">
      <c r="A462" s="125"/>
      <c r="B462" s="40" t="s">
        <v>46</v>
      </c>
      <c r="C462" s="40"/>
      <c r="D462" s="41">
        <f>SUM(D458:D461)</f>
      </c>
      <c r="E462" s="44">
        <f>SUM(E458:E461)</f>
      </c>
      <c r="F462" s="44">
        <f>SUM(F458:F461)</f>
      </c>
      <c r="G462" s="43">
        <f>SUM(G458:G461)</f>
      </c>
      <c r="H462" s="41">
        <f>SUM(H458:H461)</f>
      </c>
      <c r="I462" s="44">
        <f>SUM(I458:I461)</f>
      </c>
      <c r="J462" s="45">
        <f t="shared" si="238"/>
      </c>
      <c r="K462" s="45">
        <f t="shared" si="200"/>
      </c>
      <c r="L462" s="45">
        <f t="shared" si="162"/>
      </c>
      <c r="M462" s="46">
        <f t="shared" si="124"/>
      </c>
      <c r="N462" s="45">
        <f t="shared" si="75"/>
      </c>
      <c r="O462" s="45">
        <f t="shared" si="56"/>
      </c>
      <c r="P462" s="46">
        <f t="shared" si="37"/>
      </c>
      <c r="Q462" s="46">
        <f t="shared" si="18"/>
      </c>
      <c r="R462" s="46">
        <f t="shared" si="257"/>
      </c>
      <c r="S462" s="46">
        <f t="shared" si="219"/>
      </c>
      <c r="T462" s="42">
        <f t="shared" si="181"/>
      </c>
      <c r="U462" s="46">
        <f>AVERAGE(U461)</f>
      </c>
      <c r="V462" s="41">
        <f>AVERAGE(V461)</f>
      </c>
      <c r="W462" s="45">
        <f t="shared" si="143"/>
      </c>
      <c r="X462" s="42">
        <f>SUM(X458:X461)</f>
      </c>
      <c r="Y462" s="42">
        <f>SUM(Y458:Y461)</f>
      </c>
      <c r="Z462" s="42">
        <f>SUM(Z458:Z461)</f>
      </c>
      <c r="AA462" s="42">
        <f>SUM(AA458:AA461)</f>
      </c>
      <c r="AB462" s="42">
        <f>SUM(AB458:AB461)</f>
      </c>
      <c r="AC462" s="42">
        <f>SUM(AC458:AC461)</f>
      </c>
      <c r="AD462" s="42">
        <f>SUM(AD458:AD461)</f>
      </c>
      <c r="AE462" s="42">
        <f>SUM(AE458:AE461)</f>
      </c>
      <c r="AF462" s="47">
        <f t="shared" si="104"/>
      </c>
      <c r="AG462" s="48"/>
      <c r="AH462" s="48"/>
      <c r="AI462" s="132">
        <f>SUM(AI458:AI461)</f>
      </c>
    </row>
    <row r="463">
      <c r="A463" s="125"/>
      <c r="B463" s="23" t="s">
        <v>69</v>
      </c>
      <c r="C463" s="23" t="s">
        <v>61</v>
      </c>
      <c r="D463" s="133">
        <v>3815.64</v>
      </c>
      <c r="E463" s="26">
        <v>14</v>
      </c>
      <c r="F463" s="26">
        <v>10</v>
      </c>
      <c r="G463" s="27">
        <v>7</v>
      </c>
      <c r="H463" s="25">
        <v>7235.799999999988</v>
      </c>
      <c r="I463" s="26">
        <v>3</v>
      </c>
      <c r="J463" s="29">
        <f t="shared" si="238"/>
      </c>
      <c r="K463" s="29">
        <f t="shared" si="200"/>
      </c>
      <c r="L463" s="29">
        <f t="shared" si="162"/>
      </c>
      <c r="M463" s="30">
        <f t="shared" si="124"/>
      </c>
      <c r="N463" s="29">
        <f t="shared" si="75"/>
      </c>
      <c r="O463" s="29">
        <f t="shared" si="56"/>
      </c>
      <c r="P463" s="30">
        <f t="shared" si="37"/>
      </c>
      <c r="Q463" s="30">
        <f t="shared" si="18"/>
      </c>
      <c r="R463" s="30">
        <f t="shared" si="257"/>
      </c>
      <c r="S463" s="30">
        <f t="shared" si="219"/>
      </c>
      <c r="T463" s="31">
        <f t="shared" si="181"/>
      </c>
      <c r="U463" s="32">
        <v>0.0061</v>
      </c>
      <c r="V463" s="33">
        <v>47</v>
      </c>
      <c r="W463" s="29">
        <f t="shared" si="143"/>
      </c>
      <c r="X463" s="31">
        <v>47184</v>
      </c>
      <c r="Y463" s="31">
        <v>2603</v>
      </c>
      <c r="Z463" s="31">
        <v>112</v>
      </c>
      <c r="AA463" s="31">
        <v>4222</v>
      </c>
      <c r="AB463" s="31">
        <v>115</v>
      </c>
      <c r="AC463" s="31">
        <v>19</v>
      </c>
      <c r="AD463" s="31">
        <v>12</v>
      </c>
      <c r="AE463" s="31">
        <v>46</v>
      </c>
      <c r="AF463" s="29" t="str">
        <v>#DIV/0!</v>
      </c>
      <c r="AG463" s="34" t="s">
        <v>56</v>
      </c>
      <c r="AH463" s="126" t="s">
        <v>74</v>
      </c>
      <c r="AI463" s="130">
        <v>30</v>
      </c>
    </row>
    <row r="464">
      <c r="A464" s="125"/>
      <c r="B464" s="23" t="s">
        <v>69</v>
      </c>
      <c r="C464" s="23" t="s">
        <v>62</v>
      </c>
      <c r="D464" s="133">
        <v>5465.97</v>
      </c>
      <c r="E464" s="26">
        <v>16</v>
      </c>
      <c r="F464" s="26">
        <v>12</v>
      </c>
      <c r="G464" s="27">
        <v>10</v>
      </c>
      <c r="H464" s="25">
        <v>8144.400000000009</v>
      </c>
      <c r="I464" s="26">
        <v>2</v>
      </c>
      <c r="J464" s="29">
        <f t="shared" si="238"/>
      </c>
      <c r="K464" s="29">
        <f t="shared" si="200"/>
      </c>
      <c r="L464" s="29">
        <f t="shared" si="162"/>
      </c>
      <c r="M464" s="30">
        <f t="shared" si="124"/>
      </c>
      <c r="N464" s="29">
        <f t="shared" si="75"/>
      </c>
      <c r="O464" s="29">
        <f t="shared" si="56"/>
      </c>
      <c r="P464" s="30">
        <f t="shared" si="37"/>
      </c>
      <c r="Q464" s="30">
        <f t="shared" si="18"/>
      </c>
      <c r="R464" s="30">
        <f t="shared" si="257"/>
      </c>
      <c r="S464" s="30">
        <f t="shared" si="219"/>
      </c>
      <c r="T464" s="31">
        <f t="shared" si="181"/>
      </c>
      <c r="U464" s="32">
        <v>0.0055</v>
      </c>
      <c r="V464" s="33">
        <v>46</v>
      </c>
      <c r="W464" s="29">
        <f t="shared" si="143"/>
      </c>
      <c r="X464" s="31">
        <v>63123</v>
      </c>
      <c r="Y464" s="31">
        <v>3059</v>
      </c>
      <c r="Z464" s="31">
        <v>114</v>
      </c>
      <c r="AA464" s="31">
        <v>6257</v>
      </c>
      <c r="AB464" s="31">
        <v>167</v>
      </c>
      <c r="AC464" s="31">
        <v>31</v>
      </c>
      <c r="AD464" s="31">
        <v>1</v>
      </c>
      <c r="AE464" s="31">
        <v>71</v>
      </c>
      <c r="AF464" s="29">
        <f t="shared" ref="AF464:AF467" si="105">AI464*1000/D464</f>
      </c>
      <c r="AG464" s="34" t="s">
        <v>56</v>
      </c>
      <c r="AH464" s="126" t="s">
        <v>74</v>
      </c>
      <c r="AI464" s="130">
        <v>46</v>
      </c>
    </row>
    <row r="465">
      <c r="A465" s="125"/>
      <c r="B465" s="23" t="s">
        <v>69</v>
      </c>
      <c r="C465" s="23" t="s">
        <v>63</v>
      </c>
      <c r="D465" s="133">
        <v>5126.93</v>
      </c>
      <c r="E465" s="26">
        <v>24</v>
      </c>
      <c r="F465" s="26">
        <v>15</v>
      </c>
      <c r="G465" s="27">
        <v>12</v>
      </c>
      <c r="H465" s="133">
        <v>8457.900000000009</v>
      </c>
      <c r="I465" s="26">
        <v>2</v>
      </c>
      <c r="J465" s="29">
        <f t="shared" si="238"/>
      </c>
      <c r="K465" s="29">
        <f t="shared" si="200"/>
      </c>
      <c r="L465" s="29">
        <f t="shared" si="162"/>
      </c>
      <c r="M465" s="30">
        <f t="shared" si="124"/>
      </c>
      <c r="N465" s="29">
        <f t="shared" si="75"/>
      </c>
      <c r="O465" s="29">
        <f t="shared" si="56"/>
      </c>
      <c r="P465" s="30">
        <f t="shared" si="37"/>
      </c>
      <c r="Q465" s="30">
        <f t="shared" si="18"/>
      </c>
      <c r="R465" s="30">
        <f t="shared" si="257"/>
      </c>
      <c r="S465" s="30">
        <f t="shared" si="219"/>
      </c>
      <c r="T465" s="31">
        <f t="shared" si="181"/>
      </c>
      <c r="U465" s="32">
        <v>0.0097</v>
      </c>
      <c r="V465" s="33">
        <v>47</v>
      </c>
      <c r="W465" s="29">
        <f t="shared" si="143"/>
      </c>
      <c r="X465" s="31">
        <v>50834</v>
      </c>
      <c r="Y465" s="31">
        <v>2638</v>
      </c>
      <c r="Z465" s="31">
        <v>136</v>
      </c>
      <c r="AA465" s="31">
        <v>5724</v>
      </c>
      <c r="AB465" s="31">
        <v>113</v>
      </c>
      <c r="AC465" s="31">
        <v>34</v>
      </c>
      <c r="AD465" s="31">
        <v>3</v>
      </c>
      <c r="AE465" s="31">
        <v>55</v>
      </c>
      <c r="AF465" s="29">
        <f t="shared" si="105"/>
      </c>
      <c r="AG465" s="34" t="s">
        <v>56</v>
      </c>
      <c r="AH465" s="126" t="s">
        <v>74</v>
      </c>
      <c r="AI465" s="130">
        <v>46</v>
      </c>
    </row>
    <row r="466">
      <c r="A466" s="125"/>
      <c r="B466" s="23" t="s">
        <v>69</v>
      </c>
      <c r="C466" s="23" t="s">
        <v>64</v>
      </c>
      <c r="D466" s="25">
        <v>482.52</v>
      </c>
      <c r="E466" s="26">
        <v>3</v>
      </c>
      <c r="F466" s="26">
        <v>3</v>
      </c>
      <c r="G466" s="27">
        <v>2</v>
      </c>
      <c r="H466" s="133">
        <v>1353</v>
      </c>
      <c r="I466" s="26">
        <v>0</v>
      </c>
      <c r="J466" s="29">
        <f t="shared" si="238"/>
      </c>
      <c r="K466" s="29">
        <f t="shared" si="200"/>
      </c>
      <c r="L466" s="29">
        <f t="shared" si="162"/>
      </c>
      <c r="M466" s="30">
        <f t="shared" si="124"/>
      </c>
      <c r="N466" s="29">
        <f t="shared" si="75"/>
      </c>
      <c r="O466" s="29">
        <f t="shared" si="56"/>
      </c>
      <c r="P466" s="30">
        <f t="shared" si="37"/>
      </c>
      <c r="Q466" s="30">
        <f t="shared" si="18"/>
      </c>
      <c r="R466" s="30">
        <f t="shared" si="257"/>
      </c>
      <c r="S466" s="30">
        <f t="shared" si="219"/>
      </c>
      <c r="T466" s="31">
        <f t="shared" si="181"/>
      </c>
      <c r="U466" s="32">
        <v>0.016</v>
      </c>
      <c r="V466" s="33">
        <v>48</v>
      </c>
      <c r="W466" s="29">
        <f t="shared" si="143"/>
      </c>
      <c r="X466" s="31">
        <v>4687</v>
      </c>
      <c r="Y466" s="31">
        <v>65</v>
      </c>
      <c r="Z466" s="31">
        <v>9</v>
      </c>
      <c r="AA466" s="31">
        <v>107</v>
      </c>
      <c r="AB466" s="31">
        <v>26</v>
      </c>
      <c r="AC466" s="31">
        <v>4</v>
      </c>
      <c r="AD466" s="31">
        <v>1</v>
      </c>
      <c r="AE466" s="33">
        <v>13</v>
      </c>
      <c r="AF466" s="29">
        <f t="shared" si="105"/>
      </c>
      <c r="AG466" s="34" t="s">
        <v>56</v>
      </c>
      <c r="AH466" s="126" t="s">
        <v>74</v>
      </c>
      <c r="AI466" s="130">
        <v>4</v>
      </c>
    </row>
    <row r="467">
      <c r="A467" s="125"/>
      <c r="B467" s="40" t="s">
        <v>46</v>
      </c>
      <c r="C467" s="40"/>
      <c r="D467" s="41">
        <f>SUM(D463:D466)</f>
      </c>
      <c r="E467" s="42">
        <f>SUM(E463:E466)</f>
      </c>
      <c r="F467" s="42">
        <f>SUM(F463:F466)</f>
      </c>
      <c r="G467" s="43">
        <f>SUM(G463:G466)</f>
      </c>
      <c r="H467" s="41">
        <f>SUM(H463:H466)</f>
      </c>
      <c r="I467" s="44">
        <f>SUM(I463:I466)</f>
      </c>
      <c r="J467" s="45">
        <f t="shared" si="238"/>
      </c>
      <c r="K467" s="45">
        <f t="shared" si="200"/>
      </c>
      <c r="L467" s="45">
        <f t="shared" si="162"/>
      </c>
      <c r="M467" s="46">
        <f t="shared" si="124"/>
      </c>
      <c r="N467" s="45">
        <f t="shared" si="75"/>
      </c>
      <c r="O467" s="45">
        <f t="shared" si="56"/>
      </c>
      <c r="P467" s="46">
        <f t="shared" si="37"/>
      </c>
      <c r="Q467" s="46">
        <f t="shared" si="18"/>
      </c>
      <c r="R467" s="46">
        <f t="shared" si="257"/>
      </c>
      <c r="S467" s="46">
        <f t="shared" si="219"/>
      </c>
      <c r="T467" s="42">
        <f t="shared" si="181"/>
      </c>
      <c r="U467" s="46">
        <f>AVERAGE(U463:U466)</f>
      </c>
      <c r="V467" s="41">
        <f>AVERAGE(V463:V466)</f>
      </c>
      <c r="W467" s="45">
        <f t="shared" si="143"/>
      </c>
      <c r="X467" s="42">
        <f>SUM(X463:X466)</f>
      </c>
      <c r="Y467" s="42">
        <f>SUM(Y463:Y466)</f>
      </c>
      <c r="Z467" s="42">
        <f>SUM(Z463:Z466)</f>
      </c>
      <c r="AA467" s="42">
        <f>SUM(AA463:AA466)</f>
      </c>
      <c r="AB467" s="42">
        <f>SUM(AB463:AB466)</f>
      </c>
      <c r="AC467" s="42">
        <f>SUM(AC463:AC466)</f>
      </c>
      <c r="AD467" s="42">
        <f>SUM(AD463:AD466)</f>
      </c>
      <c r="AE467" s="42">
        <f>SUM(AE463:AE466)</f>
      </c>
      <c r="AF467" s="47">
        <f t="shared" si="105"/>
      </c>
      <c r="AG467" s="48"/>
      <c r="AH467" s="48"/>
      <c r="AI467" s="132">
        <f>SUM(AI463:AI466)</f>
      </c>
    </row>
    <row r="468">
      <c r="A468" s="125"/>
      <c r="B468" s="82" t="s">
        <v>65</v>
      </c>
      <c r="C468" s="82"/>
      <c r="D468" s="90">
        <f>D452+D457+D462+D467</f>
      </c>
      <c r="E468" s="134">
        <f>E452+E457+E462+E467</f>
      </c>
      <c r="F468" s="134">
        <f>F452+F457+F462+F467</f>
      </c>
      <c r="G468" s="134">
        <f>G452+G457+G462+G467</f>
      </c>
      <c r="H468" s="90">
        <f>H452+H457+H462+H467</f>
      </c>
      <c r="I468" s="134">
        <f>I452+I457+I462+I467</f>
      </c>
      <c r="J468" s="87">
        <f t="shared" si="238"/>
      </c>
      <c r="K468" s="87">
        <f t="shared" si="200"/>
      </c>
      <c r="L468" s="87">
        <f t="shared" si="162"/>
      </c>
      <c r="M468" s="88">
        <f t="shared" si="124"/>
      </c>
      <c r="N468" s="87">
        <f t="shared" si="75"/>
      </c>
      <c r="O468" s="87">
        <f t="shared" si="56"/>
      </c>
      <c r="P468" s="88">
        <f t="shared" si="37"/>
      </c>
      <c r="Q468" s="88">
        <f t="shared" si="18"/>
      </c>
      <c r="R468" s="88">
        <f t="shared" si="257"/>
      </c>
      <c r="S468" s="88">
        <f t="shared" si="219"/>
      </c>
      <c r="T468" s="89">
        <f t="shared" si="181"/>
      </c>
      <c r="U468" s="88">
        <f>(U452+U462+U457+U467)/4</f>
      </c>
      <c r="V468" s="87">
        <f>(V452+V462+V457+V467)/4</f>
      </c>
      <c r="W468" s="90">
        <f t="shared" si="143"/>
      </c>
      <c r="X468" s="134">
        <f>X452+X457+X462+X467</f>
      </c>
      <c r="Y468" s="134">
        <f>Y452+Y457+Y462+Y467</f>
      </c>
      <c r="Z468" s="134">
        <f>Z452+Z457+Z462+Z467</f>
      </c>
      <c r="AA468" s="134">
        <f>AA452+AA457+AA462+AA467</f>
      </c>
      <c r="AB468" s="134">
        <f>AB452+AB457+AB462+AB467</f>
      </c>
      <c r="AC468" s="134">
        <f>AC452+AC457+AC462+AC467</f>
      </c>
      <c r="AD468" s="134">
        <f>AD452+AD457+AD462+AD467</f>
      </c>
      <c r="AE468" s="134">
        <f>AE452+AE457+AE462+AE467</f>
      </c>
      <c r="AF468" s="87">
        <f>AF452</f>
      </c>
      <c r="AG468" s="82"/>
      <c r="AH468" s="82"/>
      <c r="AI468" s="135">
        <f>AI452+AI457+AI462+AI467</f>
      </c>
    </row>
    <row r="469">
      <c r="A469" s="137"/>
      <c r="B469" s="137"/>
      <c r="C469" s="137"/>
      <c r="D469" s="137"/>
      <c r="E469" s="137"/>
      <c r="F469" s="138" t="s">
        <v>77</v>
      </c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9" t="s">
        <v>3</v>
      </c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40" t="s">
        <v>78</v>
      </c>
      <c r="AD469" s="140"/>
      <c r="AE469" s="140"/>
      <c r="AF469" s="140"/>
      <c r="AG469" s="140"/>
      <c r="AH469" s="140"/>
      <c r="AI469" s="141" t="s">
        <v>79</v>
      </c>
      <c r="AJ469" s="141"/>
      <c r="AK469" s="141"/>
      <c r="AL469" s="141"/>
      <c r="AM469" s="141"/>
      <c r="AN469" s="141"/>
      <c r="AO469" s="141"/>
      <c r="AP469" s="142"/>
      <c r="AQ469" s="142"/>
      <c r="AR469" s="142"/>
      <c r="AS469" s="142"/>
      <c r="AT469" s="142"/>
      <c r="AU469" s="142"/>
      <c r="AV469" s="142"/>
      <c r="AW469" s="142"/>
      <c r="AX469" s="142"/>
      <c r="AY469" s="142"/>
    </row>
    <row r="470">
      <c r="A470" s="137" t="s">
        <v>66</v>
      </c>
      <c r="B470" s="137" t="s">
        <v>80</v>
      </c>
      <c r="C470" s="137" t="s">
        <v>81</v>
      </c>
      <c r="D470" s="137" t="s">
        <v>4</v>
      </c>
      <c r="E470" s="137" t="s">
        <v>82</v>
      </c>
      <c r="F470" s="138" t="s">
        <v>83</v>
      </c>
      <c r="G470" s="138" t="s">
        <v>10</v>
      </c>
      <c r="H470" s="138" t="s">
        <v>7</v>
      </c>
      <c r="I470" s="138" t="s">
        <v>8</v>
      </c>
      <c r="J470" s="138" t="s">
        <v>84</v>
      </c>
      <c r="K470" s="138" t="s">
        <v>85</v>
      </c>
      <c r="L470" s="138" t="s">
        <v>86</v>
      </c>
      <c r="M470" s="138" t="s">
        <v>13</v>
      </c>
      <c r="N470" s="138" t="s">
        <v>16</v>
      </c>
      <c r="O470" s="138" t="s">
        <v>87</v>
      </c>
      <c r="P470" s="138" t="s">
        <v>88</v>
      </c>
      <c r="Q470" s="139" t="s">
        <v>89</v>
      </c>
      <c r="R470" s="139" t="s">
        <v>90</v>
      </c>
      <c r="S470" s="139" t="s">
        <v>91</v>
      </c>
      <c r="T470" s="139" t="s">
        <v>92</v>
      </c>
      <c r="U470" s="139" t="s">
        <v>93</v>
      </c>
      <c r="V470" s="139" t="s">
        <v>94</v>
      </c>
      <c r="W470" s="139" t="s">
        <v>95</v>
      </c>
      <c r="X470" s="139" t="s">
        <v>96</v>
      </c>
      <c r="Y470" s="139" t="s">
        <v>97</v>
      </c>
      <c r="Z470" s="139" t="s">
        <v>98</v>
      </c>
      <c r="AA470" s="139" t="s">
        <v>99</v>
      </c>
      <c r="AB470" s="139" t="s">
        <v>100</v>
      </c>
      <c r="AC470" s="140" t="s">
        <v>101</v>
      </c>
      <c r="AD470" s="140" t="s">
        <v>102</v>
      </c>
      <c r="AE470" s="140" t="s">
        <v>103</v>
      </c>
      <c r="AF470" s="140" t="s">
        <v>104</v>
      </c>
      <c r="AG470" s="140" t="s">
        <v>105</v>
      </c>
      <c r="AH470" s="140" t="s">
        <v>106</v>
      </c>
      <c r="AI470" s="142" t="s">
        <v>107</v>
      </c>
      <c r="AJ470" s="142" t="s">
        <v>108</v>
      </c>
      <c r="AK470" s="142" t="s">
        <v>109</v>
      </c>
      <c r="AL470" s="142" t="s">
        <v>110</v>
      </c>
      <c r="AM470" s="142" t="s">
        <v>27</v>
      </c>
      <c r="AN470" s="142" t="s">
        <v>29</v>
      </c>
      <c r="AO470" s="142" t="s">
        <v>28</v>
      </c>
      <c r="AP470" s="142" t="s">
        <v>111</v>
      </c>
      <c r="AQ470" s="142" t="s">
        <v>112</v>
      </c>
      <c r="AR470" s="142" t="s">
        <v>113</v>
      </c>
      <c r="AS470" s="142" t="s">
        <v>30</v>
      </c>
      <c r="AT470" s="142" t="s">
        <v>31</v>
      </c>
      <c r="AU470" s="142" t="s">
        <v>114</v>
      </c>
      <c r="AV470" s="142"/>
      <c r="AW470" s="142"/>
      <c r="AX470" s="142"/>
      <c r="AY470" s="142"/>
    </row>
    <row r="471">
      <c r="A471" s="143">
        <v>46223</v>
      </c>
      <c r="B471" s="144" t="s">
        <v>115</v>
      </c>
      <c r="C471" s="144"/>
      <c r="D471" s="144"/>
      <c r="E471" s="144"/>
      <c r="F471" s="145">
        <v>45716.11</v>
      </c>
      <c r="G471" s="145">
        <v>79479.4</v>
      </c>
      <c r="H471" s="146">
        <v>159</v>
      </c>
      <c r="I471" s="146">
        <v>123</v>
      </c>
      <c r="J471" s="146">
        <v>24</v>
      </c>
      <c r="K471" s="144">
        <v>1.74</v>
      </c>
      <c r="L471" s="144">
        <v>1.44</v>
      </c>
      <c r="M471" s="144">
        <v>372</v>
      </c>
      <c r="N471" s="144">
        <v>646</v>
      </c>
      <c r="O471" s="147">
        <v>0.2</v>
      </c>
      <c r="P471" s="148">
        <v>0.7736</v>
      </c>
      <c r="Q471" s="144">
        <v>0.75</v>
      </c>
      <c r="R471" s="144">
        <v>33</v>
      </c>
      <c r="S471" s="144">
        <v>341</v>
      </c>
      <c r="T471" s="144">
        <v>444</v>
      </c>
      <c r="U471" s="147">
        <v>2.08</v>
      </c>
      <c r="V471" s="148">
        <v>0.0225</v>
      </c>
      <c r="W471" s="148">
        <v>0.0972</v>
      </c>
      <c r="X471" s="147">
        <v>0.77</v>
      </c>
      <c r="Y471" s="148">
        <v>0.06</v>
      </c>
      <c r="Z471" s="148">
        <v>0.0035</v>
      </c>
      <c r="AA471" s="144">
        <v>93</v>
      </c>
      <c r="AB471" s="144">
        <v>1.55</v>
      </c>
      <c r="AC471" s="144">
        <v>10.02</v>
      </c>
      <c r="AD471" s="144">
        <v>25</v>
      </c>
      <c r="AE471" s="144">
        <v>150</v>
      </c>
      <c r="AF471" s="148">
        <v>0.0744</v>
      </c>
      <c r="AG471" s="148">
        <v>0.0301</v>
      </c>
      <c r="AH471" s="148">
        <v>0.005</v>
      </c>
      <c r="AI471" s="149">
        <v>16</v>
      </c>
      <c r="AJ471" s="149">
        <v>500</v>
      </c>
      <c r="AK471" s="150">
        <v>0.03</v>
      </c>
      <c r="AL471" s="151">
        <v>491978</v>
      </c>
      <c r="AM471" s="151">
        <v>29496</v>
      </c>
      <c r="AN471" s="151">
        <v>61309</v>
      </c>
      <c r="AO471" s="151">
        <v>1379</v>
      </c>
      <c r="AP471" s="149">
        <v>134</v>
      </c>
      <c r="AQ471" s="149">
        <v>103</v>
      </c>
      <c r="AR471" s="151">
        <v>4561</v>
      </c>
      <c r="AS471" s="151">
        <v>1843</v>
      </c>
      <c r="AT471" s="149">
        <v>305</v>
      </c>
      <c r="AU471" s="149"/>
      <c r="AV471" s="149"/>
      <c r="AW471" s="149"/>
      <c r="AX471" s="149"/>
      <c r="AY471" s="149"/>
    </row>
    <row r="472">
      <c r="A472" s="143"/>
      <c r="B472" s="152" t="s">
        <v>40</v>
      </c>
      <c r="C472" s="152" t="s">
        <v>116</v>
      </c>
      <c r="D472" s="152" t="s">
        <v>47</v>
      </c>
      <c r="E472" s="153" t="s">
        <v>43</v>
      </c>
      <c r="F472" s="154">
        <v>3000</v>
      </c>
      <c r="G472" s="155">
        <v>3366</v>
      </c>
      <c r="H472" s="152">
        <v>8</v>
      </c>
      <c r="I472" s="152">
        <v>6</v>
      </c>
      <c r="J472" s="152">
        <v>0</v>
      </c>
      <c r="K472" s="152">
        <v>1.12</v>
      </c>
      <c r="L472" s="152">
        <v>0.94</v>
      </c>
      <c r="M472" s="152">
        <v>500</v>
      </c>
      <c r="N472" s="152">
        <v>561</v>
      </c>
      <c r="O472" s="156">
        <v>0</v>
      </c>
      <c r="P472" s="157">
        <v>0.75</v>
      </c>
      <c r="Q472" s="152">
        <v>0.92</v>
      </c>
      <c r="R472" s="152">
        <v>61</v>
      </c>
      <c r="S472" s="152">
        <v>500</v>
      </c>
      <c r="T472" s="152">
        <v>750</v>
      </c>
      <c r="U472" s="156">
        <v>1.93</v>
      </c>
      <c r="V472" s="157">
        <v>0.015</v>
      </c>
      <c r="W472" s="157">
        <v>0.1224</v>
      </c>
      <c r="X472" s="156">
        <v>0.67</v>
      </c>
      <c r="Y472" s="157">
        <v>0.0538</v>
      </c>
      <c r="Z472" s="157">
        <v>0.0024</v>
      </c>
      <c r="AA472" s="152">
        <v>96</v>
      </c>
      <c r="AB472" s="152">
        <v>1.78</v>
      </c>
      <c r="AC472" s="152">
        <v>9.9</v>
      </c>
      <c r="AD472" s="152">
        <v>58</v>
      </c>
      <c r="AE472" s="152">
        <v>200</v>
      </c>
      <c r="AF472" s="157">
        <v>0.093</v>
      </c>
      <c r="AG472" s="157">
        <v>0.016</v>
      </c>
      <c r="AH472" s="157">
        <v>0.0046</v>
      </c>
      <c r="AI472" s="142">
        <v>1</v>
      </c>
      <c r="AJ472" s="158">
        <v>500</v>
      </c>
      <c r="AK472" s="159">
        <v>0.03</v>
      </c>
      <c r="AL472" s="160">
        <v>31316</v>
      </c>
      <c r="AM472" s="160">
        <v>1685</v>
      </c>
      <c r="AN472" s="160">
        <v>3257</v>
      </c>
      <c r="AO472" s="161">
        <v>49</v>
      </c>
      <c r="AP472" s="161">
        <v>6</v>
      </c>
      <c r="AQ472" s="161">
        <v>4</v>
      </c>
      <c r="AR472" s="161">
        <v>303</v>
      </c>
      <c r="AS472" s="161">
        <v>52</v>
      </c>
      <c r="AT472" s="161">
        <v>15</v>
      </c>
      <c r="AU472" s="142"/>
      <c r="AV472" s="142"/>
      <c r="AW472" s="142"/>
      <c r="AX472" s="142"/>
      <c r="AY472" s="142"/>
    </row>
    <row r="473">
      <c r="A473" s="143"/>
      <c r="B473" s="152" t="s">
        <v>40</v>
      </c>
      <c r="C473" s="152" t="s">
        <v>116</v>
      </c>
      <c r="D473" s="152" t="s">
        <v>47</v>
      </c>
      <c r="E473" s="152" t="s">
        <v>44</v>
      </c>
      <c r="F473" s="162">
        <v>2787.99</v>
      </c>
      <c r="G473" s="154">
        <v>3441.9</v>
      </c>
      <c r="H473" s="152">
        <v>7</v>
      </c>
      <c r="I473" s="152">
        <v>6</v>
      </c>
      <c r="J473" s="152">
        <v>1</v>
      </c>
      <c r="K473" s="152">
        <v>1.23</v>
      </c>
      <c r="L473" s="152">
        <v>1.02</v>
      </c>
      <c r="M473" s="152">
        <v>465</v>
      </c>
      <c r="N473" s="152">
        <v>574</v>
      </c>
      <c r="O473" s="156">
        <v>0.17</v>
      </c>
      <c r="P473" s="157">
        <v>0.8571</v>
      </c>
      <c r="Q473" s="152">
        <v>1</v>
      </c>
      <c r="R473" s="152">
        <v>37</v>
      </c>
      <c r="S473" s="152">
        <v>398</v>
      </c>
      <c r="T473" s="152">
        <v>465</v>
      </c>
      <c r="U473" s="156">
        <v>2.13</v>
      </c>
      <c r="V473" s="157">
        <v>0.0273</v>
      </c>
      <c r="W473" s="157">
        <v>0.0921</v>
      </c>
      <c r="X473" s="156">
        <v>0.86</v>
      </c>
      <c r="Y473" s="157">
        <v>0.0457</v>
      </c>
      <c r="Z473" s="157">
        <v>0.0046</v>
      </c>
      <c r="AA473" s="152">
        <v>98</v>
      </c>
      <c r="AB473" s="152">
        <v>2.14</v>
      </c>
      <c r="AC473" s="152">
        <v>12.45</v>
      </c>
      <c r="AD473" s="152">
        <v>43</v>
      </c>
      <c r="AE473" s="152">
        <v>174</v>
      </c>
      <c r="AF473" s="157">
        <v>0.0806</v>
      </c>
      <c r="AG473" s="157">
        <v>0.0234</v>
      </c>
      <c r="AH473" s="157">
        <v>0.0058</v>
      </c>
      <c r="AI473" s="142">
        <v>1</v>
      </c>
      <c r="AJ473" s="158">
        <v>500</v>
      </c>
      <c r="AK473" s="159">
        <v>0.03</v>
      </c>
      <c r="AL473" s="163">
        <v>28512</v>
      </c>
      <c r="AM473" s="163">
        <v>1302</v>
      </c>
      <c r="AN473" s="163">
        <v>2779</v>
      </c>
      <c r="AO473" s="142">
        <v>76</v>
      </c>
      <c r="AP473" s="161">
        <v>7</v>
      </c>
      <c r="AQ473" s="142">
        <v>6</v>
      </c>
      <c r="AR473" s="142">
        <v>224</v>
      </c>
      <c r="AS473" s="142">
        <v>65</v>
      </c>
      <c r="AT473" s="142">
        <v>16</v>
      </c>
      <c r="AU473" s="142"/>
      <c r="AV473" s="142"/>
      <c r="AW473" s="142"/>
      <c r="AX473" s="142"/>
      <c r="AY473" s="142"/>
    </row>
    <row r="474">
      <c r="A474" s="143"/>
      <c r="B474" s="152" t="s">
        <v>40</v>
      </c>
      <c r="C474" s="152" t="s">
        <v>116</v>
      </c>
      <c r="D474" s="152" t="s">
        <v>47</v>
      </c>
      <c r="E474" s="152" t="s">
        <v>45</v>
      </c>
      <c r="F474" s="154">
        <v>3176.98</v>
      </c>
      <c r="G474" s="154">
        <v>5184.3</v>
      </c>
      <c r="H474" s="152">
        <v>13</v>
      </c>
      <c r="I474" s="152">
        <v>9</v>
      </c>
      <c r="J474" s="152">
        <v>2</v>
      </c>
      <c r="K474" s="152">
        <v>1.63</v>
      </c>
      <c r="L474" s="152">
        <v>1.37</v>
      </c>
      <c r="M474" s="152">
        <v>353</v>
      </c>
      <c r="N474" s="152">
        <v>576</v>
      </c>
      <c r="O474" s="156">
        <v>0.22</v>
      </c>
      <c r="P474" s="157">
        <v>0.6923</v>
      </c>
      <c r="Q474" s="152">
        <v>0.58</v>
      </c>
      <c r="R474" s="152">
        <v>31</v>
      </c>
      <c r="S474" s="152">
        <v>244</v>
      </c>
      <c r="T474" s="152">
        <v>397</v>
      </c>
      <c r="U474" s="156">
        <v>2.23</v>
      </c>
      <c r="V474" s="157">
        <v>0.0184</v>
      </c>
      <c r="W474" s="157">
        <v>0.1287</v>
      </c>
      <c r="X474" s="156">
        <v>0.62</v>
      </c>
      <c r="Y474" s="157">
        <v>0.072</v>
      </c>
      <c r="Z474" s="157">
        <v>0.0033</v>
      </c>
      <c r="AA474" s="152">
        <v>93</v>
      </c>
      <c r="AB474" s="152">
        <v>1.29</v>
      </c>
      <c r="AC474" s="152">
        <v>7.83</v>
      </c>
      <c r="AD474" s="152">
        <v>30</v>
      </c>
      <c r="AE474" s="152">
        <v>74</v>
      </c>
      <c r="AF474" s="157">
        <v>0.074</v>
      </c>
      <c r="AG474" s="157">
        <v>0.0191</v>
      </c>
      <c r="AH474" s="157">
        <v>0.0078</v>
      </c>
      <c r="AI474" s="142">
        <v>1</v>
      </c>
      <c r="AJ474" s="158">
        <v>500</v>
      </c>
      <c r="AK474" s="159">
        <v>0.03</v>
      </c>
      <c r="AL474" s="163">
        <v>34130</v>
      </c>
      <c r="AM474" s="163">
        <v>2459</v>
      </c>
      <c r="AN474" s="163">
        <v>5486</v>
      </c>
      <c r="AO474" s="142">
        <v>101</v>
      </c>
      <c r="AP474" s="142">
        <v>13</v>
      </c>
      <c r="AQ474" s="142">
        <v>8</v>
      </c>
      <c r="AR474" s="142">
        <v>406</v>
      </c>
      <c r="AS474" s="142">
        <v>105</v>
      </c>
      <c r="AT474" s="142">
        <v>43</v>
      </c>
      <c r="AU474" s="142"/>
      <c r="AV474" s="142"/>
      <c r="AW474" s="142"/>
      <c r="AX474" s="142"/>
      <c r="AY474" s="142"/>
    </row>
    <row r="475">
      <c r="A475" s="143"/>
      <c r="B475" s="152" t="s">
        <v>40</v>
      </c>
      <c r="C475" s="152" t="s">
        <v>116</v>
      </c>
      <c r="D475" s="152" t="s">
        <v>47</v>
      </c>
      <c r="E475" s="152" t="s">
        <v>48</v>
      </c>
      <c r="F475" s="154">
        <v>2954.68</v>
      </c>
      <c r="G475" s="154">
        <v>6943.2</v>
      </c>
      <c r="H475" s="152">
        <v>11</v>
      </c>
      <c r="I475" s="152">
        <v>9</v>
      </c>
      <c r="J475" s="152">
        <v>3</v>
      </c>
      <c r="K475" s="152">
        <v>2.35</v>
      </c>
      <c r="L475" s="152">
        <v>1.96</v>
      </c>
      <c r="M475" s="152">
        <v>328</v>
      </c>
      <c r="N475" s="152">
        <v>771</v>
      </c>
      <c r="O475" s="156">
        <v>0.33</v>
      </c>
      <c r="P475" s="157">
        <v>0.8182</v>
      </c>
      <c r="Q475" s="152">
        <v>1.59</v>
      </c>
      <c r="R475" s="152">
        <v>36</v>
      </c>
      <c r="S475" s="152">
        <v>591</v>
      </c>
      <c r="T475" s="152">
        <v>985</v>
      </c>
      <c r="U475" s="156">
        <v>1.22</v>
      </c>
      <c r="V475" s="157">
        <v>0.0448</v>
      </c>
      <c r="W475" s="157">
        <v>0.0602</v>
      </c>
      <c r="X475" s="156">
        <v>0.6</v>
      </c>
      <c r="Y475" s="157">
        <v>0.0504</v>
      </c>
      <c r="Z475" s="157">
        <v>0.002</v>
      </c>
      <c r="AA475" s="152">
        <v>98</v>
      </c>
      <c r="AB475" s="152">
        <v>1.94</v>
      </c>
      <c r="AC475" s="152">
        <v>13.87</v>
      </c>
      <c r="AD475" s="152">
        <v>28</v>
      </c>
      <c r="AE475" s="152">
        <v>174</v>
      </c>
      <c r="AF475" s="157">
        <v>0.1149</v>
      </c>
      <c r="AG475" s="157">
        <v>0.0577</v>
      </c>
      <c r="AH475" s="157">
        <v>0.0092</v>
      </c>
      <c r="AI475" s="142">
        <v>1</v>
      </c>
      <c r="AJ475" s="142">
        <v>500</v>
      </c>
      <c r="AK475" s="159">
        <v>0.03</v>
      </c>
      <c r="AL475" s="163">
        <v>30202</v>
      </c>
      <c r="AM475" s="163">
        <v>1523</v>
      </c>
      <c r="AN475" s="163">
        <v>1854</v>
      </c>
      <c r="AO475" s="142">
        <v>83</v>
      </c>
      <c r="AP475" s="142">
        <v>5</v>
      </c>
      <c r="AQ475" s="142">
        <v>3</v>
      </c>
      <c r="AR475" s="142">
        <v>213</v>
      </c>
      <c r="AS475" s="142">
        <v>107</v>
      </c>
      <c r="AT475" s="142">
        <v>17</v>
      </c>
      <c r="AU475" s="142"/>
      <c r="AV475" s="142"/>
      <c r="AW475" s="142"/>
      <c r="AX475" s="142"/>
      <c r="AY475" s="142"/>
    </row>
    <row r="476">
      <c r="A476" s="143"/>
      <c r="B476" s="164" t="s">
        <v>117</v>
      </c>
      <c r="C476" s="164"/>
      <c r="D476" s="164"/>
      <c r="E476" s="164"/>
      <c r="F476" s="165">
        <v>11919.65</v>
      </c>
      <c r="G476" s="165">
        <v>18935.4</v>
      </c>
      <c r="H476" s="164">
        <v>39</v>
      </c>
      <c r="I476" s="164">
        <v>30</v>
      </c>
      <c r="J476" s="164">
        <v>6</v>
      </c>
      <c r="K476" s="164">
        <v>1.59</v>
      </c>
      <c r="L476" s="164">
        <v>1.33</v>
      </c>
      <c r="M476" s="164">
        <v>397</v>
      </c>
      <c r="N476" s="164">
        <v>631</v>
      </c>
      <c r="O476" s="166">
        <v>0.2</v>
      </c>
      <c r="P476" s="167">
        <v>0.7692</v>
      </c>
      <c r="Q476" s="164">
        <v>0.89</v>
      </c>
      <c r="R476" s="164">
        <v>39</v>
      </c>
      <c r="S476" s="164">
        <v>385</v>
      </c>
      <c r="T476" s="164">
        <v>568</v>
      </c>
      <c r="U476" s="166">
        <v>1.92</v>
      </c>
      <c r="V476" s="167">
        <v>0.0231</v>
      </c>
      <c r="W476" s="167">
        <v>0.1003</v>
      </c>
      <c r="X476" s="166">
        <v>0.68</v>
      </c>
      <c r="Y476" s="167">
        <v>0.0561</v>
      </c>
      <c r="Z476" s="167">
        <v>0.003</v>
      </c>
      <c r="AA476" s="164">
        <v>96</v>
      </c>
      <c r="AB476" s="164">
        <v>1.71</v>
      </c>
      <c r="AC476" s="164">
        <v>10.4</v>
      </c>
      <c r="AD476" s="164">
        <v>36</v>
      </c>
      <c r="AE476" s="164">
        <v>131</v>
      </c>
      <c r="AF476" s="167">
        <v>0.0857</v>
      </c>
      <c r="AG476" s="167">
        <v>0.0246</v>
      </c>
      <c r="AH476" s="167">
        <v>0.0068</v>
      </c>
      <c r="AI476" s="168">
        <v>4</v>
      </c>
      <c r="AJ476" s="168">
        <v>500</v>
      </c>
      <c r="AK476" s="169">
        <v>0.03</v>
      </c>
      <c r="AL476" s="170">
        <v>124160</v>
      </c>
      <c r="AM476" s="170">
        <v>6969</v>
      </c>
      <c r="AN476" s="170">
        <v>13376</v>
      </c>
      <c r="AO476" s="168">
        <v>309</v>
      </c>
      <c r="AP476" s="168">
        <v>31</v>
      </c>
      <c r="AQ476" s="168">
        <v>21</v>
      </c>
      <c r="AR476" s="170">
        <v>1146</v>
      </c>
      <c r="AS476" s="168">
        <v>329</v>
      </c>
      <c r="AT476" s="168">
        <v>91</v>
      </c>
      <c r="AU476" s="161"/>
      <c r="AV476" s="161"/>
      <c r="AW476" s="161"/>
      <c r="AX476" s="161"/>
      <c r="AY476" s="161"/>
    </row>
    <row r="477">
      <c r="A477" s="143"/>
      <c r="B477" s="152" t="s">
        <v>40</v>
      </c>
      <c r="C477" s="152" t="s">
        <v>116</v>
      </c>
      <c r="D477" s="152" t="s">
        <v>76</v>
      </c>
      <c r="E477" s="152" t="s">
        <v>49</v>
      </c>
      <c r="F477" s="154">
        <v>3326.93</v>
      </c>
      <c r="G477" s="154">
        <v>4989.6</v>
      </c>
      <c r="H477" s="152">
        <v>9</v>
      </c>
      <c r="I477" s="152">
        <v>7</v>
      </c>
      <c r="J477" s="152">
        <v>2</v>
      </c>
      <c r="K477" s="152">
        <v>1.5</v>
      </c>
      <c r="L477" s="152">
        <v>1.27</v>
      </c>
      <c r="M477" s="152">
        <v>475</v>
      </c>
      <c r="N477" s="152">
        <v>713</v>
      </c>
      <c r="O477" s="156">
        <v>0.29</v>
      </c>
      <c r="P477" s="157">
        <v>0.7778</v>
      </c>
      <c r="Q477" s="152">
        <v>0.58</v>
      </c>
      <c r="R477" s="152">
        <v>33</v>
      </c>
      <c r="S477" s="152">
        <v>554</v>
      </c>
      <c r="T477" s="152">
        <v>554</v>
      </c>
      <c r="U477" s="156">
        <v>2.13</v>
      </c>
      <c r="V477" s="157">
        <v>0.0173</v>
      </c>
      <c r="W477" s="157">
        <v>0.06</v>
      </c>
      <c r="X477" s="156">
        <v>1</v>
      </c>
      <c r="Y477" s="157">
        <v>0.0692</v>
      </c>
      <c r="Z477" s="157">
        <v>0.0022</v>
      </c>
      <c r="AA477" s="152">
        <v>85</v>
      </c>
      <c r="AB477" s="152">
        <v>1.23</v>
      </c>
      <c r="AC477" s="152">
        <v>7.94</v>
      </c>
      <c r="AD477" s="152">
        <v>23</v>
      </c>
      <c r="AE477" s="152">
        <v>128</v>
      </c>
      <c r="AF477" s="157">
        <v>0.0727</v>
      </c>
      <c r="AG477" s="157">
        <v>0.025</v>
      </c>
      <c r="AH477" s="157">
        <v>0.0045</v>
      </c>
      <c r="AI477" s="142">
        <v>1</v>
      </c>
      <c r="AJ477" s="142">
        <v>500</v>
      </c>
      <c r="AK477" s="171">
        <v>0.03</v>
      </c>
      <c r="AL477" s="163">
        <v>39036</v>
      </c>
      <c r="AM477" s="163">
        <v>2703</v>
      </c>
      <c r="AN477" s="163">
        <v>5766</v>
      </c>
      <c r="AO477" s="142">
        <v>100</v>
      </c>
      <c r="AP477" s="142">
        <v>6</v>
      </c>
      <c r="AQ477" s="142">
        <v>6</v>
      </c>
      <c r="AR477" s="142">
        <v>419</v>
      </c>
      <c r="AS477" s="142">
        <v>144</v>
      </c>
      <c r="AT477" s="142">
        <v>26</v>
      </c>
      <c r="AU477" s="142"/>
      <c r="AV477" s="142"/>
      <c r="AW477" s="142"/>
      <c r="AX477" s="142"/>
      <c r="AY477" s="142"/>
    </row>
    <row r="478">
      <c r="A478" s="143"/>
      <c r="B478" s="152" t="s">
        <v>40</v>
      </c>
      <c r="C478" s="152" t="s">
        <v>116</v>
      </c>
      <c r="D478" s="152" t="s">
        <v>76</v>
      </c>
      <c r="E478" s="152" t="s">
        <v>50</v>
      </c>
      <c r="F478" s="154">
        <v>3268.75</v>
      </c>
      <c r="G478" s="154">
        <v>6670.4</v>
      </c>
      <c r="H478" s="152">
        <v>12</v>
      </c>
      <c r="I478" s="152">
        <v>11</v>
      </c>
      <c r="J478" s="152">
        <v>1</v>
      </c>
      <c r="K478" s="152">
        <v>2.04</v>
      </c>
      <c r="L478" s="152">
        <v>1.73</v>
      </c>
      <c r="M478" s="152">
        <v>297</v>
      </c>
      <c r="N478" s="152">
        <v>606</v>
      </c>
      <c r="O478" s="156">
        <v>0.09</v>
      </c>
      <c r="P478" s="157">
        <v>0.9167</v>
      </c>
      <c r="Q478" s="152">
        <v>0.65</v>
      </c>
      <c r="R478" s="152">
        <v>29</v>
      </c>
      <c r="S478" s="152">
        <v>327</v>
      </c>
      <c r="T478" s="152">
        <v>363</v>
      </c>
      <c r="U478" s="156">
        <v>2.01</v>
      </c>
      <c r="V478" s="157">
        <v>0.0225</v>
      </c>
      <c r="W478" s="157">
        <v>0.0877</v>
      </c>
      <c r="X478" s="156">
        <v>0.9</v>
      </c>
      <c r="Y478" s="157">
        <v>0.0761</v>
      </c>
      <c r="Z478" s="157">
        <v>0.0036</v>
      </c>
      <c r="AA478" s="152">
        <v>99</v>
      </c>
      <c r="AB478" s="152">
        <v>1.3</v>
      </c>
      <c r="AC478" s="152">
        <v>8.67</v>
      </c>
      <c r="AD478" s="152">
        <v>24</v>
      </c>
      <c r="AE478" s="152">
        <v>131</v>
      </c>
      <c r="AF478" s="157">
        <v>0.0744</v>
      </c>
      <c r="AG478" s="157">
        <v>0.0265</v>
      </c>
      <c r="AH478" s="157">
        <v>0.0049</v>
      </c>
      <c r="AI478" s="142">
        <v>1</v>
      </c>
      <c r="AJ478" s="142">
        <v>500</v>
      </c>
      <c r="AK478" s="171">
        <v>0.03</v>
      </c>
      <c r="AL478" s="163">
        <v>33043</v>
      </c>
      <c r="AM478" s="163">
        <v>2514</v>
      </c>
      <c r="AN478" s="163">
        <v>5065</v>
      </c>
      <c r="AO478" s="142">
        <v>114</v>
      </c>
      <c r="AP478" s="142">
        <v>10</v>
      </c>
      <c r="AQ478" s="142">
        <v>9</v>
      </c>
      <c r="AR478" s="142">
        <v>377</v>
      </c>
      <c r="AS478" s="142">
        <v>134</v>
      </c>
      <c r="AT478" s="142">
        <v>25</v>
      </c>
      <c r="AU478" s="142"/>
      <c r="AV478" s="142"/>
      <c r="AW478" s="142"/>
      <c r="AX478" s="142"/>
      <c r="AY478" s="142"/>
    </row>
    <row r="479">
      <c r="A479" s="143"/>
      <c r="B479" s="152" t="s">
        <v>40</v>
      </c>
      <c r="C479" s="152" t="s">
        <v>116</v>
      </c>
      <c r="D479" s="152" t="s">
        <v>76</v>
      </c>
      <c r="E479" s="152" t="s">
        <v>51</v>
      </c>
      <c r="F479" s="154">
        <v>2271.4</v>
      </c>
      <c r="G479" s="154">
        <v>1804</v>
      </c>
      <c r="H479" s="152">
        <v>6</v>
      </c>
      <c r="I479" s="152">
        <v>4</v>
      </c>
      <c r="J479" s="152">
        <v>0</v>
      </c>
      <c r="K479" s="152">
        <v>0.79</v>
      </c>
      <c r="L479" s="152">
        <v>0.64</v>
      </c>
      <c r="M479" s="152">
        <v>568</v>
      </c>
      <c r="N479" s="152">
        <v>451</v>
      </c>
      <c r="O479" s="156">
        <v>0</v>
      </c>
      <c r="P479" s="157">
        <v>0.6667</v>
      </c>
      <c r="Q479" s="152">
        <v>0.82</v>
      </c>
      <c r="R479" s="152">
        <v>26</v>
      </c>
      <c r="S479" s="152">
        <v>324</v>
      </c>
      <c r="T479" s="152">
        <v>454</v>
      </c>
      <c r="U479" s="156">
        <v>1.93</v>
      </c>
      <c r="V479" s="157">
        <v>0.0317</v>
      </c>
      <c r="W479" s="157">
        <v>0.0795</v>
      </c>
      <c r="X479" s="156">
        <v>0.71</v>
      </c>
      <c r="Y479" s="157">
        <v>0.0546</v>
      </c>
      <c r="Z479" s="157">
        <v>0.0035</v>
      </c>
      <c r="AA479" s="152">
        <v>86</v>
      </c>
      <c r="AB479" s="152">
        <v>1.58</v>
      </c>
      <c r="AC479" s="152">
        <v>9.46</v>
      </c>
      <c r="AD479" s="152">
        <v>12</v>
      </c>
      <c r="AE479" s="152">
        <v>114</v>
      </c>
      <c r="AF479" s="157">
        <v>0.0863</v>
      </c>
      <c r="AG479" s="157">
        <v>0.0665</v>
      </c>
      <c r="AH479" s="157">
        <v>0.0072</v>
      </c>
      <c r="AI479" s="142">
        <v>1</v>
      </c>
      <c r="AJ479" s="142">
        <v>500</v>
      </c>
      <c r="AK479" s="171">
        <v>0.03</v>
      </c>
      <c r="AL479" s="163">
        <v>26355</v>
      </c>
      <c r="AM479" s="163">
        <v>1440</v>
      </c>
      <c r="AN479" s="163">
        <v>2780</v>
      </c>
      <c r="AO479" s="142">
        <v>88</v>
      </c>
      <c r="AP479" s="142">
        <v>7</v>
      </c>
      <c r="AQ479" s="142">
        <v>5</v>
      </c>
      <c r="AR479" s="142">
        <v>240</v>
      </c>
      <c r="AS479" s="142">
        <v>185</v>
      </c>
      <c r="AT479" s="142">
        <v>20</v>
      </c>
      <c r="AU479" s="142"/>
      <c r="AV479" s="142"/>
      <c r="AW479" s="142"/>
      <c r="AX479" s="142"/>
      <c r="AY479" s="142"/>
    </row>
    <row r="480">
      <c r="A480" s="143"/>
      <c r="B480" s="152" t="s">
        <v>40</v>
      </c>
      <c r="C480" s="152" t="s">
        <v>116</v>
      </c>
      <c r="D480" s="152" t="s">
        <v>76</v>
      </c>
      <c r="E480" s="152" t="s">
        <v>53</v>
      </c>
      <c r="F480" s="154">
        <v>4801.56</v>
      </c>
      <c r="G480" s="154">
        <v>4719</v>
      </c>
      <c r="H480" s="152">
        <v>14</v>
      </c>
      <c r="I480" s="152">
        <v>9</v>
      </c>
      <c r="J480" s="152">
        <v>0</v>
      </c>
      <c r="K480" s="152">
        <v>0.98</v>
      </c>
      <c r="L480" s="152">
        <v>0.87</v>
      </c>
      <c r="M480" s="152">
        <v>534</v>
      </c>
      <c r="N480" s="152">
        <v>524</v>
      </c>
      <c r="O480" s="156">
        <v>0</v>
      </c>
      <c r="P480" s="157">
        <v>0.6429</v>
      </c>
      <c r="Q480" s="152">
        <v>0.68</v>
      </c>
      <c r="R480" s="152">
        <v>31</v>
      </c>
      <c r="S480" s="152">
        <v>437</v>
      </c>
      <c r="T480" s="152">
        <v>686</v>
      </c>
      <c r="U480" s="156">
        <v>2.27</v>
      </c>
      <c r="V480" s="157">
        <v>0.0221</v>
      </c>
      <c r="W480" s="157">
        <v>0.0701</v>
      </c>
      <c r="X480" s="156">
        <v>0.64</v>
      </c>
      <c r="Y480" s="157">
        <v>0.0534</v>
      </c>
      <c r="Z480" s="157">
        <v>0.0022</v>
      </c>
      <c r="AA480" s="152">
        <v>82</v>
      </c>
      <c r="AB480" s="152">
        <v>1.54</v>
      </c>
      <c r="AC480" s="152">
        <v>10.05</v>
      </c>
      <c r="AD480" s="152">
        <v>29</v>
      </c>
      <c r="AE480" s="152">
        <v>146</v>
      </c>
      <c r="AF480" s="157">
        <v>0.0674</v>
      </c>
      <c r="AG480" s="157">
        <v>0.0235</v>
      </c>
      <c r="AH480" s="157">
        <v>0.0047</v>
      </c>
      <c r="AI480" s="142">
        <v>1</v>
      </c>
      <c r="AJ480" s="142">
        <v>500</v>
      </c>
      <c r="AK480" s="171">
        <v>0.03</v>
      </c>
      <c r="AL480" s="163">
        <v>58500</v>
      </c>
      <c r="AM480" s="163">
        <v>3126</v>
      </c>
      <c r="AN480" s="163">
        <v>7095</v>
      </c>
      <c r="AO480" s="142">
        <v>157</v>
      </c>
      <c r="AP480" s="142">
        <v>11</v>
      </c>
      <c r="AQ480" s="142">
        <v>7</v>
      </c>
      <c r="AR480" s="142">
        <v>478</v>
      </c>
      <c r="AS480" s="142">
        <v>167</v>
      </c>
      <c r="AT480" s="142">
        <v>33</v>
      </c>
      <c r="AU480" s="142"/>
      <c r="AV480" s="142"/>
      <c r="AW480" s="142"/>
      <c r="AX480" s="142"/>
      <c r="AY480" s="142"/>
    </row>
    <row r="481">
      <c r="A481" s="143"/>
      <c r="B481" s="164" t="s">
        <v>117</v>
      </c>
      <c r="C481" s="164"/>
      <c r="D481" s="164"/>
      <c r="E481" s="164"/>
      <c r="F481" s="165">
        <v>13668.64</v>
      </c>
      <c r="G481" s="165">
        <v>18183</v>
      </c>
      <c r="H481" s="164">
        <v>41</v>
      </c>
      <c r="I481" s="164">
        <v>31</v>
      </c>
      <c r="J481" s="164">
        <v>3</v>
      </c>
      <c r="K481" s="164">
        <v>1.33</v>
      </c>
      <c r="L481" s="164">
        <v>1.13</v>
      </c>
      <c r="M481" s="164">
        <v>441</v>
      </c>
      <c r="N481" s="164">
        <v>587</v>
      </c>
      <c r="O481" s="166">
        <v>0.1</v>
      </c>
      <c r="P481" s="167">
        <v>0.7561</v>
      </c>
      <c r="Q481" s="164">
        <v>0.66</v>
      </c>
      <c r="R481" s="164">
        <v>30</v>
      </c>
      <c r="S481" s="164">
        <v>402</v>
      </c>
      <c r="T481" s="164">
        <v>506</v>
      </c>
      <c r="U481" s="166">
        <v>2.12</v>
      </c>
      <c r="V481" s="167">
        <v>0.0222</v>
      </c>
      <c r="W481" s="167">
        <v>0.0741</v>
      </c>
      <c r="X481" s="166">
        <v>0.79</v>
      </c>
      <c r="Y481" s="167">
        <v>0.0623</v>
      </c>
      <c r="Z481" s="167">
        <v>0.0028</v>
      </c>
      <c r="AA481" s="164">
        <v>87</v>
      </c>
      <c r="AB481" s="164">
        <v>1.4</v>
      </c>
      <c r="AC481" s="164">
        <v>9.03</v>
      </c>
      <c r="AD481" s="164">
        <v>22</v>
      </c>
      <c r="AE481" s="164">
        <v>131</v>
      </c>
      <c r="AF481" s="167">
        <v>0.0731</v>
      </c>
      <c r="AG481" s="167">
        <v>0.0304</v>
      </c>
      <c r="AH481" s="167">
        <v>0.005</v>
      </c>
      <c r="AI481" s="168">
        <v>4</v>
      </c>
      <c r="AJ481" s="168">
        <v>500</v>
      </c>
      <c r="AK481" s="169">
        <v>0.03</v>
      </c>
      <c r="AL481" s="170">
        <v>156934</v>
      </c>
      <c r="AM481" s="170">
        <v>9783</v>
      </c>
      <c r="AN481" s="170">
        <v>20706</v>
      </c>
      <c r="AO481" s="168">
        <v>459</v>
      </c>
      <c r="AP481" s="168">
        <v>34</v>
      </c>
      <c r="AQ481" s="168">
        <v>27</v>
      </c>
      <c r="AR481" s="170">
        <v>1514</v>
      </c>
      <c r="AS481" s="168">
        <v>630</v>
      </c>
      <c r="AT481" s="168">
        <v>104</v>
      </c>
      <c r="AU481" s="161"/>
      <c r="AV481" s="161"/>
      <c r="AW481" s="161"/>
      <c r="AX481" s="161"/>
      <c r="AY481" s="161"/>
    </row>
    <row r="482">
      <c r="A482" s="143"/>
      <c r="B482" s="152" t="s">
        <v>56</v>
      </c>
      <c r="C482" s="152" t="s">
        <v>116</v>
      </c>
      <c r="D482" s="152" t="s">
        <v>54</v>
      </c>
      <c r="E482" s="152" t="s">
        <v>55</v>
      </c>
      <c r="F482" s="154">
        <v>2082.35</v>
      </c>
      <c r="G482" s="154">
        <v>4848</v>
      </c>
      <c r="H482" s="152">
        <v>7</v>
      </c>
      <c r="I482" s="152">
        <v>7</v>
      </c>
      <c r="J482" s="152">
        <v>1</v>
      </c>
      <c r="K482" s="152">
        <v>2.33</v>
      </c>
      <c r="L482" s="152">
        <v>1.83</v>
      </c>
      <c r="M482" s="152">
        <v>297</v>
      </c>
      <c r="N482" s="152">
        <v>693</v>
      </c>
      <c r="O482" s="156">
        <v>0.14</v>
      </c>
      <c r="P482" s="157">
        <v>1</v>
      </c>
      <c r="Q482" s="152">
        <v>0.47</v>
      </c>
      <c r="R482" s="152">
        <v>33</v>
      </c>
      <c r="S482" s="152">
        <v>347</v>
      </c>
      <c r="T482" s="152">
        <v>297</v>
      </c>
      <c r="U482" s="156">
        <v>2.53</v>
      </c>
      <c r="V482" s="157">
        <v>0.0143</v>
      </c>
      <c r="W482" s="157">
        <v>0.0952</v>
      </c>
      <c r="X482" s="156">
        <v>1.17</v>
      </c>
      <c r="Y482" s="157">
        <v>0.073</v>
      </c>
      <c r="Z482" s="157">
        <v>0.004</v>
      </c>
      <c r="AA482" s="152">
        <v>87</v>
      </c>
      <c r="AB482" s="152">
        <v>1.19</v>
      </c>
      <c r="AC482" s="152">
        <v>6.7</v>
      </c>
      <c r="AD482" s="152">
        <v>22</v>
      </c>
      <c r="AE482" s="152">
        <v>139</v>
      </c>
      <c r="AF482" s="157">
        <v>0.0705</v>
      </c>
      <c r="AG482" s="157">
        <v>0.0213</v>
      </c>
      <c r="AH482" s="157">
        <v>0.0034</v>
      </c>
      <c r="AI482" s="142">
        <v>1</v>
      </c>
      <c r="AJ482" s="142">
        <v>500</v>
      </c>
      <c r="AK482" s="171">
        <v>0.03</v>
      </c>
      <c r="AL482" s="163">
        <v>23876</v>
      </c>
      <c r="AM482" s="163">
        <v>1744</v>
      </c>
      <c r="AN482" s="163">
        <v>4414</v>
      </c>
      <c r="AO482" s="142">
        <v>63</v>
      </c>
      <c r="AP482" s="142">
        <v>6</v>
      </c>
      <c r="AQ482" s="142">
        <v>7</v>
      </c>
      <c r="AR482" s="142">
        <v>311</v>
      </c>
      <c r="AS482" s="142">
        <v>94</v>
      </c>
      <c r="AT482" s="142">
        <v>15</v>
      </c>
      <c r="AU482" s="142"/>
      <c r="AV482" s="142"/>
      <c r="AW482" s="142"/>
      <c r="AX482" s="142"/>
      <c r="AY482" s="142"/>
    </row>
    <row r="483">
      <c r="A483" s="143"/>
      <c r="B483" s="152" t="s">
        <v>56</v>
      </c>
      <c r="C483" s="152" t="s">
        <v>116</v>
      </c>
      <c r="D483" s="152" t="s">
        <v>54</v>
      </c>
      <c r="E483" s="152" t="s">
        <v>57</v>
      </c>
      <c r="F483" s="154">
        <v>2596.74</v>
      </c>
      <c r="G483" s="154">
        <v>3036</v>
      </c>
      <c r="H483" s="152">
        <v>10</v>
      </c>
      <c r="I483" s="152">
        <v>6</v>
      </c>
      <c r="J483" s="152">
        <v>1</v>
      </c>
      <c r="K483" s="152">
        <v>1.17</v>
      </c>
      <c r="L483" s="152">
        <v>0.96</v>
      </c>
      <c r="M483" s="152">
        <v>433</v>
      </c>
      <c r="N483" s="152">
        <v>506</v>
      </c>
      <c r="O483" s="156">
        <v>0.17</v>
      </c>
      <c r="P483" s="157">
        <v>0.6</v>
      </c>
      <c r="Q483" s="152">
        <v>0.84</v>
      </c>
      <c r="R483" s="152">
        <v>33</v>
      </c>
      <c r="S483" s="152">
        <v>289</v>
      </c>
      <c r="T483" s="152">
        <v>519</v>
      </c>
      <c r="U483" s="156">
        <v>2.21</v>
      </c>
      <c r="V483" s="157">
        <v>0.0253</v>
      </c>
      <c r="W483" s="157">
        <v>0.1154</v>
      </c>
      <c r="X483" s="156">
        <v>0.56</v>
      </c>
      <c r="Y483" s="157">
        <v>0.052</v>
      </c>
      <c r="Z483" s="157">
        <v>0.0036</v>
      </c>
      <c r="AA483" s="152">
        <v>97</v>
      </c>
      <c r="AB483" s="152">
        <v>1.86</v>
      </c>
      <c r="AC483" s="152">
        <v>10.35</v>
      </c>
      <c r="AD483" s="152">
        <v>28</v>
      </c>
      <c r="AE483" s="152">
        <v>130</v>
      </c>
      <c r="AF483" s="157">
        <v>0.0816</v>
      </c>
      <c r="AG483" s="157">
        <v>0.0305</v>
      </c>
      <c r="AH483" s="157">
        <v>0.0065</v>
      </c>
      <c r="AI483" s="142">
        <v>1</v>
      </c>
      <c r="AJ483" s="142">
        <v>500</v>
      </c>
      <c r="AK483" s="171">
        <v>0.03</v>
      </c>
      <c r="AL483" s="163">
        <v>26840</v>
      </c>
      <c r="AM483" s="163">
        <v>1395</v>
      </c>
      <c r="AN483" s="163">
        <v>3077</v>
      </c>
      <c r="AO483" s="142">
        <v>78</v>
      </c>
      <c r="AP483" s="142">
        <v>9</v>
      </c>
      <c r="AQ483" s="142">
        <v>5</v>
      </c>
      <c r="AR483" s="142">
        <v>251</v>
      </c>
      <c r="AS483" s="142">
        <v>94</v>
      </c>
      <c r="AT483" s="142">
        <v>20</v>
      </c>
      <c r="AU483" s="142"/>
      <c r="AV483" s="142"/>
      <c r="AW483" s="142"/>
      <c r="AX483" s="142"/>
      <c r="AY483" s="142"/>
    </row>
    <row r="484">
      <c r="A484" s="143"/>
      <c r="B484" s="152" t="s">
        <v>56</v>
      </c>
      <c r="C484" s="152" t="s">
        <v>116</v>
      </c>
      <c r="D484" s="152" t="s">
        <v>54</v>
      </c>
      <c r="E484" s="152" t="s">
        <v>58</v>
      </c>
      <c r="F484" s="154">
        <v>2294.11</v>
      </c>
      <c r="G484" s="154">
        <v>5752</v>
      </c>
      <c r="H484" s="152">
        <v>11</v>
      </c>
      <c r="I484" s="152">
        <v>9</v>
      </c>
      <c r="J484" s="152">
        <v>1</v>
      </c>
      <c r="K484" s="152">
        <v>2.51</v>
      </c>
      <c r="L484" s="152">
        <v>2.01</v>
      </c>
      <c r="M484" s="152">
        <v>255</v>
      </c>
      <c r="N484" s="152">
        <v>639</v>
      </c>
      <c r="O484" s="156">
        <v>0.11</v>
      </c>
      <c r="P484" s="157">
        <v>0.8182</v>
      </c>
      <c r="Q484" s="152">
        <v>1.33</v>
      </c>
      <c r="R484" s="152">
        <v>36</v>
      </c>
      <c r="S484" s="152">
        <v>209</v>
      </c>
      <c r="T484" s="152">
        <v>255</v>
      </c>
      <c r="U484" s="156">
        <v>1.67</v>
      </c>
      <c r="V484" s="157">
        <v>0.0365</v>
      </c>
      <c r="W484" s="157">
        <v>0.1746</v>
      </c>
      <c r="X484" s="156">
        <v>0.82</v>
      </c>
      <c r="Y484" s="157">
        <v>0.0481</v>
      </c>
      <c r="Z484" s="157">
        <v>0.0087</v>
      </c>
      <c r="AA484" s="152">
        <v>107</v>
      </c>
      <c r="AB484" s="152">
        <v>2.22</v>
      </c>
      <c r="AC484" s="152">
        <v>15.82</v>
      </c>
      <c r="AD484" s="152">
        <v>22</v>
      </c>
      <c r="AE484" s="152">
        <v>255</v>
      </c>
      <c r="AF484" s="157">
        <v>0.0841</v>
      </c>
      <c r="AG484" s="157">
        <v>0.0597</v>
      </c>
      <c r="AH484" s="157">
        <v>0.0052</v>
      </c>
      <c r="AI484" s="142">
        <v>1</v>
      </c>
      <c r="AJ484" s="142">
        <v>500</v>
      </c>
      <c r="AK484" s="171">
        <v>0.03</v>
      </c>
      <c r="AL484" s="163">
        <v>21476</v>
      </c>
      <c r="AM484" s="163">
        <v>1033</v>
      </c>
      <c r="AN484" s="163">
        <v>1725</v>
      </c>
      <c r="AO484" s="142">
        <v>63</v>
      </c>
      <c r="AP484" s="142">
        <v>11</v>
      </c>
      <c r="AQ484" s="142">
        <v>9</v>
      </c>
      <c r="AR484" s="142">
        <v>145</v>
      </c>
      <c r="AS484" s="142">
        <v>103</v>
      </c>
      <c r="AT484" s="142">
        <v>9</v>
      </c>
      <c r="AU484" s="142"/>
      <c r="AV484" s="142"/>
      <c r="AW484" s="142"/>
      <c r="AX484" s="142"/>
      <c r="AY484" s="142"/>
    </row>
    <row r="485">
      <c r="A485" s="143"/>
      <c r="B485" s="152" t="s">
        <v>56</v>
      </c>
      <c r="C485" s="152" t="s">
        <v>116</v>
      </c>
      <c r="D485" s="152" t="s">
        <v>54</v>
      </c>
      <c r="E485" s="152" t="s">
        <v>59</v>
      </c>
      <c r="F485" s="154">
        <v>3682.25</v>
      </c>
      <c r="G485" s="154">
        <v>6549</v>
      </c>
      <c r="H485" s="152">
        <v>10</v>
      </c>
      <c r="I485" s="152">
        <v>8</v>
      </c>
      <c r="J485" s="152">
        <v>4</v>
      </c>
      <c r="K485" s="152">
        <v>1.78</v>
      </c>
      <c r="L485" s="152">
        <v>1.53</v>
      </c>
      <c r="M485" s="152">
        <v>460</v>
      </c>
      <c r="N485" s="152">
        <v>819</v>
      </c>
      <c r="O485" s="156">
        <v>0.5</v>
      </c>
      <c r="P485" s="157">
        <v>0.8</v>
      </c>
      <c r="Q485" s="152">
        <v>0.83</v>
      </c>
      <c r="R485" s="152">
        <v>33</v>
      </c>
      <c r="S485" s="152">
        <v>409</v>
      </c>
      <c r="T485" s="152">
        <v>460</v>
      </c>
      <c r="U485" s="156">
        <v>2.31</v>
      </c>
      <c r="V485" s="157">
        <v>0.0255</v>
      </c>
      <c r="W485" s="157">
        <v>0.0796</v>
      </c>
      <c r="X485" s="156">
        <v>0.89</v>
      </c>
      <c r="Y485" s="157">
        <v>0.0498</v>
      </c>
      <c r="Z485" s="157">
        <v>0.0042</v>
      </c>
      <c r="AA485" s="152">
        <v>96</v>
      </c>
      <c r="AB485" s="152">
        <v>1.92</v>
      </c>
      <c r="AC485" s="152">
        <v>12.19</v>
      </c>
      <c r="AD485" s="152">
        <v>20</v>
      </c>
      <c r="AE485" s="152">
        <v>142</v>
      </c>
      <c r="AF485" s="157">
        <v>0.0683</v>
      </c>
      <c r="AG485" s="157">
        <v>0.042</v>
      </c>
      <c r="AH485" s="157">
        <v>0.0059</v>
      </c>
      <c r="AI485" s="142">
        <v>1</v>
      </c>
      <c r="AJ485" s="142">
        <v>500</v>
      </c>
      <c r="AK485" s="171">
        <v>0.03</v>
      </c>
      <c r="AL485" s="163">
        <v>38430</v>
      </c>
      <c r="AM485" s="163">
        <v>1915</v>
      </c>
      <c r="AN485" s="163">
        <v>4424</v>
      </c>
      <c r="AO485" s="142">
        <v>113</v>
      </c>
      <c r="AP485" s="142">
        <v>9</v>
      </c>
      <c r="AQ485" s="142">
        <v>8</v>
      </c>
      <c r="AR485" s="142">
        <v>302</v>
      </c>
      <c r="AS485" s="142">
        <v>186</v>
      </c>
      <c r="AT485" s="142">
        <v>26</v>
      </c>
      <c r="AU485" s="142"/>
      <c r="AV485" s="142"/>
      <c r="AW485" s="142"/>
      <c r="AX485" s="142"/>
      <c r="AY485" s="142"/>
    </row>
    <row r="486">
      <c r="A486" s="143"/>
      <c r="B486" s="172" t="s">
        <v>117</v>
      </c>
      <c r="C486" s="172"/>
      <c r="D486" s="172"/>
      <c r="E486" s="172"/>
      <c r="F486" s="165">
        <v>10655.45</v>
      </c>
      <c r="G486" s="165">
        <v>20185</v>
      </c>
      <c r="H486" s="164">
        <v>38</v>
      </c>
      <c r="I486" s="164">
        <v>30</v>
      </c>
      <c r="J486" s="164">
        <v>7</v>
      </c>
      <c r="K486" s="164">
        <v>1.89</v>
      </c>
      <c r="L486" s="164">
        <v>1.56</v>
      </c>
      <c r="M486" s="164">
        <v>355</v>
      </c>
      <c r="N486" s="164">
        <v>673</v>
      </c>
      <c r="O486" s="166">
        <v>0.23</v>
      </c>
      <c r="P486" s="167">
        <v>0.7895</v>
      </c>
      <c r="Q486" s="164">
        <v>0.78</v>
      </c>
      <c r="R486" s="164">
        <v>34</v>
      </c>
      <c r="S486" s="164">
        <v>304</v>
      </c>
      <c r="T486" s="164">
        <v>367</v>
      </c>
      <c r="U486" s="166">
        <v>2.24</v>
      </c>
      <c r="V486" s="167">
        <v>0.0232</v>
      </c>
      <c r="W486" s="167">
        <v>0.1104</v>
      </c>
      <c r="X486" s="166">
        <v>0.83</v>
      </c>
      <c r="Y486" s="167">
        <v>0.055</v>
      </c>
      <c r="Z486" s="167">
        <v>0.0048</v>
      </c>
      <c r="AA486" s="164">
        <v>96</v>
      </c>
      <c r="AB486" s="164">
        <v>1.75</v>
      </c>
      <c r="AC486" s="164">
        <v>10.56</v>
      </c>
      <c r="AD486" s="164">
        <v>22</v>
      </c>
      <c r="AE486" s="164">
        <v>152</v>
      </c>
      <c r="AF486" s="167">
        <v>0.074</v>
      </c>
      <c r="AG486" s="167">
        <v>0.035</v>
      </c>
      <c r="AH486" s="167">
        <v>0.0051</v>
      </c>
      <c r="AI486" s="168">
        <v>4</v>
      </c>
      <c r="AJ486" s="168">
        <v>500</v>
      </c>
      <c r="AK486" s="169">
        <v>0.03</v>
      </c>
      <c r="AL486" s="170">
        <v>110622</v>
      </c>
      <c r="AM486" s="170">
        <v>6087</v>
      </c>
      <c r="AN486" s="170">
        <v>13640</v>
      </c>
      <c r="AO486" s="168">
        <v>317</v>
      </c>
      <c r="AP486" s="168">
        <v>35</v>
      </c>
      <c r="AQ486" s="168">
        <v>29</v>
      </c>
      <c r="AR486" s="170">
        <v>1009</v>
      </c>
      <c r="AS486" s="168">
        <v>477</v>
      </c>
      <c r="AT486" s="168">
        <v>70</v>
      </c>
      <c r="AU486" s="161"/>
      <c r="AV486" s="161"/>
      <c r="AW486" s="161"/>
      <c r="AX486" s="161"/>
      <c r="AY486" s="161"/>
    </row>
    <row r="487">
      <c r="A487" s="143"/>
      <c r="B487" s="152" t="s">
        <v>56</v>
      </c>
      <c r="C487" s="152" t="s">
        <v>116</v>
      </c>
      <c r="D487" s="152" t="s">
        <v>69</v>
      </c>
      <c r="E487" s="152" t="s">
        <v>61</v>
      </c>
      <c r="F487" s="154">
        <v>1831.39</v>
      </c>
      <c r="G487" s="154">
        <v>4254</v>
      </c>
      <c r="H487" s="152">
        <v>10</v>
      </c>
      <c r="I487" s="152">
        <v>7</v>
      </c>
      <c r="J487" s="152">
        <v>1</v>
      </c>
      <c r="K487" s="152">
        <v>2.32</v>
      </c>
      <c r="L487" s="152">
        <v>1.78</v>
      </c>
      <c r="M487" s="152">
        <v>262</v>
      </c>
      <c r="N487" s="152">
        <v>608</v>
      </c>
      <c r="O487" s="156">
        <v>0.14</v>
      </c>
      <c r="P487" s="157">
        <v>0.7</v>
      </c>
      <c r="Q487" s="152">
        <v>1.3</v>
      </c>
      <c r="R487" s="152">
        <v>29</v>
      </c>
      <c r="S487" s="152">
        <v>229</v>
      </c>
      <c r="T487" s="152">
        <v>366</v>
      </c>
      <c r="U487" s="156">
        <v>1.74</v>
      </c>
      <c r="V487" s="157">
        <v>0.0446</v>
      </c>
      <c r="W487" s="157">
        <v>0.127</v>
      </c>
      <c r="X487" s="156">
        <v>0.63</v>
      </c>
      <c r="Y487" s="157">
        <v>0.0436</v>
      </c>
      <c r="Z487" s="157">
        <v>0.0062</v>
      </c>
      <c r="AA487" s="152">
        <v>98</v>
      </c>
      <c r="AB487" s="152">
        <v>2.25</v>
      </c>
      <c r="AC487" s="152">
        <v>14.09</v>
      </c>
      <c r="AD487" s="152">
        <v>26</v>
      </c>
      <c r="AE487" s="152">
        <v>229</v>
      </c>
      <c r="AF487" s="157">
        <v>0.092</v>
      </c>
      <c r="AG487" s="157">
        <v>0.0502</v>
      </c>
      <c r="AH487" s="157">
        <v>0.0057</v>
      </c>
      <c r="AI487" s="142">
        <v>1</v>
      </c>
      <c r="AJ487" s="142">
        <v>500</v>
      </c>
      <c r="AK487" s="171">
        <v>0.03</v>
      </c>
      <c r="AL487" s="163">
        <v>18650</v>
      </c>
      <c r="AM487" s="142">
        <v>813</v>
      </c>
      <c r="AN487" s="163">
        <v>1413</v>
      </c>
      <c r="AO487" s="142">
        <v>63</v>
      </c>
      <c r="AP487" s="142">
        <v>8</v>
      </c>
      <c r="AQ487" s="142">
        <v>5</v>
      </c>
      <c r="AR487" s="142">
        <v>130</v>
      </c>
      <c r="AS487" s="142">
        <v>71</v>
      </c>
      <c r="AT487" s="142">
        <v>8</v>
      </c>
      <c r="AU487" s="142"/>
      <c r="AV487" s="142"/>
      <c r="AW487" s="142"/>
      <c r="AX487" s="142"/>
      <c r="AY487" s="142"/>
    </row>
    <row r="488">
      <c r="A488" s="143"/>
      <c r="B488" s="152" t="s">
        <v>56</v>
      </c>
      <c r="C488" s="152" t="s">
        <v>116</v>
      </c>
      <c r="D488" s="152" t="s">
        <v>69</v>
      </c>
      <c r="E488" s="152" t="s">
        <v>62</v>
      </c>
      <c r="F488" s="154">
        <v>2981.31</v>
      </c>
      <c r="G488" s="154">
        <v>5256</v>
      </c>
      <c r="H488" s="152">
        <v>10</v>
      </c>
      <c r="I488" s="152">
        <v>7</v>
      </c>
      <c r="J488" s="152">
        <v>2</v>
      </c>
      <c r="K488" s="152">
        <v>1.76</v>
      </c>
      <c r="L488" s="152">
        <v>1.47</v>
      </c>
      <c r="M488" s="152">
        <v>426</v>
      </c>
      <c r="N488" s="152">
        <v>751</v>
      </c>
      <c r="O488" s="156">
        <v>0.29</v>
      </c>
      <c r="P488" s="157">
        <v>0.7</v>
      </c>
      <c r="Q488" s="152">
        <v>0.58</v>
      </c>
      <c r="R488" s="152">
        <v>39</v>
      </c>
      <c r="S488" s="152">
        <v>373</v>
      </c>
      <c r="T488" s="152">
        <v>596</v>
      </c>
      <c r="U488" s="156">
        <v>2.57</v>
      </c>
      <c r="V488" s="157">
        <v>0.015</v>
      </c>
      <c r="W488" s="157">
        <v>0.1039</v>
      </c>
      <c r="X488" s="156">
        <v>0.63</v>
      </c>
      <c r="Y488" s="157">
        <v>0.0708</v>
      </c>
      <c r="Z488" s="157">
        <v>0.0025</v>
      </c>
      <c r="AA488" s="152">
        <v>106</v>
      </c>
      <c r="AB488" s="152">
        <v>1.5</v>
      </c>
      <c r="AC488" s="152">
        <v>10.35</v>
      </c>
      <c r="AD488" s="152">
        <v>39</v>
      </c>
      <c r="AE488" s="152">
        <v>248</v>
      </c>
      <c r="AF488" s="157">
        <v>0.0561</v>
      </c>
      <c r="AG488" s="157">
        <v>0.015</v>
      </c>
      <c r="AH488" s="157">
        <v>0.0023</v>
      </c>
      <c r="AI488" s="142">
        <v>1</v>
      </c>
      <c r="AJ488" s="142">
        <v>500</v>
      </c>
      <c r="AK488" s="171">
        <v>0.03</v>
      </c>
      <c r="AL488" s="163">
        <v>28183</v>
      </c>
      <c r="AM488" s="163">
        <v>1994</v>
      </c>
      <c r="AN488" s="163">
        <v>5131</v>
      </c>
      <c r="AO488" s="142">
        <v>77</v>
      </c>
      <c r="AP488" s="142">
        <v>8</v>
      </c>
      <c r="AQ488" s="142">
        <v>5</v>
      </c>
      <c r="AR488" s="142">
        <v>288</v>
      </c>
      <c r="AS488" s="142">
        <v>77</v>
      </c>
      <c r="AT488" s="142">
        <v>12</v>
      </c>
      <c r="AU488" s="142"/>
      <c r="AV488" s="142"/>
      <c r="AW488" s="142"/>
      <c r="AX488" s="142"/>
      <c r="AY488" s="142"/>
    </row>
    <row r="489">
      <c r="A489" s="143"/>
      <c r="B489" s="152" t="s">
        <v>56</v>
      </c>
      <c r="C489" s="152" t="s">
        <v>116</v>
      </c>
      <c r="D489" s="152" t="s">
        <v>69</v>
      </c>
      <c r="E489" s="152" t="s">
        <v>63</v>
      </c>
      <c r="F489" s="154">
        <v>3746.79</v>
      </c>
      <c r="G489" s="154">
        <v>5576</v>
      </c>
      <c r="H489" s="152">
        <v>12</v>
      </c>
      <c r="I489" s="152">
        <v>10</v>
      </c>
      <c r="J489" s="152">
        <v>2</v>
      </c>
      <c r="K489" s="152">
        <v>1.49</v>
      </c>
      <c r="L489" s="152">
        <v>1.28</v>
      </c>
      <c r="M489" s="152">
        <v>375</v>
      </c>
      <c r="N489" s="152">
        <v>558</v>
      </c>
      <c r="O489" s="156">
        <v>0.2</v>
      </c>
      <c r="P489" s="157">
        <v>0.8333</v>
      </c>
      <c r="Q489" s="152">
        <v>0.69</v>
      </c>
      <c r="R489" s="152">
        <v>34</v>
      </c>
      <c r="S489" s="152">
        <v>375</v>
      </c>
      <c r="T489" s="152">
        <v>416</v>
      </c>
      <c r="U489" s="156">
        <v>1.81</v>
      </c>
      <c r="V489" s="157">
        <v>0.02</v>
      </c>
      <c r="W489" s="157">
        <v>0.0917</v>
      </c>
      <c r="X489" s="156">
        <v>0.9</v>
      </c>
      <c r="Y489" s="157">
        <v>0.0692</v>
      </c>
      <c r="Z489" s="157">
        <v>0.003</v>
      </c>
      <c r="AA489" s="152">
        <v>86</v>
      </c>
      <c r="AB489" s="152">
        <v>1.24</v>
      </c>
      <c r="AC489" s="152">
        <v>10.67</v>
      </c>
      <c r="AD489" s="152">
        <v>19</v>
      </c>
      <c r="AE489" s="152">
        <v>268</v>
      </c>
      <c r="AF489" s="157">
        <v>0.0644</v>
      </c>
      <c r="AG489" s="157">
        <v>0.0359</v>
      </c>
      <c r="AH489" s="157">
        <v>0.0026</v>
      </c>
      <c r="AI489" s="142">
        <v>1</v>
      </c>
      <c r="AJ489" s="142">
        <v>500</v>
      </c>
      <c r="AK489" s="171">
        <v>0.03</v>
      </c>
      <c r="AL489" s="163">
        <v>43578</v>
      </c>
      <c r="AM489" s="163">
        <v>3016</v>
      </c>
      <c r="AN489" s="163">
        <v>5454</v>
      </c>
      <c r="AO489" s="142">
        <v>109</v>
      </c>
      <c r="AP489" s="142">
        <v>10</v>
      </c>
      <c r="AQ489" s="142">
        <v>9</v>
      </c>
      <c r="AR489" s="142">
        <v>351</v>
      </c>
      <c r="AS489" s="142">
        <v>196</v>
      </c>
      <c r="AT489" s="142">
        <v>14</v>
      </c>
      <c r="AU489" s="142"/>
      <c r="AV489" s="142"/>
      <c r="AW489" s="142"/>
      <c r="AX489" s="142"/>
      <c r="AY489" s="142"/>
    </row>
    <row r="490">
      <c r="A490" s="143"/>
      <c r="B490" s="152" t="s">
        <v>56</v>
      </c>
      <c r="C490" s="152" t="s">
        <v>116</v>
      </c>
      <c r="D490" s="152" t="s">
        <v>69</v>
      </c>
      <c r="E490" s="152" t="s">
        <v>64</v>
      </c>
      <c r="F490" s="152">
        <v>912.88</v>
      </c>
      <c r="G490" s="154">
        <v>7090</v>
      </c>
      <c r="H490" s="152">
        <v>9</v>
      </c>
      <c r="I490" s="152">
        <v>8</v>
      </c>
      <c r="J490" s="152">
        <v>3</v>
      </c>
      <c r="K490" s="152">
        <v>7.77</v>
      </c>
      <c r="L490" s="152">
        <v>4.92</v>
      </c>
      <c r="M490" s="152">
        <v>114</v>
      </c>
      <c r="N490" s="152">
        <v>886</v>
      </c>
      <c r="O490" s="156">
        <v>0.38</v>
      </c>
      <c r="P490" s="157">
        <v>0.8889</v>
      </c>
      <c r="Q490" s="152">
        <v>0.57</v>
      </c>
      <c r="R490" s="152">
        <v>20</v>
      </c>
      <c r="S490" s="152">
        <v>114</v>
      </c>
      <c r="T490" s="152">
        <v>130</v>
      </c>
      <c r="U490" s="156">
        <v>1.91</v>
      </c>
      <c r="V490" s="157">
        <v>0.0283</v>
      </c>
      <c r="W490" s="157">
        <v>0.1778</v>
      </c>
      <c r="X490" s="156">
        <v>0.88</v>
      </c>
      <c r="Y490" s="157">
        <v>0.0847</v>
      </c>
      <c r="Z490" s="157">
        <v>0.0084</v>
      </c>
      <c r="AA490" s="152">
        <v>93</v>
      </c>
      <c r="AB490" s="152">
        <v>1.09</v>
      </c>
      <c r="AC490" s="152">
        <v>7.42</v>
      </c>
      <c r="AD490" s="152">
        <v>14</v>
      </c>
      <c r="AE490" s="152">
        <v>152</v>
      </c>
      <c r="AF490" s="157">
        <v>0.0774</v>
      </c>
      <c r="AG490" s="157">
        <v>0.0396</v>
      </c>
      <c r="AH490" s="157">
        <v>0.0038</v>
      </c>
      <c r="AI490" s="142">
        <v>1</v>
      </c>
      <c r="AJ490" s="142">
        <v>500</v>
      </c>
      <c r="AK490" s="171">
        <v>0.03</v>
      </c>
      <c r="AL490" s="163">
        <v>9851</v>
      </c>
      <c r="AM490" s="142">
        <v>834</v>
      </c>
      <c r="AN490" s="163">
        <v>1589</v>
      </c>
      <c r="AO490" s="142">
        <v>45</v>
      </c>
      <c r="AP490" s="142">
        <v>8</v>
      </c>
      <c r="AQ490" s="142">
        <v>7</v>
      </c>
      <c r="AR490" s="142">
        <v>123</v>
      </c>
      <c r="AS490" s="142">
        <v>63</v>
      </c>
      <c r="AT490" s="142">
        <v>6</v>
      </c>
      <c r="AU490" s="142"/>
      <c r="AV490" s="142"/>
      <c r="AW490" s="142"/>
      <c r="AX490" s="142"/>
      <c r="AY490" s="142"/>
    </row>
    <row r="491">
      <c r="A491" s="143"/>
      <c r="B491" s="172" t="s">
        <v>117</v>
      </c>
      <c r="C491" s="172"/>
      <c r="D491" s="172"/>
      <c r="E491" s="172"/>
      <c r="F491" s="173">
        <v>9472.37</v>
      </c>
      <c r="G491" s="173">
        <v>22176</v>
      </c>
      <c r="H491" s="172">
        <v>41</v>
      </c>
      <c r="I491" s="172">
        <v>32</v>
      </c>
      <c r="J491" s="164">
        <v>8</v>
      </c>
      <c r="K491" s="164">
        <v>2.34</v>
      </c>
      <c r="L491" s="164">
        <v>1.89</v>
      </c>
      <c r="M491" s="164">
        <v>296</v>
      </c>
      <c r="N491" s="164">
        <v>693</v>
      </c>
      <c r="O491" s="166">
        <v>0.25</v>
      </c>
      <c r="P491" s="167">
        <v>0.7805</v>
      </c>
      <c r="Q491" s="164">
        <v>0.7</v>
      </c>
      <c r="R491" s="164">
        <v>32</v>
      </c>
      <c r="S491" s="164">
        <v>279</v>
      </c>
      <c r="T491" s="164">
        <v>364</v>
      </c>
      <c r="U491" s="166">
        <v>2.04</v>
      </c>
      <c r="V491" s="167">
        <v>0.0216</v>
      </c>
      <c r="W491" s="167">
        <v>0.1156</v>
      </c>
      <c r="X491" s="166">
        <v>0.76</v>
      </c>
      <c r="Y491" s="167">
        <v>0.0664</v>
      </c>
      <c r="Z491" s="167">
        <v>0.0039</v>
      </c>
      <c r="AA491" s="164">
        <v>94</v>
      </c>
      <c r="AB491" s="164">
        <v>1.42</v>
      </c>
      <c r="AC491" s="164">
        <v>10.62</v>
      </c>
      <c r="AD491" s="164">
        <v>23</v>
      </c>
      <c r="AE491" s="164">
        <v>237</v>
      </c>
      <c r="AF491" s="167">
        <v>0.0657</v>
      </c>
      <c r="AG491" s="167">
        <v>0.03</v>
      </c>
      <c r="AH491" s="167">
        <v>0.0029</v>
      </c>
      <c r="AI491" s="168">
        <v>4</v>
      </c>
      <c r="AJ491" s="168">
        <v>500</v>
      </c>
      <c r="AK491" s="169">
        <v>0.03</v>
      </c>
      <c r="AL491" s="170">
        <v>100262</v>
      </c>
      <c r="AM491" s="170">
        <v>6657</v>
      </c>
      <c r="AN491" s="170">
        <v>13587</v>
      </c>
      <c r="AO491" s="168">
        <v>294</v>
      </c>
      <c r="AP491" s="168">
        <v>34</v>
      </c>
      <c r="AQ491" s="168">
        <v>26</v>
      </c>
      <c r="AR491" s="168">
        <v>892</v>
      </c>
      <c r="AS491" s="168">
        <v>407</v>
      </c>
      <c r="AT491" s="168">
        <v>40</v>
      </c>
      <c r="AU491" s="161"/>
      <c r="AV491" s="161"/>
      <c r="AW491" s="161"/>
      <c r="AX491" s="161"/>
      <c r="AY491" s="161"/>
    </row>
    <row r="492">
      <c r="A492" s="143"/>
      <c r="B492" s="144" t="s">
        <v>118</v>
      </c>
      <c r="C492" s="144"/>
      <c r="D492" s="144"/>
      <c r="E492" s="144"/>
      <c r="F492" s="174">
        <v>45716.11</v>
      </c>
      <c r="G492" s="174">
        <v>79479.4</v>
      </c>
      <c r="H492" s="144">
        <v>159</v>
      </c>
      <c r="I492" s="144">
        <v>123</v>
      </c>
      <c r="J492" s="144">
        <v>24</v>
      </c>
      <c r="K492" s="175">
        <v>1.74</v>
      </c>
      <c r="L492" s="175">
        <v>1.44</v>
      </c>
      <c r="M492" s="175">
        <v>372</v>
      </c>
      <c r="N492" s="175">
        <v>646</v>
      </c>
      <c r="O492" s="176">
        <v>0.2</v>
      </c>
      <c r="P492" s="177">
        <v>0.7736</v>
      </c>
      <c r="Q492" s="175">
        <v>0.75</v>
      </c>
      <c r="R492" s="175">
        <v>33</v>
      </c>
      <c r="S492" s="175">
        <v>341</v>
      </c>
      <c r="T492" s="175">
        <v>444</v>
      </c>
      <c r="U492" s="176">
        <v>2.08</v>
      </c>
      <c r="V492" s="177">
        <v>0.0225</v>
      </c>
      <c r="W492" s="177">
        <v>0.0972</v>
      </c>
      <c r="X492" s="176">
        <v>0.77</v>
      </c>
      <c r="Y492" s="177">
        <v>0.06</v>
      </c>
      <c r="Z492" s="177">
        <v>0.0035</v>
      </c>
      <c r="AA492" s="175">
        <v>93</v>
      </c>
      <c r="AB492" s="175">
        <v>1.55</v>
      </c>
      <c r="AC492" s="175">
        <v>10.02</v>
      </c>
      <c r="AD492" s="175">
        <v>25</v>
      </c>
      <c r="AE492" s="175">
        <v>150</v>
      </c>
      <c r="AF492" s="177">
        <v>0.0744</v>
      </c>
      <c r="AG492" s="177">
        <v>0.0301</v>
      </c>
      <c r="AH492" s="177">
        <v>0.005</v>
      </c>
      <c r="AI492" s="149">
        <v>16</v>
      </c>
      <c r="AJ492" s="149">
        <v>500</v>
      </c>
      <c r="AK492" s="150">
        <v>0.03</v>
      </c>
      <c r="AL492" s="151">
        <v>491978</v>
      </c>
      <c r="AM492" s="151">
        <v>29496</v>
      </c>
      <c r="AN492" s="151">
        <v>61309</v>
      </c>
      <c r="AO492" s="151">
        <v>1379</v>
      </c>
      <c r="AP492" s="149">
        <v>134</v>
      </c>
      <c r="AQ492" s="149">
        <v>103</v>
      </c>
      <c r="AR492" s="151">
        <v>4561</v>
      </c>
      <c r="AS492" s="151">
        <v>1843</v>
      </c>
      <c r="AT492" s="149">
        <v>305</v>
      </c>
      <c r="AU492" s="149"/>
      <c r="AV492" s="149"/>
      <c r="AW492" s="149"/>
      <c r="AX492" s="149"/>
      <c r="AY492" s="149"/>
    </row>
    <row r="493">
      <c r="A493" s="137"/>
      <c r="B493" s="137"/>
      <c r="C493" s="137"/>
      <c r="D493" s="137"/>
      <c r="E493" s="137"/>
      <c r="F493" s="138" t="s">
        <v>77</v>
      </c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9" t="s">
        <v>3</v>
      </c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40" t="s">
        <v>78</v>
      </c>
      <c r="AD493" s="140"/>
      <c r="AE493" s="140"/>
      <c r="AF493" s="140"/>
      <c r="AG493" s="140"/>
      <c r="AH493" s="140"/>
      <c r="AI493" s="141" t="s">
        <v>79</v>
      </c>
      <c r="AJ493" s="141"/>
      <c r="AK493" s="141"/>
      <c r="AL493" s="141"/>
      <c r="AM493" s="141"/>
      <c r="AN493" s="141"/>
      <c r="AO493" s="141"/>
      <c r="AP493" s="142"/>
      <c r="AQ493" s="142"/>
      <c r="AR493" s="142"/>
      <c r="AS493" s="142"/>
      <c r="AT493" s="142"/>
      <c r="AU493" s="142"/>
      <c r="AV493" s="142"/>
      <c r="AW493" s="142"/>
      <c r="AX493" s="142"/>
      <c r="AY493" s="142"/>
    </row>
    <row r="494">
      <c r="A494" s="137" t="s">
        <v>66</v>
      </c>
      <c r="B494" s="137" t="s">
        <v>80</v>
      </c>
      <c r="C494" s="137" t="s">
        <v>81</v>
      </c>
      <c r="D494" s="137" t="s">
        <v>4</v>
      </c>
      <c r="E494" s="137" t="s">
        <v>82</v>
      </c>
      <c r="F494" s="138" t="s">
        <v>83</v>
      </c>
      <c r="G494" s="138" t="s">
        <v>10</v>
      </c>
      <c r="H494" s="138" t="s">
        <v>7</v>
      </c>
      <c r="I494" s="138" t="s">
        <v>8</v>
      </c>
      <c r="J494" s="138" t="s">
        <v>84</v>
      </c>
      <c r="K494" s="138" t="s">
        <v>85</v>
      </c>
      <c r="L494" s="138" t="s">
        <v>86</v>
      </c>
      <c r="M494" s="138" t="s">
        <v>13</v>
      </c>
      <c r="N494" s="138" t="s">
        <v>16</v>
      </c>
      <c r="O494" s="138" t="s">
        <v>87</v>
      </c>
      <c r="P494" s="138" t="s">
        <v>88</v>
      </c>
      <c r="Q494" s="139" t="s">
        <v>89</v>
      </c>
      <c r="R494" s="139" t="s">
        <v>90</v>
      </c>
      <c r="S494" s="139" t="s">
        <v>91</v>
      </c>
      <c r="T494" s="139" t="s">
        <v>92</v>
      </c>
      <c r="U494" s="139" t="s">
        <v>93</v>
      </c>
      <c r="V494" s="139" t="s">
        <v>94</v>
      </c>
      <c r="W494" s="139" t="s">
        <v>95</v>
      </c>
      <c r="X494" s="139" t="s">
        <v>96</v>
      </c>
      <c r="Y494" s="139" t="s">
        <v>97</v>
      </c>
      <c r="Z494" s="139" t="s">
        <v>98</v>
      </c>
      <c r="AA494" s="139" t="s">
        <v>99</v>
      </c>
      <c r="AB494" s="139" t="s">
        <v>100</v>
      </c>
      <c r="AC494" s="140" t="s">
        <v>101</v>
      </c>
      <c r="AD494" s="140" t="s">
        <v>102</v>
      </c>
      <c r="AE494" s="140" t="s">
        <v>103</v>
      </c>
      <c r="AF494" s="140" t="s">
        <v>104</v>
      </c>
      <c r="AG494" s="140" t="s">
        <v>105</v>
      </c>
      <c r="AH494" s="140" t="s">
        <v>106</v>
      </c>
      <c r="AI494" s="142" t="s">
        <v>107</v>
      </c>
      <c r="AJ494" s="142" t="s">
        <v>108</v>
      </c>
      <c r="AK494" s="142" t="s">
        <v>109</v>
      </c>
      <c r="AL494" s="142" t="s">
        <v>110</v>
      </c>
      <c r="AM494" s="142" t="s">
        <v>27</v>
      </c>
      <c r="AN494" s="142" t="s">
        <v>29</v>
      </c>
      <c r="AO494" s="142" t="s">
        <v>28</v>
      </c>
      <c r="AP494" s="142" t="s">
        <v>111</v>
      </c>
      <c r="AQ494" s="142" t="s">
        <v>112</v>
      </c>
      <c r="AR494" s="142" t="s">
        <v>113</v>
      </c>
      <c r="AS494" s="142" t="s">
        <v>30</v>
      </c>
      <c r="AT494" s="142" t="s">
        <v>31</v>
      </c>
      <c r="AU494" s="142" t="s">
        <v>114</v>
      </c>
      <c r="AV494" s="142"/>
      <c r="AW494" s="142"/>
      <c r="AX494" s="142"/>
      <c r="AY494" s="142"/>
    </row>
    <row r="495">
      <c r="A495" s="143">
        <v>46224</v>
      </c>
      <c r="B495" s="144" t="s">
        <v>115</v>
      </c>
      <c r="C495" s="144"/>
      <c r="D495" s="144"/>
      <c r="E495" s="144"/>
      <c r="F495" s="145">
        <v>51992.71</v>
      </c>
      <c r="G495" s="145">
        <v>85963.9</v>
      </c>
      <c r="H495" s="146">
        <v>177</v>
      </c>
      <c r="I495" s="146">
        <v>141</v>
      </c>
      <c r="J495" s="146">
        <v>25</v>
      </c>
      <c r="K495" s="144">
        <v>1.65</v>
      </c>
      <c r="L495" s="144">
        <v>1.4</v>
      </c>
      <c r="M495" s="144">
        <v>369</v>
      </c>
      <c r="N495" s="144">
        <v>610</v>
      </c>
      <c r="O495" s="147">
        <v>0.18</v>
      </c>
      <c r="P495" s="148">
        <v>0.7966</v>
      </c>
      <c r="Q495" s="144">
        <v>1.54</v>
      </c>
      <c r="R495" s="144">
        <v>36</v>
      </c>
      <c r="S495" s="144">
        <v>340</v>
      </c>
      <c r="T495" s="144">
        <v>413</v>
      </c>
      <c r="U495" s="147">
        <v>1.42</v>
      </c>
      <c r="V495" s="148">
        <v>0.0426</v>
      </c>
      <c r="W495" s="148">
        <v>0.1064</v>
      </c>
      <c r="X495" s="147">
        <v>0.82</v>
      </c>
      <c r="Y495" s="148">
        <v>0.0476</v>
      </c>
      <c r="Z495" s="148">
        <v>0.0053</v>
      </c>
      <c r="AA495" s="144">
        <v>104</v>
      </c>
      <c r="AB495" s="144">
        <v>2.19</v>
      </c>
      <c r="AC495" s="144">
        <v>16.74</v>
      </c>
      <c r="AD495" s="144">
        <v>26</v>
      </c>
      <c r="AE495" s="144">
        <v>181</v>
      </c>
      <c r="AF495" s="148">
        <v>0.0919</v>
      </c>
      <c r="AG495" s="148">
        <v>0.0581</v>
      </c>
      <c r="AH495" s="148">
        <v>0.0085</v>
      </c>
      <c r="AI495" s="149">
        <v>16</v>
      </c>
      <c r="AJ495" s="149">
        <v>500</v>
      </c>
      <c r="AK495" s="150">
        <v>0.03</v>
      </c>
      <c r="AL495" s="151">
        <v>499431</v>
      </c>
      <c r="AM495" s="151">
        <v>23752</v>
      </c>
      <c r="AN495" s="151">
        <v>33771</v>
      </c>
      <c r="AO495" s="151">
        <v>1438</v>
      </c>
      <c r="AP495" s="149">
        <v>153</v>
      </c>
      <c r="AQ495" s="149">
        <v>126</v>
      </c>
      <c r="AR495" s="151">
        <v>3105</v>
      </c>
      <c r="AS495" s="151">
        <v>1963</v>
      </c>
      <c r="AT495" s="149">
        <v>287</v>
      </c>
      <c r="AU495" s="149"/>
      <c r="AV495" s="149"/>
      <c r="AW495" s="149"/>
      <c r="AX495" s="149"/>
      <c r="AY495" s="149"/>
    </row>
    <row r="496">
      <c r="A496" s="143"/>
      <c r="B496" s="152" t="s">
        <v>40</v>
      </c>
      <c r="C496" s="152" t="s">
        <v>116</v>
      </c>
      <c r="D496" s="152" t="s">
        <v>47</v>
      </c>
      <c r="E496" s="153" t="s">
        <v>43</v>
      </c>
      <c r="F496" s="154">
        <v>2900.79</v>
      </c>
      <c r="G496" s="155">
        <v>4673.9</v>
      </c>
      <c r="H496" s="152">
        <v>9</v>
      </c>
      <c r="I496" s="152">
        <v>8</v>
      </c>
      <c r="J496" s="152">
        <v>1</v>
      </c>
      <c r="K496" s="152">
        <v>1.61</v>
      </c>
      <c r="L496" s="152">
        <v>1.34</v>
      </c>
      <c r="M496" s="152">
        <v>363</v>
      </c>
      <c r="N496" s="152">
        <v>584</v>
      </c>
      <c r="O496" s="156">
        <v>0.13</v>
      </c>
      <c r="P496" s="157">
        <v>0.8889</v>
      </c>
      <c r="Q496" s="152">
        <v>1.38</v>
      </c>
      <c r="R496" s="152">
        <v>54</v>
      </c>
      <c r="S496" s="152">
        <v>290</v>
      </c>
      <c r="T496" s="152">
        <v>363</v>
      </c>
      <c r="U496" s="156">
        <v>1.88</v>
      </c>
      <c r="V496" s="157">
        <v>0.0257</v>
      </c>
      <c r="W496" s="157">
        <v>0.1852</v>
      </c>
      <c r="X496" s="156">
        <v>0.8</v>
      </c>
      <c r="Y496" s="157">
        <v>0.0482</v>
      </c>
      <c r="Z496" s="157">
        <v>0.0071</v>
      </c>
      <c r="AA496" s="152">
        <v>125</v>
      </c>
      <c r="AB496" s="152">
        <v>2.59</v>
      </c>
      <c r="AC496" s="152">
        <v>14.65</v>
      </c>
      <c r="AD496" s="152">
        <v>30</v>
      </c>
      <c r="AE496" s="152">
        <v>223</v>
      </c>
      <c r="AF496" s="157">
        <v>0.0941</v>
      </c>
      <c r="AG496" s="157">
        <v>0.0456</v>
      </c>
      <c r="AH496" s="157">
        <v>0.0062</v>
      </c>
      <c r="AI496" s="142">
        <v>1</v>
      </c>
      <c r="AJ496" s="158">
        <v>500</v>
      </c>
      <c r="AK496" s="171">
        <v>0.03</v>
      </c>
      <c r="AL496" s="163">
        <v>23242</v>
      </c>
      <c r="AM496" s="163">
        <v>1121</v>
      </c>
      <c r="AN496" s="163">
        <v>2105</v>
      </c>
      <c r="AO496" s="142">
        <v>54</v>
      </c>
      <c r="AP496" s="142">
        <v>10</v>
      </c>
      <c r="AQ496" s="142">
        <v>8</v>
      </c>
      <c r="AR496" s="142">
        <v>198</v>
      </c>
      <c r="AS496" s="142">
        <v>96</v>
      </c>
      <c r="AT496" s="142">
        <v>13</v>
      </c>
      <c r="AU496" s="142"/>
      <c r="AV496" s="142"/>
      <c r="AW496" s="142"/>
      <c r="AX496" s="142"/>
      <c r="AY496" s="142"/>
    </row>
    <row r="497">
      <c r="A497" s="143"/>
      <c r="B497" s="152" t="s">
        <v>40</v>
      </c>
      <c r="C497" s="152" t="s">
        <v>116</v>
      </c>
      <c r="D497" s="152" t="s">
        <v>47</v>
      </c>
      <c r="E497" s="152" t="s">
        <v>44</v>
      </c>
      <c r="F497" s="162">
        <v>3093.16</v>
      </c>
      <c r="G497" s="154">
        <v>4329.6</v>
      </c>
      <c r="H497" s="152">
        <v>11</v>
      </c>
      <c r="I497" s="152">
        <v>7</v>
      </c>
      <c r="J497" s="152">
        <v>2</v>
      </c>
      <c r="K497" s="152">
        <v>1.4</v>
      </c>
      <c r="L497" s="152">
        <v>1.17</v>
      </c>
      <c r="M497" s="152">
        <v>442</v>
      </c>
      <c r="N497" s="152">
        <v>619</v>
      </c>
      <c r="O497" s="156">
        <v>0.29</v>
      </c>
      <c r="P497" s="157">
        <v>0.6364</v>
      </c>
      <c r="Q497" s="152">
        <v>1.06</v>
      </c>
      <c r="R497" s="152">
        <v>42</v>
      </c>
      <c r="S497" s="152">
        <v>387</v>
      </c>
      <c r="T497" s="152">
        <v>619</v>
      </c>
      <c r="U497" s="156">
        <v>2.03</v>
      </c>
      <c r="V497" s="157">
        <v>0.0251</v>
      </c>
      <c r="W497" s="157">
        <v>0.1096</v>
      </c>
      <c r="X497" s="156">
        <v>0.63</v>
      </c>
      <c r="Y497" s="157">
        <v>0.0497</v>
      </c>
      <c r="Z497" s="157">
        <v>0.0035</v>
      </c>
      <c r="AA497" s="152">
        <v>107</v>
      </c>
      <c r="AB497" s="152">
        <v>2.15</v>
      </c>
      <c r="AC497" s="152">
        <v>12.52</v>
      </c>
      <c r="AD497" s="152">
        <v>41</v>
      </c>
      <c r="AE497" s="152">
        <v>258</v>
      </c>
      <c r="AF497" s="157">
        <v>0.0848</v>
      </c>
      <c r="AG497" s="157">
        <v>0.0257</v>
      </c>
      <c r="AH497" s="157">
        <v>0.0041</v>
      </c>
      <c r="AI497" s="142">
        <v>1</v>
      </c>
      <c r="AJ497" s="158">
        <v>500</v>
      </c>
      <c r="AK497" s="171">
        <v>0.03</v>
      </c>
      <c r="AL497" s="163">
        <v>28890</v>
      </c>
      <c r="AM497" s="163">
        <v>1437</v>
      </c>
      <c r="AN497" s="163">
        <v>2914</v>
      </c>
      <c r="AO497" s="142">
        <v>73</v>
      </c>
      <c r="AP497" s="142">
        <v>8</v>
      </c>
      <c r="AQ497" s="142">
        <v>5</v>
      </c>
      <c r="AR497" s="142">
        <v>247</v>
      </c>
      <c r="AS497" s="142">
        <v>75</v>
      </c>
      <c r="AT497" s="142">
        <v>12</v>
      </c>
      <c r="AU497" s="142"/>
      <c r="AV497" s="142"/>
      <c r="AW497" s="142"/>
      <c r="AX497" s="142"/>
      <c r="AY497" s="142"/>
    </row>
    <row r="498">
      <c r="A498" s="143"/>
      <c r="B498" s="152" t="s">
        <v>40</v>
      </c>
      <c r="C498" s="152" t="s">
        <v>116</v>
      </c>
      <c r="D498" s="152" t="s">
        <v>47</v>
      </c>
      <c r="E498" s="152" t="s">
        <v>45</v>
      </c>
      <c r="F498" s="154">
        <v>2981.99</v>
      </c>
      <c r="G498" s="154">
        <v>3769.7</v>
      </c>
      <c r="H498" s="152">
        <v>8</v>
      </c>
      <c r="I498" s="152">
        <v>6</v>
      </c>
      <c r="J498" s="152">
        <v>1</v>
      </c>
      <c r="K498" s="152">
        <v>1.26</v>
      </c>
      <c r="L498" s="152">
        <v>1.06</v>
      </c>
      <c r="M498" s="152">
        <v>497</v>
      </c>
      <c r="N498" s="152">
        <v>628</v>
      </c>
      <c r="O498" s="156">
        <v>0.17</v>
      </c>
      <c r="P498" s="157">
        <v>0.75</v>
      </c>
      <c r="Q498" s="152">
        <v>2.07</v>
      </c>
      <c r="R498" s="152">
        <v>51</v>
      </c>
      <c r="S498" s="152">
        <v>426</v>
      </c>
      <c r="T498" s="152">
        <v>373</v>
      </c>
      <c r="U498" s="156">
        <v>1.27</v>
      </c>
      <c r="V498" s="157">
        <v>0.0402</v>
      </c>
      <c r="W498" s="157">
        <v>0.1207</v>
      </c>
      <c r="X498" s="156">
        <v>1.14</v>
      </c>
      <c r="Y498" s="157">
        <v>0.0447</v>
      </c>
      <c r="Z498" s="157">
        <v>0.007</v>
      </c>
      <c r="AA498" s="152">
        <v>117</v>
      </c>
      <c r="AB498" s="152">
        <v>2.62</v>
      </c>
      <c r="AC498" s="152">
        <v>21.61</v>
      </c>
      <c r="AD498" s="152">
        <v>28</v>
      </c>
      <c r="AE498" s="152">
        <v>248</v>
      </c>
      <c r="AF498" s="157">
        <v>0.0956</v>
      </c>
      <c r="AG498" s="157">
        <v>0.0748</v>
      </c>
      <c r="AH498" s="157">
        <v>0.0083</v>
      </c>
      <c r="AI498" s="142">
        <v>1</v>
      </c>
      <c r="AJ498" s="158">
        <v>500</v>
      </c>
      <c r="AK498" s="171">
        <v>0.03</v>
      </c>
      <c r="AL498" s="163">
        <v>25459</v>
      </c>
      <c r="AM498" s="163">
        <v>1139</v>
      </c>
      <c r="AN498" s="163">
        <v>1444</v>
      </c>
      <c r="AO498" s="142">
        <v>58</v>
      </c>
      <c r="AP498" s="142">
        <v>7</v>
      </c>
      <c r="AQ498" s="142">
        <v>8</v>
      </c>
      <c r="AR498" s="142">
        <v>138</v>
      </c>
      <c r="AS498" s="142">
        <v>108</v>
      </c>
      <c r="AT498" s="142">
        <v>12</v>
      </c>
      <c r="AU498" s="142"/>
      <c r="AV498" s="142"/>
      <c r="AW498" s="142"/>
      <c r="AX498" s="142"/>
      <c r="AY498" s="142"/>
    </row>
    <row r="499">
      <c r="A499" s="143"/>
      <c r="B499" s="152" t="s">
        <v>40</v>
      </c>
      <c r="C499" s="152" t="s">
        <v>116</v>
      </c>
      <c r="D499" s="152" t="s">
        <v>47</v>
      </c>
      <c r="E499" s="152" t="s">
        <v>48</v>
      </c>
      <c r="F499" s="154">
        <v>2903.81</v>
      </c>
      <c r="G499" s="178">
        <v>3157</v>
      </c>
      <c r="H499" s="152">
        <v>10</v>
      </c>
      <c r="I499" s="152">
        <v>7</v>
      </c>
      <c r="J499" s="152">
        <v>0</v>
      </c>
      <c r="K499" s="152">
        <v>1.09</v>
      </c>
      <c r="L499" s="152">
        <v>0.9</v>
      </c>
      <c r="M499" s="152">
        <v>415</v>
      </c>
      <c r="N499" s="152">
        <v>451</v>
      </c>
      <c r="O499" s="156">
        <v>0</v>
      </c>
      <c r="P499" s="157">
        <v>0.7</v>
      </c>
      <c r="Q499" s="152">
        <v>2.33</v>
      </c>
      <c r="R499" s="152">
        <v>28</v>
      </c>
      <c r="S499" s="152">
        <v>363</v>
      </c>
      <c r="T499" s="152">
        <v>484</v>
      </c>
      <c r="U499" s="156">
        <v>1.17</v>
      </c>
      <c r="V499" s="157">
        <v>0.0825</v>
      </c>
      <c r="W499" s="157">
        <v>0.0777</v>
      </c>
      <c r="X499" s="156">
        <v>0.75</v>
      </c>
      <c r="Y499" s="157">
        <v>0.0426</v>
      </c>
      <c r="Z499" s="157">
        <v>0.0056</v>
      </c>
      <c r="AA499" s="152">
        <v>116</v>
      </c>
      <c r="AB499" s="152">
        <v>2.73</v>
      </c>
      <c r="AC499" s="152">
        <v>16.13</v>
      </c>
      <c r="AD499" s="152">
        <v>23</v>
      </c>
      <c r="AE499" s="152">
        <v>264</v>
      </c>
      <c r="AF499" s="157">
        <v>0.1442</v>
      </c>
      <c r="AG499" s="157">
        <v>0.1026</v>
      </c>
      <c r="AH499" s="157">
        <v>0.0088</v>
      </c>
      <c r="AI499" s="142">
        <v>1</v>
      </c>
      <c r="AJ499" s="158">
        <v>500</v>
      </c>
      <c r="AK499" s="171">
        <v>0.03</v>
      </c>
      <c r="AL499" s="163">
        <v>24966</v>
      </c>
      <c r="AM499" s="163">
        <v>1064</v>
      </c>
      <c r="AN499" s="163">
        <v>1248</v>
      </c>
      <c r="AO499" s="142">
        <v>103</v>
      </c>
      <c r="AP499" s="142">
        <v>8</v>
      </c>
      <c r="AQ499" s="142">
        <v>6</v>
      </c>
      <c r="AR499" s="142">
        <v>180</v>
      </c>
      <c r="AS499" s="142">
        <v>128</v>
      </c>
      <c r="AT499" s="142">
        <v>11</v>
      </c>
      <c r="AU499" s="142"/>
      <c r="AV499" s="142"/>
      <c r="AW499" s="142"/>
      <c r="AX499" s="142"/>
      <c r="AY499" s="142"/>
    </row>
    <row r="500">
      <c r="A500" s="143"/>
      <c r="B500" s="164" t="s">
        <v>117</v>
      </c>
      <c r="C500" s="164"/>
      <c r="D500" s="164"/>
      <c r="E500" s="164"/>
      <c r="F500" s="165">
        <v>11879.75</v>
      </c>
      <c r="G500" s="179">
        <v>15930.2</v>
      </c>
      <c r="H500" s="164">
        <v>38</v>
      </c>
      <c r="I500" s="164">
        <v>28</v>
      </c>
      <c r="J500" s="164">
        <v>4</v>
      </c>
      <c r="K500" s="164">
        <v>1.34</v>
      </c>
      <c r="L500" s="164">
        <v>1.12</v>
      </c>
      <c r="M500" s="164">
        <v>424</v>
      </c>
      <c r="N500" s="164">
        <v>569</v>
      </c>
      <c r="O500" s="166">
        <v>0.14</v>
      </c>
      <c r="P500" s="167">
        <v>0.7368</v>
      </c>
      <c r="Q500" s="164">
        <v>1.54</v>
      </c>
      <c r="R500" s="164">
        <v>41</v>
      </c>
      <c r="S500" s="164">
        <v>360</v>
      </c>
      <c r="T500" s="164">
        <v>440</v>
      </c>
      <c r="U500" s="166">
        <v>1.62</v>
      </c>
      <c r="V500" s="167">
        <v>0.0373</v>
      </c>
      <c r="W500" s="167">
        <v>0.1146</v>
      </c>
      <c r="X500" s="166">
        <v>0.82</v>
      </c>
      <c r="Y500" s="167">
        <v>0.0464</v>
      </c>
      <c r="Z500" s="167">
        <v>0.0057</v>
      </c>
      <c r="AA500" s="164">
        <v>116</v>
      </c>
      <c r="AB500" s="164">
        <v>2.5</v>
      </c>
      <c r="AC500" s="164">
        <v>15.57</v>
      </c>
      <c r="AD500" s="164">
        <v>29</v>
      </c>
      <c r="AE500" s="164">
        <v>247</v>
      </c>
      <c r="AF500" s="167">
        <v>0.0989</v>
      </c>
      <c r="AG500" s="167">
        <v>0.0528</v>
      </c>
      <c r="AH500" s="167">
        <v>0.0062</v>
      </c>
      <c r="AI500" s="168">
        <v>4</v>
      </c>
      <c r="AJ500" s="168">
        <v>500</v>
      </c>
      <c r="AK500" s="169">
        <v>0.03</v>
      </c>
      <c r="AL500" s="170">
        <v>102557</v>
      </c>
      <c r="AM500" s="170">
        <v>4761</v>
      </c>
      <c r="AN500" s="170">
        <v>7711</v>
      </c>
      <c r="AO500" s="168">
        <v>288</v>
      </c>
      <c r="AP500" s="168">
        <v>33</v>
      </c>
      <c r="AQ500" s="168">
        <v>27</v>
      </c>
      <c r="AR500" s="168">
        <v>763</v>
      </c>
      <c r="AS500" s="168">
        <v>407</v>
      </c>
      <c r="AT500" s="168">
        <v>48</v>
      </c>
      <c r="AU500" s="161"/>
      <c r="AV500" s="161"/>
      <c r="AW500" s="161"/>
      <c r="AX500" s="161"/>
      <c r="AY500" s="161"/>
    </row>
    <row r="501">
      <c r="A501" s="143"/>
      <c r="B501" s="152" t="s">
        <v>40</v>
      </c>
      <c r="C501" s="152" t="s">
        <v>116</v>
      </c>
      <c r="D501" s="152" t="s">
        <v>69</v>
      </c>
      <c r="E501" s="152" t="s">
        <v>49</v>
      </c>
      <c r="F501" s="154">
        <v>3531.67</v>
      </c>
      <c r="G501" s="178">
        <v>3938</v>
      </c>
      <c r="H501" s="152">
        <v>11</v>
      </c>
      <c r="I501" s="152">
        <v>8</v>
      </c>
      <c r="J501" s="152">
        <v>0</v>
      </c>
      <c r="K501" s="152">
        <v>1.12</v>
      </c>
      <c r="L501" s="152">
        <v>0.95</v>
      </c>
      <c r="M501" s="152">
        <v>441</v>
      </c>
      <c r="N501" s="152">
        <v>492</v>
      </c>
      <c r="O501" s="156">
        <v>0</v>
      </c>
      <c r="P501" s="157">
        <v>0.7273</v>
      </c>
      <c r="Q501" s="152">
        <v>1.8</v>
      </c>
      <c r="R501" s="152">
        <v>44</v>
      </c>
      <c r="S501" s="152">
        <v>441</v>
      </c>
      <c r="T501" s="152">
        <v>505</v>
      </c>
      <c r="U501" s="156">
        <v>1.15</v>
      </c>
      <c r="V501" s="157">
        <v>0.0407</v>
      </c>
      <c r="W501" s="157">
        <v>0.1</v>
      </c>
      <c r="X501" s="156">
        <v>0.88</v>
      </c>
      <c r="Y501" s="157">
        <v>0.0494</v>
      </c>
      <c r="Z501" s="157">
        <v>0.0041</v>
      </c>
      <c r="AA501" s="152">
        <v>102</v>
      </c>
      <c r="AB501" s="152">
        <v>2.07</v>
      </c>
      <c r="AC501" s="152">
        <v>19.19</v>
      </c>
      <c r="AD501" s="152">
        <v>39</v>
      </c>
      <c r="AE501" s="152">
        <v>252</v>
      </c>
      <c r="AF501" s="157">
        <v>0.0937</v>
      </c>
      <c r="AG501" s="157">
        <v>0.0458</v>
      </c>
      <c r="AH501" s="157">
        <v>0.0071</v>
      </c>
      <c r="AI501" s="142">
        <v>1</v>
      </c>
      <c r="AJ501" s="158">
        <v>500</v>
      </c>
      <c r="AK501" s="171">
        <v>0.03</v>
      </c>
      <c r="AL501" s="163">
        <v>34518</v>
      </c>
      <c r="AM501" s="163">
        <v>1704</v>
      </c>
      <c r="AN501" s="163">
        <v>1964</v>
      </c>
      <c r="AO501" s="142">
        <v>80</v>
      </c>
      <c r="AP501" s="142">
        <v>8</v>
      </c>
      <c r="AQ501" s="142">
        <v>7</v>
      </c>
      <c r="AR501" s="142">
        <v>184</v>
      </c>
      <c r="AS501" s="142">
        <v>90</v>
      </c>
      <c r="AT501" s="142">
        <v>14</v>
      </c>
      <c r="AU501" s="142"/>
      <c r="AV501" s="142"/>
      <c r="AW501" s="142"/>
      <c r="AX501" s="142"/>
      <c r="AY501" s="142"/>
    </row>
    <row r="502">
      <c r="A502" s="143"/>
      <c r="B502" s="152" t="s">
        <v>40</v>
      </c>
      <c r="C502" s="152" t="s">
        <v>116</v>
      </c>
      <c r="D502" s="152" t="s">
        <v>69</v>
      </c>
      <c r="E502" s="152" t="s">
        <v>50</v>
      </c>
      <c r="F502" s="154">
        <v>1410.24</v>
      </c>
      <c r="G502" s="178">
        <v>1758.9</v>
      </c>
      <c r="H502" s="152">
        <v>4</v>
      </c>
      <c r="I502" s="152">
        <v>3</v>
      </c>
      <c r="J502" s="152">
        <v>1</v>
      </c>
      <c r="K502" s="152">
        <v>1.25</v>
      </c>
      <c r="L502" s="152">
        <v>0.9</v>
      </c>
      <c r="M502" s="152">
        <v>470</v>
      </c>
      <c r="N502" s="152">
        <v>586</v>
      </c>
      <c r="O502" s="156">
        <v>0.33</v>
      </c>
      <c r="P502" s="157">
        <v>0.75</v>
      </c>
      <c r="Q502" s="152">
        <v>2.02</v>
      </c>
      <c r="R502" s="152">
        <v>31</v>
      </c>
      <c r="S502" s="152">
        <v>353</v>
      </c>
      <c r="T502" s="152">
        <v>470</v>
      </c>
      <c r="U502" s="156">
        <v>1.18</v>
      </c>
      <c r="V502" s="157">
        <v>0.0645</v>
      </c>
      <c r="W502" s="157">
        <v>0.0889</v>
      </c>
      <c r="X502" s="156">
        <v>0.75</v>
      </c>
      <c r="Y502" s="157">
        <v>0.0475</v>
      </c>
      <c r="Z502" s="157">
        <v>0.0051</v>
      </c>
      <c r="AA502" s="152">
        <v>113</v>
      </c>
      <c r="AB502" s="152">
        <v>2.37</v>
      </c>
      <c r="AC502" s="152">
        <v>15.5</v>
      </c>
      <c r="AD502" s="152">
        <v>29</v>
      </c>
      <c r="AE502" s="152">
        <v>176</v>
      </c>
      <c r="AF502" s="157">
        <v>0.1304</v>
      </c>
      <c r="AG502" s="157">
        <v>0.0702</v>
      </c>
      <c r="AH502" s="157">
        <v>0.0115</v>
      </c>
      <c r="AI502" s="142">
        <v>1</v>
      </c>
      <c r="AJ502" s="158">
        <v>500</v>
      </c>
      <c r="AK502" s="171">
        <v>0.03</v>
      </c>
      <c r="AL502" s="163">
        <v>12506</v>
      </c>
      <c r="AM502" s="142">
        <v>594</v>
      </c>
      <c r="AN502" s="142">
        <v>698</v>
      </c>
      <c r="AO502" s="142">
        <v>45</v>
      </c>
      <c r="AP502" s="142">
        <v>4</v>
      </c>
      <c r="AQ502" s="142">
        <v>3</v>
      </c>
      <c r="AR502" s="142">
        <v>91</v>
      </c>
      <c r="AS502" s="142">
        <v>49</v>
      </c>
      <c r="AT502" s="142">
        <v>8</v>
      </c>
      <c r="AU502" s="142"/>
      <c r="AV502" s="142"/>
      <c r="AW502" s="142"/>
      <c r="AX502" s="142"/>
      <c r="AY502" s="142"/>
    </row>
    <row r="503">
      <c r="A503" s="143"/>
      <c r="B503" s="152" t="s">
        <v>40</v>
      </c>
      <c r="C503" s="152" t="s">
        <v>116</v>
      </c>
      <c r="D503" s="152" t="s">
        <v>69</v>
      </c>
      <c r="E503" s="152" t="s">
        <v>51</v>
      </c>
      <c r="F503" s="154">
        <v>4523.12</v>
      </c>
      <c r="G503" s="178">
        <v>6176.5</v>
      </c>
      <c r="H503" s="152">
        <v>8</v>
      </c>
      <c r="I503" s="152">
        <v>8</v>
      </c>
      <c r="J503" s="152">
        <v>3</v>
      </c>
      <c r="K503" s="152">
        <v>1.37</v>
      </c>
      <c r="L503" s="152">
        <v>1.2</v>
      </c>
      <c r="M503" s="152">
        <v>565</v>
      </c>
      <c r="N503" s="152">
        <v>772</v>
      </c>
      <c r="O503" s="156">
        <v>0.38</v>
      </c>
      <c r="P503" s="157">
        <v>1</v>
      </c>
      <c r="Q503" s="152">
        <v>0.93</v>
      </c>
      <c r="R503" s="152">
        <v>33</v>
      </c>
      <c r="S503" s="152">
        <v>754</v>
      </c>
      <c r="T503" s="152">
        <v>754</v>
      </c>
      <c r="U503" s="156">
        <v>1.41</v>
      </c>
      <c r="V503" s="157">
        <v>0.0285</v>
      </c>
      <c r="W503" s="157">
        <v>0.0435</v>
      </c>
      <c r="X503" s="156">
        <v>1</v>
      </c>
      <c r="Y503" s="157">
        <v>0.0868</v>
      </c>
      <c r="Z503" s="157">
        <v>0.0017</v>
      </c>
      <c r="AA503" s="152">
        <v>114</v>
      </c>
      <c r="AB503" s="152">
        <v>1.31</v>
      </c>
      <c r="AC503" s="152">
        <v>12.85</v>
      </c>
      <c r="AD503" s="152">
        <v>32</v>
      </c>
      <c r="AE503" s="152">
        <v>188</v>
      </c>
      <c r="AF503" s="157">
        <v>0.0726</v>
      </c>
      <c r="AG503" s="157">
        <v>0.0291</v>
      </c>
      <c r="AH503" s="157">
        <v>0.005</v>
      </c>
      <c r="AI503" s="142">
        <v>1</v>
      </c>
      <c r="AJ503" s="158">
        <v>500</v>
      </c>
      <c r="AK503" s="171">
        <v>0.03</v>
      </c>
      <c r="AL503" s="163">
        <v>39736</v>
      </c>
      <c r="AM503" s="163">
        <v>3448</v>
      </c>
      <c r="AN503" s="163">
        <v>4848</v>
      </c>
      <c r="AO503" s="142">
        <v>138</v>
      </c>
      <c r="AP503" s="142">
        <v>6</v>
      </c>
      <c r="AQ503" s="142">
        <v>6</v>
      </c>
      <c r="AR503" s="142">
        <v>352</v>
      </c>
      <c r="AS503" s="142">
        <v>141</v>
      </c>
      <c r="AT503" s="142">
        <v>24</v>
      </c>
      <c r="AU503" s="142"/>
      <c r="AV503" s="142"/>
      <c r="AW503" s="142"/>
      <c r="AX503" s="142"/>
      <c r="AY503" s="142"/>
    </row>
    <row r="504">
      <c r="A504" s="143"/>
      <c r="B504" s="152" t="s">
        <v>40</v>
      </c>
      <c r="C504" s="152" t="s">
        <v>116</v>
      </c>
      <c r="D504" s="152" t="s">
        <v>69</v>
      </c>
      <c r="E504" s="152" t="s">
        <v>53</v>
      </c>
      <c r="F504" s="154">
        <v>2965.68</v>
      </c>
      <c r="G504" s="178">
        <v>7064.2</v>
      </c>
      <c r="H504" s="152">
        <v>12</v>
      </c>
      <c r="I504" s="152">
        <v>10</v>
      </c>
      <c r="J504" s="152">
        <v>3</v>
      </c>
      <c r="K504" s="152">
        <v>2.38</v>
      </c>
      <c r="L504" s="152">
        <v>1.99</v>
      </c>
      <c r="M504" s="152">
        <v>297</v>
      </c>
      <c r="N504" s="152">
        <v>706</v>
      </c>
      <c r="O504" s="156">
        <v>0.3</v>
      </c>
      <c r="P504" s="157">
        <v>0.8333</v>
      </c>
      <c r="Q504" s="152">
        <v>0.88</v>
      </c>
      <c r="R504" s="152">
        <v>33</v>
      </c>
      <c r="S504" s="152">
        <v>330</v>
      </c>
      <c r="T504" s="152">
        <v>371</v>
      </c>
      <c r="U504" s="156">
        <v>1.46</v>
      </c>
      <c r="V504" s="157">
        <v>0.0265</v>
      </c>
      <c r="W504" s="157">
        <v>0.1011</v>
      </c>
      <c r="X504" s="156">
        <v>0.89</v>
      </c>
      <c r="Y504" s="157">
        <v>0.0914</v>
      </c>
      <c r="Z504" s="157">
        <v>0.0035</v>
      </c>
      <c r="AA504" s="152">
        <v>118</v>
      </c>
      <c r="AB504" s="152">
        <v>1.29</v>
      </c>
      <c r="AC504" s="152">
        <v>16.66</v>
      </c>
      <c r="AD504" s="152">
        <v>28</v>
      </c>
      <c r="AE504" s="152">
        <v>270</v>
      </c>
      <c r="AF504" s="157">
        <v>0.0531</v>
      </c>
      <c r="AG504" s="157">
        <v>0.0319</v>
      </c>
      <c r="AH504" s="157">
        <v>0.0033</v>
      </c>
      <c r="AI504" s="142">
        <v>1</v>
      </c>
      <c r="AJ504" s="158">
        <v>500</v>
      </c>
      <c r="AK504" s="171">
        <v>0.03</v>
      </c>
      <c r="AL504" s="163">
        <v>25196</v>
      </c>
      <c r="AM504" s="163">
        <v>2304</v>
      </c>
      <c r="AN504" s="163">
        <v>3354</v>
      </c>
      <c r="AO504" s="142">
        <v>89</v>
      </c>
      <c r="AP504" s="142">
        <v>9</v>
      </c>
      <c r="AQ504" s="142">
        <v>8</v>
      </c>
      <c r="AR504" s="142">
        <v>178</v>
      </c>
      <c r="AS504" s="142">
        <v>107</v>
      </c>
      <c r="AT504" s="142">
        <v>11</v>
      </c>
      <c r="AU504" s="142"/>
      <c r="AV504" s="142"/>
      <c r="AW504" s="142"/>
      <c r="AX504" s="142"/>
      <c r="AY504" s="142"/>
    </row>
    <row r="505">
      <c r="A505" s="143"/>
      <c r="B505" s="152" t="s">
        <v>40</v>
      </c>
      <c r="C505" s="152" t="s">
        <v>116</v>
      </c>
      <c r="D505" s="152" t="s">
        <v>69</v>
      </c>
      <c r="E505" s="152" t="s">
        <v>55</v>
      </c>
      <c r="F505" s="154">
        <v>3238.28</v>
      </c>
      <c r="G505" s="178">
        <v>7049.9</v>
      </c>
      <c r="H505" s="152">
        <v>15</v>
      </c>
      <c r="I505" s="152">
        <v>14</v>
      </c>
      <c r="J505" s="152">
        <v>1</v>
      </c>
      <c r="K505" s="152">
        <v>2.18</v>
      </c>
      <c r="L505" s="152">
        <v>1.84</v>
      </c>
      <c r="M505" s="152">
        <v>231</v>
      </c>
      <c r="N505" s="152">
        <v>504</v>
      </c>
      <c r="O505" s="156">
        <v>0.07</v>
      </c>
      <c r="P505" s="157">
        <v>0.9333</v>
      </c>
      <c r="Q505" s="152">
        <v>1.1</v>
      </c>
      <c r="R505" s="152">
        <v>33</v>
      </c>
      <c r="S505" s="152">
        <v>249</v>
      </c>
      <c r="T505" s="152">
        <v>270</v>
      </c>
      <c r="U505" s="156">
        <v>1.39</v>
      </c>
      <c r="V505" s="157">
        <v>0.0331</v>
      </c>
      <c r="W505" s="157">
        <v>0.134</v>
      </c>
      <c r="X505" s="156">
        <v>0.92</v>
      </c>
      <c r="Y505" s="157">
        <v>0.0825</v>
      </c>
      <c r="Z505" s="157">
        <v>0.0057</v>
      </c>
      <c r="AA505" s="152">
        <v>127</v>
      </c>
      <c r="AB505" s="152">
        <v>1.54</v>
      </c>
      <c r="AC505" s="152">
        <v>13.49</v>
      </c>
      <c r="AD505" s="152">
        <v>27</v>
      </c>
      <c r="AE505" s="152">
        <v>147</v>
      </c>
      <c r="AF505" s="157">
        <v>0.0819</v>
      </c>
      <c r="AG505" s="157">
        <v>0.0416</v>
      </c>
      <c r="AH505" s="157">
        <v>0.0075</v>
      </c>
      <c r="AI505" s="142">
        <v>1</v>
      </c>
      <c r="AJ505" s="158">
        <v>500</v>
      </c>
      <c r="AK505" s="171">
        <v>0.03</v>
      </c>
      <c r="AL505" s="163">
        <v>25486</v>
      </c>
      <c r="AM505" s="163">
        <v>2103</v>
      </c>
      <c r="AN505" s="163">
        <v>2932</v>
      </c>
      <c r="AO505" s="142">
        <v>97</v>
      </c>
      <c r="AP505" s="142">
        <v>13</v>
      </c>
      <c r="AQ505" s="142">
        <v>12</v>
      </c>
      <c r="AR505" s="142">
        <v>240</v>
      </c>
      <c r="AS505" s="142">
        <v>122</v>
      </c>
      <c r="AT505" s="142">
        <v>22</v>
      </c>
      <c r="AU505" s="142"/>
      <c r="AV505" s="142"/>
      <c r="AW505" s="142"/>
      <c r="AX505" s="142"/>
      <c r="AY505" s="142"/>
    </row>
    <row r="506">
      <c r="A506" s="143"/>
      <c r="B506" s="164" t="s">
        <v>117</v>
      </c>
      <c r="C506" s="164"/>
      <c r="D506" s="164"/>
      <c r="E506" s="164"/>
      <c r="F506" s="165">
        <v>15668.99</v>
      </c>
      <c r="G506" s="179">
        <v>25987.5</v>
      </c>
      <c r="H506" s="164">
        <v>50</v>
      </c>
      <c r="I506" s="164">
        <v>43</v>
      </c>
      <c r="J506" s="164">
        <v>8</v>
      </c>
      <c r="K506" s="164">
        <v>1.66</v>
      </c>
      <c r="L506" s="164">
        <v>1.39</v>
      </c>
      <c r="M506" s="164">
        <v>364</v>
      </c>
      <c r="N506" s="164">
        <v>604</v>
      </c>
      <c r="O506" s="166">
        <v>0.19</v>
      </c>
      <c r="P506" s="167">
        <v>0.86</v>
      </c>
      <c r="Q506" s="164">
        <v>1.14</v>
      </c>
      <c r="R506" s="164">
        <v>35</v>
      </c>
      <c r="S506" s="164">
        <v>392</v>
      </c>
      <c r="T506" s="164">
        <v>435</v>
      </c>
      <c r="U506" s="166">
        <v>1.36</v>
      </c>
      <c r="V506" s="167">
        <v>0.0325</v>
      </c>
      <c r="W506" s="167">
        <v>0.0891</v>
      </c>
      <c r="X506" s="166">
        <v>0.9</v>
      </c>
      <c r="Y506" s="167">
        <v>0.0739</v>
      </c>
      <c r="Z506" s="167">
        <v>0.0035</v>
      </c>
      <c r="AA506" s="164">
        <v>114</v>
      </c>
      <c r="AB506" s="164">
        <v>1.54</v>
      </c>
      <c r="AC506" s="164">
        <v>14.99</v>
      </c>
      <c r="AD506" s="164">
        <v>31</v>
      </c>
      <c r="AE506" s="164">
        <v>198</v>
      </c>
      <c r="AF506" s="167">
        <v>0.0757</v>
      </c>
      <c r="AG506" s="167">
        <v>0.0369</v>
      </c>
      <c r="AH506" s="167">
        <v>0.0057</v>
      </c>
      <c r="AI506" s="168">
        <v>5</v>
      </c>
      <c r="AJ506" s="168">
        <v>500</v>
      </c>
      <c r="AK506" s="169">
        <v>0.03</v>
      </c>
      <c r="AL506" s="170">
        <v>137442</v>
      </c>
      <c r="AM506" s="170">
        <v>10153</v>
      </c>
      <c r="AN506" s="170">
        <v>13796</v>
      </c>
      <c r="AO506" s="168">
        <v>449</v>
      </c>
      <c r="AP506" s="168">
        <v>40</v>
      </c>
      <c r="AQ506" s="168">
        <v>36</v>
      </c>
      <c r="AR506" s="170">
        <v>1045</v>
      </c>
      <c r="AS506" s="168">
        <v>509</v>
      </c>
      <c r="AT506" s="168">
        <v>79</v>
      </c>
      <c r="AU506" s="161"/>
      <c r="AV506" s="161"/>
      <c r="AW506" s="161"/>
      <c r="AX506" s="161"/>
      <c r="AY506" s="161"/>
    </row>
    <row r="507">
      <c r="A507" s="143"/>
      <c r="B507" s="152" t="s">
        <v>56</v>
      </c>
      <c r="C507" s="152" t="s">
        <v>116</v>
      </c>
      <c r="D507" s="152" t="s">
        <v>75</v>
      </c>
      <c r="E507" s="152" t="s">
        <v>57</v>
      </c>
      <c r="F507" s="154">
        <v>3248.87</v>
      </c>
      <c r="G507" s="178">
        <v>3755.4</v>
      </c>
      <c r="H507" s="152">
        <v>9</v>
      </c>
      <c r="I507" s="152">
        <v>6</v>
      </c>
      <c r="J507" s="152">
        <v>1</v>
      </c>
      <c r="K507" s="152">
        <v>1.16</v>
      </c>
      <c r="L507" s="152">
        <v>0.98</v>
      </c>
      <c r="M507" s="152">
        <v>541</v>
      </c>
      <c r="N507" s="152">
        <v>626</v>
      </c>
      <c r="O507" s="156">
        <v>0.17</v>
      </c>
      <c r="P507" s="157">
        <v>0.6667</v>
      </c>
      <c r="Q507" s="152">
        <v>2.72</v>
      </c>
      <c r="R507" s="152">
        <v>35</v>
      </c>
      <c r="S507" s="152">
        <v>406</v>
      </c>
      <c r="T507" s="152">
        <v>650</v>
      </c>
      <c r="U507" s="156">
        <v>1.29</v>
      </c>
      <c r="V507" s="157">
        <v>0.0769</v>
      </c>
      <c r="W507" s="157">
        <v>0.087</v>
      </c>
      <c r="X507" s="156">
        <v>0.63</v>
      </c>
      <c r="Y507" s="157">
        <v>0.0294</v>
      </c>
      <c r="Z507" s="157">
        <v>0.0054</v>
      </c>
      <c r="AA507" s="152">
        <v>103</v>
      </c>
      <c r="AB507" s="152">
        <v>3.51</v>
      </c>
      <c r="AC507" s="152">
        <v>21.8</v>
      </c>
      <c r="AD507" s="152">
        <v>26</v>
      </c>
      <c r="AE507" s="152">
        <v>162</v>
      </c>
      <c r="AF507" s="157">
        <v>0.1246</v>
      </c>
      <c r="AG507" s="157">
        <v>0.1028</v>
      </c>
      <c r="AH507" s="157">
        <v>0.0167</v>
      </c>
      <c r="AI507" s="142">
        <v>1</v>
      </c>
      <c r="AJ507" s="142">
        <v>500</v>
      </c>
      <c r="AK507" s="171">
        <v>0.03</v>
      </c>
      <c r="AL507" s="163">
        <v>31480</v>
      </c>
      <c r="AM507" s="142">
        <v>925</v>
      </c>
      <c r="AN507" s="163">
        <v>1196</v>
      </c>
      <c r="AO507" s="142">
        <v>92</v>
      </c>
      <c r="AP507" s="142">
        <v>8</v>
      </c>
      <c r="AQ507" s="142">
        <v>5</v>
      </c>
      <c r="AR507" s="142">
        <v>149</v>
      </c>
      <c r="AS507" s="142">
        <v>123</v>
      </c>
      <c r="AT507" s="142">
        <v>20</v>
      </c>
      <c r="AU507" s="142"/>
      <c r="AV507" s="142"/>
      <c r="AW507" s="142"/>
      <c r="AX507" s="142"/>
      <c r="AY507" s="142"/>
    </row>
    <row r="508">
      <c r="A508" s="143"/>
      <c r="B508" s="152" t="s">
        <v>56</v>
      </c>
      <c r="C508" s="152" t="s">
        <v>116</v>
      </c>
      <c r="D508" s="152" t="s">
        <v>75</v>
      </c>
      <c r="E508" s="152" t="s">
        <v>58</v>
      </c>
      <c r="F508" s="154">
        <v>2775.26</v>
      </c>
      <c r="G508" s="178">
        <v>4745.4</v>
      </c>
      <c r="H508" s="152">
        <v>7</v>
      </c>
      <c r="I508" s="152">
        <v>6</v>
      </c>
      <c r="J508" s="152">
        <v>1</v>
      </c>
      <c r="K508" s="152">
        <v>1.71</v>
      </c>
      <c r="L508" s="152">
        <v>1.41</v>
      </c>
      <c r="M508" s="152">
        <v>463</v>
      </c>
      <c r="N508" s="152">
        <v>791</v>
      </c>
      <c r="O508" s="156">
        <v>0.17</v>
      </c>
      <c r="P508" s="157">
        <v>0.8571</v>
      </c>
      <c r="Q508" s="152">
        <v>2.33</v>
      </c>
      <c r="R508" s="152">
        <v>43</v>
      </c>
      <c r="S508" s="152">
        <v>463</v>
      </c>
      <c r="T508" s="152">
        <v>555</v>
      </c>
      <c r="U508" s="156">
        <v>1.37</v>
      </c>
      <c r="V508" s="157">
        <v>0.0536</v>
      </c>
      <c r="W508" s="157">
        <v>0.0938</v>
      </c>
      <c r="X508" s="156">
        <v>0.83</v>
      </c>
      <c r="Y508" s="157">
        <v>0.0322</v>
      </c>
      <c r="Z508" s="157">
        <v>0.0057</v>
      </c>
      <c r="AA508" s="152">
        <v>102</v>
      </c>
      <c r="AB508" s="152">
        <v>3.18</v>
      </c>
      <c r="AC508" s="152">
        <v>25</v>
      </c>
      <c r="AD508" s="152">
        <v>29</v>
      </c>
      <c r="AE508" s="152">
        <v>231</v>
      </c>
      <c r="AF508" s="157">
        <v>0.093</v>
      </c>
      <c r="AG508" s="157">
        <v>0.0805</v>
      </c>
      <c r="AH508" s="157">
        <v>0.0101</v>
      </c>
      <c r="AI508" s="142">
        <v>1</v>
      </c>
      <c r="AJ508" s="142">
        <v>500</v>
      </c>
      <c r="AK508" s="171">
        <v>0.03</v>
      </c>
      <c r="AL508" s="163">
        <v>27092</v>
      </c>
      <c r="AM508" s="142">
        <v>872</v>
      </c>
      <c r="AN508" s="163">
        <v>1193</v>
      </c>
      <c r="AO508" s="142">
        <v>64</v>
      </c>
      <c r="AP508" s="142">
        <v>6</v>
      </c>
      <c r="AQ508" s="142">
        <v>5</v>
      </c>
      <c r="AR508" s="142">
        <v>111</v>
      </c>
      <c r="AS508" s="142">
        <v>96</v>
      </c>
      <c r="AT508" s="142">
        <v>12</v>
      </c>
      <c r="AU508" s="142"/>
      <c r="AV508" s="142"/>
      <c r="AW508" s="142"/>
      <c r="AX508" s="142"/>
      <c r="AY508" s="142"/>
    </row>
    <row r="509">
      <c r="A509" s="143"/>
      <c r="B509" s="172" t="s">
        <v>117</v>
      </c>
      <c r="C509" s="172"/>
      <c r="D509" s="172"/>
      <c r="E509" s="172"/>
      <c r="F509" s="165">
        <v>6024.13</v>
      </c>
      <c r="G509" s="179">
        <v>8500.8</v>
      </c>
      <c r="H509" s="164">
        <v>16</v>
      </c>
      <c r="I509" s="164">
        <v>12</v>
      </c>
      <c r="J509" s="164">
        <v>2</v>
      </c>
      <c r="K509" s="164">
        <v>1.41</v>
      </c>
      <c r="L509" s="164">
        <v>1.18</v>
      </c>
      <c r="M509" s="164">
        <v>502</v>
      </c>
      <c r="N509" s="164">
        <v>708</v>
      </c>
      <c r="O509" s="166">
        <v>0.17</v>
      </c>
      <c r="P509" s="167">
        <v>0.75</v>
      </c>
      <c r="Q509" s="164">
        <v>2.52</v>
      </c>
      <c r="R509" s="164">
        <v>39</v>
      </c>
      <c r="S509" s="164">
        <v>430</v>
      </c>
      <c r="T509" s="164">
        <v>602</v>
      </c>
      <c r="U509" s="166">
        <v>1.33</v>
      </c>
      <c r="V509" s="167">
        <v>0.0653</v>
      </c>
      <c r="W509" s="167">
        <v>0.0897</v>
      </c>
      <c r="X509" s="166">
        <v>0.71</v>
      </c>
      <c r="Y509" s="167">
        <v>0.0307</v>
      </c>
      <c r="Z509" s="167">
        <v>0.0056</v>
      </c>
      <c r="AA509" s="164">
        <v>103</v>
      </c>
      <c r="AB509" s="164">
        <v>3.35</v>
      </c>
      <c r="AC509" s="164">
        <v>23.17</v>
      </c>
      <c r="AD509" s="164">
        <v>28</v>
      </c>
      <c r="AE509" s="164">
        <v>188</v>
      </c>
      <c r="AF509" s="167">
        <v>0.1088</v>
      </c>
      <c r="AG509" s="167">
        <v>0.0917</v>
      </c>
      <c r="AH509" s="167">
        <v>0.0134</v>
      </c>
      <c r="AI509" s="168">
        <v>2</v>
      </c>
      <c r="AJ509" s="168">
        <v>500</v>
      </c>
      <c r="AK509" s="169">
        <v>0.03</v>
      </c>
      <c r="AL509" s="170">
        <v>58572</v>
      </c>
      <c r="AM509" s="170">
        <v>1797</v>
      </c>
      <c r="AN509" s="170">
        <v>2389</v>
      </c>
      <c r="AO509" s="168">
        <v>156</v>
      </c>
      <c r="AP509" s="168">
        <v>14</v>
      </c>
      <c r="AQ509" s="168">
        <v>10</v>
      </c>
      <c r="AR509" s="168">
        <v>260</v>
      </c>
      <c r="AS509" s="168">
        <v>219</v>
      </c>
      <c r="AT509" s="168">
        <v>32</v>
      </c>
      <c r="AU509" s="161"/>
      <c r="AV509" s="161"/>
      <c r="AW509" s="161"/>
      <c r="AX509" s="161"/>
      <c r="AY509" s="161"/>
    </row>
    <row r="510">
      <c r="A510" s="143"/>
      <c r="B510" s="152" t="s">
        <v>56</v>
      </c>
      <c r="C510" s="152" t="s">
        <v>116</v>
      </c>
      <c r="D510" s="152" t="s">
        <v>76</v>
      </c>
      <c r="E510" s="152" t="s">
        <v>59</v>
      </c>
      <c r="F510" s="154">
        <v>3403.48</v>
      </c>
      <c r="G510" s="178">
        <v>7830.9</v>
      </c>
      <c r="H510" s="152">
        <v>16</v>
      </c>
      <c r="I510" s="152">
        <v>15</v>
      </c>
      <c r="J510" s="152">
        <v>2</v>
      </c>
      <c r="K510" s="152">
        <v>2.3</v>
      </c>
      <c r="L510" s="152">
        <v>1.95</v>
      </c>
      <c r="M510" s="152">
        <v>227</v>
      </c>
      <c r="N510" s="152">
        <v>522</v>
      </c>
      <c r="O510" s="156">
        <v>0.13</v>
      </c>
      <c r="P510" s="157">
        <v>0.9375</v>
      </c>
      <c r="Q510" s="152">
        <v>1.42</v>
      </c>
      <c r="R510" s="152">
        <v>32</v>
      </c>
      <c r="S510" s="152">
        <v>227</v>
      </c>
      <c r="T510" s="152">
        <v>243</v>
      </c>
      <c r="U510" s="156">
        <v>1.36</v>
      </c>
      <c r="V510" s="157">
        <v>0.0439</v>
      </c>
      <c r="W510" s="157">
        <v>0.1429</v>
      </c>
      <c r="X510" s="156">
        <v>0.93</v>
      </c>
      <c r="Y510" s="157">
        <v>0.0523</v>
      </c>
      <c r="Z510" s="157">
        <v>0.008</v>
      </c>
      <c r="AA510" s="152">
        <v>101</v>
      </c>
      <c r="AB510" s="152">
        <v>1.94</v>
      </c>
      <c r="AC510" s="152">
        <v>16.13</v>
      </c>
      <c r="AD510" s="152">
        <v>22</v>
      </c>
      <c r="AE510" s="152">
        <v>95</v>
      </c>
      <c r="AF510" s="157">
        <v>0.0882</v>
      </c>
      <c r="AG510" s="157">
        <v>0.0652</v>
      </c>
      <c r="AH510" s="157">
        <v>0.015</v>
      </c>
      <c r="AI510" s="142">
        <v>1</v>
      </c>
      <c r="AJ510" s="142">
        <v>500</v>
      </c>
      <c r="AK510" s="171">
        <v>0.03</v>
      </c>
      <c r="AL510" s="163">
        <v>33625</v>
      </c>
      <c r="AM510" s="163">
        <v>1758</v>
      </c>
      <c r="AN510" s="163">
        <v>2393</v>
      </c>
      <c r="AO510" s="142">
        <v>105</v>
      </c>
      <c r="AP510" s="142">
        <v>15</v>
      </c>
      <c r="AQ510" s="142">
        <v>14</v>
      </c>
      <c r="AR510" s="142">
        <v>211</v>
      </c>
      <c r="AS510" s="142">
        <v>156</v>
      </c>
      <c r="AT510" s="142">
        <v>36</v>
      </c>
      <c r="AU510" s="142"/>
      <c r="AV510" s="142"/>
      <c r="AW510" s="142"/>
      <c r="AX510" s="142"/>
      <c r="AY510" s="142"/>
    </row>
    <row r="511">
      <c r="A511" s="143"/>
      <c r="B511" s="152" t="s">
        <v>56</v>
      </c>
      <c r="C511" s="152" t="s">
        <v>116</v>
      </c>
      <c r="D511" s="152" t="s">
        <v>76</v>
      </c>
      <c r="E511" s="152" t="s">
        <v>61</v>
      </c>
      <c r="F511" s="154">
        <v>2973.49</v>
      </c>
      <c r="G511" s="178">
        <v>4013.9</v>
      </c>
      <c r="H511" s="152">
        <v>10</v>
      </c>
      <c r="I511" s="152">
        <v>8</v>
      </c>
      <c r="J511" s="152">
        <v>2</v>
      </c>
      <c r="K511" s="152">
        <v>1.35</v>
      </c>
      <c r="L511" s="152">
        <v>1.13</v>
      </c>
      <c r="M511" s="152">
        <v>372</v>
      </c>
      <c r="N511" s="152">
        <v>502</v>
      </c>
      <c r="O511" s="156">
        <v>0.25</v>
      </c>
      <c r="P511" s="157">
        <v>0.8</v>
      </c>
      <c r="Q511" s="152">
        <v>2.31</v>
      </c>
      <c r="R511" s="152">
        <v>33</v>
      </c>
      <c r="S511" s="152">
        <v>372</v>
      </c>
      <c r="T511" s="152">
        <v>595</v>
      </c>
      <c r="U511" s="156">
        <v>1.63</v>
      </c>
      <c r="V511" s="157">
        <v>0.0698</v>
      </c>
      <c r="W511" s="157">
        <v>0.0889</v>
      </c>
      <c r="X511" s="156">
        <v>0.63</v>
      </c>
      <c r="Y511" s="157">
        <v>0.0233</v>
      </c>
      <c r="Z511" s="157">
        <v>0.0063</v>
      </c>
      <c r="AA511" s="152">
        <v>87</v>
      </c>
      <c r="AB511" s="152">
        <v>3.75</v>
      </c>
      <c r="AC511" s="152">
        <v>19.56</v>
      </c>
      <c r="AD511" s="152">
        <v>28</v>
      </c>
      <c r="AE511" s="152">
        <v>248</v>
      </c>
      <c r="AF511" s="157">
        <v>0.1179</v>
      </c>
      <c r="AG511" s="157">
        <v>0.083</v>
      </c>
      <c r="AH511" s="157">
        <v>0.0093</v>
      </c>
      <c r="AI511" s="142">
        <v>1</v>
      </c>
      <c r="AJ511" s="142">
        <v>500</v>
      </c>
      <c r="AK511" s="171">
        <v>0.03</v>
      </c>
      <c r="AL511" s="163">
        <v>34022</v>
      </c>
      <c r="AM511" s="142">
        <v>792</v>
      </c>
      <c r="AN511" s="163">
        <v>1289</v>
      </c>
      <c r="AO511" s="142">
        <v>90</v>
      </c>
      <c r="AP511" s="142">
        <v>8</v>
      </c>
      <c r="AQ511" s="142">
        <v>5</v>
      </c>
      <c r="AR511" s="142">
        <v>152</v>
      </c>
      <c r="AS511" s="142">
        <v>107</v>
      </c>
      <c r="AT511" s="142">
        <v>12</v>
      </c>
      <c r="AU511" s="142"/>
      <c r="AV511" s="142"/>
      <c r="AW511" s="142"/>
      <c r="AX511" s="142"/>
      <c r="AY511" s="142"/>
    </row>
    <row r="512">
      <c r="A512" s="143"/>
      <c r="B512" s="152" t="s">
        <v>56</v>
      </c>
      <c r="C512" s="152" t="s">
        <v>116</v>
      </c>
      <c r="D512" s="152" t="s">
        <v>76</v>
      </c>
      <c r="E512" s="152" t="s">
        <v>62</v>
      </c>
      <c r="F512" s="154">
        <v>4004.08</v>
      </c>
      <c r="G512" s="178">
        <v>7695.6</v>
      </c>
      <c r="H512" s="152">
        <v>19</v>
      </c>
      <c r="I512" s="152">
        <v>13</v>
      </c>
      <c r="J512" s="152">
        <v>3</v>
      </c>
      <c r="K512" s="152">
        <v>1.92</v>
      </c>
      <c r="L512" s="152">
        <v>1.66</v>
      </c>
      <c r="M512" s="152">
        <v>308</v>
      </c>
      <c r="N512" s="152">
        <v>592</v>
      </c>
      <c r="O512" s="156">
        <v>0.23</v>
      </c>
      <c r="P512" s="157">
        <v>0.6842</v>
      </c>
      <c r="Q512" s="152">
        <v>2.01</v>
      </c>
      <c r="R512" s="152">
        <v>39</v>
      </c>
      <c r="S512" s="152">
        <v>236</v>
      </c>
      <c r="T512" s="152">
        <v>308</v>
      </c>
      <c r="U512" s="156">
        <v>1.47</v>
      </c>
      <c r="V512" s="157">
        <v>0.0516</v>
      </c>
      <c r="W512" s="157">
        <v>0.165</v>
      </c>
      <c r="X512" s="156">
        <v>0.76</v>
      </c>
      <c r="Y512" s="157">
        <v>0.0299</v>
      </c>
      <c r="Z512" s="157">
        <v>0.0096</v>
      </c>
      <c r="AA512" s="152">
        <v>88</v>
      </c>
      <c r="AB512" s="152">
        <v>2.95</v>
      </c>
      <c r="AC512" s="152">
        <v>17.96</v>
      </c>
      <c r="AD512" s="152">
        <v>22</v>
      </c>
      <c r="AE512" s="152">
        <v>154</v>
      </c>
      <c r="AF512" s="157">
        <v>0.1117</v>
      </c>
      <c r="AG512" s="157">
        <v>0.0897</v>
      </c>
      <c r="AH512" s="157">
        <v>0.013</v>
      </c>
      <c r="AI512" s="142">
        <v>1</v>
      </c>
      <c r="AJ512" s="142">
        <v>500</v>
      </c>
      <c r="AK512" s="171">
        <v>0.03</v>
      </c>
      <c r="AL512" s="163">
        <v>45361</v>
      </c>
      <c r="AM512" s="163">
        <v>1358</v>
      </c>
      <c r="AN512" s="163">
        <v>1996</v>
      </c>
      <c r="AO512" s="142">
        <v>103</v>
      </c>
      <c r="AP512" s="142">
        <v>17</v>
      </c>
      <c r="AQ512" s="142">
        <v>13</v>
      </c>
      <c r="AR512" s="142">
        <v>223</v>
      </c>
      <c r="AS512" s="142">
        <v>179</v>
      </c>
      <c r="AT512" s="142">
        <v>26</v>
      </c>
      <c r="AU512" s="142"/>
      <c r="AV512" s="142"/>
      <c r="AW512" s="142"/>
      <c r="AX512" s="142"/>
      <c r="AY512" s="142"/>
    </row>
    <row r="513">
      <c r="A513" s="143"/>
      <c r="B513" s="152" t="s">
        <v>56</v>
      </c>
      <c r="C513" s="152" t="s">
        <v>116</v>
      </c>
      <c r="D513" s="152" t="s">
        <v>76</v>
      </c>
      <c r="E513" s="152" t="s">
        <v>63</v>
      </c>
      <c r="F513" s="154">
        <v>3714.97</v>
      </c>
      <c r="G513" s="178">
        <v>6706.7</v>
      </c>
      <c r="H513" s="152">
        <v>11</v>
      </c>
      <c r="I513" s="152">
        <v>9</v>
      </c>
      <c r="J513" s="152">
        <v>2</v>
      </c>
      <c r="K513" s="152">
        <v>1.81</v>
      </c>
      <c r="L513" s="152">
        <v>1.55</v>
      </c>
      <c r="M513" s="152">
        <v>413</v>
      </c>
      <c r="N513" s="152">
        <v>745</v>
      </c>
      <c r="O513" s="156">
        <v>0.22</v>
      </c>
      <c r="P513" s="157">
        <v>0.8182</v>
      </c>
      <c r="Q513" s="152">
        <v>3.99</v>
      </c>
      <c r="R513" s="152">
        <v>31</v>
      </c>
      <c r="S513" s="152">
        <v>371</v>
      </c>
      <c r="T513" s="152">
        <v>413</v>
      </c>
      <c r="U513" s="156">
        <v>1.08</v>
      </c>
      <c r="V513" s="157">
        <v>0.1289</v>
      </c>
      <c r="W513" s="157">
        <v>0.0833</v>
      </c>
      <c r="X513" s="156">
        <v>0.9</v>
      </c>
      <c r="Y513" s="157">
        <v>0.0211</v>
      </c>
      <c r="Z513" s="157">
        <v>0.0104</v>
      </c>
      <c r="AA513" s="152">
        <v>91</v>
      </c>
      <c r="AB513" s="152">
        <v>4.3</v>
      </c>
      <c r="AC513" s="152">
        <v>24.77</v>
      </c>
      <c r="AD513" s="152">
        <v>26</v>
      </c>
      <c r="AE513" s="152">
        <v>232</v>
      </c>
      <c r="AF513" s="157">
        <v>0.1611</v>
      </c>
      <c r="AG513" s="157">
        <v>0.1536</v>
      </c>
      <c r="AH513" s="157">
        <v>0.0172</v>
      </c>
      <c r="AI513" s="142">
        <v>1</v>
      </c>
      <c r="AJ513" s="142">
        <v>500</v>
      </c>
      <c r="AK513" s="171">
        <v>0.03</v>
      </c>
      <c r="AL513" s="163">
        <v>40855</v>
      </c>
      <c r="AM513" s="142">
        <v>863</v>
      </c>
      <c r="AN513" s="142">
        <v>931</v>
      </c>
      <c r="AO513" s="142">
        <v>120</v>
      </c>
      <c r="AP513" s="142">
        <v>10</v>
      </c>
      <c r="AQ513" s="142">
        <v>9</v>
      </c>
      <c r="AR513" s="142">
        <v>150</v>
      </c>
      <c r="AS513" s="142">
        <v>143</v>
      </c>
      <c r="AT513" s="142">
        <v>16</v>
      </c>
      <c r="AU513" s="142"/>
      <c r="AV513" s="142"/>
      <c r="AW513" s="142"/>
      <c r="AX513" s="142"/>
      <c r="AY513" s="142"/>
    </row>
    <row r="514">
      <c r="A514" s="143"/>
      <c r="B514" s="152" t="s">
        <v>56</v>
      </c>
      <c r="C514" s="152" t="s">
        <v>116</v>
      </c>
      <c r="D514" s="152" t="s">
        <v>76</v>
      </c>
      <c r="E514" s="152" t="s">
        <v>64</v>
      </c>
      <c r="F514" s="154">
        <v>4323.82</v>
      </c>
      <c r="G514" s="178">
        <v>9298.3</v>
      </c>
      <c r="H514" s="152">
        <v>17</v>
      </c>
      <c r="I514" s="152">
        <v>13</v>
      </c>
      <c r="J514" s="152">
        <v>2</v>
      </c>
      <c r="K514" s="152">
        <v>2.15</v>
      </c>
      <c r="L514" s="152">
        <v>1.88</v>
      </c>
      <c r="M514" s="152">
        <v>333</v>
      </c>
      <c r="N514" s="152">
        <v>715</v>
      </c>
      <c r="O514" s="156">
        <v>0.15</v>
      </c>
      <c r="P514" s="157">
        <v>0.7647</v>
      </c>
      <c r="Q514" s="152">
        <v>1.32</v>
      </c>
      <c r="R514" s="152">
        <v>34</v>
      </c>
      <c r="S514" s="152">
        <v>270</v>
      </c>
      <c r="T514" s="152">
        <v>360</v>
      </c>
      <c r="U514" s="156">
        <v>1.44</v>
      </c>
      <c r="V514" s="157">
        <v>0.0389</v>
      </c>
      <c r="W514" s="157">
        <v>0.126</v>
      </c>
      <c r="X514" s="156">
        <v>0.75</v>
      </c>
      <c r="Y514" s="157">
        <v>0.0483</v>
      </c>
      <c r="Z514" s="157">
        <v>0.0053</v>
      </c>
      <c r="AA514" s="152">
        <v>92</v>
      </c>
      <c r="AB514" s="152">
        <v>1.9</v>
      </c>
      <c r="AC514" s="152">
        <v>14.36</v>
      </c>
      <c r="AD514" s="152">
        <v>18</v>
      </c>
      <c r="AE514" s="152">
        <v>114</v>
      </c>
      <c r="AF514" s="157">
        <v>0.0922</v>
      </c>
      <c r="AG514" s="157">
        <v>0.0744</v>
      </c>
      <c r="AH514" s="157">
        <v>0.0116</v>
      </c>
      <c r="AI514" s="142">
        <v>1</v>
      </c>
      <c r="AJ514" s="142">
        <v>500</v>
      </c>
      <c r="AK514" s="171">
        <v>0.03</v>
      </c>
      <c r="AL514" s="163">
        <v>46997</v>
      </c>
      <c r="AM514" s="163">
        <v>2270</v>
      </c>
      <c r="AN514" s="163">
        <v>3266</v>
      </c>
      <c r="AO514" s="142">
        <v>127</v>
      </c>
      <c r="AP514" s="142">
        <v>16</v>
      </c>
      <c r="AQ514" s="142">
        <v>12</v>
      </c>
      <c r="AR514" s="142">
        <v>301</v>
      </c>
      <c r="AS514" s="142">
        <v>243</v>
      </c>
      <c r="AT514" s="142">
        <v>38</v>
      </c>
      <c r="AU514" s="142"/>
      <c r="AV514" s="142"/>
      <c r="AW514" s="142"/>
      <c r="AX514" s="142"/>
      <c r="AY514" s="142"/>
    </row>
    <row r="515">
      <c r="A515" s="143"/>
      <c r="B515" s="172" t="s">
        <v>117</v>
      </c>
      <c r="C515" s="172"/>
      <c r="D515" s="172"/>
      <c r="E515" s="172"/>
      <c r="F515" s="173">
        <v>18419.84</v>
      </c>
      <c r="G515" s="180">
        <v>35545.4</v>
      </c>
      <c r="H515" s="172">
        <v>73</v>
      </c>
      <c r="I515" s="172">
        <v>58</v>
      </c>
      <c r="J515" s="172">
        <v>11</v>
      </c>
      <c r="K515" s="164">
        <v>1.93</v>
      </c>
      <c r="L515" s="164">
        <v>1.66</v>
      </c>
      <c r="M515" s="164">
        <v>318</v>
      </c>
      <c r="N515" s="164">
        <v>613</v>
      </c>
      <c r="O515" s="166">
        <v>0.19</v>
      </c>
      <c r="P515" s="167">
        <v>0.7945</v>
      </c>
      <c r="Q515" s="164">
        <v>1.87</v>
      </c>
      <c r="R515" s="164">
        <v>34</v>
      </c>
      <c r="S515" s="164">
        <v>279</v>
      </c>
      <c r="T515" s="164">
        <v>348</v>
      </c>
      <c r="U515" s="166">
        <v>1.4</v>
      </c>
      <c r="V515" s="167">
        <v>0.0552</v>
      </c>
      <c r="W515" s="167">
        <v>0.1211</v>
      </c>
      <c r="X515" s="166">
        <v>0.8</v>
      </c>
      <c r="Y515" s="167">
        <v>0.0351</v>
      </c>
      <c r="Z515" s="167">
        <v>0.0075</v>
      </c>
      <c r="AA515" s="164">
        <v>92</v>
      </c>
      <c r="AB515" s="164">
        <v>2.62</v>
      </c>
      <c r="AC515" s="164">
        <v>17.76</v>
      </c>
      <c r="AD515" s="164">
        <v>22</v>
      </c>
      <c r="AE515" s="164">
        <v>144</v>
      </c>
      <c r="AF515" s="167">
        <v>0.105</v>
      </c>
      <c r="AG515" s="167">
        <v>0.0838</v>
      </c>
      <c r="AH515" s="167">
        <v>0.013</v>
      </c>
      <c r="AI515" s="168">
        <v>5</v>
      </c>
      <c r="AJ515" s="168">
        <v>500</v>
      </c>
      <c r="AK515" s="169">
        <v>0.03</v>
      </c>
      <c r="AL515" s="170">
        <v>200860</v>
      </c>
      <c r="AM515" s="170">
        <v>7041</v>
      </c>
      <c r="AN515" s="170">
        <v>9875</v>
      </c>
      <c r="AO515" s="168">
        <v>545</v>
      </c>
      <c r="AP515" s="168">
        <v>66</v>
      </c>
      <c r="AQ515" s="168">
        <v>53</v>
      </c>
      <c r="AR515" s="170">
        <v>1037</v>
      </c>
      <c r="AS515" s="168">
        <v>828</v>
      </c>
      <c r="AT515" s="168">
        <v>128</v>
      </c>
      <c r="AU515" s="161"/>
      <c r="AV515" s="161"/>
      <c r="AW515" s="161"/>
      <c r="AX515" s="161"/>
      <c r="AY515" s="161"/>
    </row>
    <row r="516">
      <c r="A516" s="143"/>
      <c r="B516" s="144" t="s">
        <v>118</v>
      </c>
      <c r="C516" s="144"/>
      <c r="D516" s="144"/>
      <c r="E516" s="144"/>
      <c r="F516" s="174">
        <v>51992.71</v>
      </c>
      <c r="G516" s="181">
        <v>85963.9</v>
      </c>
      <c r="H516" s="144">
        <v>177</v>
      </c>
      <c r="I516" s="144">
        <v>141</v>
      </c>
      <c r="J516" s="144">
        <v>25</v>
      </c>
      <c r="K516" s="175">
        <v>1.65</v>
      </c>
      <c r="L516" s="175">
        <v>1.4</v>
      </c>
      <c r="M516" s="175">
        <v>369</v>
      </c>
      <c r="N516" s="175">
        <v>610</v>
      </c>
      <c r="O516" s="176">
        <v>0.18</v>
      </c>
      <c r="P516" s="177">
        <v>0.7966</v>
      </c>
      <c r="Q516" s="175">
        <v>1.54</v>
      </c>
      <c r="R516" s="175">
        <v>36</v>
      </c>
      <c r="S516" s="175">
        <v>340</v>
      </c>
      <c r="T516" s="175">
        <v>413</v>
      </c>
      <c r="U516" s="176">
        <v>1.42</v>
      </c>
      <c r="V516" s="177">
        <v>0.0426</v>
      </c>
      <c r="W516" s="177">
        <v>0.1064</v>
      </c>
      <c r="X516" s="176">
        <v>0.82</v>
      </c>
      <c r="Y516" s="177">
        <v>0.0476</v>
      </c>
      <c r="Z516" s="177">
        <v>0.0053</v>
      </c>
      <c r="AA516" s="175">
        <v>104</v>
      </c>
      <c r="AB516" s="175">
        <v>2.19</v>
      </c>
      <c r="AC516" s="175">
        <v>16.74</v>
      </c>
      <c r="AD516" s="175">
        <v>26</v>
      </c>
      <c r="AE516" s="175">
        <v>181</v>
      </c>
      <c r="AF516" s="177">
        <v>0.0919</v>
      </c>
      <c r="AG516" s="177">
        <v>0.0581</v>
      </c>
      <c r="AH516" s="177">
        <v>0.0085</v>
      </c>
      <c r="AI516" s="149">
        <v>16</v>
      </c>
      <c r="AJ516" s="149">
        <v>500</v>
      </c>
      <c r="AK516" s="150">
        <v>0.03</v>
      </c>
      <c r="AL516" s="151">
        <v>499431</v>
      </c>
      <c r="AM516" s="151">
        <v>23752</v>
      </c>
      <c r="AN516" s="151">
        <v>33771</v>
      </c>
      <c r="AO516" s="151">
        <v>1438</v>
      </c>
      <c r="AP516" s="149">
        <v>153</v>
      </c>
      <c r="AQ516" s="149">
        <v>126</v>
      </c>
      <c r="AR516" s="151">
        <v>3105</v>
      </c>
      <c r="AS516" s="151">
        <v>1963</v>
      </c>
      <c r="AT516" s="149">
        <v>287</v>
      </c>
      <c r="AU516" s="149"/>
      <c r="AV516" s="149"/>
      <c r="AW516" s="149"/>
      <c r="AX516" s="149"/>
      <c r="AY516" s="149"/>
    </row>
    <row r="517">
      <c r="A517" s="137"/>
      <c r="B517" s="137"/>
      <c r="C517" s="137"/>
      <c r="D517" s="137"/>
      <c r="E517" s="137"/>
      <c r="F517" s="138" t="s">
        <v>77</v>
      </c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9" t="s">
        <v>3</v>
      </c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40" t="s">
        <v>78</v>
      </c>
      <c r="AD517" s="140"/>
      <c r="AE517" s="140"/>
      <c r="AF517" s="140"/>
      <c r="AG517" s="140"/>
      <c r="AH517" s="140"/>
      <c r="AI517" s="141" t="s">
        <v>79</v>
      </c>
      <c r="AJ517" s="141"/>
      <c r="AK517" s="141"/>
      <c r="AL517" s="141"/>
      <c r="AM517" s="141"/>
      <c r="AN517" s="141"/>
      <c r="AO517" s="141"/>
      <c r="AP517" s="142"/>
      <c r="AQ517" s="142"/>
      <c r="AR517" s="142"/>
      <c r="AS517" s="142"/>
      <c r="AT517" s="142"/>
      <c r="AU517" s="142"/>
      <c r="AV517" s="142"/>
      <c r="AW517" s="142"/>
      <c r="AX517" s="142"/>
      <c r="AY517" s="142"/>
    </row>
    <row r="518">
      <c r="A518" s="137" t="s">
        <v>66</v>
      </c>
      <c r="B518" s="137" t="s">
        <v>80</v>
      </c>
      <c r="C518" s="137" t="s">
        <v>81</v>
      </c>
      <c r="D518" s="137" t="s">
        <v>4</v>
      </c>
      <c r="E518" s="137" t="s">
        <v>82</v>
      </c>
      <c r="F518" s="138" t="s">
        <v>83</v>
      </c>
      <c r="G518" s="182" t="s">
        <v>10</v>
      </c>
      <c r="H518" s="138" t="s">
        <v>7</v>
      </c>
      <c r="I518" s="138" t="s">
        <v>8</v>
      </c>
      <c r="J518" s="138" t="s">
        <v>84</v>
      </c>
      <c r="K518" s="138" t="s">
        <v>85</v>
      </c>
      <c r="L518" s="138" t="s">
        <v>86</v>
      </c>
      <c r="M518" s="138" t="s">
        <v>13</v>
      </c>
      <c r="N518" s="138" t="s">
        <v>16</v>
      </c>
      <c r="O518" s="138" t="s">
        <v>87</v>
      </c>
      <c r="P518" s="138" t="s">
        <v>88</v>
      </c>
      <c r="Q518" s="139" t="s">
        <v>89</v>
      </c>
      <c r="R518" s="139" t="s">
        <v>90</v>
      </c>
      <c r="S518" s="139" t="s">
        <v>91</v>
      </c>
      <c r="T518" s="139" t="s">
        <v>92</v>
      </c>
      <c r="U518" s="139" t="s">
        <v>93</v>
      </c>
      <c r="V518" s="139" t="s">
        <v>94</v>
      </c>
      <c r="W518" s="139" t="s">
        <v>95</v>
      </c>
      <c r="X518" s="139" t="s">
        <v>96</v>
      </c>
      <c r="Y518" s="139" t="s">
        <v>97</v>
      </c>
      <c r="Z518" s="139" t="s">
        <v>98</v>
      </c>
      <c r="AA518" s="139" t="s">
        <v>99</v>
      </c>
      <c r="AB518" s="139" t="s">
        <v>100</v>
      </c>
      <c r="AC518" s="140" t="s">
        <v>101</v>
      </c>
      <c r="AD518" s="140" t="s">
        <v>102</v>
      </c>
      <c r="AE518" s="140" t="s">
        <v>103</v>
      </c>
      <c r="AF518" s="140" t="s">
        <v>104</v>
      </c>
      <c r="AG518" s="140" t="s">
        <v>105</v>
      </c>
      <c r="AH518" s="140" t="s">
        <v>106</v>
      </c>
      <c r="AI518" s="142" t="s">
        <v>107</v>
      </c>
      <c r="AJ518" s="142" t="s">
        <v>108</v>
      </c>
      <c r="AK518" s="142" t="s">
        <v>109</v>
      </c>
      <c r="AL518" s="142" t="s">
        <v>110</v>
      </c>
      <c r="AM518" s="142" t="s">
        <v>27</v>
      </c>
      <c r="AN518" s="142" t="s">
        <v>29</v>
      </c>
      <c r="AO518" s="142" t="s">
        <v>28</v>
      </c>
      <c r="AP518" s="142" t="s">
        <v>111</v>
      </c>
      <c r="AQ518" s="142" t="s">
        <v>112</v>
      </c>
      <c r="AR518" s="142" t="s">
        <v>113</v>
      </c>
      <c r="AS518" s="142" t="s">
        <v>30</v>
      </c>
      <c r="AT518" s="142" t="s">
        <v>31</v>
      </c>
      <c r="AU518" s="142" t="s">
        <v>114</v>
      </c>
      <c r="AV518" s="142"/>
      <c r="AW518" s="142"/>
      <c r="AX518" s="142"/>
      <c r="AY518" s="142"/>
    </row>
    <row r="519">
      <c r="A519" s="143">
        <v>46225</v>
      </c>
      <c r="B519" s="144" t="s">
        <v>115</v>
      </c>
      <c r="C519" s="144"/>
      <c r="D519" s="144"/>
      <c r="E519" s="144"/>
      <c r="F519" s="145">
        <v>51939.88</v>
      </c>
      <c r="G519" s="183">
        <v>98278.4</v>
      </c>
      <c r="H519" s="146">
        <v>211</v>
      </c>
      <c r="I519" s="146">
        <v>157</v>
      </c>
      <c r="J519" s="146">
        <v>27</v>
      </c>
      <c r="K519" s="144">
        <v>1.89</v>
      </c>
      <c r="L519" s="144">
        <v>1.6</v>
      </c>
      <c r="M519" s="144">
        <v>331</v>
      </c>
      <c r="N519" s="144">
        <v>626</v>
      </c>
      <c r="O519" s="147">
        <v>0.17</v>
      </c>
      <c r="P519" s="148">
        <v>0.7441</v>
      </c>
      <c r="Q519" s="144">
        <v>1.17</v>
      </c>
      <c r="R519" s="144">
        <v>32</v>
      </c>
      <c r="S519" s="144">
        <v>313</v>
      </c>
      <c r="T519" s="144">
        <v>396</v>
      </c>
      <c r="U519" s="147">
        <v>1.47</v>
      </c>
      <c r="V519" s="148">
        <v>0.0368</v>
      </c>
      <c r="W519" s="148">
        <v>0.1018</v>
      </c>
      <c r="X519" s="147">
        <v>0.79</v>
      </c>
      <c r="Y519" s="148">
        <v>0.0583</v>
      </c>
      <c r="Z519" s="148">
        <v>0.0044</v>
      </c>
      <c r="AA519" s="144">
        <v>101</v>
      </c>
      <c r="AB519" s="144">
        <v>1.73</v>
      </c>
      <c r="AC519" s="144">
        <v>15.33</v>
      </c>
      <c r="AD519" s="144">
        <v>27</v>
      </c>
      <c r="AE519" s="144">
        <v>197</v>
      </c>
      <c r="AF519" s="148">
        <v>0.0765</v>
      </c>
      <c r="AG519" s="148">
        <v>0.0441</v>
      </c>
      <c r="AH519" s="148">
        <v>0.006</v>
      </c>
      <c r="AI519" s="149">
        <v>16</v>
      </c>
      <c r="AJ519" s="149">
        <v>500</v>
      </c>
      <c r="AK519" s="150">
        <v>0.03</v>
      </c>
      <c r="AL519" s="151">
        <v>516192</v>
      </c>
      <c r="AM519" s="151">
        <v>30109</v>
      </c>
      <c r="AN519" s="151">
        <v>44296</v>
      </c>
      <c r="AO519" s="151">
        <v>1631</v>
      </c>
      <c r="AP519" s="149">
        <v>166</v>
      </c>
      <c r="AQ519" s="149">
        <v>131</v>
      </c>
      <c r="AR519" s="151">
        <v>3389</v>
      </c>
      <c r="AS519" s="151">
        <v>1955</v>
      </c>
      <c r="AT519" s="149">
        <v>264</v>
      </c>
      <c r="AU519" s="149"/>
      <c r="AV519" s="149"/>
      <c r="AW519" s="149"/>
      <c r="AX519" s="149"/>
      <c r="AY519" s="149"/>
    </row>
    <row r="520">
      <c r="A520" s="143"/>
      <c r="B520" s="152" t="s">
        <v>40</v>
      </c>
      <c r="C520" s="152" t="s">
        <v>116</v>
      </c>
      <c r="D520" s="152" t="s">
        <v>76</v>
      </c>
      <c r="E520" s="153" t="s">
        <v>43</v>
      </c>
      <c r="F520" s="154">
        <v>3013.64</v>
      </c>
      <c r="G520" s="184">
        <v>3968.8</v>
      </c>
      <c r="H520" s="152">
        <v>9</v>
      </c>
      <c r="I520" s="152">
        <v>7</v>
      </c>
      <c r="J520" s="152">
        <v>2</v>
      </c>
      <c r="K520" s="152">
        <v>1.32</v>
      </c>
      <c r="L520" s="152">
        <v>1.1</v>
      </c>
      <c r="M520" s="152">
        <v>431</v>
      </c>
      <c r="N520" s="152">
        <v>567</v>
      </c>
      <c r="O520" s="156">
        <v>0.29</v>
      </c>
      <c r="P520" s="157">
        <v>0.7778</v>
      </c>
      <c r="Q520" s="152">
        <v>1.32</v>
      </c>
      <c r="R520" s="152">
        <v>39</v>
      </c>
      <c r="S520" s="152">
        <v>377</v>
      </c>
      <c r="T520" s="152">
        <v>431</v>
      </c>
      <c r="U520" s="156">
        <v>1.74</v>
      </c>
      <c r="V520" s="157">
        <v>0.0338</v>
      </c>
      <c r="W520" s="157">
        <v>0.1039</v>
      </c>
      <c r="X520" s="156">
        <v>0.88</v>
      </c>
      <c r="Y520" s="157">
        <v>0.051</v>
      </c>
      <c r="Z520" s="157">
        <v>0.0053</v>
      </c>
      <c r="AA520" s="152">
        <v>117</v>
      </c>
      <c r="AB520" s="152">
        <v>2.3</v>
      </c>
      <c r="AC520" s="152">
        <v>12.82</v>
      </c>
      <c r="AD520" s="152">
        <v>26</v>
      </c>
      <c r="AE520" s="152">
        <v>177</v>
      </c>
      <c r="AF520" s="157">
        <v>0.1032</v>
      </c>
      <c r="AG520" s="157">
        <v>0.0518</v>
      </c>
      <c r="AH520" s="157">
        <v>0.0075</v>
      </c>
      <c r="AI520" s="142">
        <v>1</v>
      </c>
      <c r="AJ520" s="158">
        <v>500</v>
      </c>
      <c r="AK520" s="171">
        <v>0.03</v>
      </c>
      <c r="AL520" s="163">
        <v>25689</v>
      </c>
      <c r="AM520" s="163">
        <v>1310</v>
      </c>
      <c r="AN520" s="163">
        <v>2278</v>
      </c>
      <c r="AO520" s="142">
        <v>77</v>
      </c>
      <c r="AP520" s="142">
        <v>8</v>
      </c>
      <c r="AQ520" s="142">
        <v>7</v>
      </c>
      <c r="AR520" s="142">
        <v>235</v>
      </c>
      <c r="AS520" s="142">
        <v>118</v>
      </c>
      <c r="AT520" s="142">
        <v>17</v>
      </c>
      <c r="AU520" s="142"/>
      <c r="AV520" s="142"/>
      <c r="AW520" s="142"/>
      <c r="AX520" s="142"/>
      <c r="AY520" s="142"/>
    </row>
    <row r="521">
      <c r="A521" s="143"/>
      <c r="B521" s="152" t="s">
        <v>40</v>
      </c>
      <c r="C521" s="152" t="s">
        <v>116</v>
      </c>
      <c r="D521" s="152" t="s">
        <v>76</v>
      </c>
      <c r="E521" s="152" t="s">
        <v>44</v>
      </c>
      <c r="F521" s="162">
        <v>3129.98</v>
      </c>
      <c r="G521" s="178">
        <v>7527.3</v>
      </c>
      <c r="H521" s="152">
        <v>16</v>
      </c>
      <c r="I521" s="152">
        <v>12</v>
      </c>
      <c r="J521" s="152">
        <v>2</v>
      </c>
      <c r="K521" s="152">
        <v>2.4</v>
      </c>
      <c r="L521" s="152">
        <v>2.02</v>
      </c>
      <c r="M521" s="152">
        <v>261</v>
      </c>
      <c r="N521" s="152">
        <v>627</v>
      </c>
      <c r="O521" s="156">
        <v>0.17</v>
      </c>
      <c r="P521" s="157">
        <v>0.75</v>
      </c>
      <c r="Q521" s="152">
        <v>2.12</v>
      </c>
      <c r="R521" s="152">
        <v>30</v>
      </c>
      <c r="S521" s="152">
        <v>261</v>
      </c>
      <c r="T521" s="152">
        <v>285</v>
      </c>
      <c r="U521" s="156">
        <v>1.36</v>
      </c>
      <c r="V521" s="157">
        <v>0.0719</v>
      </c>
      <c r="W521" s="157">
        <v>0.1132</v>
      </c>
      <c r="X521" s="156">
        <v>0.92</v>
      </c>
      <c r="Y521" s="157">
        <v>0.0387</v>
      </c>
      <c r="Z521" s="157">
        <v>0.0101</v>
      </c>
      <c r="AA521" s="152">
        <v>111</v>
      </c>
      <c r="AB521" s="152">
        <v>2.88</v>
      </c>
      <c r="AC521" s="152">
        <v>16.74</v>
      </c>
      <c r="AD521" s="152">
        <v>19</v>
      </c>
      <c r="AE521" s="152">
        <v>241</v>
      </c>
      <c r="AF521" s="157">
        <v>0.1268</v>
      </c>
      <c r="AG521" s="157">
        <v>0.1146</v>
      </c>
      <c r="AH521" s="157">
        <v>0.0088</v>
      </c>
      <c r="AI521" s="142">
        <v>1</v>
      </c>
      <c r="AJ521" s="158">
        <v>500</v>
      </c>
      <c r="AK521" s="171">
        <v>0.03</v>
      </c>
      <c r="AL521" s="163">
        <v>28121</v>
      </c>
      <c r="AM521" s="163">
        <v>1087</v>
      </c>
      <c r="AN521" s="163">
        <v>1475</v>
      </c>
      <c r="AO521" s="142">
        <v>106</v>
      </c>
      <c r="AP521" s="142">
        <v>12</v>
      </c>
      <c r="AQ521" s="142">
        <v>11</v>
      </c>
      <c r="AR521" s="142">
        <v>187</v>
      </c>
      <c r="AS521" s="142">
        <v>169</v>
      </c>
      <c r="AT521" s="142">
        <v>13</v>
      </c>
      <c r="AU521" s="142"/>
      <c r="AV521" s="142"/>
      <c r="AW521" s="142"/>
      <c r="AX521" s="142"/>
      <c r="AY521" s="142"/>
    </row>
    <row r="522">
      <c r="A522" s="143"/>
      <c r="B522" s="152" t="s">
        <v>40</v>
      </c>
      <c r="C522" s="152" t="s">
        <v>116</v>
      </c>
      <c r="D522" s="152" t="s">
        <v>76</v>
      </c>
      <c r="E522" s="152" t="s">
        <v>45</v>
      </c>
      <c r="F522" s="154">
        <v>3702.83</v>
      </c>
      <c r="G522" s="178">
        <v>8520.6</v>
      </c>
      <c r="H522" s="152">
        <v>13</v>
      </c>
      <c r="I522" s="152">
        <v>10</v>
      </c>
      <c r="J522" s="152">
        <v>3</v>
      </c>
      <c r="K522" s="152">
        <v>2.3</v>
      </c>
      <c r="L522" s="152">
        <v>1.98</v>
      </c>
      <c r="M522" s="152">
        <v>370</v>
      </c>
      <c r="N522" s="152">
        <v>852</v>
      </c>
      <c r="O522" s="156">
        <v>0.3</v>
      </c>
      <c r="P522" s="157">
        <v>0.7692</v>
      </c>
      <c r="Q522" s="152">
        <v>0.98</v>
      </c>
      <c r="R522" s="152">
        <v>32</v>
      </c>
      <c r="S522" s="152">
        <v>309</v>
      </c>
      <c r="T522" s="152">
        <v>463</v>
      </c>
      <c r="U522" s="156">
        <v>1.59</v>
      </c>
      <c r="V522" s="157">
        <v>0.0308</v>
      </c>
      <c r="W522" s="157">
        <v>0.1034</v>
      </c>
      <c r="X522" s="156">
        <v>0.67</v>
      </c>
      <c r="Y522" s="157">
        <v>0.0643</v>
      </c>
      <c r="Z522" s="157">
        <v>0.0034</v>
      </c>
      <c r="AA522" s="152">
        <v>100</v>
      </c>
      <c r="AB522" s="152">
        <v>1.56</v>
      </c>
      <c r="AC522" s="152">
        <v>11.76</v>
      </c>
      <c r="AD522" s="152">
        <v>19</v>
      </c>
      <c r="AE522" s="152">
        <v>154</v>
      </c>
      <c r="AF522" s="157">
        <v>0.0836</v>
      </c>
      <c r="AG522" s="157">
        <v>0.0515</v>
      </c>
      <c r="AH522" s="157">
        <v>0.0064</v>
      </c>
      <c r="AI522" s="142">
        <v>1</v>
      </c>
      <c r="AJ522" s="158">
        <v>500</v>
      </c>
      <c r="AK522" s="171">
        <v>0.03</v>
      </c>
      <c r="AL522" s="163">
        <v>36858</v>
      </c>
      <c r="AM522" s="163">
        <v>2371</v>
      </c>
      <c r="AN522" s="163">
        <v>3770</v>
      </c>
      <c r="AO522" s="142">
        <v>116</v>
      </c>
      <c r="AP522" s="142">
        <v>12</v>
      </c>
      <c r="AQ522" s="142">
        <v>8</v>
      </c>
      <c r="AR522" s="142">
        <v>315</v>
      </c>
      <c r="AS522" s="142">
        <v>194</v>
      </c>
      <c r="AT522" s="142">
        <v>24</v>
      </c>
      <c r="AU522" s="142"/>
      <c r="AV522" s="142"/>
      <c r="AW522" s="142"/>
      <c r="AX522" s="142"/>
      <c r="AY522" s="142"/>
    </row>
    <row r="523">
      <c r="A523" s="143"/>
      <c r="B523" s="152" t="s">
        <v>40</v>
      </c>
      <c r="C523" s="152" t="s">
        <v>116</v>
      </c>
      <c r="D523" s="152" t="s">
        <v>76</v>
      </c>
      <c r="E523" s="152" t="s">
        <v>48</v>
      </c>
      <c r="F523" s="154">
        <v>2902.74</v>
      </c>
      <c r="G523" s="178">
        <v>3157</v>
      </c>
      <c r="H523" s="152">
        <v>12</v>
      </c>
      <c r="I523" s="152">
        <v>7</v>
      </c>
      <c r="J523" s="152">
        <v>0</v>
      </c>
      <c r="K523" s="152">
        <v>1.09</v>
      </c>
      <c r="L523" s="152">
        <v>0.9</v>
      </c>
      <c r="M523" s="152">
        <v>415</v>
      </c>
      <c r="N523" s="152">
        <v>451</v>
      </c>
      <c r="O523" s="156">
        <v>0</v>
      </c>
      <c r="P523" s="157">
        <v>0.5833</v>
      </c>
      <c r="Q523" s="152">
        <v>1.57</v>
      </c>
      <c r="R523" s="152">
        <v>42</v>
      </c>
      <c r="S523" s="152">
        <v>484</v>
      </c>
      <c r="T523" s="152">
        <v>581</v>
      </c>
      <c r="U523" s="156">
        <v>1.45</v>
      </c>
      <c r="V523" s="157">
        <v>0.0373</v>
      </c>
      <c r="W523" s="157">
        <v>0.087</v>
      </c>
      <c r="X523" s="156">
        <v>0.83</v>
      </c>
      <c r="Y523" s="157">
        <v>0.0419</v>
      </c>
      <c r="Z523" s="157">
        <v>0.0039</v>
      </c>
      <c r="AA523" s="152">
        <v>95</v>
      </c>
      <c r="AB523" s="152">
        <v>2.27</v>
      </c>
      <c r="AC523" s="152">
        <v>19.1</v>
      </c>
      <c r="AD523" s="152">
        <v>30</v>
      </c>
      <c r="AE523" s="152">
        <v>181</v>
      </c>
      <c r="AF523" s="157">
        <v>0.0821</v>
      </c>
      <c r="AG523" s="157">
        <v>0.0524</v>
      </c>
      <c r="AH523" s="157">
        <v>0.0086</v>
      </c>
      <c r="AI523" s="142">
        <v>1</v>
      </c>
      <c r="AJ523" s="158">
        <v>500</v>
      </c>
      <c r="AK523" s="171">
        <v>0.03</v>
      </c>
      <c r="AL523" s="163">
        <v>30540</v>
      </c>
      <c r="AM523" s="163">
        <v>1280</v>
      </c>
      <c r="AN523" s="163">
        <v>1852</v>
      </c>
      <c r="AO523" s="142">
        <v>69</v>
      </c>
      <c r="AP523" s="142">
        <v>6</v>
      </c>
      <c r="AQ523" s="142">
        <v>5</v>
      </c>
      <c r="AR523" s="142">
        <v>152</v>
      </c>
      <c r="AS523" s="142">
        <v>97</v>
      </c>
      <c r="AT523" s="142">
        <v>16</v>
      </c>
      <c r="AU523" s="142"/>
      <c r="AV523" s="142"/>
      <c r="AW523" s="142"/>
      <c r="AX523" s="142"/>
      <c r="AY523" s="142"/>
    </row>
    <row r="524">
      <c r="A524" s="143"/>
      <c r="B524" s="164" t="s">
        <v>117</v>
      </c>
      <c r="C524" s="164"/>
      <c r="D524" s="164"/>
      <c r="E524" s="164"/>
      <c r="F524" s="165">
        <v>12749.19</v>
      </c>
      <c r="G524" s="179">
        <v>23173.7</v>
      </c>
      <c r="H524" s="164">
        <v>50</v>
      </c>
      <c r="I524" s="164">
        <v>36</v>
      </c>
      <c r="J524" s="164">
        <v>7</v>
      </c>
      <c r="K524" s="164">
        <v>1.82</v>
      </c>
      <c r="L524" s="164">
        <v>1.53</v>
      </c>
      <c r="M524" s="164">
        <v>354</v>
      </c>
      <c r="N524" s="164">
        <v>644</v>
      </c>
      <c r="O524" s="166">
        <v>0.19</v>
      </c>
      <c r="P524" s="167">
        <v>0.72</v>
      </c>
      <c r="Q524" s="164">
        <v>1.36</v>
      </c>
      <c r="R524" s="164">
        <v>35</v>
      </c>
      <c r="S524" s="164">
        <v>336</v>
      </c>
      <c r="T524" s="164">
        <v>411</v>
      </c>
      <c r="U524" s="166">
        <v>1.55</v>
      </c>
      <c r="V524" s="167">
        <v>0.0393</v>
      </c>
      <c r="W524" s="167">
        <v>0.1033</v>
      </c>
      <c r="X524" s="166">
        <v>0.82</v>
      </c>
      <c r="Y524" s="167">
        <v>0.0499</v>
      </c>
      <c r="Z524" s="167">
        <v>0.0051</v>
      </c>
      <c r="AA524" s="164">
        <v>105</v>
      </c>
      <c r="AB524" s="164">
        <v>2.11</v>
      </c>
      <c r="AC524" s="164">
        <v>14.34</v>
      </c>
      <c r="AD524" s="164">
        <v>22</v>
      </c>
      <c r="AE524" s="164">
        <v>182</v>
      </c>
      <c r="AF524" s="167">
        <v>0.0948</v>
      </c>
      <c r="AG524" s="167">
        <v>0.0617</v>
      </c>
      <c r="AH524" s="167">
        <v>0.0075</v>
      </c>
      <c r="AI524" s="168">
        <v>4</v>
      </c>
      <c r="AJ524" s="168">
        <v>500</v>
      </c>
      <c r="AK524" s="169">
        <v>0.03</v>
      </c>
      <c r="AL524" s="170">
        <v>121208</v>
      </c>
      <c r="AM524" s="170">
        <v>6048</v>
      </c>
      <c r="AN524" s="170">
        <v>9375</v>
      </c>
      <c r="AO524" s="168">
        <v>368</v>
      </c>
      <c r="AP524" s="168">
        <v>38</v>
      </c>
      <c r="AQ524" s="168">
        <v>31</v>
      </c>
      <c r="AR524" s="168">
        <v>889</v>
      </c>
      <c r="AS524" s="168">
        <v>578</v>
      </c>
      <c r="AT524" s="168">
        <v>70</v>
      </c>
      <c r="AU524" s="161"/>
      <c r="AV524" s="161"/>
      <c r="AW524" s="161"/>
      <c r="AX524" s="161"/>
      <c r="AY524" s="161"/>
    </row>
    <row r="525">
      <c r="A525" s="143"/>
      <c r="B525" s="152" t="s">
        <v>40</v>
      </c>
      <c r="C525" s="152" t="s">
        <v>116</v>
      </c>
      <c r="D525" s="152" t="s">
        <v>75</v>
      </c>
      <c r="E525" s="152" t="s">
        <v>49</v>
      </c>
      <c r="F525" s="154">
        <v>2976.65</v>
      </c>
      <c r="G525" s="178">
        <v>2706</v>
      </c>
      <c r="H525" s="152">
        <v>8</v>
      </c>
      <c r="I525" s="152">
        <v>6</v>
      </c>
      <c r="J525" s="152">
        <v>0</v>
      </c>
      <c r="K525" s="152">
        <v>0.91</v>
      </c>
      <c r="L525" s="152">
        <v>0.76</v>
      </c>
      <c r="M525" s="152">
        <v>496</v>
      </c>
      <c r="N525" s="152">
        <v>451</v>
      </c>
      <c r="O525" s="156">
        <v>0</v>
      </c>
      <c r="P525" s="157">
        <v>0.75</v>
      </c>
      <c r="Q525" s="152">
        <v>1.24</v>
      </c>
      <c r="R525" s="152">
        <v>39</v>
      </c>
      <c r="S525" s="152">
        <v>298</v>
      </c>
      <c r="T525" s="152">
        <v>496</v>
      </c>
      <c r="U525" s="156">
        <v>1.57</v>
      </c>
      <c r="V525" s="157">
        <v>0.0317</v>
      </c>
      <c r="W525" s="157">
        <v>0.1316</v>
      </c>
      <c r="X525" s="156">
        <v>0.6</v>
      </c>
      <c r="Y525" s="157">
        <v>0.0583</v>
      </c>
      <c r="Z525" s="157">
        <v>0.0039</v>
      </c>
      <c r="AA525" s="152">
        <v>114</v>
      </c>
      <c r="AB525" s="152">
        <v>1.95</v>
      </c>
      <c r="AC525" s="152">
        <v>15.92</v>
      </c>
      <c r="AD525" s="152">
        <v>39</v>
      </c>
      <c r="AE525" s="152">
        <v>425</v>
      </c>
      <c r="AF525" s="157">
        <v>0.0781</v>
      </c>
      <c r="AG525" s="157">
        <v>0.0317</v>
      </c>
      <c r="AH525" s="157">
        <v>0.0029</v>
      </c>
      <c r="AI525" s="142">
        <v>1</v>
      </c>
      <c r="AJ525" s="158">
        <v>500</v>
      </c>
      <c r="AK525" s="171">
        <v>0.03</v>
      </c>
      <c r="AL525" s="163">
        <v>26111</v>
      </c>
      <c r="AM525" s="163">
        <v>1523</v>
      </c>
      <c r="AN525" s="163">
        <v>2395</v>
      </c>
      <c r="AO525" s="142">
        <v>76</v>
      </c>
      <c r="AP525" s="142">
        <v>10</v>
      </c>
      <c r="AQ525" s="142">
        <v>6</v>
      </c>
      <c r="AR525" s="142">
        <v>187</v>
      </c>
      <c r="AS525" s="142">
        <v>76</v>
      </c>
      <c r="AT525" s="142">
        <v>7</v>
      </c>
      <c r="AU525" s="142"/>
      <c r="AV525" s="142"/>
      <c r="AW525" s="142"/>
      <c r="AX525" s="142"/>
      <c r="AY525" s="142"/>
    </row>
    <row r="526">
      <c r="A526" s="143"/>
      <c r="B526" s="152" t="s">
        <v>40</v>
      </c>
      <c r="C526" s="152" t="s">
        <v>116</v>
      </c>
      <c r="D526" s="152" t="s">
        <v>75</v>
      </c>
      <c r="E526" s="152" t="s">
        <v>50</v>
      </c>
      <c r="F526" s="154">
        <v>1291.59</v>
      </c>
      <c r="G526" s="178">
        <v>2088.9</v>
      </c>
      <c r="H526" s="152">
        <v>3</v>
      </c>
      <c r="I526" s="152">
        <v>3</v>
      </c>
      <c r="J526" s="152">
        <v>0</v>
      </c>
      <c r="K526" s="152">
        <v>1.62</v>
      </c>
      <c r="L526" s="152">
        <v>1.14</v>
      </c>
      <c r="M526" s="152">
        <v>431</v>
      </c>
      <c r="N526" s="152">
        <v>696</v>
      </c>
      <c r="O526" s="156">
        <v>0</v>
      </c>
      <c r="P526" s="157">
        <v>1</v>
      </c>
      <c r="Q526" s="152">
        <v>0.71</v>
      </c>
      <c r="R526" s="152">
        <v>33</v>
      </c>
      <c r="S526" s="152">
        <v>646</v>
      </c>
      <c r="T526" s="152">
        <v>431</v>
      </c>
      <c r="U526" s="156">
        <v>1.7</v>
      </c>
      <c r="V526" s="157">
        <v>0.0215</v>
      </c>
      <c r="W526" s="157">
        <v>0.0513</v>
      </c>
      <c r="X526" s="156">
        <v>1.5</v>
      </c>
      <c r="Y526" s="157">
        <v>0.0794</v>
      </c>
      <c r="Z526" s="157">
        <v>0.0028</v>
      </c>
      <c r="AA526" s="152">
        <v>96</v>
      </c>
      <c r="AB526" s="152">
        <v>1.21</v>
      </c>
      <c r="AC526" s="152">
        <v>10.85</v>
      </c>
      <c r="AD526" s="152">
        <v>21</v>
      </c>
      <c r="AE526" s="152">
        <v>144</v>
      </c>
      <c r="AF526" s="157">
        <v>0.0657</v>
      </c>
      <c r="AG526" s="157">
        <v>0.0342</v>
      </c>
      <c r="AH526" s="157">
        <v>0.005</v>
      </c>
      <c r="AI526" s="142">
        <v>1</v>
      </c>
      <c r="AJ526" s="158">
        <v>500</v>
      </c>
      <c r="AK526" s="171">
        <v>0.03</v>
      </c>
      <c r="AL526" s="163">
        <v>13444</v>
      </c>
      <c r="AM526" s="163">
        <v>1067</v>
      </c>
      <c r="AN526" s="163">
        <v>1812</v>
      </c>
      <c r="AO526" s="142">
        <v>39</v>
      </c>
      <c r="AP526" s="142">
        <v>2</v>
      </c>
      <c r="AQ526" s="142">
        <v>3</v>
      </c>
      <c r="AR526" s="142">
        <v>119</v>
      </c>
      <c r="AS526" s="142">
        <v>62</v>
      </c>
      <c r="AT526" s="142">
        <v>9</v>
      </c>
      <c r="AU526" s="142"/>
      <c r="AV526" s="142"/>
      <c r="AW526" s="142"/>
      <c r="AX526" s="142"/>
      <c r="AY526" s="142"/>
    </row>
    <row r="527">
      <c r="A527" s="143"/>
      <c r="B527" s="152" t="s">
        <v>40</v>
      </c>
      <c r="C527" s="152" t="s">
        <v>116</v>
      </c>
      <c r="D527" s="152" t="s">
        <v>75</v>
      </c>
      <c r="E527" s="152" t="s">
        <v>51</v>
      </c>
      <c r="F527" s="154">
        <v>2923.31</v>
      </c>
      <c r="G527" s="178">
        <v>3938</v>
      </c>
      <c r="H527" s="152">
        <v>9</v>
      </c>
      <c r="I527" s="152">
        <v>8</v>
      </c>
      <c r="J527" s="152">
        <v>0</v>
      </c>
      <c r="K527" s="152">
        <v>1.35</v>
      </c>
      <c r="L527" s="152">
        <v>1.12</v>
      </c>
      <c r="M527" s="152">
        <v>365</v>
      </c>
      <c r="N527" s="152">
        <v>492</v>
      </c>
      <c r="O527" s="156">
        <v>0</v>
      </c>
      <c r="P527" s="157">
        <v>0.8889</v>
      </c>
      <c r="Q527" s="152">
        <v>1.89</v>
      </c>
      <c r="R527" s="152">
        <v>37</v>
      </c>
      <c r="S527" s="152">
        <v>325</v>
      </c>
      <c r="T527" s="152">
        <v>418</v>
      </c>
      <c r="U527" s="156">
        <v>1.57</v>
      </c>
      <c r="V527" s="157">
        <v>0.051</v>
      </c>
      <c r="W527" s="157">
        <v>0.1139</v>
      </c>
      <c r="X527" s="156">
        <v>0.78</v>
      </c>
      <c r="Y527" s="157">
        <v>0.038</v>
      </c>
      <c r="Z527" s="157">
        <v>0.0071</v>
      </c>
      <c r="AA527" s="152">
        <v>112</v>
      </c>
      <c r="AB527" s="152">
        <v>2.96</v>
      </c>
      <c r="AC527" s="152">
        <v>19.62</v>
      </c>
      <c r="AD527" s="152">
        <v>34</v>
      </c>
      <c r="AE527" s="152">
        <v>225</v>
      </c>
      <c r="AF527" s="157">
        <v>0.0961</v>
      </c>
      <c r="AG527" s="157">
        <v>0.0561</v>
      </c>
      <c r="AH527" s="157">
        <v>0.0084</v>
      </c>
      <c r="AI527" s="142">
        <v>1</v>
      </c>
      <c r="AJ527" s="158">
        <v>500</v>
      </c>
      <c r="AK527" s="171">
        <v>0.03</v>
      </c>
      <c r="AL527" s="163">
        <v>26041</v>
      </c>
      <c r="AM527" s="142">
        <v>989</v>
      </c>
      <c r="AN527" s="163">
        <v>1550</v>
      </c>
      <c r="AO527" s="142">
        <v>79</v>
      </c>
      <c r="AP527" s="142">
        <v>9</v>
      </c>
      <c r="AQ527" s="142">
        <v>7</v>
      </c>
      <c r="AR527" s="142">
        <v>149</v>
      </c>
      <c r="AS527" s="142">
        <v>87</v>
      </c>
      <c r="AT527" s="142">
        <v>13</v>
      </c>
      <c r="AU527" s="142"/>
      <c r="AV527" s="142"/>
      <c r="AW527" s="142"/>
      <c r="AX527" s="142"/>
      <c r="AY527" s="142"/>
    </row>
    <row r="528">
      <c r="A528" s="143"/>
      <c r="B528" s="152" t="s">
        <v>40</v>
      </c>
      <c r="C528" s="152" t="s">
        <v>116</v>
      </c>
      <c r="D528" s="152" t="s">
        <v>75</v>
      </c>
      <c r="E528" s="152" t="s">
        <v>53</v>
      </c>
      <c r="F528" s="154">
        <v>2987.04</v>
      </c>
      <c r="G528" s="178">
        <v>8871.5</v>
      </c>
      <c r="H528" s="152">
        <v>14</v>
      </c>
      <c r="I528" s="152">
        <v>11</v>
      </c>
      <c r="J528" s="152">
        <v>4</v>
      </c>
      <c r="K528" s="152">
        <v>2.97</v>
      </c>
      <c r="L528" s="152">
        <v>2.48</v>
      </c>
      <c r="M528" s="152">
        <v>272</v>
      </c>
      <c r="N528" s="152">
        <v>807</v>
      </c>
      <c r="O528" s="156">
        <v>0.36</v>
      </c>
      <c r="P528" s="157">
        <v>0.7857</v>
      </c>
      <c r="Q528" s="152">
        <v>1.06</v>
      </c>
      <c r="R528" s="152">
        <v>32</v>
      </c>
      <c r="S528" s="152">
        <v>249</v>
      </c>
      <c r="T528" s="152">
        <v>332</v>
      </c>
      <c r="U528" s="156">
        <v>1.52</v>
      </c>
      <c r="V528" s="157">
        <v>0.0333</v>
      </c>
      <c r="W528" s="157">
        <v>0.1277</v>
      </c>
      <c r="X528" s="156">
        <v>0.75</v>
      </c>
      <c r="Y528" s="157">
        <v>0.0749</v>
      </c>
      <c r="Z528" s="157">
        <v>0.0048</v>
      </c>
      <c r="AA528" s="152">
        <v>120</v>
      </c>
      <c r="AB528" s="152">
        <v>1.61</v>
      </c>
      <c r="AC528" s="152">
        <v>15.64</v>
      </c>
      <c r="AD528" s="152">
        <v>20</v>
      </c>
      <c r="AE528" s="152">
        <v>299</v>
      </c>
      <c r="AF528" s="157">
        <v>0.0676</v>
      </c>
      <c r="AG528" s="157">
        <v>0.0531</v>
      </c>
      <c r="AH528" s="157">
        <v>0.0035</v>
      </c>
      <c r="AI528" s="142">
        <v>1</v>
      </c>
      <c r="AJ528" s="158">
        <v>500</v>
      </c>
      <c r="AK528" s="171">
        <v>0.03</v>
      </c>
      <c r="AL528" s="163">
        <v>24858</v>
      </c>
      <c r="AM528" s="163">
        <v>1861</v>
      </c>
      <c r="AN528" s="163">
        <v>2824</v>
      </c>
      <c r="AO528" s="142">
        <v>94</v>
      </c>
      <c r="AP528" s="142">
        <v>12</v>
      </c>
      <c r="AQ528" s="142">
        <v>9</v>
      </c>
      <c r="AR528" s="142">
        <v>191</v>
      </c>
      <c r="AS528" s="142">
        <v>150</v>
      </c>
      <c r="AT528" s="142">
        <v>10</v>
      </c>
      <c r="AU528" s="142"/>
      <c r="AV528" s="142"/>
      <c r="AW528" s="142"/>
      <c r="AX528" s="142"/>
      <c r="AY528" s="142"/>
    </row>
    <row r="529">
      <c r="A529" s="143"/>
      <c r="B529" s="164" t="s">
        <v>117</v>
      </c>
      <c r="C529" s="164"/>
      <c r="D529" s="164"/>
      <c r="E529" s="164"/>
      <c r="F529" s="165">
        <v>10178.59</v>
      </c>
      <c r="G529" s="179">
        <v>17604.4</v>
      </c>
      <c r="H529" s="164">
        <v>34</v>
      </c>
      <c r="I529" s="164">
        <v>28</v>
      </c>
      <c r="J529" s="164">
        <v>4</v>
      </c>
      <c r="K529" s="164">
        <v>1.73</v>
      </c>
      <c r="L529" s="164">
        <v>1.41</v>
      </c>
      <c r="M529" s="164">
        <v>364</v>
      </c>
      <c r="N529" s="164">
        <v>629</v>
      </c>
      <c r="O529" s="166">
        <v>0.14</v>
      </c>
      <c r="P529" s="167">
        <v>0.8235</v>
      </c>
      <c r="Q529" s="164">
        <v>1.19</v>
      </c>
      <c r="R529" s="164">
        <v>35</v>
      </c>
      <c r="S529" s="164">
        <v>308</v>
      </c>
      <c r="T529" s="164">
        <v>407</v>
      </c>
      <c r="U529" s="166">
        <v>1.58</v>
      </c>
      <c r="V529" s="167">
        <v>0.0336</v>
      </c>
      <c r="W529" s="167">
        <v>0.1146</v>
      </c>
      <c r="X529" s="166">
        <v>0.76</v>
      </c>
      <c r="Y529" s="167">
        <v>0.0601</v>
      </c>
      <c r="Z529" s="167">
        <v>0.0046</v>
      </c>
      <c r="AA529" s="164">
        <v>113</v>
      </c>
      <c r="AB529" s="164">
        <v>1.87</v>
      </c>
      <c r="AC529" s="164">
        <v>15.76</v>
      </c>
      <c r="AD529" s="164">
        <v>27</v>
      </c>
      <c r="AE529" s="164">
        <v>261</v>
      </c>
      <c r="AF529" s="167">
        <v>0.0753</v>
      </c>
      <c r="AG529" s="167">
        <v>0.0437</v>
      </c>
      <c r="AH529" s="167">
        <v>0.0045</v>
      </c>
      <c r="AI529" s="168">
        <v>4</v>
      </c>
      <c r="AJ529" s="168">
        <v>500</v>
      </c>
      <c r="AK529" s="169">
        <v>0.03</v>
      </c>
      <c r="AL529" s="170">
        <v>90454</v>
      </c>
      <c r="AM529" s="170">
        <v>5440</v>
      </c>
      <c r="AN529" s="170">
        <v>8581</v>
      </c>
      <c r="AO529" s="168">
        <v>288</v>
      </c>
      <c r="AP529" s="168">
        <v>33</v>
      </c>
      <c r="AQ529" s="168">
        <v>25</v>
      </c>
      <c r="AR529" s="168">
        <v>646</v>
      </c>
      <c r="AS529" s="168">
        <v>375</v>
      </c>
      <c r="AT529" s="168">
        <v>39</v>
      </c>
      <c r="AU529" s="161"/>
      <c r="AV529" s="161"/>
      <c r="AW529" s="161"/>
      <c r="AX529" s="161"/>
      <c r="AY529" s="161"/>
    </row>
    <row r="530">
      <c r="A530" s="143"/>
      <c r="B530" s="152" t="s">
        <v>56</v>
      </c>
      <c r="C530" s="152" t="s">
        <v>116</v>
      </c>
      <c r="D530" s="152" t="s">
        <v>54</v>
      </c>
      <c r="E530" s="152" t="s">
        <v>55</v>
      </c>
      <c r="F530" s="154">
        <v>1902.09</v>
      </c>
      <c r="G530" s="178">
        <v>3696</v>
      </c>
      <c r="H530" s="152">
        <v>7</v>
      </c>
      <c r="I530" s="152">
        <v>6</v>
      </c>
      <c r="J530" s="152">
        <v>0</v>
      </c>
      <c r="K530" s="152">
        <v>1.94</v>
      </c>
      <c r="L530" s="152">
        <v>1.5</v>
      </c>
      <c r="M530" s="152">
        <v>317</v>
      </c>
      <c r="N530" s="152">
        <v>616</v>
      </c>
      <c r="O530" s="156">
        <v>0</v>
      </c>
      <c r="P530" s="157">
        <v>0.8571</v>
      </c>
      <c r="Q530" s="152">
        <v>0.7</v>
      </c>
      <c r="R530" s="152">
        <v>24</v>
      </c>
      <c r="S530" s="152">
        <v>317</v>
      </c>
      <c r="T530" s="152">
        <v>380</v>
      </c>
      <c r="U530" s="156">
        <v>1.5</v>
      </c>
      <c r="V530" s="157">
        <v>0.0293</v>
      </c>
      <c r="W530" s="157">
        <v>0.075</v>
      </c>
      <c r="X530" s="156">
        <v>0.83</v>
      </c>
      <c r="Y530" s="157">
        <v>0.0966</v>
      </c>
      <c r="Z530" s="157">
        <v>0.0027</v>
      </c>
      <c r="AA530" s="152">
        <v>101</v>
      </c>
      <c r="AB530" s="152">
        <v>1.04</v>
      </c>
      <c r="AC530" s="152">
        <v>10.01</v>
      </c>
      <c r="AD530" s="152">
        <v>22</v>
      </c>
      <c r="AE530" s="152">
        <v>146</v>
      </c>
      <c r="AF530" s="157">
        <v>0.0695</v>
      </c>
      <c r="AG530" s="157">
        <v>0.0311</v>
      </c>
      <c r="AH530" s="157">
        <v>0.0048</v>
      </c>
      <c r="AI530" s="142">
        <v>1</v>
      </c>
      <c r="AJ530" s="142">
        <v>500</v>
      </c>
      <c r="AK530" s="171">
        <v>0.03</v>
      </c>
      <c r="AL530" s="163">
        <v>18856</v>
      </c>
      <c r="AM530" s="163">
        <v>1822</v>
      </c>
      <c r="AN530" s="163">
        <v>2733</v>
      </c>
      <c r="AO530" s="142">
        <v>80</v>
      </c>
      <c r="AP530" s="142">
        <v>6</v>
      </c>
      <c r="AQ530" s="142">
        <v>5</v>
      </c>
      <c r="AR530" s="142">
        <v>190</v>
      </c>
      <c r="AS530" s="142">
        <v>85</v>
      </c>
      <c r="AT530" s="142">
        <v>13</v>
      </c>
      <c r="AU530" s="142"/>
      <c r="AV530" s="142"/>
      <c r="AW530" s="142"/>
      <c r="AX530" s="142"/>
      <c r="AY530" s="142"/>
    </row>
    <row r="531">
      <c r="A531" s="143"/>
      <c r="B531" s="152" t="s">
        <v>56</v>
      </c>
      <c r="C531" s="152" t="s">
        <v>116</v>
      </c>
      <c r="D531" s="152" t="s">
        <v>54</v>
      </c>
      <c r="E531" s="152" t="s">
        <v>57</v>
      </c>
      <c r="F531" s="154">
        <v>3960.88</v>
      </c>
      <c r="G531" s="178">
        <v>8609.7</v>
      </c>
      <c r="H531" s="152">
        <v>19</v>
      </c>
      <c r="I531" s="152">
        <v>15</v>
      </c>
      <c r="J531" s="152">
        <v>4</v>
      </c>
      <c r="K531" s="152">
        <v>2.17</v>
      </c>
      <c r="L531" s="152">
        <v>1.88</v>
      </c>
      <c r="M531" s="152">
        <v>264</v>
      </c>
      <c r="N531" s="152">
        <v>574</v>
      </c>
      <c r="O531" s="156">
        <v>0.27</v>
      </c>
      <c r="P531" s="157">
        <v>0.7895</v>
      </c>
      <c r="Q531" s="152">
        <v>1.14</v>
      </c>
      <c r="R531" s="152">
        <v>35</v>
      </c>
      <c r="S531" s="152">
        <v>248</v>
      </c>
      <c r="T531" s="152">
        <v>305</v>
      </c>
      <c r="U531" s="156">
        <v>1.46</v>
      </c>
      <c r="V531" s="157">
        <v>0.0327</v>
      </c>
      <c r="W531" s="157">
        <v>0.1404</v>
      </c>
      <c r="X531" s="156">
        <v>0.81</v>
      </c>
      <c r="Y531" s="157">
        <v>0.0651</v>
      </c>
      <c r="Z531" s="157">
        <v>0.0054</v>
      </c>
      <c r="AA531" s="152">
        <v>108</v>
      </c>
      <c r="AB531" s="152">
        <v>1.66</v>
      </c>
      <c r="AC531" s="152">
        <v>17.6</v>
      </c>
      <c r="AD531" s="152">
        <v>48</v>
      </c>
      <c r="AE531" s="152">
        <v>264</v>
      </c>
      <c r="AF531" s="157">
        <v>0.0646</v>
      </c>
      <c r="AG531" s="157">
        <v>0.0238</v>
      </c>
      <c r="AH531" s="157">
        <v>0.0043</v>
      </c>
      <c r="AI531" s="142">
        <v>1</v>
      </c>
      <c r="AJ531" s="142">
        <v>500</v>
      </c>
      <c r="AK531" s="171">
        <v>0.03</v>
      </c>
      <c r="AL531" s="163">
        <v>36635</v>
      </c>
      <c r="AM531" s="163">
        <v>2386</v>
      </c>
      <c r="AN531" s="163">
        <v>3485</v>
      </c>
      <c r="AO531" s="142">
        <v>114</v>
      </c>
      <c r="AP531" s="142">
        <v>16</v>
      </c>
      <c r="AQ531" s="142">
        <v>13</v>
      </c>
      <c r="AR531" s="142">
        <v>225</v>
      </c>
      <c r="AS531" s="142">
        <v>83</v>
      </c>
      <c r="AT531" s="142">
        <v>15</v>
      </c>
      <c r="AU531" s="142"/>
      <c r="AV531" s="142"/>
      <c r="AW531" s="142"/>
      <c r="AX531" s="142"/>
      <c r="AY531" s="142"/>
    </row>
    <row r="532">
      <c r="A532" s="143"/>
      <c r="B532" s="152" t="s">
        <v>56</v>
      </c>
      <c r="C532" s="152" t="s">
        <v>116</v>
      </c>
      <c r="D532" s="152" t="s">
        <v>54</v>
      </c>
      <c r="E532" s="152" t="s">
        <v>58</v>
      </c>
      <c r="F532" s="154">
        <v>4323.9</v>
      </c>
      <c r="G532" s="178">
        <v>5621</v>
      </c>
      <c r="H532" s="152">
        <v>16</v>
      </c>
      <c r="I532" s="152">
        <v>11</v>
      </c>
      <c r="J532" s="152">
        <v>1</v>
      </c>
      <c r="K532" s="152">
        <v>1.3</v>
      </c>
      <c r="L532" s="152">
        <v>1.13</v>
      </c>
      <c r="M532" s="152">
        <v>393</v>
      </c>
      <c r="N532" s="152">
        <v>511</v>
      </c>
      <c r="O532" s="156">
        <v>0.09</v>
      </c>
      <c r="P532" s="157">
        <v>0.6875</v>
      </c>
      <c r="Q532" s="152">
        <v>1.11</v>
      </c>
      <c r="R532" s="152">
        <v>30</v>
      </c>
      <c r="S532" s="152">
        <v>333</v>
      </c>
      <c r="T532" s="152">
        <v>540</v>
      </c>
      <c r="U532" s="156">
        <v>1.47</v>
      </c>
      <c r="V532" s="157">
        <v>0.0375</v>
      </c>
      <c r="W532" s="157">
        <v>0.089</v>
      </c>
      <c r="X532" s="156">
        <v>0.62</v>
      </c>
      <c r="Y532" s="157">
        <v>0.0615</v>
      </c>
      <c r="Z532" s="157">
        <v>0.003</v>
      </c>
      <c r="AA532" s="152">
        <v>100</v>
      </c>
      <c r="AB532" s="152">
        <v>1.63</v>
      </c>
      <c r="AC532" s="152">
        <v>15.01</v>
      </c>
      <c r="AD532" s="152">
        <v>40</v>
      </c>
      <c r="AE532" s="152">
        <v>166</v>
      </c>
      <c r="AF532" s="157">
        <v>0.0739</v>
      </c>
      <c r="AG532" s="157">
        <v>0.028</v>
      </c>
      <c r="AH532" s="157">
        <v>0.0067</v>
      </c>
      <c r="AI532" s="142">
        <v>1</v>
      </c>
      <c r="AJ532" s="142">
        <v>500</v>
      </c>
      <c r="AK532" s="171">
        <v>0.03</v>
      </c>
      <c r="AL532" s="163">
        <v>43072</v>
      </c>
      <c r="AM532" s="163">
        <v>2650</v>
      </c>
      <c r="AN532" s="163">
        <v>3896</v>
      </c>
      <c r="AO532" s="142">
        <v>146</v>
      </c>
      <c r="AP532" s="142">
        <v>13</v>
      </c>
      <c r="AQ532" s="142">
        <v>8</v>
      </c>
      <c r="AR532" s="142">
        <v>288</v>
      </c>
      <c r="AS532" s="142">
        <v>109</v>
      </c>
      <c r="AT532" s="142">
        <v>26</v>
      </c>
      <c r="AU532" s="142"/>
      <c r="AV532" s="142"/>
      <c r="AW532" s="142"/>
      <c r="AX532" s="142"/>
      <c r="AY532" s="142"/>
    </row>
    <row r="533">
      <c r="A533" s="143"/>
      <c r="B533" s="152" t="s">
        <v>56</v>
      </c>
      <c r="C533" s="152" t="s">
        <v>116</v>
      </c>
      <c r="D533" s="152" t="s">
        <v>54</v>
      </c>
      <c r="E533" s="152" t="s">
        <v>59</v>
      </c>
      <c r="F533" s="154">
        <v>2766.93</v>
      </c>
      <c r="G533" s="178">
        <v>5124.9</v>
      </c>
      <c r="H533" s="152">
        <v>11</v>
      </c>
      <c r="I533" s="152">
        <v>9</v>
      </c>
      <c r="J533" s="152">
        <v>1</v>
      </c>
      <c r="K533" s="152">
        <v>1.85</v>
      </c>
      <c r="L533" s="152">
        <v>1.53</v>
      </c>
      <c r="M533" s="152">
        <v>307</v>
      </c>
      <c r="N533" s="152">
        <v>569</v>
      </c>
      <c r="O533" s="156">
        <v>0.11</v>
      </c>
      <c r="P533" s="157">
        <v>0.8182</v>
      </c>
      <c r="Q533" s="152">
        <v>0.83</v>
      </c>
      <c r="R533" s="152">
        <v>32</v>
      </c>
      <c r="S533" s="152">
        <v>277</v>
      </c>
      <c r="T533" s="152">
        <v>307</v>
      </c>
      <c r="U533" s="156">
        <v>1.37</v>
      </c>
      <c r="V533" s="157">
        <v>0.0262</v>
      </c>
      <c r="W533" s="157">
        <v>0.1149</v>
      </c>
      <c r="X533" s="156">
        <v>0.9</v>
      </c>
      <c r="Y533" s="157">
        <v>0.0742</v>
      </c>
      <c r="Z533" s="157">
        <v>0.0037</v>
      </c>
      <c r="AA533" s="152">
        <v>85</v>
      </c>
      <c r="AB533" s="152">
        <v>1.14</v>
      </c>
      <c r="AC533" s="152">
        <v>14.64</v>
      </c>
      <c r="AD533" s="152">
        <v>17</v>
      </c>
      <c r="AE533" s="152">
        <v>231</v>
      </c>
      <c r="AF533" s="157">
        <v>0.057</v>
      </c>
      <c r="AG533" s="157">
        <v>0.0488</v>
      </c>
      <c r="AH533" s="157">
        <v>0.0036</v>
      </c>
      <c r="AI533" s="142">
        <v>1</v>
      </c>
      <c r="AJ533" s="142">
        <v>500</v>
      </c>
      <c r="AK533" s="171">
        <v>0.03</v>
      </c>
      <c r="AL533" s="163">
        <v>32589</v>
      </c>
      <c r="AM533" s="163">
        <v>2417</v>
      </c>
      <c r="AN533" s="163">
        <v>3318</v>
      </c>
      <c r="AO533" s="142">
        <v>87</v>
      </c>
      <c r="AP533" s="142">
        <v>10</v>
      </c>
      <c r="AQ533" s="142">
        <v>9</v>
      </c>
      <c r="AR533" s="142">
        <v>189</v>
      </c>
      <c r="AS533" s="142">
        <v>162</v>
      </c>
      <c r="AT533" s="142">
        <v>12</v>
      </c>
      <c r="AU533" s="142"/>
      <c r="AV533" s="142"/>
      <c r="AW533" s="142"/>
      <c r="AX533" s="142"/>
      <c r="AY533" s="142"/>
    </row>
    <row r="534">
      <c r="A534" s="143"/>
      <c r="B534" s="172" t="s">
        <v>117</v>
      </c>
      <c r="C534" s="172"/>
      <c r="D534" s="172"/>
      <c r="E534" s="172"/>
      <c r="F534" s="165">
        <v>12953.8</v>
      </c>
      <c r="G534" s="179">
        <v>23051.6</v>
      </c>
      <c r="H534" s="164">
        <v>53</v>
      </c>
      <c r="I534" s="164">
        <v>41</v>
      </c>
      <c r="J534" s="164">
        <v>6</v>
      </c>
      <c r="K534" s="164">
        <v>1.78</v>
      </c>
      <c r="L534" s="164">
        <v>1.5</v>
      </c>
      <c r="M534" s="164">
        <v>316</v>
      </c>
      <c r="N534" s="164">
        <v>562</v>
      </c>
      <c r="O534" s="166">
        <v>0.15</v>
      </c>
      <c r="P534" s="167">
        <v>0.7736</v>
      </c>
      <c r="Q534" s="164">
        <v>0.96</v>
      </c>
      <c r="R534" s="164">
        <v>30</v>
      </c>
      <c r="S534" s="164">
        <v>288</v>
      </c>
      <c r="T534" s="164">
        <v>370</v>
      </c>
      <c r="U534" s="166">
        <v>1.45</v>
      </c>
      <c r="V534" s="167">
        <v>0.0318</v>
      </c>
      <c r="W534" s="167">
        <v>0.1054</v>
      </c>
      <c r="X534" s="166">
        <v>0.78</v>
      </c>
      <c r="Y534" s="167">
        <v>0.0707</v>
      </c>
      <c r="Z534" s="167">
        <v>0.0038</v>
      </c>
      <c r="AA534" s="164">
        <v>99</v>
      </c>
      <c r="AB534" s="164">
        <v>1.4</v>
      </c>
      <c r="AC534" s="164">
        <v>14.52</v>
      </c>
      <c r="AD534" s="164">
        <v>30</v>
      </c>
      <c r="AE534" s="164">
        <v>196</v>
      </c>
      <c r="AF534" s="167">
        <v>0.0664</v>
      </c>
      <c r="AG534" s="167">
        <v>0.0327</v>
      </c>
      <c r="AH534" s="167">
        <v>0.0049</v>
      </c>
      <c r="AI534" s="168">
        <v>4</v>
      </c>
      <c r="AJ534" s="168">
        <v>500</v>
      </c>
      <c r="AK534" s="169">
        <v>0.03</v>
      </c>
      <c r="AL534" s="170">
        <v>131152</v>
      </c>
      <c r="AM534" s="170">
        <v>9275</v>
      </c>
      <c r="AN534" s="170">
        <v>13432</v>
      </c>
      <c r="AO534" s="168">
        <v>427</v>
      </c>
      <c r="AP534" s="168">
        <v>45</v>
      </c>
      <c r="AQ534" s="168">
        <v>35</v>
      </c>
      <c r="AR534" s="168">
        <v>892</v>
      </c>
      <c r="AS534" s="168">
        <v>439</v>
      </c>
      <c r="AT534" s="168">
        <v>66</v>
      </c>
      <c r="AU534" s="161"/>
      <c r="AV534" s="161"/>
      <c r="AW534" s="161"/>
      <c r="AX534" s="161"/>
      <c r="AY534" s="161"/>
    </row>
    <row r="535">
      <c r="A535" s="143"/>
      <c r="B535" s="152" t="s">
        <v>56</v>
      </c>
      <c r="C535" s="152" t="s">
        <v>116</v>
      </c>
      <c r="D535" s="152" t="s">
        <v>69</v>
      </c>
      <c r="E535" s="152" t="s">
        <v>61</v>
      </c>
      <c r="F535" s="154">
        <v>2385.25</v>
      </c>
      <c r="G535" s="178">
        <v>1353</v>
      </c>
      <c r="H535" s="152">
        <v>4</v>
      </c>
      <c r="I535" s="152">
        <v>3</v>
      </c>
      <c r="J535" s="152">
        <v>0</v>
      </c>
      <c r="K535" s="152">
        <v>0.57</v>
      </c>
      <c r="L535" s="152">
        <v>0.46</v>
      </c>
      <c r="M535" s="152">
        <v>795</v>
      </c>
      <c r="N535" s="152">
        <v>451</v>
      </c>
      <c r="O535" s="156">
        <v>0</v>
      </c>
      <c r="P535" s="157">
        <v>0.75</v>
      </c>
      <c r="Q535" s="152">
        <v>3.18</v>
      </c>
      <c r="R535" s="152">
        <v>31</v>
      </c>
      <c r="S535" s="152">
        <v>596</v>
      </c>
      <c r="T535" s="185">
        <v>2385</v>
      </c>
      <c r="U535" s="156">
        <v>1.15</v>
      </c>
      <c r="V535" s="157">
        <v>0.1012</v>
      </c>
      <c r="W535" s="157">
        <v>0.0526</v>
      </c>
      <c r="X535" s="156">
        <v>0.25</v>
      </c>
      <c r="Y535" s="157">
        <v>0.0276</v>
      </c>
      <c r="Z535" s="157">
        <v>0.0015</v>
      </c>
      <c r="AA535" s="152">
        <v>101</v>
      </c>
      <c r="AB535" s="152">
        <v>3.64</v>
      </c>
      <c r="AC535" s="152">
        <v>24.85</v>
      </c>
      <c r="AD535" s="152">
        <v>31</v>
      </c>
      <c r="AE535" s="152">
        <v>477</v>
      </c>
      <c r="AF535" s="157">
        <v>0.1278</v>
      </c>
      <c r="AG535" s="157">
        <v>0.1025</v>
      </c>
      <c r="AH535" s="157">
        <v>0.0067</v>
      </c>
      <c r="AI535" s="142">
        <v>1</v>
      </c>
      <c r="AJ535" s="142">
        <v>500</v>
      </c>
      <c r="AK535" s="171">
        <v>0.03</v>
      </c>
      <c r="AL535" s="163">
        <v>23707</v>
      </c>
      <c r="AM535" s="142">
        <v>655</v>
      </c>
      <c r="AN535" s="142">
        <v>751</v>
      </c>
      <c r="AO535" s="142">
        <v>76</v>
      </c>
      <c r="AP535" s="142">
        <v>4</v>
      </c>
      <c r="AQ535" s="142">
        <v>1</v>
      </c>
      <c r="AR535" s="142">
        <v>96</v>
      </c>
      <c r="AS535" s="142">
        <v>77</v>
      </c>
      <c r="AT535" s="142">
        <v>5</v>
      </c>
      <c r="AU535" s="142"/>
      <c r="AV535" s="142"/>
      <c r="AW535" s="142"/>
      <c r="AX535" s="142"/>
      <c r="AY535" s="142"/>
    </row>
    <row r="536">
      <c r="A536" s="143"/>
      <c r="B536" s="152" t="s">
        <v>56</v>
      </c>
      <c r="C536" s="152" t="s">
        <v>116</v>
      </c>
      <c r="D536" s="152" t="s">
        <v>69</v>
      </c>
      <c r="E536" s="152" t="s">
        <v>62</v>
      </c>
      <c r="F536" s="154">
        <v>6082.02</v>
      </c>
      <c r="G536" s="178">
        <v>12203.4</v>
      </c>
      <c r="H536" s="152">
        <v>29</v>
      </c>
      <c r="I536" s="152">
        <v>19</v>
      </c>
      <c r="J536" s="152">
        <v>4</v>
      </c>
      <c r="K536" s="152">
        <v>2.01</v>
      </c>
      <c r="L536" s="152">
        <v>1.8</v>
      </c>
      <c r="M536" s="152">
        <v>320</v>
      </c>
      <c r="N536" s="152">
        <v>642</v>
      </c>
      <c r="O536" s="156">
        <v>0.21</v>
      </c>
      <c r="P536" s="157">
        <v>0.6552</v>
      </c>
      <c r="Q536" s="152">
        <v>1.17</v>
      </c>
      <c r="R536" s="152">
        <v>31</v>
      </c>
      <c r="S536" s="152">
        <v>304</v>
      </c>
      <c r="T536" s="152">
        <v>405</v>
      </c>
      <c r="U536" s="156">
        <v>1.33</v>
      </c>
      <c r="V536" s="157">
        <v>0.0378</v>
      </c>
      <c r="W536" s="157">
        <v>0.1015</v>
      </c>
      <c r="X536" s="156">
        <v>0.75</v>
      </c>
      <c r="Y536" s="157">
        <v>0.0631</v>
      </c>
      <c r="Z536" s="157">
        <v>0.0038</v>
      </c>
      <c r="AA536" s="152">
        <v>98</v>
      </c>
      <c r="AB536" s="152">
        <v>1.56</v>
      </c>
      <c r="AC536" s="152">
        <v>18.16</v>
      </c>
      <c r="AD536" s="152">
        <v>44</v>
      </c>
      <c r="AE536" s="152">
        <v>253</v>
      </c>
      <c r="AF536" s="157">
        <v>0.0643</v>
      </c>
      <c r="AG536" s="157">
        <v>0.0267</v>
      </c>
      <c r="AH536" s="157">
        <v>0.0046</v>
      </c>
      <c r="AI536" s="142">
        <v>1</v>
      </c>
      <c r="AJ536" s="142">
        <v>500</v>
      </c>
      <c r="AK536" s="171">
        <v>0.03</v>
      </c>
      <c r="AL536" s="163">
        <v>61891</v>
      </c>
      <c r="AM536" s="163">
        <v>3905</v>
      </c>
      <c r="AN536" s="163">
        <v>5206</v>
      </c>
      <c r="AO536" s="142">
        <v>197</v>
      </c>
      <c r="AP536" s="142">
        <v>20</v>
      </c>
      <c r="AQ536" s="142">
        <v>15</v>
      </c>
      <c r="AR536" s="142">
        <v>335</v>
      </c>
      <c r="AS536" s="142">
        <v>139</v>
      </c>
      <c r="AT536" s="142">
        <v>24</v>
      </c>
      <c r="AU536" s="142"/>
      <c r="AV536" s="142"/>
      <c r="AW536" s="142"/>
      <c r="AX536" s="142"/>
      <c r="AY536" s="142"/>
    </row>
    <row r="537">
      <c r="A537" s="143"/>
      <c r="B537" s="152" t="s">
        <v>56</v>
      </c>
      <c r="C537" s="152" t="s">
        <v>116</v>
      </c>
      <c r="D537" s="152" t="s">
        <v>69</v>
      </c>
      <c r="E537" s="152" t="s">
        <v>63</v>
      </c>
      <c r="F537" s="154">
        <v>6518.45</v>
      </c>
      <c r="G537" s="178">
        <v>16638.6</v>
      </c>
      <c r="H537" s="152">
        <v>33</v>
      </c>
      <c r="I537" s="152">
        <v>23</v>
      </c>
      <c r="J537" s="152">
        <v>5</v>
      </c>
      <c r="K537" s="152">
        <v>2.55</v>
      </c>
      <c r="L537" s="152">
        <v>2.31</v>
      </c>
      <c r="M537" s="152">
        <v>283</v>
      </c>
      <c r="N537" s="152">
        <v>723</v>
      </c>
      <c r="O537" s="156">
        <v>0.22</v>
      </c>
      <c r="P537" s="157">
        <v>0.697</v>
      </c>
      <c r="Q537" s="152">
        <v>1</v>
      </c>
      <c r="R537" s="152">
        <v>29</v>
      </c>
      <c r="S537" s="152">
        <v>272</v>
      </c>
      <c r="T537" s="152">
        <v>310</v>
      </c>
      <c r="U537" s="156">
        <v>1.46</v>
      </c>
      <c r="V537" s="157">
        <v>0.0348</v>
      </c>
      <c r="W537" s="157">
        <v>0.1053</v>
      </c>
      <c r="X537" s="156">
        <v>0.88</v>
      </c>
      <c r="Y537" s="157">
        <v>0.0585</v>
      </c>
      <c r="Z537" s="157">
        <v>0.0047</v>
      </c>
      <c r="AA537" s="152">
        <v>85</v>
      </c>
      <c r="AB537" s="152">
        <v>1.45</v>
      </c>
      <c r="AC537" s="152">
        <v>14.02</v>
      </c>
      <c r="AD537" s="152">
        <v>24</v>
      </c>
      <c r="AE537" s="152">
        <v>181</v>
      </c>
      <c r="AF537" s="157">
        <v>0.071</v>
      </c>
      <c r="AG537" s="157">
        <v>0.0415</v>
      </c>
      <c r="AH537" s="157">
        <v>0.0055</v>
      </c>
      <c r="AI537" s="142">
        <v>1</v>
      </c>
      <c r="AJ537" s="142">
        <v>500</v>
      </c>
      <c r="AK537" s="171">
        <v>0.03</v>
      </c>
      <c r="AL537" s="163">
        <v>76737</v>
      </c>
      <c r="AM537" s="163">
        <v>4491</v>
      </c>
      <c r="AN537" s="163">
        <v>6547</v>
      </c>
      <c r="AO537" s="142">
        <v>228</v>
      </c>
      <c r="AP537" s="142">
        <v>24</v>
      </c>
      <c r="AQ537" s="142">
        <v>21</v>
      </c>
      <c r="AR537" s="142">
        <v>465</v>
      </c>
      <c r="AS537" s="142">
        <v>272</v>
      </c>
      <c r="AT537" s="142">
        <v>36</v>
      </c>
      <c r="AU537" s="142"/>
      <c r="AV537" s="142"/>
      <c r="AW537" s="142"/>
      <c r="AX537" s="142"/>
      <c r="AY537" s="142"/>
    </row>
    <row r="538">
      <c r="A538" s="143"/>
      <c r="B538" s="152" t="s">
        <v>56</v>
      </c>
      <c r="C538" s="152" t="s">
        <v>116</v>
      </c>
      <c r="D538" s="152" t="s">
        <v>69</v>
      </c>
      <c r="E538" s="152" t="s">
        <v>64</v>
      </c>
      <c r="F538" s="154">
        <v>1072.58</v>
      </c>
      <c r="G538" s="178">
        <v>4253.7</v>
      </c>
      <c r="H538" s="152">
        <v>8</v>
      </c>
      <c r="I538" s="152">
        <v>7</v>
      </c>
      <c r="J538" s="152">
        <v>1</v>
      </c>
      <c r="K538" s="152">
        <v>3.97</v>
      </c>
      <c r="L538" s="152">
        <v>2.65</v>
      </c>
      <c r="M538" s="152">
        <v>153</v>
      </c>
      <c r="N538" s="152">
        <v>608</v>
      </c>
      <c r="O538" s="156">
        <v>0.14</v>
      </c>
      <c r="P538" s="157">
        <v>0.875</v>
      </c>
      <c r="Q538" s="152">
        <v>2.65</v>
      </c>
      <c r="R538" s="152">
        <v>23</v>
      </c>
      <c r="S538" s="152">
        <v>536</v>
      </c>
      <c r="T538" s="152">
        <v>358</v>
      </c>
      <c r="U538" s="156">
        <v>1.37</v>
      </c>
      <c r="V538" s="157">
        <v>0.1163</v>
      </c>
      <c r="W538" s="157">
        <v>0.0426</v>
      </c>
      <c r="X538" s="156">
        <v>1.5</v>
      </c>
      <c r="Y538" s="157">
        <v>0.0267</v>
      </c>
      <c r="Z538" s="157">
        <v>0.0102</v>
      </c>
      <c r="AA538" s="152">
        <v>97</v>
      </c>
      <c r="AB538" s="152">
        <v>3.64</v>
      </c>
      <c r="AC538" s="152">
        <v>16.25</v>
      </c>
      <c r="AD538" s="152">
        <v>14</v>
      </c>
      <c r="AE538" s="152">
        <v>45</v>
      </c>
      <c r="AF538" s="157">
        <v>0.1634</v>
      </c>
      <c r="AG538" s="157">
        <v>0.1856</v>
      </c>
      <c r="AH538" s="157">
        <v>0.0594</v>
      </c>
      <c r="AI538" s="142">
        <v>1</v>
      </c>
      <c r="AJ538" s="142">
        <v>500</v>
      </c>
      <c r="AK538" s="171">
        <v>0.03</v>
      </c>
      <c r="AL538" s="163">
        <v>11043</v>
      </c>
      <c r="AM538" s="142">
        <v>295</v>
      </c>
      <c r="AN538" s="142">
        <v>404</v>
      </c>
      <c r="AO538" s="142">
        <v>47</v>
      </c>
      <c r="AP538" s="142">
        <v>2</v>
      </c>
      <c r="AQ538" s="142">
        <v>3</v>
      </c>
      <c r="AR538" s="142">
        <v>66</v>
      </c>
      <c r="AS538" s="142">
        <v>75</v>
      </c>
      <c r="AT538" s="142">
        <v>24</v>
      </c>
      <c r="AU538" s="142"/>
      <c r="AV538" s="142"/>
      <c r="AW538" s="142"/>
      <c r="AX538" s="142"/>
      <c r="AY538" s="142"/>
    </row>
    <row r="539">
      <c r="A539" s="143"/>
      <c r="B539" s="172" t="s">
        <v>117</v>
      </c>
      <c r="C539" s="172"/>
      <c r="D539" s="172"/>
      <c r="E539" s="172"/>
      <c r="F539" s="173">
        <v>16058.3</v>
      </c>
      <c r="G539" s="180">
        <v>34448.7</v>
      </c>
      <c r="H539" s="172">
        <v>74</v>
      </c>
      <c r="I539" s="172">
        <v>52</v>
      </c>
      <c r="J539" s="172">
        <v>10</v>
      </c>
      <c r="K539" s="164">
        <v>2.15</v>
      </c>
      <c r="L539" s="164">
        <v>1.86</v>
      </c>
      <c r="M539" s="164">
        <v>309</v>
      </c>
      <c r="N539" s="164">
        <v>662</v>
      </c>
      <c r="O539" s="166">
        <v>0.19</v>
      </c>
      <c r="P539" s="167">
        <v>0.7027</v>
      </c>
      <c r="Q539" s="164">
        <v>1.24</v>
      </c>
      <c r="R539" s="164">
        <v>29</v>
      </c>
      <c r="S539" s="164">
        <v>321</v>
      </c>
      <c r="T539" s="164">
        <v>401</v>
      </c>
      <c r="U539" s="166">
        <v>1.38</v>
      </c>
      <c r="V539" s="167">
        <v>0.0425</v>
      </c>
      <c r="W539" s="167">
        <v>0.0912</v>
      </c>
      <c r="X539" s="166">
        <v>0.8</v>
      </c>
      <c r="Y539" s="167">
        <v>0.0539</v>
      </c>
      <c r="Z539" s="167">
        <v>0.0043</v>
      </c>
      <c r="AA539" s="164">
        <v>93</v>
      </c>
      <c r="AB539" s="164">
        <v>1.72</v>
      </c>
      <c r="AC539" s="164">
        <v>16.69</v>
      </c>
      <c r="AD539" s="164">
        <v>29</v>
      </c>
      <c r="AE539" s="164">
        <v>180</v>
      </c>
      <c r="AF539" s="167">
        <v>0.0745</v>
      </c>
      <c r="AG539" s="167">
        <v>0.0436</v>
      </c>
      <c r="AH539" s="167">
        <v>0.0069</v>
      </c>
      <c r="AI539" s="168">
        <v>4</v>
      </c>
      <c r="AJ539" s="168">
        <v>500</v>
      </c>
      <c r="AK539" s="169">
        <v>0.03</v>
      </c>
      <c r="AL539" s="170">
        <v>173378</v>
      </c>
      <c r="AM539" s="170">
        <v>9346</v>
      </c>
      <c r="AN539" s="170">
        <v>12908</v>
      </c>
      <c r="AO539" s="168">
        <v>548</v>
      </c>
      <c r="AP539" s="168">
        <v>50</v>
      </c>
      <c r="AQ539" s="168">
        <v>40</v>
      </c>
      <c r="AR539" s="168">
        <v>962</v>
      </c>
      <c r="AS539" s="168">
        <v>563</v>
      </c>
      <c r="AT539" s="168">
        <v>89</v>
      </c>
      <c r="AU539" s="161"/>
      <c r="AV539" s="161"/>
      <c r="AW539" s="161"/>
      <c r="AX539" s="161"/>
      <c r="AY539" s="161"/>
    </row>
    <row r="540">
      <c r="A540" s="143"/>
      <c r="B540" s="144" t="s">
        <v>118</v>
      </c>
      <c r="C540" s="144"/>
      <c r="D540" s="144"/>
      <c r="E540" s="144"/>
      <c r="F540" s="174">
        <v>51939.88</v>
      </c>
      <c r="G540" s="181">
        <v>98278.4</v>
      </c>
      <c r="H540" s="144">
        <v>211</v>
      </c>
      <c r="I540" s="144">
        <v>157</v>
      </c>
      <c r="J540" s="144">
        <v>27</v>
      </c>
      <c r="K540" s="175">
        <v>1.89</v>
      </c>
      <c r="L540" s="175">
        <v>1.6</v>
      </c>
      <c r="M540" s="175">
        <v>331</v>
      </c>
      <c r="N540" s="175">
        <v>626</v>
      </c>
      <c r="O540" s="176">
        <v>0.17</v>
      </c>
      <c r="P540" s="177">
        <v>0.7441</v>
      </c>
      <c r="Q540" s="175">
        <v>1.17</v>
      </c>
      <c r="R540" s="175">
        <v>32</v>
      </c>
      <c r="S540" s="175">
        <v>313</v>
      </c>
      <c r="T540" s="175">
        <v>396</v>
      </c>
      <c r="U540" s="176">
        <v>1.47</v>
      </c>
      <c r="V540" s="177">
        <v>0.0368</v>
      </c>
      <c r="W540" s="177">
        <v>0.1018</v>
      </c>
      <c r="X540" s="176">
        <v>0.79</v>
      </c>
      <c r="Y540" s="177">
        <v>0.0583</v>
      </c>
      <c r="Z540" s="177">
        <v>0.0044</v>
      </c>
      <c r="AA540" s="175">
        <v>101</v>
      </c>
      <c r="AB540" s="175">
        <v>1.73</v>
      </c>
      <c r="AC540" s="175">
        <v>15.33</v>
      </c>
      <c r="AD540" s="175">
        <v>27</v>
      </c>
      <c r="AE540" s="175">
        <v>197</v>
      </c>
      <c r="AF540" s="177">
        <v>0.0765</v>
      </c>
      <c r="AG540" s="177">
        <v>0.0441</v>
      </c>
      <c r="AH540" s="177">
        <v>0.006</v>
      </c>
      <c r="AI540" s="149">
        <v>16</v>
      </c>
      <c r="AJ540" s="149">
        <v>500</v>
      </c>
      <c r="AK540" s="150">
        <v>0.03</v>
      </c>
      <c r="AL540" s="151">
        <v>516192</v>
      </c>
      <c r="AM540" s="151">
        <v>30109</v>
      </c>
      <c r="AN540" s="151">
        <v>44296</v>
      </c>
      <c r="AO540" s="151">
        <v>1631</v>
      </c>
      <c r="AP540" s="149">
        <v>166</v>
      </c>
      <c r="AQ540" s="149">
        <v>131</v>
      </c>
      <c r="AR540" s="151">
        <v>3389</v>
      </c>
      <c r="AS540" s="151">
        <v>1955</v>
      </c>
      <c r="AT540" s="149">
        <v>264</v>
      </c>
      <c r="AU540" s="149"/>
      <c r="AV540" s="149"/>
      <c r="AW540" s="149"/>
      <c r="AX540" s="149"/>
      <c r="AY540" s="149"/>
    </row>
    <row r="541">
      <c r="A541" s="137"/>
      <c r="B541" s="137"/>
      <c r="C541" s="137"/>
      <c r="D541" s="137"/>
      <c r="E541" s="137"/>
      <c r="F541" s="138" t="s">
        <v>77</v>
      </c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9" t="s">
        <v>3</v>
      </c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  <c r="AB541" s="139"/>
      <c r="AC541" s="140" t="s">
        <v>78</v>
      </c>
      <c r="AD541" s="140"/>
      <c r="AE541" s="140"/>
      <c r="AF541" s="140"/>
      <c r="AG541" s="140"/>
      <c r="AH541" s="140"/>
      <c r="AI541" s="141" t="s">
        <v>79</v>
      </c>
      <c r="AJ541" s="141"/>
      <c r="AK541" s="141"/>
      <c r="AL541" s="141"/>
      <c r="AM541" s="141"/>
      <c r="AN541" s="141"/>
      <c r="AO541" s="141"/>
      <c r="AP541" s="142"/>
      <c r="AQ541" s="142"/>
      <c r="AR541" s="142"/>
      <c r="AS541" s="142"/>
      <c r="AT541" s="142"/>
      <c r="AU541" s="142"/>
      <c r="AV541" s="142"/>
      <c r="AW541" s="142"/>
      <c r="AX541" s="142"/>
      <c r="AY541" s="142"/>
    </row>
    <row r="542">
      <c r="A542" s="137" t="s">
        <v>66</v>
      </c>
      <c r="B542" s="137" t="s">
        <v>80</v>
      </c>
      <c r="C542" s="137" t="s">
        <v>81</v>
      </c>
      <c r="D542" s="137" t="s">
        <v>4</v>
      </c>
      <c r="E542" s="137" t="s">
        <v>82</v>
      </c>
      <c r="F542" s="138" t="s">
        <v>83</v>
      </c>
      <c r="G542" s="182" t="s">
        <v>10</v>
      </c>
      <c r="H542" s="138" t="s">
        <v>7</v>
      </c>
      <c r="I542" s="138" t="s">
        <v>8</v>
      </c>
      <c r="J542" s="138" t="s">
        <v>84</v>
      </c>
      <c r="K542" s="138" t="s">
        <v>85</v>
      </c>
      <c r="L542" s="138" t="s">
        <v>86</v>
      </c>
      <c r="M542" s="138" t="s">
        <v>13</v>
      </c>
      <c r="N542" s="138" t="s">
        <v>16</v>
      </c>
      <c r="O542" s="138" t="s">
        <v>87</v>
      </c>
      <c r="P542" s="138" t="s">
        <v>88</v>
      </c>
      <c r="Q542" s="139" t="s">
        <v>89</v>
      </c>
      <c r="R542" s="139" t="s">
        <v>90</v>
      </c>
      <c r="S542" s="139" t="s">
        <v>91</v>
      </c>
      <c r="T542" s="139" t="s">
        <v>92</v>
      </c>
      <c r="U542" s="139" t="s">
        <v>93</v>
      </c>
      <c r="V542" s="139" t="s">
        <v>94</v>
      </c>
      <c r="W542" s="139" t="s">
        <v>95</v>
      </c>
      <c r="X542" s="139" t="s">
        <v>96</v>
      </c>
      <c r="Y542" s="139" t="s">
        <v>97</v>
      </c>
      <c r="Z542" s="139" t="s">
        <v>98</v>
      </c>
      <c r="AA542" s="139" t="s">
        <v>99</v>
      </c>
      <c r="AB542" s="139" t="s">
        <v>100</v>
      </c>
      <c r="AC542" s="140" t="s">
        <v>101</v>
      </c>
      <c r="AD542" s="140" t="s">
        <v>102</v>
      </c>
      <c r="AE542" s="140" t="s">
        <v>103</v>
      </c>
      <c r="AF542" s="140" t="s">
        <v>104</v>
      </c>
      <c r="AG542" s="140" t="s">
        <v>105</v>
      </c>
      <c r="AH542" s="140" t="s">
        <v>106</v>
      </c>
      <c r="AI542" s="142" t="s">
        <v>107</v>
      </c>
      <c r="AJ542" s="142" t="s">
        <v>108</v>
      </c>
      <c r="AK542" s="142" t="s">
        <v>109</v>
      </c>
      <c r="AL542" s="142" t="s">
        <v>110</v>
      </c>
      <c r="AM542" s="142" t="s">
        <v>27</v>
      </c>
      <c r="AN542" s="142" t="s">
        <v>29</v>
      </c>
      <c r="AO542" s="142" t="s">
        <v>28</v>
      </c>
      <c r="AP542" s="142" t="s">
        <v>111</v>
      </c>
      <c r="AQ542" s="142" t="s">
        <v>112</v>
      </c>
      <c r="AR542" s="142" t="s">
        <v>113</v>
      </c>
      <c r="AS542" s="142" t="s">
        <v>30</v>
      </c>
      <c r="AT542" s="142" t="s">
        <v>31</v>
      </c>
      <c r="AU542" s="142" t="s">
        <v>114</v>
      </c>
      <c r="AV542" s="142"/>
      <c r="AW542" s="142"/>
      <c r="AX542" s="142"/>
      <c r="AY542" s="142"/>
    </row>
    <row r="543">
      <c r="A543" s="143">
        <v>46226</v>
      </c>
      <c r="B543" s="144" t="s">
        <v>115</v>
      </c>
      <c r="C543" s="144"/>
      <c r="D543" s="144"/>
      <c r="E543" s="144"/>
      <c r="F543" s="145">
        <v>55647.99</v>
      </c>
      <c r="G543" s="183">
        <v>103185.5</v>
      </c>
      <c r="H543" s="146">
        <v>206</v>
      </c>
      <c r="I543" s="146">
        <v>166</v>
      </c>
      <c r="J543" s="146">
        <v>27</v>
      </c>
      <c r="K543" s="144">
        <v>1.85</v>
      </c>
      <c r="L543" s="144">
        <v>1.58</v>
      </c>
      <c r="M543" s="144">
        <v>335</v>
      </c>
      <c r="N543" s="144">
        <v>622</v>
      </c>
      <c r="O543" s="147">
        <v>0.16</v>
      </c>
      <c r="P543" s="148">
        <v>0.8058</v>
      </c>
      <c r="Q543" s="144">
        <v>0.98</v>
      </c>
      <c r="R543" s="144">
        <v>35</v>
      </c>
      <c r="S543" s="144">
        <v>339</v>
      </c>
      <c r="T543" s="144">
        <v>412</v>
      </c>
      <c r="U543" s="147">
        <v>1.37</v>
      </c>
      <c r="V543" s="148">
        <v>0.0283</v>
      </c>
      <c r="W543" s="148">
        <v>0.1019</v>
      </c>
      <c r="X543" s="147">
        <v>0.82</v>
      </c>
      <c r="Y543" s="148">
        <v>0.0738</v>
      </c>
      <c r="Z543" s="148">
        <v>0.0033</v>
      </c>
      <c r="AA543" s="144">
        <v>99</v>
      </c>
      <c r="AB543" s="144">
        <v>1.34</v>
      </c>
      <c r="AC543" s="144">
        <v>13.79</v>
      </c>
      <c r="AD543" s="144">
        <v>26</v>
      </c>
      <c r="AE543" s="144">
        <v>189</v>
      </c>
      <c r="AF543" s="148">
        <v>0.0708</v>
      </c>
      <c r="AG543" s="148">
        <v>0.0379</v>
      </c>
      <c r="AH543" s="148">
        <v>0.0052</v>
      </c>
      <c r="AI543" s="149">
        <v>16</v>
      </c>
      <c r="AJ543" s="149">
        <v>500</v>
      </c>
      <c r="AK543" s="150">
        <v>0.03</v>
      </c>
      <c r="AL543" s="151">
        <v>561931</v>
      </c>
      <c r="AM543" s="151">
        <v>41455</v>
      </c>
      <c r="AN543" s="151">
        <v>56967</v>
      </c>
      <c r="AO543" s="151">
        <v>1610</v>
      </c>
      <c r="AP543" s="149">
        <v>164</v>
      </c>
      <c r="AQ543" s="149">
        <v>135</v>
      </c>
      <c r="AR543" s="151">
        <v>4035</v>
      </c>
      <c r="AS543" s="151">
        <v>2157</v>
      </c>
      <c r="AT543" s="149">
        <v>295</v>
      </c>
      <c r="AU543" s="149"/>
      <c r="AV543" s="149"/>
      <c r="AW543" s="149"/>
      <c r="AX543" s="149"/>
      <c r="AY543" s="149"/>
    </row>
    <row r="544">
      <c r="A544" s="143"/>
      <c r="B544" s="152" t="s">
        <v>56</v>
      </c>
      <c r="C544" s="152" t="s">
        <v>116</v>
      </c>
      <c r="D544" s="152" t="s">
        <v>69</v>
      </c>
      <c r="E544" s="152" t="s">
        <v>119</v>
      </c>
      <c r="F544" s="152">
        <v>0</v>
      </c>
      <c r="G544" s="178">
        <v>781</v>
      </c>
      <c r="H544" s="152">
        <v>1</v>
      </c>
      <c r="I544" s="152">
        <v>1</v>
      </c>
      <c r="J544" s="152">
        <v>0</v>
      </c>
      <c r="K544" s="152" t="str">
        <v>#DIV/0!</v>
      </c>
      <c r="L544" s="152" t="str">
        <v>#DIV/0!</v>
      </c>
      <c r="M544" s="152">
        <v>0</v>
      </c>
      <c r="N544" s="152">
        <v>781</v>
      </c>
      <c r="O544" s="156">
        <v>0</v>
      </c>
      <c r="P544" s="157">
        <v>1</v>
      </c>
      <c r="Q544" s="152" t="str">
        <v>#DIV/0!</v>
      </c>
      <c r="R544" s="152" t="str">
        <v>#DIV/0!</v>
      </c>
      <c r="S544" s="152" t="str">
        <v>#DIV/0!</v>
      </c>
      <c r="T544" s="152" t="str">
        <v>#DIV/0!</v>
      </c>
      <c r="U544" s="152" t="str">
        <v>#DIV/0!</v>
      </c>
      <c r="V544" s="152" t="str">
        <v>#DIV/0!</v>
      </c>
      <c r="W544" s="152" t="str">
        <v>#DIV/0!</v>
      </c>
      <c r="X544" s="152" t="str">
        <v>#DIV/0!</v>
      </c>
      <c r="Y544" s="152" t="str">
        <v>#DIV/0!</v>
      </c>
      <c r="Z544" s="152" t="str">
        <v>#DIV/0!</v>
      </c>
      <c r="AA544" s="152" t="str">
        <v>#DIV/0!</v>
      </c>
      <c r="AB544" s="152" t="str">
        <v>#DIV/0!</v>
      </c>
      <c r="AC544" s="152" t="str">
        <v>#DIV/0!</v>
      </c>
      <c r="AD544" s="152" t="str">
        <v>#DIV/0!</v>
      </c>
      <c r="AE544" s="152" t="str">
        <v>#DIV/0!</v>
      </c>
      <c r="AF544" s="152" t="str">
        <v>#DIV/0!</v>
      </c>
      <c r="AG544" s="152" t="str">
        <v>#DIV/0!</v>
      </c>
      <c r="AH544" s="152" t="str">
        <v>#DIV/0!</v>
      </c>
      <c r="AI544" s="142"/>
      <c r="AJ544" s="142"/>
      <c r="AK544" s="142"/>
      <c r="AL544" s="142"/>
      <c r="AM544" s="142"/>
      <c r="AN544" s="142"/>
      <c r="AO544" s="142"/>
      <c r="AP544" s="142"/>
      <c r="AQ544" s="142"/>
      <c r="AR544" s="142"/>
      <c r="AS544" s="142"/>
      <c r="AT544" s="142"/>
      <c r="AU544" s="186"/>
      <c r="AV544" s="186"/>
      <c r="AW544" s="186"/>
      <c r="AX544" s="186"/>
      <c r="AY544" s="186"/>
    </row>
    <row r="545">
      <c r="A545" s="143"/>
      <c r="B545" s="172" t="s">
        <v>117</v>
      </c>
      <c r="C545" s="172"/>
      <c r="D545" s="172"/>
      <c r="E545" s="172"/>
      <c r="F545" s="172">
        <v>0</v>
      </c>
      <c r="G545" s="180">
        <v>781</v>
      </c>
      <c r="H545" s="172">
        <v>1</v>
      </c>
      <c r="I545" s="172">
        <v>1</v>
      </c>
      <c r="J545" s="172">
        <v>0</v>
      </c>
      <c r="K545" s="164" t="str">
        <v>#DIV/0!</v>
      </c>
      <c r="L545" s="164" t="str">
        <v>#DIV/0!</v>
      </c>
      <c r="M545" s="164">
        <v>0</v>
      </c>
      <c r="N545" s="164">
        <v>781</v>
      </c>
      <c r="O545" s="166">
        <v>0</v>
      </c>
      <c r="P545" s="167">
        <v>1</v>
      </c>
      <c r="Q545" s="164" t="str">
        <v>#DIV/0!</v>
      </c>
      <c r="R545" s="164" t="str">
        <v>#DIV/0!</v>
      </c>
      <c r="S545" s="164" t="str">
        <v>#DIV/0!</v>
      </c>
      <c r="T545" s="164" t="str">
        <v>#DIV/0!</v>
      </c>
      <c r="U545" s="164" t="str">
        <v>#DIV/0!</v>
      </c>
      <c r="V545" s="164" t="str">
        <v>#DIV/0!</v>
      </c>
      <c r="W545" s="164" t="str">
        <v>#DIV/0!</v>
      </c>
      <c r="X545" s="164" t="str">
        <v>#DIV/0!</v>
      </c>
      <c r="Y545" s="164" t="str">
        <v>#DIV/0!</v>
      </c>
      <c r="Z545" s="164" t="str">
        <v>#DIV/0!</v>
      </c>
      <c r="AA545" s="164" t="str">
        <v>#DIV/0!</v>
      </c>
      <c r="AB545" s="164" t="str">
        <v>#DIV/0!</v>
      </c>
      <c r="AC545" s="164" t="str">
        <v>#DIV/0!</v>
      </c>
      <c r="AD545" s="164" t="str">
        <v>#DIV/0!</v>
      </c>
      <c r="AE545" s="164" t="str">
        <v>#DIV/0!</v>
      </c>
      <c r="AF545" s="164" t="str">
        <v>#DIV/0!</v>
      </c>
      <c r="AG545" s="164" t="str">
        <v>#DIV/0!</v>
      </c>
      <c r="AH545" s="164" t="str">
        <v>#DIV/0!</v>
      </c>
      <c r="AI545" s="168">
        <v>0</v>
      </c>
      <c r="AJ545" s="168">
        <v>0</v>
      </c>
      <c r="AK545" s="169">
        <v>0</v>
      </c>
      <c r="AL545" s="168">
        <v>0</v>
      </c>
      <c r="AM545" s="168">
        <v>0</v>
      </c>
      <c r="AN545" s="168">
        <v>0</v>
      </c>
      <c r="AO545" s="168">
        <v>0</v>
      </c>
      <c r="AP545" s="168">
        <v>0</v>
      </c>
      <c r="AQ545" s="168">
        <v>0</v>
      </c>
      <c r="AR545" s="168">
        <v>0</v>
      </c>
      <c r="AS545" s="168">
        <v>0</v>
      </c>
      <c r="AT545" s="168">
        <v>0</v>
      </c>
      <c r="AU545" s="186"/>
      <c r="AV545" s="186"/>
      <c r="AW545" s="186"/>
      <c r="AX545" s="186"/>
      <c r="AY545" s="186"/>
    </row>
    <row r="546">
      <c r="A546" s="143"/>
      <c r="B546" s="152" t="s">
        <v>40</v>
      </c>
      <c r="C546" s="152" t="s">
        <v>116</v>
      </c>
      <c r="D546" s="152" t="s">
        <v>76</v>
      </c>
      <c r="E546" s="153" t="s">
        <v>43</v>
      </c>
      <c r="F546" s="154">
        <v>3001.73</v>
      </c>
      <c r="G546" s="187">
        <v>6751.8</v>
      </c>
      <c r="H546" s="152">
        <v>12</v>
      </c>
      <c r="I546" s="152">
        <v>10</v>
      </c>
      <c r="J546" s="152">
        <v>1</v>
      </c>
      <c r="K546" s="152">
        <v>2.25</v>
      </c>
      <c r="L546" s="152">
        <v>1.88</v>
      </c>
      <c r="M546" s="152">
        <v>300</v>
      </c>
      <c r="N546" s="152">
        <v>675</v>
      </c>
      <c r="O546" s="156">
        <v>0.1</v>
      </c>
      <c r="P546" s="157">
        <v>0.8333</v>
      </c>
      <c r="Q546" s="152">
        <v>1.55</v>
      </c>
      <c r="R546" s="152">
        <v>41</v>
      </c>
      <c r="S546" s="152">
        <v>273</v>
      </c>
      <c r="T546" s="152">
        <v>334</v>
      </c>
      <c r="U546" s="156">
        <v>1.71</v>
      </c>
      <c r="V546" s="157">
        <v>0.0376</v>
      </c>
      <c r="W546" s="157">
        <v>0.1507</v>
      </c>
      <c r="X546" s="156">
        <v>0.82</v>
      </c>
      <c r="Y546" s="157">
        <v>0.0466</v>
      </c>
      <c r="Z546" s="157">
        <v>0.0079</v>
      </c>
      <c r="AA546" s="152">
        <v>123</v>
      </c>
      <c r="AB546" s="152">
        <v>2.64</v>
      </c>
      <c r="AC546" s="152">
        <v>13.52</v>
      </c>
      <c r="AD546" s="152">
        <v>24</v>
      </c>
      <c r="AE546" s="152">
        <v>188</v>
      </c>
      <c r="AF546" s="157">
        <v>0.1144</v>
      </c>
      <c r="AG546" s="157">
        <v>0.0634</v>
      </c>
      <c r="AH546" s="157">
        <v>0.0082</v>
      </c>
      <c r="AI546" s="142">
        <v>1</v>
      </c>
      <c r="AJ546" s="158">
        <v>500</v>
      </c>
      <c r="AK546" s="171">
        <v>0.03</v>
      </c>
      <c r="AL546" s="163">
        <v>24362</v>
      </c>
      <c r="AM546" s="163">
        <v>1136</v>
      </c>
      <c r="AN546" s="163">
        <v>1940</v>
      </c>
      <c r="AO546" s="142">
        <v>73</v>
      </c>
      <c r="AP546" s="142">
        <v>11</v>
      </c>
      <c r="AQ546" s="142">
        <v>9</v>
      </c>
      <c r="AR546" s="142">
        <v>222</v>
      </c>
      <c r="AS546" s="142">
        <v>123</v>
      </c>
      <c r="AT546" s="142">
        <v>16</v>
      </c>
      <c r="AU546" s="186"/>
      <c r="AV546" s="186"/>
      <c r="AW546" s="186"/>
      <c r="AX546" s="186"/>
      <c r="AY546" s="186"/>
    </row>
    <row r="547">
      <c r="A547" s="143"/>
      <c r="B547" s="152" t="s">
        <v>40</v>
      </c>
      <c r="C547" s="152" t="s">
        <v>116</v>
      </c>
      <c r="D547" s="152" t="s">
        <v>76</v>
      </c>
      <c r="E547" s="152" t="s">
        <v>44</v>
      </c>
      <c r="F547" s="162">
        <v>3057.98</v>
      </c>
      <c r="G547" s="178">
        <v>4189.9</v>
      </c>
      <c r="H547" s="152">
        <v>9</v>
      </c>
      <c r="I547" s="152">
        <v>7</v>
      </c>
      <c r="J547" s="152">
        <v>1</v>
      </c>
      <c r="K547" s="152">
        <v>1.37</v>
      </c>
      <c r="L547" s="152">
        <v>1.15</v>
      </c>
      <c r="M547" s="152">
        <v>437</v>
      </c>
      <c r="N547" s="152">
        <v>599</v>
      </c>
      <c r="O547" s="156">
        <v>0.14</v>
      </c>
      <c r="P547" s="157">
        <v>0.7778</v>
      </c>
      <c r="Q547" s="152">
        <v>1.86</v>
      </c>
      <c r="R547" s="152">
        <v>35</v>
      </c>
      <c r="S547" s="152">
        <v>612</v>
      </c>
      <c r="T547" s="152">
        <v>612</v>
      </c>
      <c r="U547" s="156">
        <v>1.44</v>
      </c>
      <c r="V547" s="157">
        <v>0.0534</v>
      </c>
      <c r="W547" s="157">
        <v>0.0568</v>
      </c>
      <c r="X547" s="156">
        <v>1</v>
      </c>
      <c r="Y547" s="157">
        <v>0.0437</v>
      </c>
      <c r="Z547" s="157">
        <v>0.0044</v>
      </c>
      <c r="AA547" s="152">
        <v>117</v>
      </c>
      <c r="AB547" s="152">
        <v>2.68</v>
      </c>
      <c r="AC547" s="152">
        <v>14.42</v>
      </c>
      <c r="AD547" s="152">
        <v>21</v>
      </c>
      <c r="AE547" s="152">
        <v>153</v>
      </c>
      <c r="AF547" s="157">
        <v>0.1286</v>
      </c>
      <c r="AG547" s="157">
        <v>0.0904</v>
      </c>
      <c r="AH547" s="157">
        <v>0.0121</v>
      </c>
      <c r="AI547" s="142">
        <v>1</v>
      </c>
      <c r="AJ547" s="158">
        <v>500</v>
      </c>
      <c r="AK547" s="171">
        <v>0.03</v>
      </c>
      <c r="AL547" s="163">
        <v>26088</v>
      </c>
      <c r="AM547" s="163">
        <v>1141</v>
      </c>
      <c r="AN547" s="163">
        <v>1648</v>
      </c>
      <c r="AO547" s="142">
        <v>88</v>
      </c>
      <c r="AP547" s="142">
        <v>5</v>
      </c>
      <c r="AQ547" s="142">
        <v>5</v>
      </c>
      <c r="AR547" s="142">
        <v>212</v>
      </c>
      <c r="AS547" s="142">
        <v>149</v>
      </c>
      <c r="AT547" s="142">
        <v>20</v>
      </c>
      <c r="AU547" s="186"/>
      <c r="AV547" s="186"/>
      <c r="AW547" s="186"/>
      <c r="AX547" s="186"/>
      <c r="AY547" s="186"/>
    </row>
    <row r="548">
      <c r="A548" s="143"/>
      <c r="B548" s="152" t="s">
        <v>40</v>
      </c>
      <c r="C548" s="152" t="s">
        <v>116</v>
      </c>
      <c r="D548" s="152" t="s">
        <v>76</v>
      </c>
      <c r="E548" s="152" t="s">
        <v>45</v>
      </c>
      <c r="F548" s="154">
        <v>2461.37</v>
      </c>
      <c r="G548" s="178">
        <v>4665.1</v>
      </c>
      <c r="H548" s="152">
        <v>5</v>
      </c>
      <c r="I548" s="152">
        <v>5</v>
      </c>
      <c r="J548" s="152">
        <v>2</v>
      </c>
      <c r="K548" s="152">
        <v>1.9</v>
      </c>
      <c r="L548" s="152">
        <v>1.54</v>
      </c>
      <c r="M548" s="152">
        <v>492</v>
      </c>
      <c r="N548" s="152">
        <v>933</v>
      </c>
      <c r="O548" s="156">
        <v>0.4</v>
      </c>
      <c r="P548" s="157">
        <v>1</v>
      </c>
      <c r="Q548" s="152">
        <v>3.12</v>
      </c>
      <c r="R548" s="152">
        <v>56</v>
      </c>
      <c r="S548" s="152">
        <v>615</v>
      </c>
      <c r="T548" s="152">
        <v>615</v>
      </c>
      <c r="U548" s="156">
        <v>1.27</v>
      </c>
      <c r="V548" s="157">
        <v>0.0558</v>
      </c>
      <c r="W548" s="157">
        <v>0.0909</v>
      </c>
      <c r="X548" s="156">
        <v>1</v>
      </c>
      <c r="Y548" s="157">
        <v>0.0299</v>
      </c>
      <c r="Z548" s="157">
        <v>0.0065</v>
      </c>
      <c r="AA548" s="152">
        <v>119</v>
      </c>
      <c r="AB548" s="152">
        <v>3.98</v>
      </c>
      <c r="AC548" s="152">
        <v>30.02</v>
      </c>
      <c r="AD548" s="152">
        <v>26</v>
      </c>
      <c r="AE548" s="152">
        <v>615</v>
      </c>
      <c r="AF548" s="157">
        <v>0.1039</v>
      </c>
      <c r="AG548" s="157">
        <v>0.1217</v>
      </c>
      <c r="AH548" s="157">
        <v>0.0051</v>
      </c>
      <c r="AI548" s="142">
        <v>1</v>
      </c>
      <c r="AJ548" s="158">
        <v>500</v>
      </c>
      <c r="AK548" s="171">
        <v>0.03</v>
      </c>
      <c r="AL548" s="163">
        <v>20705</v>
      </c>
      <c r="AM548" s="142">
        <v>619</v>
      </c>
      <c r="AN548" s="142">
        <v>789</v>
      </c>
      <c r="AO548" s="142">
        <v>44</v>
      </c>
      <c r="AP548" s="142">
        <v>4</v>
      </c>
      <c r="AQ548" s="142">
        <v>4</v>
      </c>
      <c r="AR548" s="142">
        <v>82</v>
      </c>
      <c r="AS548" s="142">
        <v>96</v>
      </c>
      <c r="AT548" s="142">
        <v>4</v>
      </c>
      <c r="AU548" s="186"/>
      <c r="AV548" s="186"/>
      <c r="AW548" s="186"/>
      <c r="AX548" s="186"/>
      <c r="AY548" s="186"/>
    </row>
    <row r="549">
      <c r="A549" s="143"/>
      <c r="B549" s="152" t="s">
        <v>40</v>
      </c>
      <c r="C549" s="152" t="s">
        <v>116</v>
      </c>
      <c r="D549" s="152" t="s">
        <v>76</v>
      </c>
      <c r="E549" s="152" t="s">
        <v>48</v>
      </c>
      <c r="F549" s="154">
        <v>3978.92</v>
      </c>
      <c r="G549" s="178">
        <v>4719</v>
      </c>
      <c r="H549" s="152">
        <v>12</v>
      </c>
      <c r="I549" s="152">
        <v>9</v>
      </c>
      <c r="J549" s="152">
        <v>0</v>
      </c>
      <c r="K549" s="152">
        <v>1.19</v>
      </c>
      <c r="L549" s="152">
        <v>1.03</v>
      </c>
      <c r="M549" s="152">
        <v>442</v>
      </c>
      <c r="N549" s="152">
        <v>524</v>
      </c>
      <c r="O549" s="156">
        <v>0</v>
      </c>
      <c r="P549" s="157">
        <v>0.75</v>
      </c>
      <c r="Q549" s="152">
        <v>1.04</v>
      </c>
      <c r="R549" s="152">
        <v>32</v>
      </c>
      <c r="S549" s="152">
        <v>362</v>
      </c>
      <c r="T549" s="152">
        <v>497</v>
      </c>
      <c r="U549" s="156">
        <v>1.33</v>
      </c>
      <c r="V549" s="157">
        <v>0.0328</v>
      </c>
      <c r="W549" s="157">
        <v>0.0873</v>
      </c>
      <c r="X549" s="156">
        <v>0.73</v>
      </c>
      <c r="Y549" s="157">
        <v>0.0645</v>
      </c>
      <c r="Z549" s="157">
        <v>0.0028</v>
      </c>
      <c r="AA549" s="152">
        <v>89</v>
      </c>
      <c r="AB549" s="152">
        <v>1.38</v>
      </c>
      <c r="AC549" s="152">
        <v>12.4</v>
      </c>
      <c r="AD549" s="152">
        <v>17</v>
      </c>
      <c r="AE549" s="152">
        <v>153</v>
      </c>
      <c r="AF549" s="157">
        <v>0.0835</v>
      </c>
      <c r="AG549" s="157">
        <v>0.0598</v>
      </c>
      <c r="AH549" s="157">
        <v>0.0068</v>
      </c>
      <c r="AI549" s="142">
        <v>1</v>
      </c>
      <c r="AJ549" s="158">
        <v>500</v>
      </c>
      <c r="AK549" s="171">
        <v>0.03</v>
      </c>
      <c r="AL549" s="163">
        <v>44672</v>
      </c>
      <c r="AM549" s="163">
        <v>2880</v>
      </c>
      <c r="AN549" s="163">
        <v>3843</v>
      </c>
      <c r="AO549" s="142">
        <v>126</v>
      </c>
      <c r="AP549" s="142">
        <v>11</v>
      </c>
      <c r="AQ549" s="142">
        <v>8</v>
      </c>
      <c r="AR549" s="142">
        <v>321</v>
      </c>
      <c r="AS549" s="142">
        <v>230</v>
      </c>
      <c r="AT549" s="142">
        <v>26</v>
      </c>
      <c r="AU549" s="186"/>
      <c r="AV549" s="186"/>
      <c r="AW549" s="186"/>
      <c r="AX549" s="186"/>
      <c r="AY549" s="186"/>
    </row>
    <row r="550">
      <c r="A550" s="143"/>
      <c r="B550" s="164" t="s">
        <v>117</v>
      </c>
      <c r="C550" s="164"/>
      <c r="D550" s="164"/>
      <c r="E550" s="164"/>
      <c r="F550" s="165">
        <v>12500</v>
      </c>
      <c r="G550" s="179">
        <v>20325.8</v>
      </c>
      <c r="H550" s="164">
        <v>38</v>
      </c>
      <c r="I550" s="164">
        <v>31</v>
      </c>
      <c r="J550" s="164">
        <v>4</v>
      </c>
      <c r="K550" s="164">
        <v>1.63</v>
      </c>
      <c r="L550" s="164">
        <v>1.37</v>
      </c>
      <c r="M550" s="164">
        <v>403</v>
      </c>
      <c r="N550" s="164">
        <v>656</v>
      </c>
      <c r="O550" s="166">
        <v>0.13</v>
      </c>
      <c r="P550" s="167">
        <v>0.8158</v>
      </c>
      <c r="Q550" s="164">
        <v>1.52</v>
      </c>
      <c r="R550" s="164">
        <v>38</v>
      </c>
      <c r="S550" s="164">
        <v>403</v>
      </c>
      <c r="T550" s="164">
        <v>481</v>
      </c>
      <c r="U550" s="166">
        <v>1.42</v>
      </c>
      <c r="V550" s="167">
        <v>0.0403</v>
      </c>
      <c r="W550" s="167">
        <v>0.0937</v>
      </c>
      <c r="X550" s="166">
        <v>0.84</v>
      </c>
      <c r="Y550" s="167">
        <v>0.0499</v>
      </c>
      <c r="Z550" s="167">
        <v>0.0045</v>
      </c>
      <c r="AA550" s="164">
        <v>108</v>
      </c>
      <c r="AB550" s="164">
        <v>2.16</v>
      </c>
      <c r="AC550" s="164">
        <v>14.93</v>
      </c>
      <c r="AD550" s="164">
        <v>21</v>
      </c>
      <c r="AE550" s="164">
        <v>189</v>
      </c>
      <c r="AF550" s="167">
        <v>0.1018</v>
      </c>
      <c r="AG550" s="167">
        <v>0.0727</v>
      </c>
      <c r="AH550" s="167">
        <v>0.008</v>
      </c>
      <c r="AI550" s="168">
        <v>4</v>
      </c>
      <c r="AJ550" s="168">
        <v>500</v>
      </c>
      <c r="AK550" s="169">
        <v>0.03</v>
      </c>
      <c r="AL550" s="170">
        <v>115827</v>
      </c>
      <c r="AM550" s="170">
        <v>5776</v>
      </c>
      <c r="AN550" s="170">
        <v>8220</v>
      </c>
      <c r="AO550" s="168">
        <v>331</v>
      </c>
      <c r="AP550" s="168">
        <v>31</v>
      </c>
      <c r="AQ550" s="168">
        <v>26</v>
      </c>
      <c r="AR550" s="168">
        <v>837</v>
      </c>
      <c r="AS550" s="168">
        <v>598</v>
      </c>
      <c r="AT550" s="168">
        <v>66</v>
      </c>
      <c r="AU550" s="186"/>
      <c r="AV550" s="186"/>
      <c r="AW550" s="186"/>
      <c r="AX550" s="186"/>
      <c r="AY550" s="186"/>
    </row>
    <row r="551">
      <c r="A551" s="143"/>
      <c r="B551" s="152" t="s">
        <v>40</v>
      </c>
      <c r="C551" s="152" t="s">
        <v>116</v>
      </c>
      <c r="D551" s="152" t="s">
        <v>47</v>
      </c>
      <c r="E551" s="152" t="s">
        <v>49</v>
      </c>
      <c r="F551" s="154">
        <v>3378.53</v>
      </c>
      <c r="G551" s="178">
        <v>4298.8</v>
      </c>
      <c r="H551" s="152">
        <v>9</v>
      </c>
      <c r="I551" s="152">
        <v>7</v>
      </c>
      <c r="J551" s="152">
        <v>1</v>
      </c>
      <c r="K551" s="152">
        <v>1.27</v>
      </c>
      <c r="L551" s="152">
        <v>1.08</v>
      </c>
      <c r="M551" s="152">
        <v>483</v>
      </c>
      <c r="N551" s="152">
        <v>614</v>
      </c>
      <c r="O551" s="156">
        <v>0.14</v>
      </c>
      <c r="P551" s="157">
        <v>0.7778</v>
      </c>
      <c r="Q551" s="152">
        <v>2</v>
      </c>
      <c r="R551" s="152">
        <v>37</v>
      </c>
      <c r="S551" s="152">
        <v>375</v>
      </c>
      <c r="T551" s="152">
        <v>676</v>
      </c>
      <c r="U551" s="156">
        <v>1.19</v>
      </c>
      <c r="V551" s="157">
        <v>0.0539</v>
      </c>
      <c r="W551" s="157">
        <v>0.0989</v>
      </c>
      <c r="X551" s="156">
        <v>0.56</v>
      </c>
      <c r="Y551" s="157">
        <v>0.0399</v>
      </c>
      <c r="Z551" s="157">
        <v>0.0035</v>
      </c>
      <c r="AA551" s="152">
        <v>95</v>
      </c>
      <c r="AB551" s="152">
        <v>2.37</v>
      </c>
      <c r="AC551" s="152">
        <v>20.23</v>
      </c>
      <c r="AD551" s="152">
        <v>30</v>
      </c>
      <c r="AE551" s="152">
        <v>282</v>
      </c>
      <c r="AF551" s="157">
        <v>0.0989</v>
      </c>
      <c r="AG551" s="157">
        <v>0.0669</v>
      </c>
      <c r="AH551" s="157">
        <v>0.0071</v>
      </c>
      <c r="AI551" s="142">
        <v>1</v>
      </c>
      <c r="AJ551" s="158">
        <v>500</v>
      </c>
      <c r="AK551" s="171">
        <v>0.03</v>
      </c>
      <c r="AL551" s="163">
        <v>35715</v>
      </c>
      <c r="AM551" s="163">
        <v>1425</v>
      </c>
      <c r="AN551" s="163">
        <v>1689</v>
      </c>
      <c r="AO551" s="142">
        <v>91</v>
      </c>
      <c r="AP551" s="142">
        <v>9</v>
      </c>
      <c r="AQ551" s="142">
        <v>5</v>
      </c>
      <c r="AR551" s="142">
        <v>167</v>
      </c>
      <c r="AS551" s="142">
        <v>113</v>
      </c>
      <c r="AT551" s="142">
        <v>12</v>
      </c>
      <c r="AU551" s="186"/>
      <c r="AV551" s="186"/>
      <c r="AW551" s="186"/>
      <c r="AX551" s="186"/>
      <c r="AY551" s="186"/>
    </row>
    <row r="552">
      <c r="A552" s="143"/>
      <c r="B552" s="152" t="s">
        <v>40</v>
      </c>
      <c r="C552" s="152" t="s">
        <v>116</v>
      </c>
      <c r="D552" s="152" t="s">
        <v>47</v>
      </c>
      <c r="E552" s="152" t="s">
        <v>50</v>
      </c>
      <c r="F552" s="154">
        <v>3035.76</v>
      </c>
      <c r="G552" s="188">
        <v>7304</v>
      </c>
      <c r="H552" s="152">
        <v>15</v>
      </c>
      <c r="I552" s="152">
        <v>14</v>
      </c>
      <c r="J552" s="152">
        <v>1</v>
      </c>
      <c r="K552" s="152">
        <v>2.41</v>
      </c>
      <c r="L552" s="152">
        <v>2.01</v>
      </c>
      <c r="M552" s="152">
        <v>217</v>
      </c>
      <c r="N552" s="152">
        <v>522</v>
      </c>
      <c r="O552" s="156">
        <v>0.07</v>
      </c>
      <c r="P552" s="157">
        <v>0.9333</v>
      </c>
      <c r="Q552" s="152">
        <v>0.73</v>
      </c>
      <c r="R552" s="152">
        <v>28</v>
      </c>
      <c r="S552" s="152">
        <v>276</v>
      </c>
      <c r="T552" s="152">
        <v>253</v>
      </c>
      <c r="U552" s="156">
        <v>1.56</v>
      </c>
      <c r="V552" s="157">
        <v>0.0257</v>
      </c>
      <c r="W552" s="157">
        <v>0.1028</v>
      </c>
      <c r="X552" s="156">
        <v>1.09</v>
      </c>
      <c r="Y552" s="157">
        <v>0.083</v>
      </c>
      <c r="Z552" s="157">
        <v>0.0045</v>
      </c>
      <c r="AA552" s="152">
        <v>95</v>
      </c>
      <c r="AB552" s="152">
        <v>1.14</v>
      </c>
      <c r="AC552" s="152">
        <v>10.69</v>
      </c>
      <c r="AD552" s="152">
        <v>18</v>
      </c>
      <c r="AE552" s="152">
        <v>179</v>
      </c>
      <c r="AF552" s="157">
        <v>0.0682</v>
      </c>
      <c r="AG552" s="157">
        <v>0.0403</v>
      </c>
      <c r="AH552" s="157">
        <v>0.0041</v>
      </c>
      <c r="AI552" s="142">
        <v>1</v>
      </c>
      <c r="AJ552" s="158">
        <v>500</v>
      </c>
      <c r="AK552" s="171">
        <v>0.03</v>
      </c>
      <c r="AL552" s="163">
        <v>32069</v>
      </c>
      <c r="AM552" s="163">
        <v>2661</v>
      </c>
      <c r="AN552" s="163">
        <v>4164</v>
      </c>
      <c r="AO552" s="142">
        <v>107</v>
      </c>
      <c r="AP552" s="142">
        <v>11</v>
      </c>
      <c r="AQ552" s="142">
        <v>12</v>
      </c>
      <c r="AR552" s="142">
        <v>284</v>
      </c>
      <c r="AS552" s="142">
        <v>168</v>
      </c>
      <c r="AT552" s="142">
        <v>17</v>
      </c>
      <c r="AU552" s="186"/>
      <c r="AV552" s="186"/>
      <c r="AW552" s="186"/>
      <c r="AX552" s="186"/>
      <c r="AY552" s="186"/>
    </row>
    <row r="553">
      <c r="A553" s="143"/>
      <c r="B553" s="152" t="s">
        <v>40</v>
      </c>
      <c r="C553" s="152" t="s">
        <v>116</v>
      </c>
      <c r="D553" s="152" t="s">
        <v>47</v>
      </c>
      <c r="E553" s="152" t="s">
        <v>51</v>
      </c>
      <c r="F553" s="154">
        <v>3299.26</v>
      </c>
      <c r="G553" s="178">
        <v>5497.8</v>
      </c>
      <c r="H553" s="152">
        <v>13</v>
      </c>
      <c r="I553" s="152">
        <v>9</v>
      </c>
      <c r="J553" s="152">
        <v>2</v>
      </c>
      <c r="K553" s="152">
        <v>1.67</v>
      </c>
      <c r="L553" s="152">
        <v>1.41</v>
      </c>
      <c r="M553" s="152">
        <v>367</v>
      </c>
      <c r="N553" s="152">
        <v>611</v>
      </c>
      <c r="O553" s="156">
        <v>0.22</v>
      </c>
      <c r="P553" s="157">
        <v>0.6923</v>
      </c>
      <c r="Q553" s="152">
        <v>0.64</v>
      </c>
      <c r="R553" s="152">
        <v>30</v>
      </c>
      <c r="S553" s="152">
        <v>367</v>
      </c>
      <c r="T553" s="152">
        <v>412</v>
      </c>
      <c r="U553" s="156">
        <v>1.41</v>
      </c>
      <c r="V553" s="157">
        <v>0.0214</v>
      </c>
      <c r="W553" s="157">
        <v>0.0818</v>
      </c>
      <c r="X553" s="156">
        <v>0.89</v>
      </c>
      <c r="Y553" s="157">
        <v>0.108</v>
      </c>
      <c r="Z553" s="157">
        <v>0.0022</v>
      </c>
      <c r="AA553" s="152">
        <v>98</v>
      </c>
      <c r="AB553" s="152">
        <v>0.9</v>
      </c>
      <c r="AC553" s="152">
        <v>10.82</v>
      </c>
      <c r="AD553" s="152">
        <v>20</v>
      </c>
      <c r="AE553" s="152">
        <v>220</v>
      </c>
      <c r="AF553" s="157">
        <v>0.0595</v>
      </c>
      <c r="AG553" s="157">
        <v>0.0316</v>
      </c>
      <c r="AH553" s="157">
        <v>0.0029</v>
      </c>
      <c r="AI553" s="142">
        <v>1</v>
      </c>
      <c r="AJ553" s="158">
        <v>500</v>
      </c>
      <c r="AK553" s="171">
        <v>0.03</v>
      </c>
      <c r="AL553" s="163">
        <v>33772</v>
      </c>
      <c r="AM553" s="163">
        <v>3647</v>
      </c>
      <c r="AN553" s="163">
        <v>5130</v>
      </c>
      <c r="AO553" s="142">
        <v>110</v>
      </c>
      <c r="AP553" s="142">
        <v>9</v>
      </c>
      <c r="AQ553" s="142">
        <v>8</v>
      </c>
      <c r="AR553" s="142">
        <v>305</v>
      </c>
      <c r="AS553" s="142">
        <v>162</v>
      </c>
      <c r="AT553" s="142">
        <v>15</v>
      </c>
      <c r="AU553" s="186"/>
      <c r="AV553" s="186"/>
      <c r="AW553" s="186"/>
      <c r="AX553" s="186"/>
      <c r="AY553" s="186"/>
    </row>
    <row r="554">
      <c r="A554" s="143"/>
      <c r="B554" s="152" t="s">
        <v>40</v>
      </c>
      <c r="C554" s="152" t="s">
        <v>116</v>
      </c>
      <c r="D554" s="152" t="s">
        <v>47</v>
      </c>
      <c r="E554" s="152" t="s">
        <v>53</v>
      </c>
      <c r="F554" s="154">
        <v>4762.69</v>
      </c>
      <c r="G554" s="178">
        <v>11102.3</v>
      </c>
      <c r="H554" s="152">
        <v>20</v>
      </c>
      <c r="I554" s="152">
        <v>15</v>
      </c>
      <c r="J554" s="152">
        <v>5</v>
      </c>
      <c r="K554" s="152">
        <v>2.33</v>
      </c>
      <c r="L554" s="152">
        <v>2.05</v>
      </c>
      <c r="M554" s="152">
        <v>318</v>
      </c>
      <c r="N554" s="152">
        <v>740</v>
      </c>
      <c r="O554" s="156">
        <v>0.33</v>
      </c>
      <c r="P554" s="157">
        <v>0.75</v>
      </c>
      <c r="Q554" s="152">
        <v>0.78</v>
      </c>
      <c r="R554" s="152">
        <v>36</v>
      </c>
      <c r="S554" s="152">
        <v>280</v>
      </c>
      <c r="T554" s="152">
        <v>366</v>
      </c>
      <c r="U554" s="156">
        <v>1.3</v>
      </c>
      <c r="V554" s="157">
        <v>0.0215</v>
      </c>
      <c r="W554" s="157">
        <v>0.1288</v>
      </c>
      <c r="X554" s="156">
        <v>0.76</v>
      </c>
      <c r="Y554" s="157">
        <v>0.1037</v>
      </c>
      <c r="Z554" s="157">
        <v>0.0027</v>
      </c>
      <c r="AA554" s="152">
        <v>104</v>
      </c>
      <c r="AB554" s="152">
        <v>1</v>
      </c>
      <c r="AC554" s="152">
        <v>13.23</v>
      </c>
      <c r="AD554" s="152">
        <v>31</v>
      </c>
      <c r="AE554" s="152">
        <v>227</v>
      </c>
      <c r="AF554" s="157">
        <v>0.0586</v>
      </c>
      <c r="AG554" s="157">
        <v>0.0251</v>
      </c>
      <c r="AH554" s="157">
        <v>0.0034</v>
      </c>
      <c r="AI554" s="142">
        <v>1</v>
      </c>
      <c r="AJ554" s="158">
        <v>500</v>
      </c>
      <c r="AK554" s="171">
        <v>0.03</v>
      </c>
      <c r="AL554" s="163">
        <v>45703</v>
      </c>
      <c r="AM554" s="163">
        <v>4741</v>
      </c>
      <c r="AN554" s="163">
        <v>6144</v>
      </c>
      <c r="AO554" s="142">
        <v>132</v>
      </c>
      <c r="AP554" s="142">
        <v>17</v>
      </c>
      <c r="AQ554" s="142">
        <v>13</v>
      </c>
      <c r="AR554" s="142">
        <v>360</v>
      </c>
      <c r="AS554" s="142">
        <v>154</v>
      </c>
      <c r="AT554" s="142">
        <v>21</v>
      </c>
      <c r="AU554" s="186"/>
      <c r="AV554" s="186"/>
      <c r="AW554" s="186"/>
      <c r="AX554" s="186"/>
      <c r="AY554" s="186"/>
    </row>
    <row r="555">
      <c r="A555" s="143"/>
      <c r="B555" s="164" t="s">
        <v>117</v>
      </c>
      <c r="C555" s="164"/>
      <c r="D555" s="164"/>
      <c r="E555" s="164"/>
      <c r="F555" s="165">
        <v>14476.24</v>
      </c>
      <c r="G555" s="179">
        <v>28202.9</v>
      </c>
      <c r="H555" s="164">
        <v>57</v>
      </c>
      <c r="I555" s="164">
        <v>45</v>
      </c>
      <c r="J555" s="164">
        <v>9</v>
      </c>
      <c r="K555" s="164">
        <v>1.95</v>
      </c>
      <c r="L555" s="164">
        <v>1.67</v>
      </c>
      <c r="M555" s="164">
        <v>322</v>
      </c>
      <c r="N555" s="164">
        <v>627</v>
      </c>
      <c r="O555" s="166">
        <v>0.2</v>
      </c>
      <c r="P555" s="167">
        <v>0.7895</v>
      </c>
      <c r="Q555" s="164">
        <v>0.85</v>
      </c>
      <c r="R555" s="164">
        <v>33</v>
      </c>
      <c r="S555" s="164">
        <v>315</v>
      </c>
      <c r="T555" s="164">
        <v>381</v>
      </c>
      <c r="U555" s="166">
        <v>1.37</v>
      </c>
      <c r="V555" s="167">
        <v>0.0257</v>
      </c>
      <c r="W555" s="167">
        <v>0.1045</v>
      </c>
      <c r="X555" s="166">
        <v>0.83</v>
      </c>
      <c r="Y555" s="167">
        <v>0.0847</v>
      </c>
      <c r="Z555" s="167">
        <v>0.003</v>
      </c>
      <c r="AA555" s="164">
        <v>98</v>
      </c>
      <c r="AB555" s="164">
        <v>1.16</v>
      </c>
      <c r="AC555" s="164">
        <v>12.97</v>
      </c>
      <c r="AD555" s="164">
        <v>24</v>
      </c>
      <c r="AE555" s="164">
        <v>223</v>
      </c>
      <c r="AF555" s="167">
        <v>0.0652</v>
      </c>
      <c r="AG555" s="167">
        <v>0.0349</v>
      </c>
      <c r="AH555" s="167">
        <v>0.0038</v>
      </c>
      <c r="AI555" s="168">
        <v>4</v>
      </c>
      <c r="AJ555" s="168">
        <v>500</v>
      </c>
      <c r="AK555" s="169">
        <v>0.03</v>
      </c>
      <c r="AL555" s="170">
        <v>147259</v>
      </c>
      <c r="AM555" s="170">
        <v>12474</v>
      </c>
      <c r="AN555" s="170">
        <v>17127</v>
      </c>
      <c r="AO555" s="168">
        <v>440</v>
      </c>
      <c r="AP555" s="168">
        <v>46</v>
      </c>
      <c r="AQ555" s="168">
        <v>38</v>
      </c>
      <c r="AR555" s="170">
        <v>1116</v>
      </c>
      <c r="AS555" s="168">
        <v>597</v>
      </c>
      <c r="AT555" s="168">
        <v>65</v>
      </c>
      <c r="AU555" s="186"/>
      <c r="AV555" s="186"/>
      <c r="AW555" s="186"/>
      <c r="AX555" s="186"/>
      <c r="AY555" s="186"/>
    </row>
    <row r="556">
      <c r="A556" s="143"/>
      <c r="B556" s="152" t="s">
        <v>56</v>
      </c>
      <c r="C556" s="152" t="s">
        <v>116</v>
      </c>
      <c r="D556" s="152" t="s">
        <v>54</v>
      </c>
      <c r="E556" s="152" t="s">
        <v>55</v>
      </c>
      <c r="F556" s="154">
        <v>3958.47</v>
      </c>
      <c r="G556" s="178">
        <v>5286.6</v>
      </c>
      <c r="H556" s="152">
        <v>9</v>
      </c>
      <c r="I556" s="152">
        <v>7</v>
      </c>
      <c r="J556" s="152">
        <v>2</v>
      </c>
      <c r="K556" s="152">
        <v>1.34</v>
      </c>
      <c r="L556" s="152">
        <v>1.15</v>
      </c>
      <c r="M556" s="152">
        <v>565</v>
      </c>
      <c r="N556" s="152">
        <v>755</v>
      </c>
      <c r="O556" s="156">
        <v>0.29</v>
      </c>
      <c r="P556" s="157">
        <v>0.7778</v>
      </c>
      <c r="Q556" s="152">
        <v>0.84</v>
      </c>
      <c r="R556" s="152">
        <v>35</v>
      </c>
      <c r="S556" s="152">
        <v>396</v>
      </c>
      <c r="T556" s="152">
        <v>495</v>
      </c>
      <c r="U556" s="156">
        <v>1.28</v>
      </c>
      <c r="V556" s="157">
        <v>0.0241</v>
      </c>
      <c r="W556" s="157">
        <v>0.0885</v>
      </c>
      <c r="X556" s="156">
        <v>0.8</v>
      </c>
      <c r="Y556" s="157">
        <v>0.0978</v>
      </c>
      <c r="Z556" s="157">
        <v>0.0022</v>
      </c>
      <c r="AA556" s="152">
        <v>106</v>
      </c>
      <c r="AB556" s="152">
        <v>1.08</v>
      </c>
      <c r="AC556" s="152">
        <v>12.73</v>
      </c>
      <c r="AD556" s="152">
        <v>30</v>
      </c>
      <c r="AE556" s="152">
        <v>147</v>
      </c>
      <c r="AF556" s="157">
        <v>0.0664</v>
      </c>
      <c r="AG556" s="157">
        <v>0.0284</v>
      </c>
      <c r="AH556" s="157">
        <v>0.0058</v>
      </c>
      <c r="AI556" s="142">
        <v>1</v>
      </c>
      <c r="AJ556" s="142">
        <v>500</v>
      </c>
      <c r="AK556" s="171">
        <v>0.03</v>
      </c>
      <c r="AL556" s="163">
        <v>37497</v>
      </c>
      <c r="AM556" s="163">
        <v>3666</v>
      </c>
      <c r="AN556" s="163">
        <v>4687</v>
      </c>
      <c r="AO556" s="142">
        <v>113</v>
      </c>
      <c r="AP556" s="142">
        <v>10</v>
      </c>
      <c r="AQ556" s="142">
        <v>8</v>
      </c>
      <c r="AR556" s="142">
        <v>311</v>
      </c>
      <c r="AS556" s="142">
        <v>133</v>
      </c>
      <c r="AT556" s="142">
        <v>27</v>
      </c>
      <c r="AU556" s="186"/>
      <c r="AV556" s="186"/>
      <c r="AW556" s="186"/>
      <c r="AX556" s="186"/>
      <c r="AY556" s="186"/>
    </row>
    <row r="557">
      <c r="A557" s="143"/>
      <c r="B557" s="152" t="s">
        <v>56</v>
      </c>
      <c r="C557" s="152" t="s">
        <v>116</v>
      </c>
      <c r="D557" s="152" t="s">
        <v>54</v>
      </c>
      <c r="E557" s="152" t="s">
        <v>57</v>
      </c>
      <c r="F557" s="154">
        <v>3401.65</v>
      </c>
      <c r="G557" s="178">
        <v>3817</v>
      </c>
      <c r="H557" s="152">
        <v>11</v>
      </c>
      <c r="I557" s="152">
        <v>7</v>
      </c>
      <c r="J557" s="152">
        <v>0</v>
      </c>
      <c r="K557" s="152">
        <v>1.12</v>
      </c>
      <c r="L557" s="152">
        <v>0.95</v>
      </c>
      <c r="M557" s="152">
        <v>486</v>
      </c>
      <c r="N557" s="152">
        <v>545</v>
      </c>
      <c r="O557" s="156">
        <v>0</v>
      </c>
      <c r="P557" s="157">
        <v>0.6364</v>
      </c>
      <c r="Q557" s="152">
        <v>1.02</v>
      </c>
      <c r="R557" s="152">
        <v>31</v>
      </c>
      <c r="S557" s="152">
        <v>340</v>
      </c>
      <c r="T557" s="152">
        <v>567</v>
      </c>
      <c r="U557" s="156">
        <v>1.33</v>
      </c>
      <c r="V557" s="157">
        <v>0.0328</v>
      </c>
      <c r="W557" s="157">
        <v>0.0917</v>
      </c>
      <c r="X557" s="156">
        <v>0.6</v>
      </c>
      <c r="Y557" s="157">
        <v>0.0817</v>
      </c>
      <c r="Z557" s="157">
        <v>0.0024</v>
      </c>
      <c r="AA557" s="152">
        <v>112</v>
      </c>
      <c r="AB557" s="152">
        <v>1.37</v>
      </c>
      <c r="AC557" s="152">
        <v>12.15</v>
      </c>
      <c r="AD557" s="152">
        <v>29</v>
      </c>
      <c r="AE557" s="152">
        <v>155</v>
      </c>
      <c r="AF557" s="157">
        <v>0.0843</v>
      </c>
      <c r="AG557" s="157">
        <v>0.0352</v>
      </c>
      <c r="AH557" s="157">
        <v>0.0066</v>
      </c>
      <c r="AI557" s="142">
        <v>1</v>
      </c>
      <c r="AJ557" s="142">
        <v>500</v>
      </c>
      <c r="AK557" s="171">
        <v>0.03</v>
      </c>
      <c r="AL557" s="163">
        <v>30449</v>
      </c>
      <c r="AM557" s="163">
        <v>2488</v>
      </c>
      <c r="AN557" s="163">
        <v>3321</v>
      </c>
      <c r="AO557" s="142">
        <v>109</v>
      </c>
      <c r="AP557" s="142">
        <v>10</v>
      </c>
      <c r="AQ557" s="142">
        <v>6</v>
      </c>
      <c r="AR557" s="142">
        <v>280</v>
      </c>
      <c r="AS557" s="142">
        <v>117</v>
      </c>
      <c r="AT557" s="142">
        <v>22</v>
      </c>
      <c r="AU557" s="186"/>
      <c r="AV557" s="186"/>
      <c r="AW557" s="186"/>
      <c r="AX557" s="186"/>
      <c r="AY557" s="186"/>
    </row>
    <row r="558">
      <c r="A558" s="143"/>
      <c r="B558" s="152" t="s">
        <v>56</v>
      </c>
      <c r="C558" s="152" t="s">
        <v>116</v>
      </c>
      <c r="D558" s="152" t="s">
        <v>54</v>
      </c>
      <c r="E558" s="152" t="s">
        <v>58</v>
      </c>
      <c r="F558" s="154">
        <v>3051.58</v>
      </c>
      <c r="G558" s="178">
        <v>6026.9</v>
      </c>
      <c r="H558" s="152">
        <v>11</v>
      </c>
      <c r="I558" s="152">
        <v>11</v>
      </c>
      <c r="J558" s="152">
        <v>2</v>
      </c>
      <c r="K558" s="152">
        <v>1.98</v>
      </c>
      <c r="L558" s="152">
        <v>1.65</v>
      </c>
      <c r="M558" s="152">
        <v>277</v>
      </c>
      <c r="N558" s="152">
        <v>548</v>
      </c>
      <c r="O558" s="156">
        <v>0.18</v>
      </c>
      <c r="P558" s="157">
        <v>1</v>
      </c>
      <c r="Q558" s="152">
        <v>0.78</v>
      </c>
      <c r="R558" s="152">
        <v>34</v>
      </c>
      <c r="S558" s="152">
        <v>305</v>
      </c>
      <c r="T558" s="152">
        <v>305</v>
      </c>
      <c r="U558" s="156">
        <v>1.35</v>
      </c>
      <c r="V558" s="157">
        <v>0.0228</v>
      </c>
      <c r="W558" s="157">
        <v>0.1124</v>
      </c>
      <c r="X558" s="156">
        <v>1</v>
      </c>
      <c r="Y558" s="157">
        <v>0.0896</v>
      </c>
      <c r="Z558" s="157">
        <v>0.0034</v>
      </c>
      <c r="AA558" s="152">
        <v>94</v>
      </c>
      <c r="AB558" s="152">
        <v>1.05</v>
      </c>
      <c r="AC558" s="152">
        <v>13.15</v>
      </c>
      <c r="AD558" s="152">
        <v>23</v>
      </c>
      <c r="AE558" s="152">
        <v>203</v>
      </c>
      <c r="AF558" s="157">
        <v>0.0594</v>
      </c>
      <c r="AG558" s="157">
        <v>0.0338</v>
      </c>
      <c r="AH558" s="157">
        <v>0.0038</v>
      </c>
      <c r="AI558" s="142">
        <v>1</v>
      </c>
      <c r="AJ558" s="142">
        <v>500</v>
      </c>
      <c r="AK558" s="171">
        <v>0.03</v>
      </c>
      <c r="AL558" s="163">
        <v>32365</v>
      </c>
      <c r="AM558" s="163">
        <v>2900</v>
      </c>
      <c r="AN558" s="163">
        <v>3905</v>
      </c>
      <c r="AO558" s="142">
        <v>89</v>
      </c>
      <c r="AP558" s="142">
        <v>10</v>
      </c>
      <c r="AQ558" s="142">
        <v>10</v>
      </c>
      <c r="AR558" s="142">
        <v>232</v>
      </c>
      <c r="AS558" s="142">
        <v>132</v>
      </c>
      <c r="AT558" s="142">
        <v>15</v>
      </c>
      <c r="AU558" s="186"/>
      <c r="AV558" s="186"/>
      <c r="AW558" s="186"/>
      <c r="AX558" s="186"/>
      <c r="AY558" s="186"/>
    </row>
    <row r="559">
      <c r="A559" s="143"/>
      <c r="B559" s="152" t="s">
        <v>56</v>
      </c>
      <c r="C559" s="152" t="s">
        <v>116</v>
      </c>
      <c r="D559" s="152" t="s">
        <v>54</v>
      </c>
      <c r="E559" s="152" t="s">
        <v>59</v>
      </c>
      <c r="F559" s="154">
        <v>3104.16</v>
      </c>
      <c r="G559" s="178">
        <v>8908.9</v>
      </c>
      <c r="H559" s="152">
        <v>17</v>
      </c>
      <c r="I559" s="152">
        <v>16</v>
      </c>
      <c r="J559" s="152">
        <v>3</v>
      </c>
      <c r="K559" s="152">
        <v>2.87</v>
      </c>
      <c r="L559" s="152">
        <v>2.41</v>
      </c>
      <c r="M559" s="152">
        <v>194</v>
      </c>
      <c r="N559" s="152">
        <v>557</v>
      </c>
      <c r="O559" s="156">
        <v>0.19</v>
      </c>
      <c r="P559" s="157">
        <v>0.9412</v>
      </c>
      <c r="Q559" s="152">
        <v>0.7</v>
      </c>
      <c r="R559" s="152">
        <v>37</v>
      </c>
      <c r="S559" s="152">
        <v>259</v>
      </c>
      <c r="T559" s="152">
        <v>282</v>
      </c>
      <c r="U559" s="156">
        <v>1.4</v>
      </c>
      <c r="V559" s="157">
        <v>0.0187</v>
      </c>
      <c r="W559" s="157">
        <v>0.1446</v>
      </c>
      <c r="X559" s="156">
        <v>0.92</v>
      </c>
      <c r="Y559" s="157">
        <v>0.0982</v>
      </c>
      <c r="Z559" s="157">
        <v>0.0035</v>
      </c>
      <c r="AA559" s="152">
        <v>96</v>
      </c>
      <c r="AB559" s="152">
        <v>0.98</v>
      </c>
      <c r="AC559" s="152">
        <v>12.77</v>
      </c>
      <c r="AD559" s="152">
        <v>28</v>
      </c>
      <c r="AE559" s="152">
        <v>155</v>
      </c>
      <c r="AF559" s="157">
        <v>0.0547</v>
      </c>
      <c r="AG559" s="157">
        <v>0.0247</v>
      </c>
      <c r="AH559" s="157">
        <v>0.0045</v>
      </c>
      <c r="AI559" s="142">
        <v>1</v>
      </c>
      <c r="AJ559" s="142">
        <v>500</v>
      </c>
      <c r="AK559" s="171">
        <v>0.03</v>
      </c>
      <c r="AL559" s="163">
        <v>32395</v>
      </c>
      <c r="AM559" s="163">
        <v>3182</v>
      </c>
      <c r="AN559" s="163">
        <v>4445</v>
      </c>
      <c r="AO559" s="142">
        <v>83</v>
      </c>
      <c r="AP559" s="142">
        <v>12</v>
      </c>
      <c r="AQ559" s="142">
        <v>11</v>
      </c>
      <c r="AR559" s="142">
        <v>243</v>
      </c>
      <c r="AS559" s="142">
        <v>110</v>
      </c>
      <c r="AT559" s="142">
        <v>20</v>
      </c>
      <c r="AU559" s="186"/>
      <c r="AV559" s="186"/>
      <c r="AW559" s="186"/>
      <c r="AX559" s="186"/>
      <c r="AY559" s="186"/>
    </row>
    <row r="560">
      <c r="A560" s="143"/>
      <c r="B560" s="172" t="s">
        <v>117</v>
      </c>
      <c r="C560" s="172"/>
      <c r="D560" s="172"/>
      <c r="E560" s="172"/>
      <c r="F560" s="165">
        <v>13515.86</v>
      </c>
      <c r="G560" s="179">
        <v>24039.4</v>
      </c>
      <c r="H560" s="164">
        <v>48</v>
      </c>
      <c r="I560" s="164">
        <v>41</v>
      </c>
      <c r="J560" s="164">
        <v>7</v>
      </c>
      <c r="K560" s="164">
        <v>1.78</v>
      </c>
      <c r="L560" s="164">
        <v>1.51</v>
      </c>
      <c r="M560" s="164">
        <v>330</v>
      </c>
      <c r="N560" s="164">
        <v>586</v>
      </c>
      <c r="O560" s="166">
        <v>0.17</v>
      </c>
      <c r="P560" s="167">
        <v>0.8542</v>
      </c>
      <c r="Q560" s="164">
        <v>0.83</v>
      </c>
      <c r="R560" s="164">
        <v>34</v>
      </c>
      <c r="S560" s="164">
        <v>322</v>
      </c>
      <c r="T560" s="164">
        <v>386</v>
      </c>
      <c r="U560" s="166">
        <v>1.34</v>
      </c>
      <c r="V560" s="167">
        <v>0.0241</v>
      </c>
      <c r="W560" s="167">
        <v>0.1066</v>
      </c>
      <c r="X560" s="166">
        <v>0.83</v>
      </c>
      <c r="Y560" s="167">
        <v>0.0922</v>
      </c>
      <c r="Z560" s="167">
        <v>0.0029</v>
      </c>
      <c r="AA560" s="164">
        <v>102</v>
      </c>
      <c r="AB560" s="164">
        <v>1.1</v>
      </c>
      <c r="AC560" s="164">
        <v>12.68</v>
      </c>
      <c r="AD560" s="164">
        <v>27</v>
      </c>
      <c r="AE560" s="164">
        <v>161</v>
      </c>
      <c r="AF560" s="167">
        <v>0.0652</v>
      </c>
      <c r="AG560" s="167">
        <v>0.0301</v>
      </c>
      <c r="AH560" s="167">
        <v>0.0051</v>
      </c>
      <c r="AI560" s="168">
        <v>4</v>
      </c>
      <c r="AJ560" s="168">
        <v>500</v>
      </c>
      <c r="AK560" s="169">
        <v>0.03</v>
      </c>
      <c r="AL560" s="170">
        <v>132706</v>
      </c>
      <c r="AM560" s="170">
        <v>12236</v>
      </c>
      <c r="AN560" s="170">
        <v>16358</v>
      </c>
      <c r="AO560" s="168">
        <v>394</v>
      </c>
      <c r="AP560" s="168">
        <v>42</v>
      </c>
      <c r="AQ560" s="168">
        <v>35</v>
      </c>
      <c r="AR560" s="170">
        <v>1066</v>
      </c>
      <c r="AS560" s="168">
        <v>492</v>
      </c>
      <c r="AT560" s="168">
        <v>84</v>
      </c>
      <c r="AU560" s="186"/>
      <c r="AV560" s="186"/>
      <c r="AW560" s="186"/>
      <c r="AX560" s="186"/>
      <c r="AY560" s="186"/>
    </row>
    <row r="561">
      <c r="A561" s="143"/>
      <c r="B561" s="152" t="s">
        <v>56</v>
      </c>
      <c r="C561" s="152" t="s">
        <v>116</v>
      </c>
      <c r="D561" s="152" t="s">
        <v>69</v>
      </c>
      <c r="E561" s="152" t="s">
        <v>61</v>
      </c>
      <c r="F561" s="154">
        <v>4777.76</v>
      </c>
      <c r="G561" s="178">
        <v>7256.7</v>
      </c>
      <c r="H561" s="152">
        <v>20</v>
      </c>
      <c r="I561" s="152">
        <v>13</v>
      </c>
      <c r="J561" s="152">
        <v>2</v>
      </c>
      <c r="K561" s="152">
        <v>1.52</v>
      </c>
      <c r="L561" s="152">
        <v>1.34</v>
      </c>
      <c r="M561" s="152">
        <v>368</v>
      </c>
      <c r="N561" s="152">
        <v>558</v>
      </c>
      <c r="O561" s="156">
        <v>0.15</v>
      </c>
      <c r="P561" s="157">
        <v>0.65</v>
      </c>
      <c r="Q561" s="152">
        <v>0.84</v>
      </c>
      <c r="R561" s="152">
        <v>35</v>
      </c>
      <c r="S561" s="152">
        <v>341</v>
      </c>
      <c r="T561" s="152">
        <v>531</v>
      </c>
      <c r="U561" s="156">
        <v>1.42</v>
      </c>
      <c r="V561" s="157">
        <v>0.0243</v>
      </c>
      <c r="W561" s="157">
        <v>0.1014</v>
      </c>
      <c r="X561" s="156">
        <v>0.64</v>
      </c>
      <c r="Y561" s="157">
        <v>0.0764</v>
      </c>
      <c r="Z561" s="157">
        <v>0.0022</v>
      </c>
      <c r="AA561" s="152">
        <v>91</v>
      </c>
      <c r="AB561" s="152">
        <v>1.19</v>
      </c>
      <c r="AC561" s="152">
        <v>14.61</v>
      </c>
      <c r="AD561" s="152">
        <v>32</v>
      </c>
      <c r="AE561" s="152">
        <v>281</v>
      </c>
      <c r="AF561" s="157">
        <v>0.0575</v>
      </c>
      <c r="AG561" s="157">
        <v>0.0265</v>
      </c>
      <c r="AH561" s="157">
        <v>0.003</v>
      </c>
      <c r="AI561" s="142">
        <v>1</v>
      </c>
      <c r="AJ561" s="142">
        <v>500</v>
      </c>
      <c r="AK561" s="171">
        <v>0.03</v>
      </c>
      <c r="AL561" s="163">
        <v>52495</v>
      </c>
      <c r="AM561" s="163">
        <v>4009</v>
      </c>
      <c r="AN561" s="163">
        <v>5689</v>
      </c>
      <c r="AO561" s="142">
        <v>138</v>
      </c>
      <c r="AP561" s="142">
        <v>14</v>
      </c>
      <c r="AQ561" s="142">
        <v>9</v>
      </c>
      <c r="AR561" s="142">
        <v>327</v>
      </c>
      <c r="AS561" s="142">
        <v>151</v>
      </c>
      <c r="AT561" s="142">
        <v>17</v>
      </c>
      <c r="AU561" s="186"/>
      <c r="AV561" s="186"/>
      <c r="AW561" s="186"/>
      <c r="AX561" s="186"/>
      <c r="AY561" s="186"/>
    </row>
    <row r="562">
      <c r="A562" s="143"/>
      <c r="B562" s="152" t="s">
        <v>56</v>
      </c>
      <c r="C562" s="152" t="s">
        <v>116</v>
      </c>
      <c r="D562" s="152" t="s">
        <v>69</v>
      </c>
      <c r="E562" s="152" t="s">
        <v>62</v>
      </c>
      <c r="F562" s="154">
        <v>4049.82</v>
      </c>
      <c r="G562" s="178">
        <v>8353.4</v>
      </c>
      <c r="H562" s="152">
        <v>19</v>
      </c>
      <c r="I562" s="152">
        <v>14</v>
      </c>
      <c r="J562" s="152">
        <v>2</v>
      </c>
      <c r="K562" s="152">
        <v>2.06</v>
      </c>
      <c r="L562" s="152">
        <v>1.79</v>
      </c>
      <c r="M562" s="152">
        <v>289</v>
      </c>
      <c r="N562" s="152">
        <v>597</v>
      </c>
      <c r="O562" s="156">
        <v>0.14</v>
      </c>
      <c r="P562" s="157">
        <v>0.7368</v>
      </c>
      <c r="Q562" s="152">
        <v>0.97</v>
      </c>
      <c r="R562" s="152">
        <v>33</v>
      </c>
      <c r="S562" s="152">
        <v>270</v>
      </c>
      <c r="T562" s="152">
        <v>337</v>
      </c>
      <c r="U562" s="156">
        <v>1.44</v>
      </c>
      <c r="V562" s="157">
        <v>0.0289</v>
      </c>
      <c r="W562" s="157">
        <v>0.124</v>
      </c>
      <c r="X562" s="156">
        <v>0.8</v>
      </c>
      <c r="Y562" s="157">
        <v>0.063</v>
      </c>
      <c r="Z562" s="157">
        <v>0.0041</v>
      </c>
      <c r="AA562" s="152">
        <v>88</v>
      </c>
      <c r="AB562" s="152">
        <v>1.4</v>
      </c>
      <c r="AC562" s="152">
        <v>14.73</v>
      </c>
      <c r="AD562" s="152">
        <v>25</v>
      </c>
      <c r="AE562" s="152">
        <v>145</v>
      </c>
      <c r="AF562" s="157">
        <v>0.0657</v>
      </c>
      <c r="AG562" s="157">
        <v>0.038</v>
      </c>
      <c r="AH562" s="157">
        <v>0.0067</v>
      </c>
      <c r="AI562" s="142">
        <v>1</v>
      </c>
      <c r="AJ562" s="142">
        <v>500</v>
      </c>
      <c r="AK562" s="171">
        <v>0.03</v>
      </c>
      <c r="AL562" s="163">
        <v>46086</v>
      </c>
      <c r="AM562" s="163">
        <v>2903</v>
      </c>
      <c r="AN562" s="163">
        <v>4184</v>
      </c>
      <c r="AO562" s="142">
        <v>121</v>
      </c>
      <c r="AP562" s="142">
        <v>15</v>
      </c>
      <c r="AQ562" s="142">
        <v>12</v>
      </c>
      <c r="AR562" s="142">
        <v>275</v>
      </c>
      <c r="AS562" s="142">
        <v>159</v>
      </c>
      <c r="AT562" s="142">
        <v>28</v>
      </c>
      <c r="AU562" s="186"/>
      <c r="AV562" s="186"/>
      <c r="AW562" s="186"/>
      <c r="AX562" s="186"/>
      <c r="AY562" s="186"/>
    </row>
    <row r="563">
      <c r="A563" s="143"/>
      <c r="B563" s="152" t="s">
        <v>56</v>
      </c>
      <c r="C563" s="152" t="s">
        <v>116</v>
      </c>
      <c r="D563" s="152" t="s">
        <v>69</v>
      </c>
      <c r="E563" s="152" t="s">
        <v>63</v>
      </c>
      <c r="F563" s="154">
        <v>3662.96</v>
      </c>
      <c r="G563" s="178">
        <v>7964</v>
      </c>
      <c r="H563" s="152">
        <v>15</v>
      </c>
      <c r="I563" s="152">
        <v>14</v>
      </c>
      <c r="J563" s="152">
        <v>1</v>
      </c>
      <c r="K563" s="152">
        <v>2.17</v>
      </c>
      <c r="L563" s="152">
        <v>1.86</v>
      </c>
      <c r="M563" s="152">
        <v>262</v>
      </c>
      <c r="N563" s="152">
        <v>569</v>
      </c>
      <c r="O563" s="156">
        <v>0.07</v>
      </c>
      <c r="P563" s="157">
        <v>0.9333</v>
      </c>
      <c r="Q563" s="152">
        <v>1.22</v>
      </c>
      <c r="R563" s="152">
        <v>36</v>
      </c>
      <c r="S563" s="152">
        <v>407</v>
      </c>
      <c r="T563" s="152">
        <v>407</v>
      </c>
      <c r="U563" s="156">
        <v>1.35</v>
      </c>
      <c r="V563" s="157">
        <v>0.0343</v>
      </c>
      <c r="W563" s="157">
        <v>0.0874</v>
      </c>
      <c r="X563" s="156">
        <v>1</v>
      </c>
      <c r="Y563" s="157">
        <v>0.0571</v>
      </c>
      <c r="Z563" s="157">
        <v>0.004</v>
      </c>
      <c r="AA563" s="152">
        <v>94</v>
      </c>
      <c r="AB563" s="152">
        <v>1.64</v>
      </c>
      <c r="AC563" s="152">
        <v>16.35</v>
      </c>
      <c r="AD563" s="152">
        <v>46</v>
      </c>
      <c r="AE563" s="152">
        <v>244</v>
      </c>
      <c r="AF563" s="157">
        <v>0.0745</v>
      </c>
      <c r="AG563" s="157">
        <v>0.0266</v>
      </c>
      <c r="AH563" s="157">
        <v>0.005</v>
      </c>
      <c r="AI563" s="142">
        <v>1</v>
      </c>
      <c r="AJ563" s="142">
        <v>500</v>
      </c>
      <c r="AK563" s="171">
        <v>0.03</v>
      </c>
      <c r="AL563" s="163">
        <v>39027</v>
      </c>
      <c r="AM563" s="163">
        <v>2228</v>
      </c>
      <c r="AN563" s="163">
        <v>3006</v>
      </c>
      <c r="AO563" s="142">
        <v>103</v>
      </c>
      <c r="AP563" s="142">
        <v>9</v>
      </c>
      <c r="AQ563" s="142">
        <v>9</v>
      </c>
      <c r="AR563" s="142">
        <v>224</v>
      </c>
      <c r="AS563" s="142">
        <v>80</v>
      </c>
      <c r="AT563" s="142">
        <v>15</v>
      </c>
      <c r="AU563" s="186"/>
      <c r="AV563" s="186"/>
      <c r="AW563" s="186"/>
      <c r="AX563" s="186"/>
      <c r="AY563" s="186"/>
    </row>
    <row r="564">
      <c r="A564" s="143"/>
      <c r="B564" s="152" t="s">
        <v>56</v>
      </c>
      <c r="C564" s="152" t="s">
        <v>116</v>
      </c>
      <c r="D564" s="152" t="s">
        <v>69</v>
      </c>
      <c r="E564" s="152" t="s">
        <v>64</v>
      </c>
      <c r="F564" s="154">
        <v>2665.35</v>
      </c>
      <c r="G564" s="178">
        <v>6262.3</v>
      </c>
      <c r="H564" s="152">
        <v>8</v>
      </c>
      <c r="I564" s="152">
        <v>7</v>
      </c>
      <c r="J564" s="152">
        <v>2</v>
      </c>
      <c r="K564" s="152">
        <v>2.35</v>
      </c>
      <c r="L564" s="152">
        <v>1.93</v>
      </c>
      <c r="M564" s="152">
        <v>381</v>
      </c>
      <c r="N564" s="152">
        <v>895</v>
      </c>
      <c r="O564" s="156">
        <v>0.29</v>
      </c>
      <c r="P564" s="157">
        <v>0.875</v>
      </c>
      <c r="Q564" s="152">
        <v>1.12</v>
      </c>
      <c r="R564" s="152">
        <v>32</v>
      </c>
      <c r="S564" s="152">
        <v>381</v>
      </c>
      <c r="T564" s="152">
        <v>444</v>
      </c>
      <c r="U564" s="156">
        <v>1.3</v>
      </c>
      <c r="V564" s="157">
        <v>0.0348</v>
      </c>
      <c r="W564" s="157">
        <v>0.0843</v>
      </c>
      <c r="X564" s="156">
        <v>0.86</v>
      </c>
      <c r="Y564" s="157">
        <v>0.0641</v>
      </c>
      <c r="Z564" s="157">
        <v>0.0033</v>
      </c>
      <c r="AA564" s="152">
        <v>93</v>
      </c>
      <c r="AB564" s="152">
        <v>1.46</v>
      </c>
      <c r="AC564" s="152">
        <v>14.03</v>
      </c>
      <c r="AD564" s="152">
        <v>33</v>
      </c>
      <c r="AE564" s="152">
        <v>133</v>
      </c>
      <c r="AF564" s="157">
        <v>0.0797</v>
      </c>
      <c r="AG564" s="157">
        <v>0.0336</v>
      </c>
      <c r="AH564" s="157">
        <v>0.0084</v>
      </c>
      <c r="AI564" s="142">
        <v>1</v>
      </c>
      <c r="AJ564" s="142">
        <v>500</v>
      </c>
      <c r="AK564" s="171">
        <v>0.03</v>
      </c>
      <c r="AL564" s="163">
        <v>28531</v>
      </c>
      <c r="AM564" s="163">
        <v>1829</v>
      </c>
      <c r="AN564" s="163">
        <v>2383</v>
      </c>
      <c r="AO564" s="142">
        <v>83</v>
      </c>
      <c r="AP564" s="142">
        <v>7</v>
      </c>
      <c r="AQ564" s="142">
        <v>6</v>
      </c>
      <c r="AR564" s="142">
        <v>190</v>
      </c>
      <c r="AS564" s="142">
        <v>80</v>
      </c>
      <c r="AT564" s="142">
        <v>20</v>
      </c>
      <c r="AU564" s="186"/>
      <c r="AV564" s="186"/>
      <c r="AW564" s="186"/>
      <c r="AX564" s="186"/>
      <c r="AY564" s="186"/>
    </row>
    <row r="565">
      <c r="A565" s="143"/>
      <c r="B565" s="172" t="s">
        <v>117</v>
      </c>
      <c r="C565" s="172"/>
      <c r="D565" s="172"/>
      <c r="E565" s="172"/>
      <c r="F565" s="173">
        <v>15155.89</v>
      </c>
      <c r="G565" s="180">
        <v>29836.4</v>
      </c>
      <c r="H565" s="172">
        <v>62</v>
      </c>
      <c r="I565" s="172">
        <v>48</v>
      </c>
      <c r="J565" s="172">
        <v>7</v>
      </c>
      <c r="K565" s="164">
        <v>1.97</v>
      </c>
      <c r="L565" s="164">
        <v>1.69</v>
      </c>
      <c r="M565" s="164">
        <v>316</v>
      </c>
      <c r="N565" s="164">
        <v>622</v>
      </c>
      <c r="O565" s="166">
        <v>0.15</v>
      </c>
      <c r="P565" s="167">
        <v>0.7742</v>
      </c>
      <c r="Q565" s="164">
        <v>0.99</v>
      </c>
      <c r="R565" s="164">
        <v>34</v>
      </c>
      <c r="S565" s="164">
        <v>337</v>
      </c>
      <c r="T565" s="164">
        <v>421</v>
      </c>
      <c r="U565" s="166">
        <v>1.39</v>
      </c>
      <c r="V565" s="167">
        <v>0.0292</v>
      </c>
      <c r="W565" s="167">
        <v>0.1011</v>
      </c>
      <c r="X565" s="166">
        <v>0.8</v>
      </c>
      <c r="Y565" s="167">
        <v>0.066</v>
      </c>
      <c r="Z565" s="167">
        <v>0.0033</v>
      </c>
      <c r="AA565" s="164">
        <v>91</v>
      </c>
      <c r="AB565" s="164">
        <v>1.38</v>
      </c>
      <c r="AC565" s="164">
        <v>14.92</v>
      </c>
      <c r="AD565" s="164">
        <v>32</v>
      </c>
      <c r="AE565" s="164">
        <v>189</v>
      </c>
      <c r="AF565" s="167">
        <v>0.0666</v>
      </c>
      <c r="AG565" s="167">
        <v>0.0308</v>
      </c>
      <c r="AH565" s="167">
        <v>0.0052</v>
      </c>
      <c r="AI565" s="168">
        <v>4</v>
      </c>
      <c r="AJ565" s="168">
        <v>500</v>
      </c>
      <c r="AK565" s="169">
        <v>0.03</v>
      </c>
      <c r="AL565" s="170">
        <v>166139</v>
      </c>
      <c r="AM565" s="170">
        <v>10969</v>
      </c>
      <c r="AN565" s="170">
        <v>15262</v>
      </c>
      <c r="AO565" s="168">
        <v>445</v>
      </c>
      <c r="AP565" s="168">
        <v>45</v>
      </c>
      <c r="AQ565" s="168">
        <v>36</v>
      </c>
      <c r="AR565" s="170">
        <v>1016</v>
      </c>
      <c r="AS565" s="168">
        <v>470</v>
      </c>
      <c r="AT565" s="168">
        <v>80</v>
      </c>
      <c r="AU565" s="186"/>
      <c r="AV565" s="186"/>
      <c r="AW565" s="186"/>
      <c r="AX565" s="186"/>
      <c r="AY565" s="186"/>
    </row>
    <row r="566">
      <c r="A566" s="143"/>
      <c r="B566" s="144" t="s">
        <v>118</v>
      </c>
      <c r="C566" s="144"/>
      <c r="D566" s="144"/>
      <c r="E566" s="144"/>
      <c r="F566" s="174">
        <v>55647.99</v>
      </c>
      <c r="G566" s="181">
        <v>103185.5</v>
      </c>
      <c r="H566" s="144">
        <v>206</v>
      </c>
      <c r="I566" s="144">
        <v>166</v>
      </c>
      <c r="J566" s="144">
        <v>27</v>
      </c>
      <c r="K566" s="175">
        <v>1.85</v>
      </c>
      <c r="L566" s="175">
        <v>1.58</v>
      </c>
      <c r="M566" s="175">
        <v>335</v>
      </c>
      <c r="N566" s="175">
        <v>622</v>
      </c>
      <c r="O566" s="176">
        <v>0.16</v>
      </c>
      <c r="P566" s="177">
        <v>0.8058</v>
      </c>
      <c r="Q566" s="175">
        <v>0.98</v>
      </c>
      <c r="R566" s="175">
        <v>35</v>
      </c>
      <c r="S566" s="175">
        <v>339</v>
      </c>
      <c r="T566" s="175">
        <v>412</v>
      </c>
      <c r="U566" s="176">
        <v>1.37</v>
      </c>
      <c r="V566" s="177">
        <v>0.0283</v>
      </c>
      <c r="W566" s="177">
        <v>0.1019</v>
      </c>
      <c r="X566" s="176">
        <v>0.82</v>
      </c>
      <c r="Y566" s="177">
        <v>0.0738</v>
      </c>
      <c r="Z566" s="177">
        <v>0.0033</v>
      </c>
      <c r="AA566" s="175">
        <v>99</v>
      </c>
      <c r="AB566" s="175">
        <v>1.34</v>
      </c>
      <c r="AC566" s="175">
        <v>13.79</v>
      </c>
      <c r="AD566" s="175">
        <v>26</v>
      </c>
      <c r="AE566" s="175">
        <v>189</v>
      </c>
      <c r="AF566" s="177">
        <v>0.0708</v>
      </c>
      <c r="AG566" s="177">
        <v>0.0379</v>
      </c>
      <c r="AH566" s="177">
        <v>0.0052</v>
      </c>
      <c r="AI566" s="149">
        <v>16</v>
      </c>
      <c r="AJ566" s="149">
        <v>500</v>
      </c>
      <c r="AK566" s="150">
        <v>0.03</v>
      </c>
      <c r="AL566" s="151">
        <v>561931</v>
      </c>
      <c r="AM566" s="151">
        <v>41455</v>
      </c>
      <c r="AN566" s="151">
        <v>56967</v>
      </c>
      <c r="AO566" s="151">
        <v>1610</v>
      </c>
      <c r="AP566" s="149">
        <v>164</v>
      </c>
      <c r="AQ566" s="149">
        <v>135</v>
      </c>
      <c r="AR566" s="151">
        <v>4035</v>
      </c>
      <c r="AS566" s="151">
        <v>2157</v>
      </c>
      <c r="AT566" s="149">
        <v>295</v>
      </c>
      <c r="AU566" s="186"/>
      <c r="AV566" s="186"/>
      <c r="AW566" s="186"/>
      <c r="AX566" s="186"/>
      <c r="AY566" s="186"/>
    </row>
    <row r="567">
      <c r="A567" s="189"/>
      <c r="B567" s="189"/>
      <c r="C567" s="189"/>
      <c r="D567" s="189"/>
      <c r="E567" s="189"/>
      <c r="F567" s="189"/>
      <c r="G567" s="190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  <c r="AC567" s="189"/>
      <c r="AD567" s="189"/>
      <c r="AE567" s="189"/>
      <c r="AF567" s="189"/>
      <c r="AG567" s="189"/>
      <c r="AH567" s="189"/>
      <c r="AI567" s="189"/>
    </row>
    <row r="568">
      <c r="A568" s="189"/>
      <c r="B568" s="189"/>
      <c r="C568" s="189"/>
      <c r="D568" s="189"/>
      <c r="E568" s="189"/>
      <c r="F568" s="189"/>
      <c r="G568" s="190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  <c r="AC568" s="189"/>
      <c r="AD568" s="189"/>
      <c r="AE568" s="189"/>
      <c r="AF568" s="189"/>
      <c r="AG568" s="189"/>
      <c r="AH568" s="189"/>
      <c r="AI568" s="189"/>
    </row>
    <row r="569">
      <c r="A569" s="189"/>
      <c r="B569" s="189"/>
      <c r="C569" s="189"/>
      <c r="D569" s="189"/>
      <c r="E569" s="189"/>
      <c r="F569" s="189"/>
      <c r="G569" s="190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  <c r="AC569" s="189"/>
      <c r="AD569" s="189"/>
      <c r="AE569" s="189"/>
      <c r="AF569" s="189"/>
      <c r="AG569" s="189"/>
      <c r="AH569" s="189"/>
      <c r="AI569" s="189"/>
    </row>
    <row r="570">
      <c r="A570" s="189"/>
      <c r="B570" s="189"/>
      <c r="C570" s="189"/>
      <c r="D570" s="189"/>
      <c r="E570" s="189"/>
      <c r="F570" s="189"/>
      <c r="G570" s="190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  <c r="AC570" s="189"/>
      <c r="AD570" s="189"/>
      <c r="AE570" s="189"/>
      <c r="AF570" s="189"/>
      <c r="AG570" s="189"/>
      <c r="AH570" s="189"/>
      <c r="AI570" s="189"/>
    </row>
    <row r="571">
      <c r="A571" s="189"/>
      <c r="B571" s="189"/>
      <c r="C571" s="189"/>
      <c r="D571" s="189"/>
      <c r="E571" s="189"/>
      <c r="F571" s="189"/>
      <c r="G571" s="190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  <c r="AC571" s="189"/>
      <c r="AD571" s="189"/>
      <c r="AE571" s="189"/>
      <c r="AF571" s="189"/>
      <c r="AG571" s="189"/>
      <c r="AH571" s="189"/>
      <c r="AI571" s="189"/>
    </row>
    <row r="572">
      <c r="A572" s="189"/>
      <c r="B572" s="189"/>
      <c r="C572" s="189"/>
      <c r="D572" s="189"/>
      <c r="E572" s="189"/>
      <c r="F572" s="189"/>
      <c r="G572" s="190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  <c r="AC572" s="189"/>
      <c r="AD572" s="189"/>
      <c r="AE572" s="189"/>
      <c r="AF572" s="189"/>
      <c r="AG572" s="189"/>
      <c r="AH572" s="189"/>
      <c r="AI572" s="189"/>
    </row>
    <row r="573">
      <c r="A573" s="189"/>
      <c r="B573" s="189"/>
      <c r="C573" s="189"/>
      <c r="D573" s="189"/>
      <c r="E573" s="189"/>
      <c r="F573" s="189"/>
      <c r="G573" s="190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  <c r="AC573" s="189"/>
      <c r="AD573" s="189"/>
      <c r="AE573" s="189"/>
      <c r="AF573" s="189"/>
      <c r="AG573" s="189"/>
      <c r="AH573" s="189"/>
      <c r="AI573" s="189"/>
    </row>
    <row r="574">
      <c r="A574" s="189"/>
      <c r="B574" s="189"/>
      <c r="C574" s="189"/>
      <c r="D574" s="189"/>
      <c r="E574" s="189"/>
      <c r="F574" s="189"/>
      <c r="G574" s="190"/>
      <c r="H574" s="189">
        <v>3480.43</v>
      </c>
      <c r="I574" s="189">
        <v>332.38</v>
      </c>
      <c r="J574" s="191">
        <f>H574+I574</f>
      </c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  <c r="AC574" s="189"/>
      <c r="AD574" s="189"/>
      <c r="AE574" s="189"/>
      <c r="AF574" s="189"/>
      <c r="AG574" s="189"/>
      <c r="AH574" s="189"/>
      <c r="AI574" s="189"/>
    </row>
    <row r="575">
      <c r="A575" s="189"/>
      <c r="B575" s="189"/>
      <c r="C575" s="189"/>
      <c r="D575" s="189"/>
      <c r="E575" s="189"/>
      <c r="F575" s="189"/>
      <c r="G575" s="190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  <c r="AC575" s="189"/>
      <c r="AD575" s="189"/>
      <c r="AE575" s="189"/>
      <c r="AF575" s="189"/>
      <c r="AG575" s="189"/>
      <c r="AH575" s="189"/>
      <c r="AI575" s="189"/>
    </row>
    <row r="576">
      <c r="A576" s="189"/>
      <c r="B576" s="189"/>
      <c r="C576" s="189"/>
      <c r="D576" s="189"/>
      <c r="E576" s="189"/>
      <c r="F576" s="189"/>
      <c r="G576" s="190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  <c r="AC576" s="189"/>
      <c r="AD576" s="189"/>
      <c r="AE576" s="189"/>
      <c r="AF576" s="189"/>
      <c r="AG576" s="189"/>
      <c r="AH576" s="189"/>
      <c r="AI576" s="189"/>
    </row>
    <row r="577">
      <c r="A577" s="189"/>
      <c r="B577" s="189"/>
      <c r="C577" s="189"/>
      <c r="D577" s="189"/>
      <c r="E577" s="189"/>
      <c r="F577" s="189"/>
      <c r="G577" s="190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  <c r="AC577" s="189"/>
      <c r="AD577" s="189"/>
      <c r="AE577" s="189"/>
      <c r="AF577" s="189"/>
      <c r="AG577" s="189"/>
      <c r="AH577" s="189"/>
      <c r="AI577" s="189"/>
    </row>
    <row r="578">
      <c r="A578" s="189"/>
      <c r="B578" s="189"/>
      <c r="C578" s="189"/>
      <c r="D578" s="189"/>
      <c r="E578" s="189"/>
      <c r="F578" s="189"/>
      <c r="G578" s="190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  <c r="AC578" s="189"/>
      <c r="AD578" s="189"/>
      <c r="AE578" s="189"/>
      <c r="AF578" s="189"/>
      <c r="AG578" s="189"/>
      <c r="AH578" s="189"/>
      <c r="AI578" s="189"/>
    </row>
    <row r="579">
      <c r="A579" s="189"/>
      <c r="B579" s="189"/>
      <c r="C579" s="189"/>
      <c r="D579" s="189"/>
      <c r="E579" s="189"/>
      <c r="F579" s="189"/>
      <c r="G579" s="190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  <c r="AC579" s="189"/>
      <c r="AD579" s="189"/>
      <c r="AE579" s="189"/>
      <c r="AF579" s="189"/>
      <c r="AG579" s="189"/>
      <c r="AH579" s="189"/>
      <c r="AI579" s="189"/>
    </row>
    <row r="580">
      <c r="A580" s="189"/>
      <c r="B580" s="189"/>
      <c r="C580" s="189"/>
      <c r="D580" s="189"/>
      <c r="E580" s="192"/>
      <c r="F580" s="189"/>
      <c r="G580" s="190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  <c r="AC580" s="189"/>
      <c r="AD580" s="189"/>
      <c r="AE580" s="189"/>
      <c r="AF580" s="189"/>
      <c r="AG580" s="189"/>
      <c r="AH580" s="189"/>
      <c r="AI580" s="189"/>
    </row>
    <row r="581">
      <c r="A581" s="189"/>
      <c r="B581" s="189"/>
      <c r="C581" s="189"/>
      <c r="D581" s="189"/>
      <c r="E581" s="189"/>
      <c r="F581" s="189"/>
      <c r="G581" s="190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  <c r="AC581" s="189"/>
      <c r="AD581" s="189"/>
      <c r="AE581" s="189"/>
      <c r="AF581" s="189"/>
      <c r="AG581" s="189"/>
      <c r="AH581" s="189"/>
      <c r="AI581" s="189"/>
    </row>
    <row r="582">
      <c r="A582" s="189"/>
      <c r="B582" s="189"/>
      <c r="C582" s="189"/>
      <c r="D582" s="189"/>
      <c r="E582" s="189"/>
      <c r="F582" s="189"/>
      <c r="G582" s="190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  <c r="AC582" s="189"/>
      <c r="AD582" s="189"/>
      <c r="AE582" s="189"/>
      <c r="AF582" s="189"/>
      <c r="AG582" s="189"/>
      <c r="AH582" s="189"/>
      <c r="AI582" s="189"/>
    </row>
    <row r="583">
      <c r="A583" s="189"/>
      <c r="B583" s="189"/>
      <c r="C583" s="189"/>
      <c r="D583" s="189"/>
      <c r="E583" s="189"/>
      <c r="F583" s="189"/>
      <c r="G583" s="190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  <c r="AC583" s="189"/>
      <c r="AD583" s="189"/>
      <c r="AE583" s="189"/>
      <c r="AF583" s="189"/>
      <c r="AG583" s="189"/>
      <c r="AH583" s="189"/>
      <c r="AI583" s="189"/>
    </row>
    <row r="584">
      <c r="A584" s="189"/>
      <c r="B584" s="189"/>
      <c r="C584" s="189"/>
      <c r="D584" s="189"/>
      <c r="E584" s="189"/>
      <c r="F584" s="189"/>
      <c r="G584" s="190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  <c r="AC584" s="189"/>
      <c r="AD584" s="189"/>
      <c r="AE584" s="189"/>
      <c r="AF584" s="189"/>
      <c r="AG584" s="189"/>
      <c r="AH584" s="189"/>
      <c r="AI584" s="189"/>
    </row>
    <row r="585">
      <c r="A585" s="189"/>
      <c r="B585" s="189"/>
      <c r="C585" s="189"/>
      <c r="D585" s="189"/>
      <c r="E585" s="189"/>
      <c r="F585" s="189"/>
      <c r="G585" s="190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  <c r="AC585" s="189"/>
      <c r="AD585" s="189"/>
      <c r="AE585" s="189"/>
      <c r="AF585" s="189"/>
      <c r="AG585" s="189"/>
      <c r="AH585" s="189"/>
      <c r="AI585" s="189"/>
    </row>
    <row r="586">
      <c r="A586" s="189"/>
      <c r="B586" s="189"/>
      <c r="C586" s="189"/>
      <c r="D586" s="189"/>
      <c r="E586" s="189"/>
      <c r="F586" s="189"/>
      <c r="G586" s="190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  <c r="AC586" s="189"/>
      <c r="AD586" s="189"/>
      <c r="AE586" s="189"/>
      <c r="AF586" s="189"/>
      <c r="AG586" s="189"/>
      <c r="AH586" s="189"/>
      <c r="AI586" s="189"/>
    </row>
    <row r="587">
      <c r="A587" s="189"/>
      <c r="B587" s="189"/>
      <c r="C587" s="189"/>
      <c r="D587" s="189"/>
      <c r="E587" s="189"/>
      <c r="F587" s="189"/>
      <c r="G587" s="190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  <c r="AC587" s="189"/>
      <c r="AD587" s="189"/>
      <c r="AE587" s="189"/>
      <c r="AF587" s="189"/>
      <c r="AG587" s="189"/>
      <c r="AH587" s="189"/>
      <c r="AI587" s="189"/>
    </row>
    <row r="588">
      <c r="A588" s="189"/>
      <c r="B588" s="189"/>
      <c r="C588" s="189"/>
      <c r="D588" s="189"/>
      <c r="E588" s="189"/>
      <c r="F588" s="189"/>
      <c r="G588" s="190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  <c r="AD588" s="189"/>
      <c r="AE588" s="189"/>
      <c r="AF588" s="189"/>
      <c r="AG588" s="189"/>
      <c r="AH588" s="189"/>
      <c r="AI588" s="189"/>
    </row>
    <row r="589">
      <c r="A589" s="189"/>
      <c r="B589" s="189"/>
      <c r="C589" s="189"/>
      <c r="D589" s="189"/>
      <c r="E589" s="189"/>
      <c r="F589" s="189"/>
      <c r="G589" s="190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  <c r="AD589" s="189"/>
      <c r="AE589" s="189"/>
      <c r="AF589" s="189"/>
      <c r="AG589" s="189"/>
      <c r="AH589" s="189"/>
      <c r="AI589" s="189"/>
    </row>
    <row r="590">
      <c r="A590" s="189"/>
      <c r="B590" s="189"/>
      <c r="C590" s="189"/>
      <c r="D590" s="189"/>
      <c r="E590" s="189"/>
      <c r="F590" s="189"/>
      <c r="G590" s="190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  <c r="AC590" s="189"/>
      <c r="AD590" s="189"/>
      <c r="AE590" s="189"/>
      <c r="AF590" s="189"/>
      <c r="AG590" s="189"/>
      <c r="AH590" s="189"/>
      <c r="AI590" s="189"/>
    </row>
    <row r="591">
      <c r="A591" s="189"/>
      <c r="B591" s="189"/>
      <c r="C591" s="189"/>
      <c r="D591" s="189"/>
      <c r="E591" s="189"/>
      <c r="F591" s="189"/>
      <c r="G591" s="190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  <c r="AC591" s="189"/>
      <c r="AD591" s="189"/>
      <c r="AE591" s="189"/>
      <c r="AF591" s="189"/>
      <c r="AG591" s="189"/>
      <c r="AH591" s="189"/>
      <c r="AI591" s="189"/>
    </row>
    <row r="592">
      <c r="A592" s="189"/>
      <c r="B592" s="189"/>
      <c r="C592" s="189"/>
      <c r="D592" s="189"/>
      <c r="E592" s="189"/>
      <c r="F592" s="189"/>
      <c r="G592" s="190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  <c r="AC592" s="189"/>
      <c r="AD592" s="189"/>
      <c r="AE592" s="189"/>
      <c r="AF592" s="189"/>
      <c r="AG592" s="189"/>
      <c r="AH592" s="189"/>
      <c r="AI592" s="189"/>
    </row>
    <row r="593">
      <c r="A593" s="189"/>
      <c r="B593" s="189"/>
      <c r="C593" s="189"/>
      <c r="D593" s="189"/>
      <c r="E593" s="189"/>
      <c r="F593" s="189"/>
      <c r="G593" s="190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  <c r="AC593" s="189"/>
      <c r="AD593" s="189"/>
      <c r="AE593" s="189"/>
      <c r="AF593" s="189"/>
      <c r="AG593" s="189"/>
      <c r="AH593" s="189"/>
      <c r="AI593" s="189"/>
    </row>
    <row r="594">
      <c r="A594" s="189"/>
      <c r="B594" s="189"/>
      <c r="C594" s="189"/>
      <c r="D594" s="189"/>
      <c r="E594" s="189"/>
      <c r="F594" s="189"/>
      <c r="G594" s="190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  <c r="AC594" s="189"/>
      <c r="AD594" s="189"/>
      <c r="AE594" s="189"/>
      <c r="AF594" s="189"/>
      <c r="AG594" s="189"/>
      <c r="AH594" s="189"/>
      <c r="AI594" s="189"/>
    </row>
    <row r="595">
      <c r="A595" s="189"/>
      <c r="B595" s="189"/>
      <c r="C595" s="189"/>
      <c r="D595" s="189"/>
      <c r="E595" s="189"/>
      <c r="F595" s="189"/>
      <c r="G595" s="190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  <c r="AC595" s="189"/>
      <c r="AD595" s="189"/>
      <c r="AE595" s="189"/>
      <c r="AF595" s="189"/>
      <c r="AG595" s="189"/>
      <c r="AH595" s="189"/>
      <c r="AI595" s="189"/>
    </row>
    <row r="596">
      <c r="A596" s="189"/>
      <c r="B596" s="189"/>
      <c r="C596" s="189"/>
      <c r="D596" s="189"/>
      <c r="E596" s="189"/>
      <c r="F596" s="189"/>
      <c r="G596" s="190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  <c r="AC596" s="189"/>
      <c r="AD596" s="189"/>
      <c r="AE596" s="189"/>
      <c r="AF596" s="189"/>
      <c r="AG596" s="189"/>
      <c r="AH596" s="189"/>
      <c r="AI596" s="189"/>
    </row>
    <row r="597">
      <c r="A597" s="189"/>
      <c r="B597" s="189"/>
      <c r="C597" s="189"/>
      <c r="D597" s="189"/>
      <c r="E597" s="189"/>
      <c r="F597" s="189"/>
      <c r="G597" s="190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  <c r="AC597" s="189"/>
      <c r="AD597" s="189"/>
      <c r="AE597" s="189"/>
      <c r="AF597" s="189"/>
      <c r="AG597" s="189"/>
      <c r="AH597" s="189"/>
      <c r="AI597" s="189"/>
    </row>
    <row r="598">
      <c r="A598" s="189"/>
      <c r="B598" s="189"/>
      <c r="C598" s="189"/>
      <c r="D598" s="189"/>
      <c r="E598" s="189"/>
      <c r="F598" s="189"/>
      <c r="G598" s="190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  <c r="AC598" s="189"/>
      <c r="AD598" s="189"/>
      <c r="AE598" s="189"/>
      <c r="AF598" s="189"/>
      <c r="AG598" s="189"/>
      <c r="AH598" s="189"/>
      <c r="AI598" s="189"/>
    </row>
    <row r="599">
      <c r="A599" s="189"/>
      <c r="B599" s="189"/>
      <c r="C599" s="189"/>
      <c r="D599" s="189"/>
      <c r="E599" s="189"/>
      <c r="F599" s="189"/>
      <c r="G599" s="190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  <c r="AC599" s="189"/>
      <c r="AD599" s="189"/>
      <c r="AE599" s="189"/>
      <c r="AF599" s="189"/>
      <c r="AG599" s="189"/>
      <c r="AH599" s="189"/>
      <c r="AI599" s="189"/>
    </row>
    <row r="600">
      <c r="A600" s="189"/>
      <c r="B600" s="189"/>
      <c r="C600" s="189"/>
      <c r="D600" s="189"/>
      <c r="E600" s="189"/>
      <c r="F600" s="189"/>
      <c r="G600" s="190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  <c r="AC600" s="189"/>
      <c r="AD600" s="189"/>
      <c r="AE600" s="189"/>
      <c r="AF600" s="189"/>
      <c r="AG600" s="189"/>
      <c r="AH600" s="189"/>
      <c r="AI600" s="189"/>
    </row>
    <row r="601">
      <c r="A601" s="189"/>
      <c r="B601" s="189"/>
      <c r="C601" s="189"/>
      <c r="D601" s="189"/>
      <c r="E601" s="189"/>
      <c r="F601" s="189"/>
      <c r="G601" s="190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  <c r="AC601" s="189"/>
      <c r="AD601" s="189"/>
      <c r="AE601" s="189"/>
      <c r="AF601" s="189"/>
      <c r="AG601" s="189"/>
      <c r="AH601" s="189"/>
      <c r="AI601" s="189"/>
    </row>
    <row r="602">
      <c r="A602" s="189"/>
      <c r="B602" s="189"/>
      <c r="C602" s="189"/>
      <c r="D602" s="189"/>
      <c r="E602" s="189"/>
      <c r="F602" s="189"/>
      <c r="G602" s="190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  <c r="AC602" s="189"/>
      <c r="AD602" s="189"/>
      <c r="AE602" s="189"/>
      <c r="AF602" s="189"/>
      <c r="AG602" s="189"/>
      <c r="AH602" s="189"/>
      <c r="AI602" s="189"/>
    </row>
    <row r="603">
      <c r="A603" s="189"/>
      <c r="B603" s="189"/>
      <c r="C603" s="189"/>
      <c r="D603" s="189"/>
      <c r="E603" s="189"/>
      <c r="F603" s="189"/>
      <c r="G603" s="190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  <c r="AC603" s="189"/>
      <c r="AD603" s="189"/>
      <c r="AE603" s="189"/>
      <c r="AF603" s="189"/>
      <c r="AG603" s="189"/>
      <c r="AH603" s="189"/>
      <c r="AI603" s="189"/>
    </row>
    <row r="604">
      <c r="A604" s="189"/>
      <c r="B604" s="189"/>
      <c r="C604" s="189"/>
      <c r="D604" s="189"/>
      <c r="E604" s="189"/>
      <c r="F604" s="189"/>
      <c r="G604" s="190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  <c r="AC604" s="189"/>
      <c r="AD604" s="189"/>
      <c r="AE604" s="189"/>
      <c r="AF604" s="189"/>
      <c r="AG604" s="189"/>
      <c r="AH604" s="189"/>
      <c r="AI604" s="189"/>
    </row>
    <row r="605">
      <c r="A605" s="189"/>
      <c r="B605" s="189"/>
      <c r="C605" s="189"/>
      <c r="D605" s="189"/>
      <c r="E605" s="189"/>
      <c r="F605" s="189"/>
      <c r="G605" s="190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  <c r="AC605" s="189"/>
      <c r="AD605" s="189"/>
      <c r="AE605" s="189"/>
      <c r="AF605" s="189"/>
      <c r="AG605" s="189"/>
      <c r="AH605" s="189"/>
      <c r="AI605" s="189"/>
    </row>
    <row r="606">
      <c r="A606" s="189"/>
      <c r="B606" s="189"/>
      <c r="C606" s="189"/>
      <c r="D606" s="189"/>
      <c r="E606" s="189"/>
      <c r="F606" s="189"/>
      <c r="G606" s="190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  <c r="AC606" s="189"/>
      <c r="AD606" s="189"/>
      <c r="AE606" s="189"/>
      <c r="AF606" s="189"/>
      <c r="AG606" s="189"/>
      <c r="AH606" s="189"/>
      <c r="AI606" s="189"/>
    </row>
    <row r="607">
      <c r="A607" s="189"/>
      <c r="B607" s="189"/>
      <c r="C607" s="189"/>
      <c r="D607" s="189"/>
      <c r="E607" s="189"/>
      <c r="F607" s="189"/>
      <c r="G607" s="190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  <c r="AC607" s="189"/>
      <c r="AD607" s="189"/>
      <c r="AE607" s="189"/>
      <c r="AF607" s="189"/>
      <c r="AG607" s="189"/>
      <c r="AH607" s="189"/>
      <c r="AI607" s="189"/>
    </row>
    <row r="608">
      <c r="A608" s="189"/>
      <c r="B608" s="189"/>
      <c r="C608" s="189"/>
      <c r="D608" s="189"/>
      <c r="E608" s="189"/>
      <c r="F608" s="189"/>
      <c r="G608" s="190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  <c r="AC608" s="189"/>
      <c r="AD608" s="189"/>
      <c r="AE608" s="189"/>
      <c r="AF608" s="189"/>
      <c r="AG608" s="189"/>
      <c r="AH608" s="189"/>
      <c r="AI608" s="189"/>
    </row>
    <row r="609">
      <c r="A609" s="189"/>
      <c r="B609" s="189"/>
      <c r="C609" s="189"/>
      <c r="D609" s="189"/>
      <c r="E609" s="189"/>
      <c r="F609" s="189"/>
      <c r="G609" s="190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  <c r="AC609" s="189"/>
      <c r="AD609" s="189"/>
      <c r="AE609" s="189"/>
      <c r="AF609" s="189"/>
      <c r="AG609" s="189"/>
      <c r="AH609" s="189"/>
      <c r="AI609" s="189"/>
    </row>
    <row r="610">
      <c r="A610" s="189"/>
      <c r="B610" s="189"/>
      <c r="C610" s="189"/>
      <c r="D610" s="189"/>
      <c r="E610" s="189"/>
      <c r="F610" s="189"/>
      <c r="G610" s="190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  <c r="AC610" s="189"/>
      <c r="AD610" s="189"/>
      <c r="AE610" s="189"/>
      <c r="AF610" s="189"/>
      <c r="AG610" s="189"/>
      <c r="AH610" s="189"/>
      <c r="AI610" s="189"/>
    </row>
    <row r="611">
      <c r="A611" s="189"/>
      <c r="B611" s="189"/>
      <c r="C611" s="189"/>
      <c r="D611" s="189"/>
      <c r="E611" s="189"/>
      <c r="F611" s="189"/>
      <c r="G611" s="190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  <c r="AC611" s="189"/>
      <c r="AD611" s="189"/>
      <c r="AE611" s="189"/>
      <c r="AF611" s="189"/>
      <c r="AG611" s="189"/>
      <c r="AH611" s="189"/>
      <c r="AI611" s="189"/>
    </row>
    <row r="612">
      <c r="A612" s="189"/>
      <c r="B612" s="189"/>
      <c r="C612" s="189"/>
      <c r="D612" s="189"/>
      <c r="E612" s="189"/>
      <c r="F612" s="189"/>
      <c r="G612" s="190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  <c r="AC612" s="189"/>
      <c r="AD612" s="189"/>
      <c r="AE612" s="189"/>
      <c r="AF612" s="189"/>
      <c r="AG612" s="189"/>
      <c r="AH612" s="189"/>
      <c r="AI612" s="189"/>
    </row>
    <row r="613">
      <c r="A613" s="189"/>
      <c r="B613" s="189"/>
      <c r="C613" s="189"/>
      <c r="D613" s="189"/>
      <c r="E613" s="189"/>
      <c r="F613" s="189"/>
      <c r="G613" s="190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  <c r="AC613" s="189"/>
      <c r="AD613" s="189"/>
      <c r="AE613" s="189"/>
      <c r="AF613" s="189"/>
      <c r="AG613" s="189"/>
      <c r="AH613" s="189"/>
      <c r="AI613" s="189"/>
    </row>
    <row r="614">
      <c r="A614" s="189"/>
      <c r="B614" s="189"/>
      <c r="C614" s="189"/>
      <c r="D614" s="189"/>
      <c r="E614" s="189"/>
      <c r="F614" s="189"/>
      <c r="G614" s="190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  <c r="AC614" s="189"/>
      <c r="AD614" s="189"/>
      <c r="AE614" s="189"/>
      <c r="AF614" s="189"/>
      <c r="AG614" s="189"/>
      <c r="AH614" s="189"/>
      <c r="AI614" s="189"/>
    </row>
    <row r="615">
      <c r="A615" s="189"/>
      <c r="B615" s="189"/>
      <c r="C615" s="189"/>
      <c r="D615" s="189"/>
      <c r="E615" s="189"/>
      <c r="F615" s="189"/>
      <c r="G615" s="190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  <c r="AC615" s="189"/>
      <c r="AD615" s="189"/>
      <c r="AE615" s="189"/>
      <c r="AF615" s="189"/>
      <c r="AG615" s="189"/>
      <c r="AH615" s="189"/>
      <c r="AI615" s="189"/>
    </row>
    <row r="616">
      <c r="A616" s="189"/>
      <c r="B616" s="189"/>
      <c r="C616" s="189"/>
      <c r="D616" s="189"/>
      <c r="E616" s="189"/>
      <c r="F616" s="189"/>
      <c r="G616" s="190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  <c r="AC616" s="189"/>
      <c r="AD616" s="189"/>
      <c r="AE616" s="189"/>
      <c r="AF616" s="189"/>
      <c r="AG616" s="189"/>
      <c r="AH616" s="189"/>
      <c r="AI616" s="189"/>
    </row>
    <row r="617">
      <c r="A617" s="189"/>
      <c r="B617" s="189"/>
      <c r="C617" s="189"/>
      <c r="D617" s="189"/>
      <c r="E617" s="189"/>
      <c r="F617" s="189"/>
      <c r="G617" s="190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  <c r="AC617" s="189"/>
      <c r="AD617" s="189"/>
      <c r="AE617" s="189"/>
      <c r="AF617" s="189"/>
      <c r="AG617" s="189"/>
      <c r="AH617" s="189"/>
      <c r="AI617" s="189"/>
    </row>
    <row r="618">
      <c r="A618" s="189"/>
      <c r="B618" s="189"/>
      <c r="C618" s="189"/>
      <c r="D618" s="189"/>
      <c r="E618" s="189"/>
      <c r="F618" s="189"/>
      <c r="G618" s="190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  <c r="AC618" s="189"/>
      <c r="AD618" s="189"/>
      <c r="AE618" s="189"/>
      <c r="AF618" s="189"/>
      <c r="AG618" s="189"/>
      <c r="AH618" s="189"/>
      <c r="AI618" s="189"/>
    </row>
    <row r="619">
      <c r="A619" s="189"/>
      <c r="B619" s="189"/>
      <c r="C619" s="189"/>
      <c r="D619" s="189"/>
      <c r="E619" s="189"/>
      <c r="F619" s="189"/>
      <c r="G619" s="190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  <c r="AC619" s="189"/>
      <c r="AD619" s="189"/>
      <c r="AE619" s="189"/>
      <c r="AF619" s="189"/>
      <c r="AG619" s="189"/>
      <c r="AH619" s="189"/>
      <c r="AI619" s="189"/>
    </row>
    <row r="620">
      <c r="A620" s="189"/>
      <c r="B620" s="189"/>
      <c r="C620" s="189"/>
      <c r="D620" s="189"/>
      <c r="E620" s="189"/>
      <c r="F620" s="189"/>
      <c r="G620" s="190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  <c r="AC620" s="189"/>
      <c r="AD620" s="189"/>
      <c r="AE620" s="189"/>
      <c r="AF620" s="189"/>
      <c r="AG620" s="189"/>
      <c r="AH620" s="189"/>
      <c r="AI620" s="189"/>
    </row>
    <row r="621">
      <c r="A621" s="189"/>
      <c r="B621" s="189"/>
      <c r="C621" s="189"/>
      <c r="D621" s="189"/>
      <c r="E621" s="189"/>
      <c r="F621" s="189"/>
      <c r="G621" s="190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  <c r="AC621" s="189"/>
      <c r="AD621" s="189"/>
      <c r="AE621" s="189"/>
      <c r="AF621" s="189"/>
      <c r="AG621" s="189"/>
      <c r="AH621" s="189"/>
      <c r="AI621" s="189"/>
    </row>
    <row r="622">
      <c r="A622" s="189"/>
      <c r="B622" s="189"/>
      <c r="C622" s="189"/>
      <c r="D622" s="189"/>
      <c r="E622" s="189"/>
      <c r="F622" s="189"/>
      <c r="G622" s="190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  <c r="AC622" s="189"/>
      <c r="AD622" s="189"/>
      <c r="AE622" s="189"/>
      <c r="AF622" s="189"/>
      <c r="AG622" s="189"/>
      <c r="AH622" s="189"/>
      <c r="AI622" s="189"/>
    </row>
    <row r="623">
      <c r="A623" s="189"/>
      <c r="B623" s="189"/>
      <c r="C623" s="189"/>
      <c r="D623" s="189"/>
      <c r="E623" s="189"/>
      <c r="F623" s="189"/>
      <c r="G623" s="190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  <c r="AC623" s="189"/>
      <c r="AD623" s="189"/>
      <c r="AE623" s="189"/>
      <c r="AF623" s="189"/>
      <c r="AG623" s="189"/>
      <c r="AH623" s="189"/>
      <c r="AI623" s="189"/>
    </row>
    <row r="624">
      <c r="A624" s="189"/>
      <c r="B624" s="189"/>
      <c r="C624" s="189"/>
      <c r="D624" s="189"/>
      <c r="E624" s="189"/>
      <c r="F624" s="189"/>
      <c r="G624" s="190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  <c r="AC624" s="189"/>
      <c r="AD624" s="189"/>
      <c r="AE624" s="189"/>
      <c r="AF624" s="189"/>
      <c r="AG624" s="189"/>
      <c r="AH624" s="189"/>
      <c r="AI624" s="189"/>
    </row>
    <row r="625">
      <c r="A625" s="189"/>
      <c r="B625" s="189"/>
      <c r="C625" s="189"/>
      <c r="D625" s="189"/>
      <c r="E625" s="189"/>
      <c r="F625" s="189"/>
      <c r="G625" s="190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  <c r="AC625" s="189"/>
      <c r="AD625" s="189"/>
      <c r="AE625" s="189"/>
      <c r="AF625" s="189"/>
      <c r="AG625" s="189"/>
      <c r="AH625" s="189"/>
      <c r="AI625" s="189"/>
    </row>
    <row r="626">
      <c r="A626" s="189"/>
      <c r="B626" s="189"/>
      <c r="C626" s="189"/>
      <c r="D626" s="189"/>
      <c r="E626" s="189"/>
      <c r="F626" s="189"/>
      <c r="G626" s="190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189"/>
      <c r="AD626" s="189"/>
      <c r="AE626" s="189"/>
      <c r="AF626" s="189"/>
      <c r="AG626" s="189"/>
      <c r="AH626" s="189"/>
      <c r="AI626" s="189"/>
    </row>
    <row r="627">
      <c r="A627" s="189"/>
      <c r="B627" s="189"/>
      <c r="C627" s="189"/>
      <c r="D627" s="189"/>
      <c r="E627" s="189"/>
      <c r="F627" s="189"/>
      <c r="G627" s="190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  <c r="AC627" s="189"/>
      <c r="AD627" s="189"/>
      <c r="AE627" s="189"/>
      <c r="AF627" s="189"/>
      <c r="AG627" s="189"/>
      <c r="AH627" s="189"/>
      <c r="AI627" s="189"/>
    </row>
    <row r="628">
      <c r="A628" s="189"/>
      <c r="B628" s="189"/>
      <c r="C628" s="189"/>
      <c r="D628" s="189"/>
      <c r="E628" s="189"/>
      <c r="F628" s="189"/>
      <c r="G628" s="190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  <c r="AC628" s="189"/>
      <c r="AD628" s="189"/>
      <c r="AE628" s="189"/>
      <c r="AF628" s="189"/>
      <c r="AG628" s="189"/>
      <c r="AH628" s="189"/>
      <c r="AI628" s="189"/>
    </row>
  </sheetData>
  <mergeCells>
    <mergeCell ref="B468:C468"/>
    <mergeCell ref="B467:C467"/>
    <mergeCell ref="B462:C462"/>
    <mergeCell ref="A448:A468"/>
    <mergeCell ref="A402:A422"/>
    <mergeCell ref="B399:C399"/>
    <mergeCell ref="B398:C398"/>
    <mergeCell ref="B392:C392"/>
    <mergeCell ref="B389:C389"/>
    <mergeCell ref="B384:C384"/>
    <mergeCell ref="A379:A399"/>
    <mergeCell ref="D377:N377"/>
    <mergeCell ref="O377:AH377"/>
    <mergeCell ref="B377:C377"/>
    <mergeCell ref="A377:A378"/>
    <mergeCell ref="B240:C240"/>
    <mergeCell ref="B235:C235"/>
    <mergeCell ref="D228:N228"/>
    <mergeCell ref="O228:AH228"/>
    <mergeCell ref="B228:C228"/>
    <mergeCell ref="A228:A229"/>
    <mergeCell ref="B202:C202"/>
    <mergeCell ref="B201:C201"/>
    <mergeCell ref="B196:C196"/>
    <mergeCell ref="B191:C191"/>
    <mergeCell ref="B185:C185"/>
    <mergeCell ref="A180:A202"/>
    <mergeCell ref="D178:N178"/>
    <mergeCell ref="O178:AH178"/>
    <mergeCell ref="B178:C178"/>
    <mergeCell ref="A178:A179"/>
    <mergeCell ref="B177:C177"/>
    <mergeCell ref="B176:C176"/>
    <mergeCell ref="B171:C171"/>
    <mergeCell ref="B166:C166"/>
    <mergeCell ref="B160:C160"/>
    <mergeCell ref="A155:A177"/>
    <mergeCell ref="D153:N153"/>
    <mergeCell ref="O153:AH153"/>
    <mergeCell ref="B153:C153"/>
    <mergeCell ref="A153:A154"/>
    <mergeCell ref="A130:A152"/>
    <mergeCell ref="B141:C141"/>
    <mergeCell ref="B146:C146"/>
    <mergeCell ref="B151:C151"/>
    <mergeCell ref="B152:C152"/>
    <mergeCell ref="B135:C135"/>
    <mergeCell ref="B127:C127"/>
    <mergeCell ref="B116:C116"/>
    <mergeCell ref="B126:C126"/>
    <mergeCell ref="B121:C121"/>
    <mergeCell ref="B113:C113"/>
    <mergeCell ref="B108:C108"/>
    <mergeCell ref="D102:N102"/>
    <mergeCell ref="O102:AH102"/>
    <mergeCell ref="B102:C102"/>
    <mergeCell ref="A102:A103"/>
    <mergeCell ref="D1:N1"/>
    <mergeCell ref="O1:AH1"/>
    <mergeCell ref="B1:C1"/>
    <mergeCell ref="A1:A2"/>
    <mergeCell ref="B8:C8"/>
    <mergeCell ref="B25:C25"/>
    <mergeCell ref="B24:C24"/>
    <mergeCell ref="B19:C19"/>
    <mergeCell ref="B14:C14"/>
    <mergeCell ref="A3:A25"/>
    <mergeCell ref="D26:N26"/>
    <mergeCell ref="O26:AH26"/>
    <mergeCell ref="B26:C26"/>
    <mergeCell ref="A26:A27"/>
    <mergeCell ref="B33:C33"/>
    <mergeCell ref="B50:C50"/>
    <mergeCell ref="B49:C49"/>
    <mergeCell ref="B44:C44"/>
    <mergeCell ref="B39:C39"/>
    <mergeCell ref="A28:A50"/>
    <mergeCell ref="D51:N51"/>
    <mergeCell ref="O51:AH51"/>
    <mergeCell ref="B51:C51"/>
    <mergeCell ref="A51:A52"/>
    <mergeCell ref="B58:C58"/>
    <mergeCell ref="B75:C75"/>
    <mergeCell ref="B74:C74"/>
    <mergeCell ref="B69:C69"/>
    <mergeCell ref="B64:C64"/>
    <mergeCell ref="A53:A75"/>
    <mergeCell ref="D76:N76"/>
    <mergeCell ref="O76:AH76"/>
    <mergeCell ref="B76:C76"/>
    <mergeCell ref="A76:A77"/>
    <mergeCell ref="B82:C82"/>
    <mergeCell ref="B85:C85"/>
    <mergeCell ref="B90:C90"/>
    <mergeCell ref="B95:C95"/>
    <mergeCell ref="B100:C100"/>
    <mergeCell ref="B101:C101"/>
    <mergeCell ref="A104:A127"/>
    <mergeCell ref="A78:A101"/>
    <mergeCell ref="D128:N128"/>
    <mergeCell ref="O128:AH128"/>
    <mergeCell ref="B128:C128"/>
    <mergeCell ref="A128:A129"/>
    <mergeCell ref="D203:N203"/>
    <mergeCell ref="O203:AH203"/>
    <mergeCell ref="B203:C203"/>
    <mergeCell ref="A203:A204"/>
    <mergeCell ref="B210:C210"/>
    <mergeCell ref="B216:C216"/>
    <mergeCell ref="B220:C220"/>
    <mergeCell ref="B227:C227"/>
    <mergeCell ref="B226:C226"/>
    <mergeCell ref="A205:A227"/>
    <mergeCell ref="B245:C245"/>
    <mergeCell ref="B251:C251"/>
    <mergeCell ref="B252:C252"/>
    <mergeCell ref="A230:A252"/>
    <mergeCell ref="D253:N253"/>
    <mergeCell ref="O253:AH253"/>
    <mergeCell ref="B253:C253"/>
    <mergeCell ref="A253:A254"/>
    <mergeCell ref="A255:A277"/>
    <mergeCell ref="B260:C260"/>
    <mergeCell ref="B265:C265"/>
    <mergeCell ref="B270:C270"/>
    <mergeCell ref="B276:C276"/>
    <mergeCell ref="B277:C277"/>
    <mergeCell ref="D278:N278"/>
    <mergeCell ref="O278:AH278"/>
    <mergeCell ref="B278:C278"/>
    <mergeCell ref="A278:A279"/>
    <mergeCell ref="A280:A302"/>
    <mergeCell ref="B285:C285"/>
    <mergeCell ref="B290:C290"/>
    <mergeCell ref="B295:C295"/>
    <mergeCell ref="B301:C301"/>
    <mergeCell ref="B302:C302"/>
    <mergeCell ref="D303:N303"/>
    <mergeCell ref="O303:AH303"/>
    <mergeCell ref="B303:C303"/>
    <mergeCell ref="A303:A304"/>
    <mergeCell ref="A305:A327"/>
    <mergeCell ref="B310:C310"/>
    <mergeCell ref="B315:C315"/>
    <mergeCell ref="B320:C320"/>
    <mergeCell ref="B326:C326"/>
    <mergeCell ref="B327:C327"/>
    <mergeCell ref="D328:N328"/>
    <mergeCell ref="O328:AH328"/>
    <mergeCell ref="B328:C328"/>
    <mergeCell ref="A328:A329"/>
    <mergeCell ref="B334:C334"/>
    <mergeCell ref="B339:C339"/>
    <mergeCell ref="B343:C343"/>
    <mergeCell ref="B353:C353"/>
    <mergeCell ref="B352:C352"/>
    <mergeCell ref="B346:C346"/>
    <mergeCell ref="A330:A353"/>
    <mergeCell ref="D354:N354"/>
    <mergeCell ref="O354:AH354"/>
    <mergeCell ref="B354:C354"/>
    <mergeCell ref="A354:A355"/>
    <mergeCell ref="A356:A376"/>
    <mergeCell ref="B361:C361"/>
    <mergeCell ref="B366:C366"/>
    <mergeCell ref="B369:C369"/>
    <mergeCell ref="B375:C375"/>
    <mergeCell ref="B376:C376"/>
    <mergeCell ref="D400:N400"/>
    <mergeCell ref="O400:AH400"/>
    <mergeCell ref="B400:C400"/>
    <mergeCell ref="A400:A401"/>
    <mergeCell ref="B406:C406"/>
    <mergeCell ref="B422:C422"/>
    <mergeCell ref="B421:C421"/>
    <mergeCell ref="B415:C415"/>
    <mergeCell ref="B412:C412"/>
    <mergeCell ref="D423:N423"/>
    <mergeCell ref="O423:AH423"/>
    <mergeCell ref="B423:C423"/>
    <mergeCell ref="A423:A424"/>
    <mergeCell ref="A425:A445"/>
    <mergeCell ref="B429:C429"/>
    <mergeCell ref="B435:C435"/>
    <mergeCell ref="B438:C438"/>
    <mergeCell ref="B444:C444"/>
    <mergeCell ref="B445:C445"/>
    <mergeCell ref="D446:N446"/>
    <mergeCell ref="O446:AH446"/>
    <mergeCell ref="B446:C446"/>
    <mergeCell ref="A446:A447"/>
    <mergeCell ref="B452:C452"/>
    <mergeCell ref="B457:C457"/>
    <mergeCell ref="A469:E469"/>
    <mergeCell ref="F469:P469"/>
    <mergeCell ref="Q469:AB469"/>
    <mergeCell ref="AC469:AH469"/>
    <mergeCell ref="AI469:AO469"/>
    <mergeCell ref="A471:A492"/>
    <mergeCell ref="B471:E471"/>
    <mergeCell ref="B476:E476"/>
    <mergeCell ref="B481:E481"/>
    <mergeCell ref="B486:E486"/>
    <mergeCell ref="B491:E491"/>
    <mergeCell ref="B492:E492"/>
    <mergeCell ref="A493:E493"/>
    <mergeCell ref="F493:P493"/>
    <mergeCell ref="Q493:AB493"/>
    <mergeCell ref="AC493:AH493"/>
    <mergeCell ref="AI493:AO493"/>
    <mergeCell ref="A495:A516"/>
    <mergeCell ref="B495:E495"/>
    <mergeCell ref="B500:E500"/>
    <mergeCell ref="B506:E506"/>
    <mergeCell ref="B509:E509"/>
    <mergeCell ref="B515:E515"/>
    <mergeCell ref="B516:E516"/>
    <mergeCell ref="A517:E517"/>
    <mergeCell ref="F517:P517"/>
    <mergeCell ref="Q517:AB517"/>
    <mergeCell ref="AC517:AH517"/>
    <mergeCell ref="AI517:AO517"/>
    <mergeCell ref="A519:A540"/>
    <mergeCell ref="B519:E519"/>
    <mergeCell ref="B524:E524"/>
    <mergeCell ref="B529:E529"/>
    <mergeCell ref="B534:E534"/>
    <mergeCell ref="B539:E539"/>
    <mergeCell ref="B540:E540"/>
    <mergeCell ref="A541:E541"/>
    <mergeCell ref="F541:P541"/>
    <mergeCell ref="Q541:AB541"/>
    <mergeCell ref="AC541:AH541"/>
    <mergeCell ref="AI541:AO541"/>
    <mergeCell ref="A543:A566"/>
    <mergeCell ref="B543:E543"/>
    <mergeCell ref="B545:E545"/>
    <mergeCell ref="B550:E550"/>
    <mergeCell ref="B555:E555"/>
    <mergeCell ref="B560:E560"/>
    <mergeCell ref="B565:E565"/>
    <mergeCell ref="B566:E566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2" min="32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8" min="8" style="0" width="11.211267605633802"/>
    <col collapsed="false" customWidth="true" hidden="false" max="9" min="9" style="0" width="11.211267605633802"/>
  </cols>
  <sheetData>
    <row r="1">
      <c r="A1" s="193" t="s">
        <v>120</v>
      </c>
      <c r="B1" s="194" t="s">
        <v>121</v>
      </c>
      <c r="C1" s="194"/>
      <c r="D1" s="195" t="s">
        <v>122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6" t="s">
        <v>123</v>
      </c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7"/>
    </row>
    <row r="2">
      <c r="A2" s="193"/>
      <c r="B2" s="194" t="s">
        <v>124</v>
      </c>
      <c r="C2" s="198" t="s">
        <v>125</v>
      </c>
      <c r="D2" s="199" t="s">
        <v>126</v>
      </c>
      <c r="E2" s="200" t="s">
        <v>127</v>
      </c>
      <c r="F2" s="201" t="s">
        <v>128</v>
      </c>
      <c r="G2" s="201" t="s">
        <v>129</v>
      </c>
      <c r="H2" s="199" t="s">
        <v>130</v>
      </c>
      <c r="I2" s="199"/>
      <c r="J2" s="202" t="s">
        <v>131</v>
      </c>
      <c r="K2" s="202" t="s">
        <v>132</v>
      </c>
      <c r="L2" s="202" t="s">
        <v>133</v>
      </c>
      <c r="M2" s="203" t="s">
        <v>134</v>
      </c>
      <c r="N2" s="202" t="s">
        <v>135</v>
      </c>
      <c r="O2" s="204" t="s">
        <v>136</v>
      </c>
      <c r="P2" s="205" t="s">
        <v>137</v>
      </c>
      <c r="Q2" s="205" t="s">
        <v>138</v>
      </c>
      <c r="R2" s="205" t="s">
        <v>139</v>
      </c>
      <c r="S2" s="205" t="s">
        <v>140</v>
      </c>
      <c r="T2" s="206" t="s">
        <v>141</v>
      </c>
      <c r="U2" s="207" t="s">
        <v>142</v>
      </c>
      <c r="V2" s="208" t="s">
        <v>143</v>
      </c>
      <c r="W2" s="196" t="s">
        <v>144</v>
      </c>
      <c r="X2" s="209" t="s">
        <v>145</v>
      </c>
      <c r="Y2" s="209" t="s">
        <v>146</v>
      </c>
      <c r="Z2" s="209" t="s">
        <v>147</v>
      </c>
      <c r="AA2" s="209" t="s">
        <v>148</v>
      </c>
      <c r="AB2" s="209" t="s">
        <v>149</v>
      </c>
      <c r="AC2" s="209" t="s">
        <v>150</v>
      </c>
      <c r="AD2" s="209" t="s">
        <v>151</v>
      </c>
      <c r="AE2" s="209" t="s">
        <v>152</v>
      </c>
      <c r="AF2" s="196" t="s">
        <v>153</v>
      </c>
      <c r="AG2" s="210" t="s">
        <v>154</v>
      </c>
      <c r="AH2" s="210" t="s">
        <v>155</v>
      </c>
      <c r="AI2" s="197" t="s">
        <v>156</v>
      </c>
    </row>
    <row r="3">
      <c r="A3" s="211">
        <v>46174</v>
      </c>
      <c r="B3" s="212" t="s">
        <v>157</v>
      </c>
      <c r="C3" s="213" t="s">
        <v>158</v>
      </c>
      <c r="D3" s="214">
        <v>1890.57</v>
      </c>
      <c r="E3" s="215">
        <v>2</v>
      </c>
      <c r="F3" s="215">
        <v>1</v>
      </c>
      <c r="G3" s="215">
        <v>1</v>
      </c>
      <c r="H3" s="214">
        <v>856.9</v>
      </c>
      <c r="I3" s="214"/>
      <c r="J3" s="216">
        <f t="shared" ref="J3:J24" si="272">H3/D3</f>
      </c>
      <c r="K3" s="217">
        <f t="shared" ref="K3:K24" si="332">D3/F3</f>
      </c>
      <c r="L3" s="217">
        <f t="shared" ref="L3:L24" si="151">D3/G3</f>
      </c>
      <c r="M3" s="218">
        <f t="shared" ref="M3:M24" si="212">F3/E3</f>
      </c>
      <c r="N3" s="217">
        <f t="shared" ref="N3:N24" si="61">H3/F3</f>
      </c>
      <c r="O3" s="217">
        <f t="shared" ref="O3:O24" si="91">D3/Y3</f>
      </c>
      <c r="P3" s="218">
        <f t="shared" ref="P3:P24" si="362">T3/X3*1</f>
      </c>
      <c r="Q3" s="218">
        <f t="shared" ref="Q3:Q24" si="0">Y3/X3</f>
      </c>
      <c r="R3" s="218">
        <f t="shared" ref="R3:R24" si="242">AA3/X3</f>
      </c>
      <c r="S3" s="218">
        <f t="shared" ref="S3:S24" si="302">AB3/AA3</f>
      </c>
      <c r="T3" s="219">
        <f t="shared" ref="T3:T24" si="121">Z3/U3</f>
      </c>
      <c r="U3" s="220">
        <v>0.0271</v>
      </c>
      <c r="V3" s="221">
        <v>24</v>
      </c>
      <c r="W3" s="217">
        <v>41</v>
      </c>
      <c r="X3" s="221">
        <v>10475</v>
      </c>
      <c r="Y3" s="221">
        <v>398</v>
      </c>
      <c r="Z3" s="219">
        <v>53</v>
      </c>
      <c r="AA3" s="219">
        <v>579</v>
      </c>
      <c r="AB3" s="219">
        <v>38</v>
      </c>
      <c r="AC3" s="219">
        <v>3</v>
      </c>
      <c r="AD3" s="221">
        <v>0</v>
      </c>
      <c r="AE3" s="221">
        <v>9</v>
      </c>
      <c r="AF3" s="217">
        <f t="shared" ref="AF3:AF23" si="181">AI3*1000/D3</f>
      </c>
      <c r="AG3" s="222" t="s">
        <v>159</v>
      </c>
      <c r="AH3" s="223" t="s">
        <v>160</v>
      </c>
      <c r="AI3" s="221">
        <v>20</v>
      </c>
    </row>
    <row r="4">
      <c r="A4" s="211"/>
      <c r="B4" s="212" t="s">
        <v>157</v>
      </c>
      <c r="C4" s="213" t="s">
        <v>161</v>
      </c>
      <c r="D4" s="214">
        <v>1254.65</v>
      </c>
      <c r="E4" s="215">
        <v>5</v>
      </c>
      <c r="F4" s="215">
        <v>4</v>
      </c>
      <c r="G4" s="215">
        <v>3</v>
      </c>
      <c r="H4" s="214">
        <v>2556.2999999999997</v>
      </c>
      <c r="I4" s="214"/>
      <c r="J4" s="216">
        <f t="shared" si="272"/>
      </c>
      <c r="K4" s="217">
        <f t="shared" si="332"/>
      </c>
      <c r="L4" s="217">
        <f t="shared" si="151"/>
      </c>
      <c r="M4" s="218">
        <f t="shared" si="212"/>
      </c>
      <c r="N4" s="217">
        <f t="shared" si="61"/>
      </c>
      <c r="O4" s="217">
        <f t="shared" si="91"/>
      </c>
      <c r="P4" s="218">
        <f t="shared" si="362"/>
      </c>
      <c r="Q4" s="218">
        <f t="shared" si="0"/>
      </c>
      <c r="R4" s="218">
        <f t="shared" si="242"/>
      </c>
      <c r="S4" s="218">
        <f t="shared" si="302"/>
      </c>
      <c r="T4" s="219">
        <f t="shared" si="121"/>
      </c>
      <c r="U4" s="220">
        <v>0.0282</v>
      </c>
      <c r="V4" s="221">
        <v>34</v>
      </c>
      <c r="W4" s="217">
        <f t="shared" ref="W4:W24" si="30">(D4/X4)*1000</f>
      </c>
      <c r="X4" s="221">
        <v>8228</v>
      </c>
      <c r="Y4" s="221">
        <v>389</v>
      </c>
      <c r="Z4" s="219">
        <v>48</v>
      </c>
      <c r="AA4" s="219">
        <v>514</v>
      </c>
      <c r="AB4" s="221">
        <v>44</v>
      </c>
      <c r="AC4" s="219">
        <v>8</v>
      </c>
      <c r="AD4" s="221">
        <v>0</v>
      </c>
      <c r="AE4" s="221">
        <v>8</v>
      </c>
      <c r="AF4" s="217">
        <f t="shared" si="181"/>
      </c>
      <c r="AG4" s="222" t="s">
        <v>159</v>
      </c>
      <c r="AH4" s="223" t="s">
        <v>160</v>
      </c>
      <c r="AI4" s="221">
        <v>20</v>
      </c>
    </row>
    <row r="5">
      <c r="A5" s="211"/>
      <c r="B5" s="212" t="s">
        <v>157</v>
      </c>
      <c r="C5" s="224" t="s">
        <v>162</v>
      </c>
      <c r="D5" s="214">
        <v>1124.62</v>
      </c>
      <c r="E5" s="215">
        <v>1</v>
      </c>
      <c r="F5" s="215">
        <v>1</v>
      </c>
      <c r="G5" s="215">
        <v>1</v>
      </c>
      <c r="H5" s="214">
        <v>451</v>
      </c>
      <c r="I5" s="214"/>
      <c r="J5" s="216">
        <f t="shared" si="272"/>
      </c>
      <c r="K5" s="217">
        <f t="shared" si="332"/>
      </c>
      <c r="L5" s="217">
        <f t="shared" si="151"/>
      </c>
      <c r="M5" s="218">
        <f t="shared" si="212"/>
      </c>
      <c r="N5" s="217">
        <f t="shared" si="61"/>
      </c>
      <c r="O5" s="217">
        <f t="shared" si="91"/>
      </c>
      <c r="P5" s="218">
        <f t="shared" si="362"/>
      </c>
      <c r="Q5" s="218">
        <f t="shared" si="0"/>
      </c>
      <c r="R5" s="218">
        <f t="shared" si="242"/>
      </c>
      <c r="S5" s="218">
        <f t="shared" si="302"/>
      </c>
      <c r="T5" s="219">
        <f t="shared" si="121"/>
      </c>
      <c r="U5" s="220">
        <v>0.0317</v>
      </c>
      <c r="V5" s="221">
        <v>34</v>
      </c>
      <c r="W5" s="217">
        <f t="shared" si="30"/>
      </c>
      <c r="X5" s="221">
        <v>7139</v>
      </c>
      <c r="Y5" s="221">
        <v>291</v>
      </c>
      <c r="Z5" s="219">
        <v>36</v>
      </c>
      <c r="AA5" s="219">
        <v>425</v>
      </c>
      <c r="AB5" s="221">
        <v>32</v>
      </c>
      <c r="AC5" s="219">
        <v>4</v>
      </c>
      <c r="AD5" s="221">
        <v>2</v>
      </c>
      <c r="AE5" s="221">
        <v>7</v>
      </c>
      <c r="AF5" s="217">
        <f t="shared" si="181"/>
      </c>
      <c r="AG5" s="222" t="s">
        <v>159</v>
      </c>
      <c r="AH5" s="223" t="s">
        <v>160</v>
      </c>
      <c r="AI5" s="221">
        <v>13</v>
      </c>
    </row>
    <row r="6">
      <c r="A6" s="211"/>
      <c r="B6" s="212" t="s">
        <v>157</v>
      </c>
      <c r="C6" s="213" t="s">
        <v>163</v>
      </c>
      <c r="D6" s="214">
        <v>883.24</v>
      </c>
      <c r="E6" s="215">
        <v>3</v>
      </c>
      <c r="F6" s="215">
        <v>2</v>
      </c>
      <c r="G6" s="215">
        <v>1</v>
      </c>
      <c r="H6" s="214">
        <v>1232</v>
      </c>
      <c r="I6" s="214"/>
      <c r="J6" s="216">
        <f t="shared" si="272"/>
      </c>
      <c r="K6" s="217">
        <f t="shared" si="332"/>
      </c>
      <c r="L6" s="217">
        <f t="shared" si="151"/>
      </c>
      <c r="M6" s="218">
        <f t="shared" si="212"/>
      </c>
      <c r="N6" s="217">
        <f t="shared" si="61"/>
      </c>
      <c r="O6" s="217">
        <f t="shared" si="91"/>
      </c>
      <c r="P6" s="218">
        <f t="shared" si="362"/>
      </c>
      <c r="Q6" s="218">
        <f t="shared" si="0"/>
      </c>
      <c r="R6" s="218">
        <f t="shared" si="242"/>
      </c>
      <c r="S6" s="218">
        <f t="shared" si="302"/>
      </c>
      <c r="T6" s="219">
        <f t="shared" si="121"/>
      </c>
      <c r="U6" s="220">
        <v>0.0302</v>
      </c>
      <c r="V6" s="221">
        <v>35</v>
      </c>
      <c r="W6" s="217">
        <f t="shared" si="30"/>
      </c>
      <c r="X6" s="221">
        <v>5783</v>
      </c>
      <c r="Y6" s="221">
        <v>283</v>
      </c>
      <c r="Z6" s="221">
        <v>33</v>
      </c>
      <c r="AA6" s="221">
        <v>368</v>
      </c>
      <c r="AB6" s="221">
        <v>20</v>
      </c>
      <c r="AC6" s="221">
        <v>9</v>
      </c>
      <c r="AD6" s="221">
        <v>1</v>
      </c>
      <c r="AE6" s="221">
        <v>7</v>
      </c>
      <c r="AF6" s="217">
        <f t="shared" si="181"/>
      </c>
      <c r="AG6" s="222" t="s">
        <v>159</v>
      </c>
      <c r="AH6" s="223" t="s">
        <v>160</v>
      </c>
      <c r="AI6" s="221">
        <v>10</v>
      </c>
    </row>
    <row r="7">
      <c r="A7" s="211"/>
      <c r="B7" s="212" t="s">
        <v>157</v>
      </c>
      <c r="C7" s="212" t="s">
        <v>164</v>
      </c>
      <c r="D7" s="225">
        <v>1081.36</v>
      </c>
      <c r="E7" s="226">
        <v>5</v>
      </c>
      <c r="F7" s="226">
        <v>2</v>
      </c>
      <c r="G7" s="226">
        <v>2</v>
      </c>
      <c r="H7" s="225">
        <v>902</v>
      </c>
      <c r="I7" s="225"/>
      <c r="J7" s="217">
        <f t="shared" si="272"/>
      </c>
      <c r="K7" s="217">
        <f t="shared" si="332"/>
      </c>
      <c r="L7" s="217">
        <f t="shared" si="151"/>
      </c>
      <c r="M7" s="218">
        <f t="shared" si="212"/>
      </c>
      <c r="N7" s="217">
        <f t="shared" si="61"/>
      </c>
      <c r="O7" s="217">
        <f t="shared" si="91"/>
      </c>
      <c r="P7" s="218">
        <f t="shared" si="362"/>
      </c>
      <c r="Q7" s="218">
        <f t="shared" si="0"/>
      </c>
      <c r="R7" s="218">
        <f t="shared" si="242"/>
      </c>
      <c r="S7" s="218">
        <f t="shared" si="302"/>
      </c>
      <c r="T7" s="219">
        <f t="shared" si="121"/>
      </c>
      <c r="U7" s="220">
        <v>0.0361</v>
      </c>
      <c r="V7" s="221">
        <v>34</v>
      </c>
      <c r="W7" s="217">
        <f t="shared" si="30"/>
      </c>
      <c r="X7" s="219">
        <v>6242</v>
      </c>
      <c r="Y7" s="219">
        <v>294</v>
      </c>
      <c r="Z7" s="219">
        <v>35</v>
      </c>
      <c r="AA7" s="219">
        <v>396</v>
      </c>
      <c r="AB7" s="219">
        <v>37</v>
      </c>
      <c r="AC7" s="219">
        <v>2</v>
      </c>
      <c r="AD7" s="219">
        <v>0</v>
      </c>
      <c r="AE7" s="219">
        <v>7</v>
      </c>
      <c r="AF7" s="217">
        <f t="shared" si="181"/>
      </c>
      <c r="AG7" s="222" t="s">
        <v>159</v>
      </c>
      <c r="AH7" s="223" t="s">
        <v>160</v>
      </c>
      <c r="AI7" s="221">
        <v>13</v>
      </c>
    </row>
    <row r="8">
      <c r="A8" s="211"/>
      <c r="B8" s="227" t="s">
        <v>165</v>
      </c>
      <c r="C8" s="227"/>
      <c r="D8" s="228">
        <f>SUM(D3:D7)</f>
      </c>
      <c r="E8" s="229">
        <f>SUM(E3:E7)</f>
      </c>
      <c r="F8" s="229">
        <f>SUM(F3:F7)</f>
      </c>
      <c r="G8" s="229">
        <f>SUM(G3:G7)</f>
      </c>
      <c r="H8" s="228">
        <f>SUM(H3:H7)</f>
      </c>
      <c r="I8" s="228"/>
      <c r="J8" s="230">
        <f t="shared" si="272"/>
      </c>
      <c r="K8" s="230">
        <f t="shared" si="332"/>
      </c>
      <c r="L8" s="230">
        <f t="shared" si="151"/>
      </c>
      <c r="M8" s="231">
        <f t="shared" si="212"/>
      </c>
      <c r="N8" s="230">
        <f t="shared" si="61"/>
      </c>
      <c r="O8" s="230">
        <f t="shared" si="91"/>
      </c>
      <c r="P8" s="231">
        <f t="shared" si="362"/>
      </c>
      <c r="Q8" s="231">
        <f t="shared" si="0"/>
      </c>
      <c r="R8" s="231">
        <f t="shared" si="242"/>
      </c>
      <c r="S8" s="231">
        <f t="shared" si="302"/>
      </c>
      <c r="T8" s="229">
        <f t="shared" si="121"/>
      </c>
      <c r="U8" s="231">
        <f>AVERAGE(U3:U7)</f>
      </c>
      <c r="V8" s="228">
        <f>AVERAGE(V3:V7)</f>
      </c>
      <c r="W8" s="230">
        <f t="shared" si="30"/>
      </c>
      <c r="X8" s="229">
        <f>SUM(X3:X7)</f>
      </c>
      <c r="Y8" s="229">
        <f>SUM(Y3:Y7)</f>
      </c>
      <c r="Z8" s="229">
        <f>SUM(Z3:Z7)</f>
      </c>
      <c r="AA8" s="229">
        <f>SUM(AA3:AA7)</f>
      </c>
      <c r="AB8" s="229">
        <f>SUM(AB3:AB7)</f>
      </c>
      <c r="AC8" s="229">
        <f>SUM(AC3:AC7)</f>
      </c>
      <c r="AD8" s="229">
        <f>SUM(AD3:AD7)</f>
      </c>
      <c r="AE8" s="229">
        <f>SUM(AE3:AE7)</f>
      </c>
      <c r="AF8" s="232">
        <f t="shared" si="181"/>
      </c>
      <c r="AG8" s="233"/>
      <c r="AH8" s="233"/>
      <c r="AI8" s="234">
        <f>SUM(AI3:AI7)</f>
      </c>
    </row>
    <row r="9">
      <c r="A9" s="211"/>
      <c r="B9" s="235" t="s">
        <v>166</v>
      </c>
      <c r="C9" s="235" t="s">
        <v>167</v>
      </c>
      <c r="D9" s="236">
        <v>1034.65</v>
      </c>
      <c r="E9" s="237">
        <v>2</v>
      </c>
      <c r="F9" s="237">
        <v>2</v>
      </c>
      <c r="G9" s="238">
        <v>2</v>
      </c>
      <c r="H9" s="239">
        <v>2998.5999999999995</v>
      </c>
      <c r="I9" s="239"/>
      <c r="J9" s="240">
        <f t="shared" si="272"/>
      </c>
      <c r="K9" s="240">
        <f t="shared" si="332"/>
      </c>
      <c r="L9" s="240">
        <f t="shared" si="151"/>
      </c>
      <c r="M9" s="241">
        <f t="shared" si="212"/>
      </c>
      <c r="N9" s="240">
        <f t="shared" si="61"/>
      </c>
      <c r="O9" s="240">
        <f t="shared" si="91"/>
      </c>
      <c r="P9" s="241">
        <f t="shared" si="362"/>
      </c>
      <c r="Q9" s="241">
        <f t="shared" si="0"/>
      </c>
      <c r="R9" s="241">
        <f t="shared" si="242"/>
      </c>
      <c r="S9" s="241">
        <f t="shared" si="302"/>
      </c>
      <c r="T9" s="242">
        <f t="shared" si="121"/>
      </c>
      <c r="U9" s="243">
        <v>0.0289</v>
      </c>
      <c r="V9" s="244">
        <v>33</v>
      </c>
      <c r="W9" s="240">
        <f t="shared" si="30"/>
      </c>
      <c r="X9" s="242">
        <v>6586</v>
      </c>
      <c r="Y9" s="242">
        <v>364</v>
      </c>
      <c r="Z9" s="242">
        <v>31</v>
      </c>
      <c r="AA9" s="242">
        <v>486</v>
      </c>
      <c r="AB9" s="242">
        <v>18</v>
      </c>
      <c r="AC9" s="242">
        <v>6</v>
      </c>
      <c r="AD9" s="242">
        <v>0</v>
      </c>
      <c r="AE9" s="242">
        <v>6</v>
      </c>
      <c r="AF9" s="240">
        <f t="shared" si="181"/>
      </c>
      <c r="AG9" s="222" t="s">
        <v>159</v>
      </c>
      <c r="AH9" s="223" t="s">
        <v>160</v>
      </c>
      <c r="AI9" s="244">
        <v>10</v>
      </c>
    </row>
    <row r="10">
      <c r="A10" s="211"/>
      <c r="B10" s="235" t="s">
        <v>166</v>
      </c>
      <c r="C10" s="245" t="s">
        <v>168</v>
      </c>
      <c r="D10" s="246">
        <v>913.68</v>
      </c>
      <c r="E10" s="247">
        <v>3</v>
      </c>
      <c r="F10" s="247">
        <v>2</v>
      </c>
      <c r="G10" s="247">
        <v>2</v>
      </c>
      <c r="H10" s="239">
        <v>1232</v>
      </c>
      <c r="I10" s="239"/>
      <c r="J10" s="240">
        <f t="shared" si="272"/>
      </c>
      <c r="K10" s="240">
        <f t="shared" si="332"/>
      </c>
      <c r="L10" s="240">
        <f t="shared" si="151"/>
      </c>
      <c r="M10" s="241">
        <f t="shared" si="212"/>
      </c>
      <c r="N10" s="240">
        <f t="shared" si="61"/>
      </c>
      <c r="O10" s="240">
        <f t="shared" si="91"/>
      </c>
      <c r="P10" s="241">
        <f t="shared" si="362"/>
      </c>
      <c r="Q10" s="241">
        <f t="shared" si="0"/>
      </c>
      <c r="R10" s="241">
        <f t="shared" si="242"/>
      </c>
      <c r="S10" s="241">
        <f t="shared" si="302"/>
      </c>
      <c r="T10" s="242">
        <f t="shared" si="121"/>
      </c>
      <c r="U10" s="243">
        <v>0.0291</v>
      </c>
      <c r="V10" s="244">
        <v>34</v>
      </c>
      <c r="W10" s="240">
        <f t="shared" si="30"/>
      </c>
      <c r="X10" s="242">
        <v>5336</v>
      </c>
      <c r="Y10" s="242">
        <v>387</v>
      </c>
      <c r="Z10" s="242">
        <v>31</v>
      </c>
      <c r="AA10" s="242">
        <v>482</v>
      </c>
      <c r="AB10" s="242">
        <v>14</v>
      </c>
      <c r="AC10" s="242">
        <v>2</v>
      </c>
      <c r="AD10" s="242">
        <v>0</v>
      </c>
      <c r="AE10" s="242">
        <v>2</v>
      </c>
      <c r="AF10" s="240">
        <f t="shared" si="181"/>
      </c>
      <c r="AG10" s="222" t="s">
        <v>159</v>
      </c>
      <c r="AH10" s="223" t="s">
        <v>160</v>
      </c>
      <c r="AI10" s="244">
        <v>7</v>
      </c>
    </row>
    <row r="11">
      <c r="A11" s="211"/>
      <c r="B11" s="235" t="s">
        <v>166</v>
      </c>
      <c r="C11" s="235" t="s">
        <v>169</v>
      </c>
      <c r="D11" s="236">
        <v>1030.49</v>
      </c>
      <c r="E11" s="247">
        <v>3</v>
      </c>
      <c r="F11" s="247">
        <v>3</v>
      </c>
      <c r="G11" s="247">
        <v>3</v>
      </c>
      <c r="H11" s="236">
        <v>2713.7000000000007</v>
      </c>
      <c r="I11" s="236"/>
      <c r="J11" s="240">
        <f t="shared" si="272"/>
      </c>
      <c r="K11" s="240">
        <f t="shared" si="332"/>
      </c>
      <c r="L11" s="240">
        <f t="shared" si="151"/>
      </c>
      <c r="M11" s="241">
        <f t="shared" si="212"/>
      </c>
      <c r="N11" s="240">
        <f t="shared" si="61"/>
      </c>
      <c r="O11" s="240">
        <f t="shared" si="91"/>
      </c>
      <c r="P11" s="241">
        <f t="shared" si="362"/>
      </c>
      <c r="Q11" s="241">
        <f t="shared" si="0"/>
      </c>
      <c r="R11" s="241">
        <f t="shared" si="242"/>
      </c>
      <c r="S11" s="241">
        <f t="shared" si="302"/>
      </c>
      <c r="T11" s="242">
        <f t="shared" si="121"/>
      </c>
      <c r="U11" s="243">
        <v>0.0365</v>
      </c>
      <c r="V11" s="244">
        <v>34</v>
      </c>
      <c r="W11" s="240">
        <f t="shared" si="30"/>
      </c>
      <c r="X11" s="242">
        <v>5754</v>
      </c>
      <c r="Y11" s="242">
        <v>390</v>
      </c>
      <c r="Z11" s="242">
        <v>38</v>
      </c>
      <c r="AA11" s="242">
        <v>500</v>
      </c>
      <c r="AB11" s="242">
        <v>24</v>
      </c>
      <c r="AC11" s="242">
        <v>2</v>
      </c>
      <c r="AD11" s="242">
        <v>2</v>
      </c>
      <c r="AE11" s="242">
        <v>6</v>
      </c>
      <c r="AF11" s="240">
        <f t="shared" si="181"/>
      </c>
      <c r="AG11" s="222" t="s">
        <v>159</v>
      </c>
      <c r="AH11" s="223" t="s">
        <v>160</v>
      </c>
      <c r="AI11" s="244">
        <v>8</v>
      </c>
    </row>
    <row r="12">
      <c r="A12" s="211"/>
      <c r="B12" s="235" t="s">
        <v>166</v>
      </c>
      <c r="C12" s="248" t="s">
        <v>170</v>
      </c>
      <c r="D12" s="236">
        <v>1176.58</v>
      </c>
      <c r="E12" s="238">
        <v>0</v>
      </c>
      <c r="F12" s="238">
        <v>0</v>
      </c>
      <c r="G12" s="238">
        <v>0</v>
      </c>
      <c r="H12" s="236">
        <v>0</v>
      </c>
      <c r="I12" s="236"/>
      <c r="J12" s="240">
        <f t="shared" si="272"/>
      </c>
      <c r="K12" s="240">
        <f t="shared" si="332"/>
      </c>
      <c r="L12" s="240">
        <f t="shared" si="151"/>
      </c>
      <c r="M12" s="241">
        <f t="shared" si="212"/>
      </c>
      <c r="N12" s="240">
        <f t="shared" si="61"/>
      </c>
      <c r="O12" s="240">
        <f t="shared" si="91"/>
      </c>
      <c r="P12" s="241">
        <f t="shared" si="362"/>
      </c>
      <c r="Q12" s="241">
        <f t="shared" si="0"/>
      </c>
      <c r="R12" s="241">
        <f t="shared" si="242"/>
      </c>
      <c r="S12" s="241">
        <f t="shared" si="302"/>
      </c>
      <c r="T12" s="242">
        <f t="shared" si="121"/>
      </c>
      <c r="U12" s="243">
        <v>0.0375</v>
      </c>
      <c r="V12" s="244">
        <v>34</v>
      </c>
      <c r="W12" s="240">
        <f t="shared" si="30"/>
      </c>
      <c r="X12" s="242">
        <v>7293</v>
      </c>
      <c r="Y12" s="242">
        <v>396</v>
      </c>
      <c r="Z12" s="242">
        <v>43</v>
      </c>
      <c r="AA12" s="242">
        <v>536</v>
      </c>
      <c r="AB12" s="242">
        <v>8</v>
      </c>
      <c r="AC12" s="242">
        <v>5</v>
      </c>
      <c r="AD12" s="242">
        <v>0</v>
      </c>
      <c r="AE12" s="242">
        <v>9</v>
      </c>
      <c r="AF12" s="240">
        <f t="shared" si="181"/>
      </c>
      <c r="AG12" s="222" t="s">
        <v>159</v>
      </c>
      <c r="AH12" s="223" t="s">
        <v>160</v>
      </c>
      <c r="AI12" s="244">
        <v>5</v>
      </c>
    </row>
    <row r="13">
      <c r="A13" s="211"/>
      <c r="B13" s="249" t="s">
        <v>165</v>
      </c>
      <c r="C13" s="249"/>
      <c r="D13" s="250">
        <f>SUM(D9:D12)</f>
      </c>
      <c r="E13" s="251">
        <f>SUM(E9:E12)</f>
      </c>
      <c r="F13" s="251">
        <f>SUM(F9:F12)</f>
      </c>
      <c r="G13" s="251">
        <f>SUM(G9:G12)</f>
      </c>
      <c r="H13" s="250">
        <f>SUM(H9:H12)</f>
      </c>
      <c r="I13" s="250"/>
      <c r="J13" s="252">
        <f t="shared" si="272"/>
      </c>
      <c r="K13" s="252">
        <f t="shared" si="332"/>
      </c>
      <c r="L13" s="252">
        <f t="shared" si="151"/>
      </c>
      <c r="M13" s="253">
        <f t="shared" si="212"/>
      </c>
      <c r="N13" s="252">
        <f t="shared" si="61"/>
      </c>
      <c r="O13" s="252">
        <f t="shared" si="91"/>
      </c>
      <c r="P13" s="253">
        <f t="shared" si="362"/>
      </c>
      <c r="Q13" s="253">
        <f t="shared" si="0"/>
      </c>
      <c r="R13" s="253">
        <f t="shared" si="242"/>
      </c>
      <c r="S13" s="253">
        <f t="shared" si="302"/>
      </c>
      <c r="T13" s="254">
        <f t="shared" si="121"/>
      </c>
      <c r="U13" s="253">
        <f>AVERAGE(U9:U12)</f>
      </c>
      <c r="V13" s="250">
        <f>AVERAGE(V9:V12)</f>
      </c>
      <c r="W13" s="252">
        <f t="shared" si="30"/>
      </c>
      <c r="X13" s="254">
        <f>SUM(X9:X12)</f>
      </c>
      <c r="Y13" s="254">
        <f>SUM(Y9:Y12)</f>
      </c>
      <c r="Z13" s="254">
        <f>SUM(Z9:Z12)</f>
      </c>
      <c r="AA13" s="254">
        <f>SUM(AA9:AA12)</f>
      </c>
      <c r="AB13" s="254">
        <f>SUM(AB9:AB12)</f>
      </c>
      <c r="AC13" s="254">
        <f>SUM(AC9:AC12)</f>
      </c>
      <c r="AD13" s="254">
        <f>SUM(AD9:AD12)</f>
      </c>
      <c r="AE13" s="254">
        <f>SUM(AE9:AE12)</f>
      </c>
      <c r="AF13" s="255">
        <f t="shared" si="181"/>
      </c>
      <c r="AG13" s="256"/>
      <c r="AH13" s="256"/>
      <c r="AI13" s="257">
        <f>SUM(AI9:AI12)</f>
      </c>
    </row>
    <row r="14">
      <c r="A14" s="211"/>
      <c r="B14" s="258" t="s">
        <v>171</v>
      </c>
      <c r="C14" s="235" t="s">
        <v>172</v>
      </c>
      <c r="D14" s="214">
        <v>759.66</v>
      </c>
      <c r="E14" s="215">
        <v>0</v>
      </c>
      <c r="F14" s="215">
        <v>0</v>
      </c>
      <c r="G14" s="215">
        <v>0</v>
      </c>
      <c r="H14" s="215">
        <v>0</v>
      </c>
      <c r="I14" s="215"/>
      <c r="J14" s="217">
        <f t="shared" si="272"/>
      </c>
      <c r="K14" s="217">
        <f t="shared" si="332"/>
      </c>
      <c r="L14" s="217">
        <f t="shared" si="151"/>
      </c>
      <c r="M14" s="218">
        <f t="shared" si="212"/>
      </c>
      <c r="N14" s="217">
        <f t="shared" si="61"/>
      </c>
      <c r="O14" s="217">
        <f t="shared" si="91"/>
      </c>
      <c r="P14" s="218">
        <f t="shared" si="362"/>
      </c>
      <c r="Q14" s="218">
        <f t="shared" si="0"/>
      </c>
      <c r="R14" s="218">
        <f t="shared" si="242"/>
      </c>
      <c r="S14" s="218">
        <f t="shared" si="302"/>
      </c>
      <c r="T14" s="219">
        <f t="shared" si="121"/>
      </c>
      <c r="U14" s="220">
        <v>0.0277</v>
      </c>
      <c r="V14" s="221">
        <v>33</v>
      </c>
      <c r="W14" s="217">
        <f t="shared" si="30"/>
      </c>
      <c r="X14" s="221">
        <v>4552</v>
      </c>
      <c r="Y14" s="221">
        <v>267</v>
      </c>
      <c r="Z14" s="219">
        <v>27</v>
      </c>
      <c r="AA14" s="219">
        <v>355</v>
      </c>
      <c r="AB14" s="219">
        <v>7</v>
      </c>
      <c r="AC14" s="219">
        <v>2</v>
      </c>
      <c r="AD14" s="221">
        <v>0</v>
      </c>
      <c r="AE14" s="221">
        <v>4</v>
      </c>
      <c r="AF14" s="217">
        <f t="shared" si="181"/>
      </c>
      <c r="AG14" s="222" t="s">
        <v>173</v>
      </c>
      <c r="AH14" s="223" t="s">
        <v>174</v>
      </c>
      <c r="AI14" s="221">
        <v>30</v>
      </c>
    </row>
    <row r="15">
      <c r="A15" s="211"/>
      <c r="B15" s="258" t="s">
        <v>171</v>
      </c>
      <c r="C15" s="245" t="s">
        <v>175</v>
      </c>
      <c r="D15" s="214">
        <v>711.29</v>
      </c>
      <c r="E15" s="215">
        <v>2</v>
      </c>
      <c r="F15" s="215">
        <v>2</v>
      </c>
      <c r="G15" s="215">
        <v>1</v>
      </c>
      <c r="H15" s="214">
        <v>879.4500000000007</v>
      </c>
      <c r="I15" s="214"/>
      <c r="J15" s="217">
        <f t="shared" si="272"/>
      </c>
      <c r="K15" s="217">
        <f t="shared" si="332"/>
      </c>
      <c r="L15" s="217">
        <f t="shared" si="151"/>
      </c>
      <c r="M15" s="218">
        <f t="shared" si="212"/>
      </c>
      <c r="N15" s="217">
        <f t="shared" si="61"/>
      </c>
      <c r="O15" s="217">
        <f t="shared" si="91"/>
      </c>
      <c r="P15" s="218">
        <f t="shared" si="362"/>
      </c>
      <c r="Q15" s="218">
        <f t="shared" si="0"/>
      </c>
      <c r="R15" s="218">
        <f t="shared" si="242"/>
      </c>
      <c r="S15" s="218">
        <f t="shared" si="302"/>
      </c>
      <c r="T15" s="219">
        <f t="shared" si="121"/>
      </c>
      <c r="U15" s="220">
        <v>0.0179</v>
      </c>
      <c r="V15" s="221">
        <v>33</v>
      </c>
      <c r="W15" s="217">
        <f t="shared" si="30"/>
      </c>
      <c r="X15" s="219">
        <v>4349</v>
      </c>
      <c r="Y15" s="219">
        <v>263</v>
      </c>
      <c r="Z15" s="219">
        <v>18</v>
      </c>
      <c r="AA15" s="219">
        <v>357</v>
      </c>
      <c r="AB15" s="219">
        <v>12</v>
      </c>
      <c r="AC15" s="219">
        <v>2</v>
      </c>
      <c r="AD15" s="219">
        <v>0</v>
      </c>
      <c r="AE15" s="221">
        <v>2</v>
      </c>
      <c r="AF15" s="217">
        <f t="shared" si="181"/>
      </c>
      <c r="AG15" s="222" t="s">
        <v>173</v>
      </c>
      <c r="AH15" s="223" t="s">
        <v>174</v>
      </c>
      <c r="AI15" s="221">
        <v>14</v>
      </c>
    </row>
    <row r="16">
      <c r="A16" s="211"/>
      <c r="B16" s="258" t="s">
        <v>171</v>
      </c>
      <c r="C16" s="235" t="s">
        <v>176</v>
      </c>
      <c r="D16" s="214">
        <v>395.65</v>
      </c>
      <c r="E16" s="215">
        <v>0</v>
      </c>
      <c r="F16" s="215">
        <v>0</v>
      </c>
      <c r="G16" s="215">
        <v>0</v>
      </c>
      <c r="H16" s="214">
        <v>0</v>
      </c>
      <c r="I16" s="214"/>
      <c r="J16" s="217">
        <f t="shared" si="272"/>
      </c>
      <c r="K16" s="217">
        <f t="shared" si="332"/>
      </c>
      <c r="L16" s="217">
        <f t="shared" si="151"/>
      </c>
      <c r="M16" s="218">
        <f t="shared" si="212"/>
      </c>
      <c r="N16" s="217">
        <f t="shared" si="61"/>
      </c>
      <c r="O16" s="217">
        <f t="shared" si="91"/>
      </c>
      <c r="P16" s="218">
        <f t="shared" si="362"/>
      </c>
      <c r="Q16" s="218">
        <f t="shared" si="0"/>
      </c>
      <c r="R16" s="218">
        <f t="shared" si="242"/>
      </c>
      <c r="S16" s="218">
        <f t="shared" si="302"/>
      </c>
      <c r="T16" s="219">
        <f t="shared" si="121"/>
      </c>
      <c r="U16" s="220">
        <v>0.0147</v>
      </c>
      <c r="V16" s="221">
        <v>33</v>
      </c>
      <c r="W16" s="217">
        <f t="shared" si="30"/>
      </c>
      <c r="X16" s="221">
        <v>3121</v>
      </c>
      <c r="Y16" s="221">
        <v>245</v>
      </c>
      <c r="Z16" s="221">
        <v>15</v>
      </c>
      <c r="AA16" s="221">
        <v>325</v>
      </c>
      <c r="AB16" s="221">
        <v>12</v>
      </c>
      <c r="AC16" s="221">
        <v>1</v>
      </c>
      <c r="AD16" s="221">
        <v>0</v>
      </c>
      <c r="AE16" s="221">
        <v>1</v>
      </c>
      <c r="AF16" s="217">
        <f t="shared" si="181"/>
      </c>
      <c r="AG16" s="222" t="s">
        <v>173</v>
      </c>
      <c r="AH16" s="223" t="s">
        <v>174</v>
      </c>
      <c r="AI16" s="221">
        <v>3</v>
      </c>
    </row>
    <row r="17">
      <c r="A17" s="211"/>
      <c r="B17" s="258" t="s">
        <v>171</v>
      </c>
      <c r="C17" s="235" t="s">
        <v>177</v>
      </c>
      <c r="D17" s="214">
        <v>829.3</v>
      </c>
      <c r="E17" s="215">
        <v>3</v>
      </c>
      <c r="F17" s="215">
        <v>1</v>
      </c>
      <c r="G17" s="215">
        <v>1</v>
      </c>
      <c r="H17" s="214">
        <v>856.8999999999996</v>
      </c>
      <c r="I17" s="214"/>
      <c r="J17" s="217">
        <f t="shared" si="272"/>
      </c>
      <c r="K17" s="217">
        <f t="shared" si="332"/>
      </c>
      <c r="L17" s="217">
        <f t="shared" si="151"/>
      </c>
      <c r="M17" s="218">
        <f t="shared" si="212"/>
      </c>
      <c r="N17" s="217">
        <f t="shared" si="61"/>
      </c>
      <c r="O17" s="217">
        <f t="shared" si="91"/>
      </c>
      <c r="P17" s="218">
        <f t="shared" si="362"/>
      </c>
      <c r="Q17" s="218">
        <f t="shared" si="0"/>
      </c>
      <c r="R17" s="218">
        <f t="shared" si="242"/>
      </c>
      <c r="S17" s="218">
        <f t="shared" si="302"/>
      </c>
      <c r="T17" s="219">
        <f t="shared" si="121"/>
      </c>
      <c r="U17" s="220">
        <v>0.0497</v>
      </c>
      <c r="V17" s="221">
        <v>33</v>
      </c>
      <c r="W17" s="217">
        <f t="shared" si="30"/>
      </c>
      <c r="X17" s="221">
        <v>5813</v>
      </c>
      <c r="Y17" s="221">
        <v>272</v>
      </c>
      <c r="Z17" s="219">
        <v>42</v>
      </c>
      <c r="AA17" s="219">
        <v>385</v>
      </c>
      <c r="AB17" s="219">
        <v>11</v>
      </c>
      <c r="AC17" s="219">
        <v>1</v>
      </c>
      <c r="AD17" s="221">
        <v>0</v>
      </c>
      <c r="AE17" s="221">
        <v>6</v>
      </c>
      <c r="AF17" s="217">
        <f t="shared" si="181"/>
      </c>
      <c r="AG17" s="222" t="s">
        <v>173</v>
      </c>
      <c r="AH17" s="223" t="s">
        <v>174</v>
      </c>
      <c r="AI17" s="221">
        <v>10</v>
      </c>
    </row>
    <row r="18">
      <c r="A18" s="211"/>
      <c r="B18" s="227" t="s">
        <v>165</v>
      </c>
      <c r="C18" s="227"/>
      <c r="D18" s="259">
        <f>SUM(D14:D17)</f>
      </c>
      <c r="E18" s="260">
        <f>SUM(E14:E17)</f>
      </c>
      <c r="F18" s="260">
        <f>SUM(F14:F17)</f>
      </c>
      <c r="G18" s="260">
        <f>SUM(G14:G17)</f>
      </c>
      <c r="H18" s="259">
        <f>SUM(H14:H17)</f>
      </c>
      <c r="I18" s="259"/>
      <c r="J18" s="230">
        <f t="shared" si="272"/>
      </c>
      <c r="K18" s="230">
        <f t="shared" si="332"/>
      </c>
      <c r="L18" s="230">
        <f t="shared" si="151"/>
      </c>
      <c r="M18" s="231">
        <f t="shared" si="212"/>
      </c>
      <c r="N18" s="230">
        <f t="shared" si="61"/>
      </c>
      <c r="O18" s="230">
        <f t="shared" si="91"/>
      </c>
      <c r="P18" s="231">
        <f t="shared" si="362"/>
      </c>
      <c r="Q18" s="231">
        <f t="shared" si="0"/>
      </c>
      <c r="R18" s="231">
        <f t="shared" si="242"/>
      </c>
      <c r="S18" s="231">
        <f t="shared" si="302"/>
      </c>
      <c r="T18" s="229">
        <f t="shared" si="121"/>
      </c>
      <c r="U18" s="231">
        <f>AVERAGE(U14:U17)</f>
      </c>
      <c r="V18" s="228">
        <f>AVERAGE(V14:V17)</f>
      </c>
      <c r="W18" s="230">
        <f t="shared" si="30"/>
      </c>
      <c r="X18" s="229">
        <f>SUM(X14:X17)</f>
      </c>
      <c r="Y18" s="229">
        <f>SUM(Y14:Y17)</f>
      </c>
      <c r="Z18" s="229">
        <f>SUM(Z14:Z17)</f>
      </c>
      <c r="AA18" s="229">
        <f>SUM(AA14:AA17)</f>
      </c>
      <c r="AB18" s="229">
        <f>SUM(AB14:AB17)</f>
      </c>
      <c r="AC18" s="229">
        <f>SUM(AC14:AC17)</f>
      </c>
      <c r="AD18" s="229">
        <f>SUM(AD14:AD17)</f>
      </c>
      <c r="AE18" s="229">
        <f>SUM(AE14:AE17)</f>
      </c>
      <c r="AF18" s="232">
        <f t="shared" si="181"/>
      </c>
      <c r="AG18" s="233"/>
      <c r="AH18" s="233"/>
      <c r="AI18" s="229">
        <f>SUM(AI14:AI17)</f>
      </c>
    </row>
    <row r="19">
      <c r="A19" s="211"/>
      <c r="B19" s="212" t="s">
        <v>178</v>
      </c>
      <c r="C19" s="248" t="s">
        <v>179</v>
      </c>
      <c r="D19" s="261">
        <v>944.99</v>
      </c>
      <c r="E19" s="237">
        <v>3</v>
      </c>
      <c r="F19" s="237">
        <v>3</v>
      </c>
      <c r="G19" s="238">
        <v>1</v>
      </c>
      <c r="H19" s="239">
        <v>3670.699999999999</v>
      </c>
      <c r="I19" s="239"/>
      <c r="J19" s="240">
        <f t="shared" si="272"/>
      </c>
      <c r="K19" s="240">
        <f t="shared" si="332"/>
      </c>
      <c r="L19" s="240">
        <f t="shared" si="151"/>
      </c>
      <c r="M19" s="241">
        <f t="shared" si="212"/>
      </c>
      <c r="N19" s="240">
        <f t="shared" si="61"/>
      </c>
      <c r="O19" s="240">
        <f t="shared" si="91"/>
      </c>
      <c r="P19" s="241">
        <f t="shared" si="362"/>
      </c>
      <c r="Q19" s="241">
        <f t="shared" si="0"/>
      </c>
      <c r="R19" s="241">
        <f t="shared" si="242"/>
      </c>
      <c r="S19" s="241">
        <f t="shared" si="302"/>
      </c>
      <c r="T19" s="242">
        <f t="shared" si="121"/>
      </c>
      <c r="U19" s="243">
        <v>0.0368</v>
      </c>
      <c r="V19" s="244">
        <v>34</v>
      </c>
      <c r="W19" s="240">
        <f t="shared" si="30"/>
      </c>
      <c r="X19" s="242">
        <v>6131</v>
      </c>
      <c r="Y19" s="242">
        <v>356</v>
      </c>
      <c r="Z19" s="242">
        <v>38</v>
      </c>
      <c r="AA19" s="242">
        <v>469</v>
      </c>
      <c r="AB19" s="242">
        <v>40</v>
      </c>
      <c r="AC19" s="242">
        <v>2</v>
      </c>
      <c r="AD19" s="242">
        <v>0</v>
      </c>
      <c r="AE19" s="242">
        <v>5</v>
      </c>
      <c r="AF19" s="240">
        <f t="shared" si="181"/>
      </c>
      <c r="AG19" s="222" t="s">
        <v>173</v>
      </c>
      <c r="AH19" s="223" t="s">
        <v>174</v>
      </c>
      <c r="AI19" s="244">
        <v>20</v>
      </c>
    </row>
    <row r="20">
      <c r="A20" s="211"/>
      <c r="B20" s="212" t="s">
        <v>178</v>
      </c>
      <c r="C20" s="248" t="s">
        <v>180</v>
      </c>
      <c r="D20" s="262">
        <v>1121.07</v>
      </c>
      <c r="E20" s="247">
        <v>1</v>
      </c>
      <c r="F20" s="247">
        <v>1</v>
      </c>
      <c r="G20" s="247">
        <v>0</v>
      </c>
      <c r="H20" s="263">
        <v>856.9000000000015</v>
      </c>
      <c r="I20" s="263"/>
      <c r="J20" s="240">
        <f t="shared" si="272"/>
      </c>
      <c r="K20" s="240">
        <f t="shared" si="332"/>
      </c>
      <c r="L20" s="240">
        <f t="shared" si="151"/>
      </c>
      <c r="M20" s="241">
        <f t="shared" si="212"/>
      </c>
      <c r="N20" s="240">
        <f t="shared" si="61"/>
      </c>
      <c r="O20" s="240">
        <f t="shared" si="91"/>
      </c>
      <c r="P20" s="241">
        <f t="shared" si="362"/>
      </c>
      <c r="Q20" s="241">
        <f t="shared" si="0"/>
      </c>
      <c r="R20" s="241">
        <f t="shared" si="242"/>
      </c>
      <c r="S20" s="241">
        <f t="shared" si="302"/>
      </c>
      <c r="T20" s="242">
        <f t="shared" si="121"/>
      </c>
      <c r="U20" s="243">
        <v>0.0316</v>
      </c>
      <c r="V20" s="244">
        <v>35</v>
      </c>
      <c r="W20" s="240">
        <f t="shared" si="30"/>
      </c>
      <c r="X20" s="242">
        <v>7001</v>
      </c>
      <c r="Y20" s="242">
        <v>353</v>
      </c>
      <c r="Z20" s="242">
        <v>43</v>
      </c>
      <c r="AA20" s="242">
        <v>453</v>
      </c>
      <c r="AB20" s="242">
        <v>34</v>
      </c>
      <c r="AC20" s="242">
        <v>5</v>
      </c>
      <c r="AD20" s="242">
        <v>0</v>
      </c>
      <c r="AE20" s="242">
        <v>6</v>
      </c>
      <c r="AF20" s="240">
        <f t="shared" si="181"/>
      </c>
      <c r="AG20" s="222" t="s">
        <v>173</v>
      </c>
      <c r="AH20" s="223" t="s">
        <v>174</v>
      </c>
      <c r="AI20" s="244">
        <v>13</v>
      </c>
    </row>
    <row r="21">
      <c r="A21" s="211"/>
      <c r="B21" s="212" t="s">
        <v>178</v>
      </c>
      <c r="C21" s="248" t="s">
        <v>181</v>
      </c>
      <c r="D21" s="261">
        <v>1159.41</v>
      </c>
      <c r="E21" s="247">
        <v>1</v>
      </c>
      <c r="F21" s="247">
        <v>1</v>
      </c>
      <c r="G21" s="247">
        <v>1</v>
      </c>
      <c r="H21" s="261">
        <v>451</v>
      </c>
      <c r="I21" s="261"/>
      <c r="J21" s="240">
        <f t="shared" si="272"/>
      </c>
      <c r="K21" s="240">
        <f t="shared" si="332"/>
      </c>
      <c r="L21" s="240">
        <f t="shared" si="151"/>
      </c>
      <c r="M21" s="241">
        <f t="shared" si="212"/>
      </c>
      <c r="N21" s="240">
        <f t="shared" si="61"/>
      </c>
      <c r="O21" s="240">
        <f t="shared" si="91"/>
      </c>
      <c r="P21" s="241">
        <f t="shared" si="362"/>
      </c>
      <c r="Q21" s="241">
        <f t="shared" si="0"/>
      </c>
      <c r="R21" s="241">
        <f t="shared" si="242"/>
      </c>
      <c r="S21" s="241">
        <f t="shared" si="302"/>
      </c>
      <c r="T21" s="242">
        <f t="shared" si="121"/>
      </c>
      <c r="U21" s="243">
        <v>0.032</v>
      </c>
      <c r="V21" s="244">
        <v>34</v>
      </c>
      <c r="W21" s="240">
        <f t="shared" si="30"/>
      </c>
      <c r="X21" s="242">
        <v>6559</v>
      </c>
      <c r="Y21" s="242">
        <v>478</v>
      </c>
      <c r="Z21" s="242">
        <v>51</v>
      </c>
      <c r="AA21" s="242">
        <v>572</v>
      </c>
      <c r="AB21" s="242">
        <v>17</v>
      </c>
      <c r="AC21" s="242">
        <v>3</v>
      </c>
      <c r="AD21" s="242">
        <v>1</v>
      </c>
      <c r="AE21" s="242">
        <v>13</v>
      </c>
      <c r="AF21" s="240">
        <f t="shared" si="181"/>
      </c>
      <c r="AG21" s="222" t="s">
        <v>173</v>
      </c>
      <c r="AH21" s="223" t="s">
        <v>174</v>
      </c>
      <c r="AI21" s="244">
        <v>13</v>
      </c>
    </row>
    <row r="22">
      <c r="A22" s="211"/>
      <c r="B22" s="212" t="s">
        <v>178</v>
      </c>
      <c r="C22" s="248" t="s">
        <v>182</v>
      </c>
      <c r="D22" s="261">
        <v>501.23</v>
      </c>
      <c r="E22" s="238">
        <v>1</v>
      </c>
      <c r="F22" s="238">
        <v>1</v>
      </c>
      <c r="G22" s="238">
        <v>1</v>
      </c>
      <c r="H22" s="261">
        <v>781</v>
      </c>
      <c r="I22" s="261"/>
      <c r="J22" s="240">
        <f t="shared" si="272"/>
      </c>
      <c r="K22" s="240">
        <f t="shared" si="332"/>
      </c>
      <c r="L22" s="240">
        <f t="shared" si="151"/>
      </c>
      <c r="M22" s="241">
        <f t="shared" si="212"/>
      </c>
      <c r="N22" s="240">
        <f t="shared" si="61"/>
      </c>
      <c r="O22" s="240">
        <f t="shared" si="91"/>
      </c>
      <c r="P22" s="241">
        <f t="shared" si="362"/>
      </c>
      <c r="Q22" s="241">
        <f t="shared" si="0"/>
      </c>
      <c r="R22" s="241">
        <f t="shared" si="242"/>
      </c>
      <c r="S22" s="241">
        <f t="shared" si="302"/>
      </c>
      <c r="T22" s="242">
        <f t="shared" si="121"/>
      </c>
      <c r="U22" s="243">
        <v>0.0179</v>
      </c>
      <c r="V22" s="244">
        <v>35</v>
      </c>
      <c r="W22" s="240">
        <f t="shared" si="30"/>
      </c>
      <c r="X22" s="242">
        <v>3892</v>
      </c>
      <c r="Y22" s="242">
        <v>343</v>
      </c>
      <c r="Z22" s="242">
        <v>22</v>
      </c>
      <c r="AA22" s="242">
        <v>420</v>
      </c>
      <c r="AB22" s="242">
        <v>32</v>
      </c>
      <c r="AC22" s="242">
        <v>1</v>
      </c>
      <c r="AD22" s="242">
        <v>0</v>
      </c>
      <c r="AE22" s="242">
        <v>4</v>
      </c>
      <c r="AF22" s="240">
        <f t="shared" si="181"/>
      </c>
      <c r="AG22" s="222" t="s">
        <v>173</v>
      </c>
      <c r="AH22" s="223" t="s">
        <v>174</v>
      </c>
      <c r="AI22" s="244">
        <v>9</v>
      </c>
    </row>
    <row r="23">
      <c r="A23" s="211"/>
      <c r="B23" s="249" t="s">
        <v>165</v>
      </c>
      <c r="C23" s="249"/>
      <c r="D23" s="250">
        <f>SUM(D19:D22)</f>
      </c>
      <c r="E23" s="251">
        <f>SUM(E19:E22)</f>
      </c>
      <c r="F23" s="251">
        <f>SUM(F19:F22)</f>
      </c>
      <c r="G23" s="251">
        <f>SUM(G19:G22)</f>
      </c>
      <c r="H23" s="250">
        <f>SUM(H19:H22)</f>
      </c>
      <c r="I23" s="250"/>
      <c r="J23" s="252">
        <f t="shared" si="272"/>
      </c>
      <c r="K23" s="252">
        <f t="shared" si="332"/>
      </c>
      <c r="L23" s="252">
        <f t="shared" si="151"/>
      </c>
      <c r="M23" s="253">
        <f t="shared" si="212"/>
      </c>
      <c r="N23" s="252">
        <f t="shared" si="61"/>
      </c>
      <c r="O23" s="252">
        <f t="shared" si="91"/>
      </c>
      <c r="P23" s="253">
        <f t="shared" si="362"/>
      </c>
      <c r="Q23" s="253">
        <f t="shared" si="0"/>
      </c>
      <c r="R23" s="253">
        <f t="shared" si="242"/>
      </c>
      <c r="S23" s="253">
        <f t="shared" si="302"/>
      </c>
      <c r="T23" s="254">
        <f t="shared" si="121"/>
      </c>
      <c r="U23" s="253">
        <f>AVERAGE(U19:U22)</f>
      </c>
      <c r="V23" s="250">
        <f>AVERAGE(V19:V22)</f>
      </c>
      <c r="W23" s="252">
        <f t="shared" si="30"/>
      </c>
      <c r="X23" s="254">
        <f>SUM(X19:X22)</f>
      </c>
      <c r="Y23" s="254">
        <f>SUM(Y19:Y22)</f>
      </c>
      <c r="Z23" s="254">
        <f>SUM(Z19:Z22)</f>
      </c>
      <c r="AA23" s="254">
        <f>SUM(AA19:AA22)</f>
      </c>
      <c r="AB23" s="254">
        <f>SUM(AB19:AB22)</f>
      </c>
      <c r="AC23" s="254">
        <f>SUM(AC19:AC22)</f>
      </c>
      <c r="AD23" s="254">
        <f>SUM(AD19:AD22)</f>
      </c>
      <c r="AE23" s="254">
        <f>SUM(AE19:AE22)</f>
      </c>
      <c r="AF23" s="255">
        <f t="shared" si="181"/>
      </c>
      <c r="AG23" s="256"/>
      <c r="AH23" s="256"/>
      <c r="AI23" s="257">
        <f>SUM(AI19:AI22)</f>
      </c>
    </row>
    <row r="24">
      <c r="A24" s="211"/>
      <c r="B24" s="264" t="s">
        <v>183</v>
      </c>
      <c r="C24" s="264"/>
      <c r="D24" s="265">
        <f>D8+D13+D18+D23</f>
      </c>
      <c r="E24" s="265">
        <f>E8+E13+E18+E23</f>
      </c>
      <c r="F24" s="265">
        <f>F8+F13+F18+F23</f>
      </c>
      <c r="G24" s="265">
        <f>G8+G13+G18+G23</f>
      </c>
      <c r="H24" s="265">
        <f>H8+H13+H18+H23</f>
      </c>
      <c r="I24" s="265"/>
      <c r="J24" s="266">
        <f t="shared" si="272"/>
      </c>
      <c r="K24" s="267">
        <f t="shared" si="332"/>
      </c>
      <c r="L24" s="267">
        <f t="shared" si="151"/>
      </c>
      <c r="M24" s="268">
        <f t="shared" si="212"/>
      </c>
      <c r="N24" s="267">
        <f t="shared" si="61"/>
      </c>
      <c r="O24" s="267">
        <f t="shared" si="91"/>
      </c>
      <c r="P24" s="268">
        <f t="shared" si="362"/>
      </c>
      <c r="Q24" s="268">
        <f t="shared" si="0"/>
      </c>
      <c r="R24" s="268">
        <f t="shared" si="242"/>
      </c>
      <c r="S24" s="268">
        <f t="shared" si="302"/>
      </c>
      <c r="T24" s="269">
        <f t="shared" si="121"/>
      </c>
      <c r="U24" s="268">
        <f>(U8+U18+U13+U23)/4</f>
      </c>
      <c r="V24" s="267">
        <f>(V8+V18+V13+V23)/4</f>
      </c>
      <c r="W24" s="270">
        <f t="shared" si="30"/>
      </c>
      <c r="X24" s="269">
        <f>X8+X13+X18+X23</f>
      </c>
      <c r="Y24" s="269">
        <f>Y8+Y13+Y18+Y23</f>
      </c>
      <c r="Z24" s="269">
        <f>Z8+Z13+Z18+Z23</f>
      </c>
      <c r="AA24" s="269">
        <f>AA8+AA13+AA18+AA23</f>
      </c>
      <c r="AB24" s="269">
        <f>AB8+AB13+AB18+AB23</f>
      </c>
      <c r="AC24" s="269">
        <f>AC8+AC13+AC18+AC23</f>
      </c>
      <c r="AD24" s="269">
        <f>AD8+AD13+AD18+AD23</f>
      </c>
      <c r="AE24" s="269">
        <f>AE8+AE13+AE18+AE23</f>
      </c>
      <c r="AF24" s="267">
        <f>AF8</f>
      </c>
      <c r="AG24" s="264"/>
      <c r="AH24" s="264"/>
      <c r="AI24" s="269">
        <f>AI8+AI13+AI18+AI23</f>
      </c>
    </row>
    <row r="25">
      <c r="A25" s="193" t="s">
        <v>120</v>
      </c>
      <c r="B25" s="194" t="s">
        <v>121</v>
      </c>
      <c r="C25" s="194"/>
      <c r="D25" s="195" t="s">
        <v>122</v>
      </c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6" t="s">
        <v>123</v>
      </c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7"/>
    </row>
    <row r="26">
      <c r="A26" s="193"/>
      <c r="B26" s="194" t="s">
        <v>124</v>
      </c>
      <c r="C26" s="198" t="s">
        <v>125</v>
      </c>
      <c r="D26" s="199" t="s">
        <v>126</v>
      </c>
      <c r="E26" s="200" t="s">
        <v>127</v>
      </c>
      <c r="F26" s="201" t="s">
        <v>128</v>
      </c>
      <c r="G26" s="201" t="s">
        <v>129</v>
      </c>
      <c r="H26" s="199" t="s">
        <v>130</v>
      </c>
      <c r="I26" s="199"/>
      <c r="J26" s="202" t="s">
        <v>131</v>
      </c>
      <c r="K26" s="202" t="s">
        <v>132</v>
      </c>
      <c r="L26" s="202" t="s">
        <v>133</v>
      </c>
      <c r="M26" s="203" t="s">
        <v>134</v>
      </c>
      <c r="N26" s="202" t="s">
        <v>135</v>
      </c>
      <c r="O26" s="204" t="s">
        <v>136</v>
      </c>
      <c r="P26" s="205" t="s">
        <v>137</v>
      </c>
      <c r="Q26" s="205" t="s">
        <v>138</v>
      </c>
      <c r="R26" s="205" t="s">
        <v>139</v>
      </c>
      <c r="S26" s="205" t="s">
        <v>140</v>
      </c>
      <c r="T26" s="206" t="s">
        <v>141</v>
      </c>
      <c r="U26" s="207" t="s">
        <v>142</v>
      </c>
      <c r="V26" s="208" t="s">
        <v>143</v>
      </c>
      <c r="W26" s="196" t="s">
        <v>144</v>
      </c>
      <c r="X26" s="209" t="s">
        <v>145</v>
      </c>
      <c r="Y26" s="209" t="s">
        <v>146</v>
      </c>
      <c r="Z26" s="209" t="s">
        <v>147</v>
      </c>
      <c r="AA26" s="209" t="s">
        <v>148</v>
      </c>
      <c r="AB26" s="209" t="s">
        <v>149</v>
      </c>
      <c r="AC26" s="209" t="s">
        <v>150</v>
      </c>
      <c r="AD26" s="209" t="s">
        <v>151</v>
      </c>
      <c r="AE26" s="209" t="s">
        <v>152</v>
      </c>
      <c r="AF26" s="196" t="s">
        <v>153</v>
      </c>
      <c r="AG26" s="210" t="s">
        <v>154</v>
      </c>
      <c r="AH26" s="210" t="s">
        <v>155</v>
      </c>
      <c r="AI26" s="197" t="s">
        <v>156</v>
      </c>
    </row>
    <row r="27">
      <c r="A27" s="211">
        <v>46175</v>
      </c>
      <c r="B27" s="235" t="s">
        <v>166</v>
      </c>
      <c r="C27" s="213" t="s">
        <v>158</v>
      </c>
      <c r="D27" s="214">
        <v>1509.67</v>
      </c>
      <c r="E27" s="215">
        <v>2</v>
      </c>
      <c r="F27" s="215">
        <v>2</v>
      </c>
      <c r="G27" s="215">
        <v>2</v>
      </c>
      <c r="H27" s="214">
        <v>902</v>
      </c>
      <c r="I27" s="214"/>
      <c r="J27" s="216">
        <f t="shared" ref="J27:J48" si="273">H27/D27</f>
      </c>
      <c r="K27" s="217">
        <f t="shared" ref="K27:K48" si="333">D27/F27</f>
      </c>
      <c r="L27" s="217">
        <f t="shared" ref="L27:L48" si="152">D27/G27</f>
      </c>
      <c r="M27" s="218">
        <f t="shared" ref="M27:M48" si="213">F27/E27</f>
      </c>
      <c r="N27" s="217">
        <f t="shared" ref="N27:N48" si="62">H27/F27</f>
      </c>
      <c r="O27" s="217">
        <f t="shared" ref="O27:O48" si="92">D27/Y27</f>
      </c>
      <c r="P27" s="218">
        <f t="shared" ref="P27:P48" si="363">T27/X27*1</f>
      </c>
      <c r="Q27" s="218">
        <f t="shared" ref="Q27:Q48" si="1">Y27/X27</f>
      </c>
      <c r="R27" s="218">
        <f t="shared" ref="R27:R48" si="243">AA27/X27</f>
      </c>
      <c r="S27" s="218">
        <f t="shared" ref="S27:S48" si="303">AB27/AA27</f>
      </c>
      <c r="T27" s="219">
        <f t="shared" ref="T27:T48" si="122">Z27/U27</f>
      </c>
      <c r="U27" s="220">
        <v>0.0227</v>
      </c>
      <c r="V27" s="221">
        <v>20</v>
      </c>
      <c r="W27" s="217">
        <v>41</v>
      </c>
      <c r="X27" s="221">
        <v>10327</v>
      </c>
      <c r="Y27" s="221">
        <v>525</v>
      </c>
      <c r="Z27" s="219">
        <v>41</v>
      </c>
      <c r="AA27" s="219">
        <v>720</v>
      </c>
      <c r="AB27" s="219">
        <v>30</v>
      </c>
      <c r="AC27" s="219">
        <v>4</v>
      </c>
      <c r="AD27" s="221">
        <v>0</v>
      </c>
      <c r="AE27" s="221">
        <v>6</v>
      </c>
      <c r="AF27" s="217">
        <f t="shared" ref="AF27:AF47" si="182">AI27*1000/D27</f>
      </c>
      <c r="AG27" s="222" t="s">
        <v>159</v>
      </c>
      <c r="AH27" s="223" t="s">
        <v>184</v>
      </c>
      <c r="AI27" s="221">
        <v>15</v>
      </c>
    </row>
    <row r="28">
      <c r="A28" s="211"/>
      <c r="B28" s="235" t="s">
        <v>166</v>
      </c>
      <c r="C28" s="213" t="s">
        <v>161</v>
      </c>
      <c r="D28" s="214">
        <v>1673.1</v>
      </c>
      <c r="E28" s="215">
        <v>5</v>
      </c>
      <c r="F28" s="215">
        <v>3</v>
      </c>
      <c r="G28" s="215">
        <v>1</v>
      </c>
      <c r="H28" s="214">
        <v>2119.7</v>
      </c>
      <c r="I28" s="214"/>
      <c r="J28" s="216">
        <f t="shared" si="273"/>
      </c>
      <c r="K28" s="217">
        <f t="shared" si="333"/>
      </c>
      <c r="L28" s="217">
        <f t="shared" si="152"/>
      </c>
      <c r="M28" s="218">
        <f t="shared" si="213"/>
      </c>
      <c r="N28" s="217">
        <f t="shared" si="62"/>
      </c>
      <c r="O28" s="217">
        <f t="shared" si="92"/>
      </c>
      <c r="P28" s="218">
        <f t="shared" si="363"/>
      </c>
      <c r="Q28" s="218">
        <f t="shared" si="1"/>
      </c>
      <c r="R28" s="218">
        <f t="shared" si="243"/>
      </c>
      <c r="S28" s="218">
        <f t="shared" si="303"/>
      </c>
      <c r="T28" s="219">
        <f t="shared" si="122"/>
      </c>
      <c r="U28" s="220">
        <v>0.033</v>
      </c>
      <c r="V28" s="221">
        <v>23</v>
      </c>
      <c r="W28" s="217">
        <f t="shared" ref="W28:W48" si="31">(D28/X28)*1000</f>
      </c>
      <c r="X28" s="221">
        <v>14562</v>
      </c>
      <c r="Y28" s="221">
        <v>720</v>
      </c>
      <c r="Z28" s="219">
        <v>51</v>
      </c>
      <c r="AA28" s="219">
        <v>893</v>
      </c>
      <c r="AB28" s="221">
        <v>21</v>
      </c>
      <c r="AC28" s="219">
        <v>3</v>
      </c>
      <c r="AD28" s="221">
        <v>0</v>
      </c>
      <c r="AE28" s="221">
        <v>14</v>
      </c>
      <c r="AF28" s="217">
        <f t="shared" si="182"/>
      </c>
      <c r="AG28" s="222" t="s">
        <v>159</v>
      </c>
      <c r="AH28" s="223" t="s">
        <v>184</v>
      </c>
      <c r="AI28" s="221">
        <v>15</v>
      </c>
    </row>
    <row r="29">
      <c r="A29" s="211"/>
      <c r="B29" s="235" t="s">
        <v>166</v>
      </c>
      <c r="C29" s="224" t="s">
        <v>162</v>
      </c>
      <c r="D29" s="214">
        <v>1374.71</v>
      </c>
      <c r="E29" s="215">
        <v>2</v>
      </c>
      <c r="F29" s="215">
        <v>2</v>
      </c>
      <c r="G29" s="215">
        <v>2</v>
      </c>
      <c r="H29" s="214">
        <v>2545.4000000000005</v>
      </c>
      <c r="I29" s="214"/>
      <c r="J29" s="216">
        <f t="shared" si="273"/>
      </c>
      <c r="K29" s="217">
        <f t="shared" si="333"/>
      </c>
      <c r="L29" s="217">
        <f t="shared" si="152"/>
      </c>
      <c r="M29" s="218">
        <f t="shared" si="213"/>
      </c>
      <c r="N29" s="217">
        <f t="shared" si="62"/>
      </c>
      <c r="O29" s="217">
        <f t="shared" si="92"/>
      </c>
      <c r="P29" s="218">
        <f t="shared" si="363"/>
      </c>
      <c r="Q29" s="218">
        <f t="shared" si="1"/>
      </c>
      <c r="R29" s="218">
        <f t="shared" si="243"/>
      </c>
      <c r="S29" s="218">
        <f t="shared" si="303"/>
      </c>
      <c r="T29" s="219">
        <f t="shared" si="122"/>
      </c>
      <c r="U29" s="220">
        <v>0.0314</v>
      </c>
      <c r="V29" s="221">
        <v>23</v>
      </c>
      <c r="W29" s="217">
        <f t="shared" si="31"/>
      </c>
      <c r="X29" s="221">
        <v>12397</v>
      </c>
      <c r="Y29" s="221">
        <v>568</v>
      </c>
      <c r="Z29" s="219">
        <v>36</v>
      </c>
      <c r="AA29" s="219">
        <v>711</v>
      </c>
      <c r="AB29" s="221">
        <v>31</v>
      </c>
      <c r="AC29" s="219">
        <v>4</v>
      </c>
      <c r="AD29" s="221">
        <v>1</v>
      </c>
      <c r="AE29" s="221">
        <v>16</v>
      </c>
      <c r="AF29" s="217">
        <f t="shared" si="182"/>
      </c>
      <c r="AG29" s="222" t="s">
        <v>159</v>
      </c>
      <c r="AH29" s="223" t="s">
        <v>184</v>
      </c>
      <c r="AI29" s="221">
        <v>18</v>
      </c>
    </row>
    <row r="30">
      <c r="A30" s="211"/>
      <c r="B30" s="235" t="s">
        <v>166</v>
      </c>
      <c r="C30" s="213" t="s">
        <v>163</v>
      </c>
      <c r="D30" s="214">
        <v>1958.11</v>
      </c>
      <c r="E30" s="215">
        <v>7</v>
      </c>
      <c r="F30" s="215">
        <v>7</v>
      </c>
      <c r="G30" s="215">
        <v>7</v>
      </c>
      <c r="H30" s="214">
        <v>5179.9</v>
      </c>
      <c r="I30" s="214"/>
      <c r="J30" s="216">
        <f t="shared" si="273"/>
      </c>
      <c r="K30" s="217">
        <f t="shared" si="333"/>
      </c>
      <c r="L30" s="217">
        <f t="shared" si="152"/>
      </c>
      <c r="M30" s="218">
        <f t="shared" si="213"/>
      </c>
      <c r="N30" s="217">
        <f t="shared" si="62"/>
      </c>
      <c r="O30" s="217">
        <f t="shared" si="92"/>
      </c>
      <c r="P30" s="218">
        <f t="shared" si="363"/>
      </c>
      <c r="Q30" s="218">
        <f t="shared" si="1"/>
      </c>
      <c r="R30" s="218">
        <f t="shared" si="243"/>
      </c>
      <c r="S30" s="218">
        <f t="shared" si="303"/>
      </c>
      <c r="T30" s="219">
        <f t="shared" si="122"/>
      </c>
      <c r="U30" s="220">
        <v>0.0564</v>
      </c>
      <c r="V30" s="221">
        <v>28</v>
      </c>
      <c r="W30" s="217">
        <f t="shared" si="31"/>
      </c>
      <c r="X30" s="221">
        <v>15453</v>
      </c>
      <c r="Y30" s="221">
        <v>668</v>
      </c>
      <c r="Z30" s="221">
        <v>67</v>
      </c>
      <c r="AA30" s="221">
        <v>814</v>
      </c>
      <c r="AB30" s="221">
        <v>45</v>
      </c>
      <c r="AC30" s="221">
        <v>8</v>
      </c>
      <c r="AD30" s="221">
        <v>1</v>
      </c>
      <c r="AE30" s="221">
        <v>23</v>
      </c>
      <c r="AF30" s="217">
        <f t="shared" si="182"/>
      </c>
      <c r="AG30" s="222" t="s">
        <v>159</v>
      </c>
      <c r="AH30" s="223" t="s">
        <v>184</v>
      </c>
      <c r="AI30" s="221">
        <v>13</v>
      </c>
    </row>
    <row r="31">
      <c r="A31" s="211"/>
      <c r="B31" s="235" t="s">
        <v>166</v>
      </c>
      <c r="C31" s="212" t="s">
        <v>164</v>
      </c>
      <c r="D31" s="225">
        <v>4090.28</v>
      </c>
      <c r="E31" s="226">
        <v>12</v>
      </c>
      <c r="F31" s="226">
        <v>10</v>
      </c>
      <c r="G31" s="226">
        <v>7</v>
      </c>
      <c r="H31" s="225">
        <v>6162</v>
      </c>
      <c r="I31" s="225"/>
      <c r="J31" s="217">
        <f t="shared" si="273"/>
      </c>
      <c r="K31" s="217">
        <f t="shared" si="333"/>
      </c>
      <c r="L31" s="217">
        <f t="shared" si="152"/>
      </c>
      <c r="M31" s="218">
        <f t="shared" si="213"/>
      </c>
      <c r="N31" s="217">
        <f t="shared" si="62"/>
      </c>
      <c r="O31" s="217">
        <f t="shared" si="92"/>
      </c>
      <c r="P31" s="218">
        <f t="shared" si="363"/>
      </c>
      <c r="Q31" s="218">
        <f t="shared" si="1"/>
      </c>
      <c r="R31" s="218">
        <f t="shared" si="243"/>
      </c>
      <c r="S31" s="218">
        <f t="shared" si="303"/>
      </c>
      <c r="T31" s="219">
        <f t="shared" si="122"/>
      </c>
      <c r="U31" s="220">
        <v>0.0644</v>
      </c>
      <c r="V31" s="221">
        <v>29</v>
      </c>
      <c r="W31" s="217">
        <f t="shared" si="31"/>
      </c>
      <c r="X31" s="219">
        <v>35113</v>
      </c>
      <c r="Y31" s="219">
        <v>882</v>
      </c>
      <c r="Z31" s="219">
        <v>107</v>
      </c>
      <c r="AA31" s="219">
        <v>1036</v>
      </c>
      <c r="AB31" s="219">
        <v>42</v>
      </c>
      <c r="AC31" s="219">
        <v>6</v>
      </c>
      <c r="AD31" s="219">
        <v>1</v>
      </c>
      <c r="AE31" s="219">
        <v>34</v>
      </c>
      <c r="AF31" s="217">
        <f t="shared" si="182"/>
      </c>
      <c r="AG31" s="222" t="s">
        <v>159</v>
      </c>
      <c r="AH31" s="223" t="s">
        <v>184</v>
      </c>
      <c r="AI31" s="221">
        <v>22</v>
      </c>
    </row>
    <row r="32">
      <c r="A32" s="211"/>
      <c r="B32" s="227" t="s">
        <v>165</v>
      </c>
      <c r="C32" s="227"/>
      <c r="D32" s="228">
        <f>SUM(D27:D31)</f>
      </c>
      <c r="E32" s="229">
        <f>SUM(E27:E31)</f>
      </c>
      <c r="F32" s="229">
        <f>SUM(F27:F31)</f>
      </c>
      <c r="G32" s="229">
        <f>SUM(G27:G31)</f>
      </c>
      <c r="H32" s="228">
        <f>SUM(H27:H31)</f>
      </c>
      <c r="I32" s="228"/>
      <c r="J32" s="230">
        <f t="shared" si="273"/>
      </c>
      <c r="K32" s="230">
        <f t="shared" si="333"/>
      </c>
      <c r="L32" s="230">
        <f t="shared" si="152"/>
      </c>
      <c r="M32" s="231">
        <f t="shared" si="213"/>
      </c>
      <c r="N32" s="230">
        <f t="shared" si="62"/>
      </c>
      <c r="O32" s="230">
        <f t="shared" si="92"/>
      </c>
      <c r="P32" s="231">
        <f t="shared" si="363"/>
      </c>
      <c r="Q32" s="231">
        <f t="shared" si="1"/>
      </c>
      <c r="R32" s="231">
        <f t="shared" si="243"/>
      </c>
      <c r="S32" s="231">
        <f t="shared" si="303"/>
      </c>
      <c r="T32" s="229">
        <f t="shared" si="122"/>
      </c>
      <c r="U32" s="231">
        <f>AVERAGE(U27:U31)</f>
      </c>
      <c r="V32" s="228">
        <f>AVERAGE(V27:V31)</f>
      </c>
      <c r="W32" s="230">
        <f t="shared" si="31"/>
      </c>
      <c r="X32" s="229">
        <f>SUM(X27:X31)</f>
      </c>
      <c r="Y32" s="229">
        <f>SUM(Y27:Y31)</f>
      </c>
      <c r="Z32" s="229">
        <f>SUM(Z27:Z31)</f>
      </c>
      <c r="AA32" s="229">
        <f>SUM(AA27:AA31)</f>
      </c>
      <c r="AB32" s="229">
        <f>SUM(AB27:AB31)</f>
      </c>
      <c r="AC32" s="229">
        <f>SUM(AC27:AC31)</f>
      </c>
      <c r="AD32" s="229">
        <f>SUM(AD27:AD31)</f>
      </c>
      <c r="AE32" s="229">
        <f>SUM(AE27:AE31)</f>
      </c>
      <c r="AF32" s="232">
        <f t="shared" si="182"/>
      </c>
      <c r="AG32" s="233"/>
      <c r="AH32" s="233"/>
      <c r="AI32" s="234">
        <f>SUM(AI27:AI31)</f>
      </c>
    </row>
    <row r="33">
      <c r="A33" s="211"/>
      <c r="B33" s="258" t="s">
        <v>171</v>
      </c>
      <c r="C33" s="235" t="s">
        <v>167</v>
      </c>
      <c r="D33" s="236">
        <v>2642.05</v>
      </c>
      <c r="E33" s="237">
        <v>5</v>
      </c>
      <c r="F33" s="237">
        <v>3</v>
      </c>
      <c r="G33" s="238">
        <v>3</v>
      </c>
      <c r="H33" s="239">
        <v>1353</v>
      </c>
      <c r="I33" s="239"/>
      <c r="J33" s="240">
        <f t="shared" si="273"/>
      </c>
      <c r="K33" s="240">
        <f t="shared" si="333"/>
      </c>
      <c r="L33" s="240">
        <f t="shared" si="152"/>
      </c>
      <c r="M33" s="241">
        <f t="shared" si="213"/>
      </c>
      <c r="N33" s="240">
        <f t="shared" si="62"/>
      </c>
      <c r="O33" s="240">
        <f t="shared" si="92"/>
      </c>
      <c r="P33" s="241">
        <f t="shared" si="363"/>
      </c>
      <c r="Q33" s="241">
        <f t="shared" si="1"/>
      </c>
      <c r="R33" s="241">
        <f t="shared" si="243"/>
      </c>
      <c r="S33" s="241">
        <f t="shared" si="303"/>
      </c>
      <c r="T33" s="242">
        <f t="shared" si="122"/>
      </c>
      <c r="U33" s="243">
        <v>0.0481</v>
      </c>
      <c r="V33" s="244">
        <v>31</v>
      </c>
      <c r="W33" s="240">
        <f t="shared" si="31"/>
      </c>
      <c r="X33" s="242">
        <v>31475</v>
      </c>
      <c r="Y33" s="242">
        <v>675</v>
      </c>
      <c r="Z33" s="242">
        <v>77</v>
      </c>
      <c r="AA33" s="242">
        <v>790</v>
      </c>
      <c r="AB33" s="242">
        <v>74</v>
      </c>
      <c r="AC33" s="242">
        <v>15</v>
      </c>
      <c r="AD33" s="242">
        <v>1</v>
      </c>
      <c r="AE33" s="242">
        <v>33</v>
      </c>
      <c r="AF33" s="240">
        <f t="shared" si="182"/>
      </c>
      <c r="AG33" s="222" t="s">
        <v>159</v>
      </c>
      <c r="AH33" s="223" t="s">
        <v>184</v>
      </c>
      <c r="AI33" s="244">
        <v>26</v>
      </c>
    </row>
    <row r="34">
      <c r="A34" s="211"/>
      <c r="B34" s="258" t="s">
        <v>171</v>
      </c>
      <c r="C34" s="245" t="s">
        <v>168</v>
      </c>
      <c r="D34" s="246">
        <v>2972.78</v>
      </c>
      <c r="E34" s="247">
        <v>3</v>
      </c>
      <c r="F34" s="247">
        <v>3</v>
      </c>
      <c r="G34" s="247">
        <v>1</v>
      </c>
      <c r="H34" s="239">
        <v>1307.9000000000015</v>
      </c>
      <c r="I34" s="239"/>
      <c r="J34" s="240">
        <f t="shared" si="273"/>
      </c>
      <c r="K34" s="240">
        <f t="shared" si="333"/>
      </c>
      <c r="L34" s="240">
        <f t="shared" si="152"/>
      </c>
      <c r="M34" s="241">
        <f t="shared" si="213"/>
      </c>
      <c r="N34" s="240">
        <f t="shared" si="62"/>
      </c>
      <c r="O34" s="240">
        <f t="shared" si="92"/>
      </c>
      <c r="P34" s="241">
        <f t="shared" si="363"/>
      </c>
      <c r="Q34" s="241">
        <f t="shared" si="1"/>
      </c>
      <c r="R34" s="241">
        <f t="shared" si="243"/>
      </c>
      <c r="S34" s="241">
        <f t="shared" si="303"/>
      </c>
      <c r="T34" s="242">
        <f t="shared" si="122"/>
      </c>
      <c r="U34" s="243">
        <v>0.0576</v>
      </c>
      <c r="V34" s="244">
        <v>34</v>
      </c>
      <c r="W34" s="240">
        <f t="shared" si="31"/>
      </c>
      <c r="X34" s="242">
        <v>29369</v>
      </c>
      <c r="Y34" s="242">
        <v>649</v>
      </c>
      <c r="Z34" s="242">
        <v>89</v>
      </c>
      <c r="AA34" s="242">
        <v>785</v>
      </c>
      <c r="AB34" s="242">
        <v>73</v>
      </c>
      <c r="AC34" s="242">
        <v>12</v>
      </c>
      <c r="AD34" s="242">
        <v>0</v>
      </c>
      <c r="AE34" s="242">
        <v>35</v>
      </c>
      <c r="AF34" s="240">
        <f t="shared" si="182"/>
      </c>
      <c r="AG34" s="222" t="s">
        <v>159</v>
      </c>
      <c r="AH34" s="223" t="s">
        <v>184</v>
      </c>
      <c r="AI34" s="244">
        <v>23</v>
      </c>
    </row>
    <row r="35">
      <c r="A35" s="211"/>
      <c r="B35" s="258" t="s">
        <v>171</v>
      </c>
      <c r="C35" s="235" t="s">
        <v>169</v>
      </c>
      <c r="D35" s="236">
        <v>1225.39</v>
      </c>
      <c r="E35" s="247">
        <v>1</v>
      </c>
      <c r="F35" s="247">
        <v>0</v>
      </c>
      <c r="G35" s="247">
        <v>0</v>
      </c>
      <c r="H35" s="236">
        <v>0</v>
      </c>
      <c r="I35" s="236"/>
      <c r="J35" s="240">
        <f t="shared" si="273"/>
      </c>
      <c r="K35" s="240">
        <f t="shared" si="333"/>
      </c>
      <c r="L35" s="240">
        <f t="shared" si="152"/>
      </c>
      <c r="M35" s="241">
        <f t="shared" si="213"/>
      </c>
      <c r="N35" s="240">
        <f t="shared" si="62"/>
      </c>
      <c r="O35" s="240">
        <f t="shared" si="92"/>
      </c>
      <c r="P35" s="241">
        <f t="shared" si="363"/>
      </c>
      <c r="Q35" s="241">
        <f t="shared" si="1"/>
      </c>
      <c r="R35" s="241">
        <f t="shared" si="243"/>
      </c>
      <c r="S35" s="241">
        <f t="shared" si="303"/>
      </c>
      <c r="T35" s="242">
        <f t="shared" si="122"/>
      </c>
      <c r="U35" s="243">
        <v>0.0336</v>
      </c>
      <c r="V35" s="244">
        <v>34</v>
      </c>
      <c r="W35" s="240">
        <f t="shared" si="31"/>
      </c>
      <c r="X35" s="242">
        <v>11196</v>
      </c>
      <c r="Y35" s="242">
        <v>446</v>
      </c>
      <c r="Z35" s="242">
        <v>42</v>
      </c>
      <c r="AA35" s="242">
        <v>554</v>
      </c>
      <c r="AB35" s="242">
        <v>24</v>
      </c>
      <c r="AC35" s="242">
        <v>3</v>
      </c>
      <c r="AD35" s="242">
        <v>1</v>
      </c>
      <c r="AE35" s="242">
        <v>9</v>
      </c>
      <c r="AF35" s="240">
        <f t="shared" si="182"/>
      </c>
      <c r="AG35" s="222" t="s">
        <v>159</v>
      </c>
      <c r="AH35" s="223" t="s">
        <v>184</v>
      </c>
      <c r="AI35" s="244">
        <v>17</v>
      </c>
    </row>
    <row r="36">
      <c r="A36" s="211"/>
      <c r="B36" s="258" t="s">
        <v>171</v>
      </c>
      <c r="C36" s="248" t="s">
        <v>170</v>
      </c>
      <c r="D36" s="236">
        <v>1098.61</v>
      </c>
      <c r="E36" s="238">
        <v>1</v>
      </c>
      <c r="F36" s="238">
        <v>0</v>
      </c>
      <c r="G36" s="238">
        <v>0</v>
      </c>
      <c r="H36" s="236">
        <v>0</v>
      </c>
      <c r="I36" s="236"/>
      <c r="J36" s="240">
        <f t="shared" si="273"/>
      </c>
      <c r="K36" s="240">
        <f t="shared" si="333"/>
      </c>
      <c r="L36" s="240">
        <f t="shared" si="152"/>
      </c>
      <c r="M36" s="241">
        <f t="shared" si="213"/>
      </c>
      <c r="N36" s="240">
        <f t="shared" si="62"/>
      </c>
      <c r="O36" s="240">
        <f t="shared" si="92"/>
      </c>
      <c r="P36" s="241">
        <f t="shared" si="363"/>
      </c>
      <c r="Q36" s="241">
        <f t="shared" si="1"/>
      </c>
      <c r="R36" s="241">
        <f t="shared" si="243"/>
      </c>
      <c r="S36" s="241">
        <f t="shared" si="303"/>
      </c>
      <c r="T36" s="242">
        <f t="shared" si="122"/>
      </c>
      <c r="U36" s="243">
        <v>0.0353</v>
      </c>
      <c r="V36" s="244">
        <v>33</v>
      </c>
      <c r="W36" s="240">
        <f t="shared" si="31"/>
      </c>
      <c r="X36" s="242">
        <v>10377</v>
      </c>
      <c r="Y36" s="242">
        <v>540</v>
      </c>
      <c r="Z36" s="242">
        <v>44</v>
      </c>
      <c r="AA36" s="242">
        <v>676</v>
      </c>
      <c r="AB36" s="242">
        <v>27</v>
      </c>
      <c r="AC36" s="242">
        <v>8</v>
      </c>
      <c r="AD36" s="242">
        <v>0</v>
      </c>
      <c r="AE36" s="242">
        <v>12</v>
      </c>
      <c r="AF36" s="240">
        <f t="shared" si="182"/>
      </c>
      <c r="AG36" s="222" t="s">
        <v>159</v>
      </c>
      <c r="AH36" s="223" t="s">
        <v>184</v>
      </c>
      <c r="AI36" s="244">
        <v>10</v>
      </c>
    </row>
    <row r="37">
      <c r="A37" s="211"/>
      <c r="B37" s="249" t="s">
        <v>165</v>
      </c>
      <c r="C37" s="249"/>
      <c r="D37" s="250">
        <f>SUM(D33:D36)</f>
      </c>
      <c r="E37" s="251">
        <f>SUM(E33:E36)</f>
      </c>
      <c r="F37" s="251">
        <f>SUM(F33:F36)</f>
      </c>
      <c r="G37" s="251">
        <f>SUM(G33:G36)</f>
      </c>
      <c r="H37" s="250">
        <f>SUM(H33:H36)</f>
      </c>
      <c r="I37" s="250"/>
      <c r="J37" s="252">
        <f t="shared" si="273"/>
      </c>
      <c r="K37" s="252">
        <f t="shared" si="333"/>
      </c>
      <c r="L37" s="252">
        <f t="shared" si="152"/>
      </c>
      <c r="M37" s="253">
        <f t="shared" si="213"/>
      </c>
      <c r="N37" s="252">
        <f t="shared" si="62"/>
      </c>
      <c r="O37" s="252">
        <f t="shared" si="92"/>
      </c>
      <c r="P37" s="253">
        <f t="shared" si="363"/>
      </c>
      <c r="Q37" s="253">
        <f t="shared" si="1"/>
      </c>
      <c r="R37" s="253">
        <f t="shared" si="243"/>
      </c>
      <c r="S37" s="253">
        <f t="shared" si="303"/>
      </c>
      <c r="T37" s="254">
        <f t="shared" si="122"/>
      </c>
      <c r="U37" s="253">
        <f>AVERAGE(U33:U36)</f>
      </c>
      <c r="V37" s="250">
        <f>AVERAGE(V33:V36)</f>
      </c>
      <c r="W37" s="252">
        <f t="shared" si="31"/>
      </c>
      <c r="X37" s="254">
        <f>SUM(X33:X36)</f>
      </c>
      <c r="Y37" s="254">
        <f>SUM(Y33:Y36)</f>
      </c>
      <c r="Z37" s="254">
        <f>SUM(Z33:Z36)</f>
      </c>
      <c r="AA37" s="254">
        <f>SUM(AA33:AA36)</f>
      </c>
      <c r="AB37" s="254">
        <f>SUM(AB33:AB36)</f>
      </c>
      <c r="AC37" s="254">
        <f>SUM(AC33:AC36)</f>
      </c>
      <c r="AD37" s="254">
        <f>SUM(AD33:AD36)</f>
      </c>
      <c r="AE37" s="254">
        <f>SUM(AE33:AE36)</f>
      </c>
      <c r="AF37" s="255">
        <f t="shared" si="182"/>
      </c>
      <c r="AG37" s="256"/>
      <c r="AH37" s="256"/>
      <c r="AI37" s="257">
        <f>SUM(AI33:AI36)</f>
      </c>
    </row>
    <row r="38">
      <c r="A38" s="211"/>
      <c r="B38" s="212" t="s">
        <v>178</v>
      </c>
      <c r="C38" s="235" t="s">
        <v>172</v>
      </c>
      <c r="D38" s="214">
        <v>694.53</v>
      </c>
      <c r="E38" s="215">
        <v>3</v>
      </c>
      <c r="F38" s="215">
        <v>3</v>
      </c>
      <c r="G38" s="215">
        <v>3</v>
      </c>
      <c r="H38" s="215">
        <v>4955.5</v>
      </c>
      <c r="I38" s="215"/>
      <c r="J38" s="217">
        <f t="shared" si="273"/>
      </c>
      <c r="K38" s="217">
        <f t="shared" si="333"/>
      </c>
      <c r="L38" s="217">
        <f t="shared" si="152"/>
      </c>
      <c r="M38" s="218">
        <f t="shared" si="213"/>
      </c>
      <c r="N38" s="217">
        <f t="shared" si="62"/>
      </c>
      <c r="O38" s="217">
        <f t="shared" si="92"/>
      </c>
      <c r="P38" s="218">
        <f t="shared" si="363"/>
      </c>
      <c r="Q38" s="218">
        <f t="shared" si="1"/>
      </c>
      <c r="R38" s="218">
        <f t="shared" si="243"/>
      </c>
      <c r="S38" s="218">
        <f t="shared" si="303"/>
      </c>
      <c r="T38" s="219">
        <f t="shared" si="122"/>
      </c>
      <c r="U38" s="220">
        <v>0.0222</v>
      </c>
      <c r="V38" s="221">
        <v>32</v>
      </c>
      <c r="W38" s="217">
        <f t="shared" si="31"/>
      </c>
      <c r="X38" s="221">
        <v>7064</v>
      </c>
      <c r="Y38" s="221">
        <v>541</v>
      </c>
      <c r="Z38" s="219">
        <v>31</v>
      </c>
      <c r="AA38" s="219">
        <v>655</v>
      </c>
      <c r="AB38" s="219">
        <v>31</v>
      </c>
      <c r="AC38" s="219">
        <v>1</v>
      </c>
      <c r="AD38" s="221">
        <v>0</v>
      </c>
      <c r="AE38" s="221">
        <v>9</v>
      </c>
      <c r="AF38" s="217">
        <f t="shared" si="182"/>
      </c>
      <c r="AG38" s="222" t="s">
        <v>173</v>
      </c>
      <c r="AH38" s="223" t="s">
        <v>185</v>
      </c>
      <c r="AI38" s="221">
        <v>12</v>
      </c>
    </row>
    <row r="39">
      <c r="A39" s="211"/>
      <c r="B39" s="212" t="s">
        <v>178</v>
      </c>
      <c r="C39" s="245" t="s">
        <v>175</v>
      </c>
      <c r="D39" s="214">
        <v>954.41</v>
      </c>
      <c r="E39" s="215">
        <v>1</v>
      </c>
      <c r="F39" s="215">
        <v>1</v>
      </c>
      <c r="G39" s="215">
        <v>1</v>
      </c>
      <c r="H39" s="214">
        <v>451</v>
      </c>
      <c r="I39" s="214"/>
      <c r="J39" s="217">
        <f t="shared" si="273"/>
      </c>
      <c r="K39" s="217">
        <f t="shared" si="333"/>
      </c>
      <c r="L39" s="217">
        <f t="shared" si="152"/>
      </c>
      <c r="M39" s="218">
        <f t="shared" si="213"/>
      </c>
      <c r="N39" s="217">
        <f t="shared" si="62"/>
      </c>
      <c r="O39" s="217">
        <f t="shared" si="92"/>
      </c>
      <c r="P39" s="218">
        <f t="shared" si="363"/>
      </c>
      <c r="Q39" s="218">
        <f t="shared" si="1"/>
      </c>
      <c r="R39" s="218">
        <f t="shared" si="243"/>
      </c>
      <c r="S39" s="218">
        <f t="shared" si="303"/>
      </c>
      <c r="T39" s="219">
        <f t="shared" si="122"/>
      </c>
      <c r="U39" s="220">
        <v>0.0286</v>
      </c>
      <c r="V39" s="221">
        <v>32</v>
      </c>
      <c r="W39" s="217">
        <f t="shared" si="31"/>
      </c>
      <c r="X39" s="219">
        <v>7354</v>
      </c>
      <c r="Y39" s="219">
        <v>448</v>
      </c>
      <c r="Z39" s="219">
        <v>32</v>
      </c>
      <c r="AA39" s="219">
        <v>556</v>
      </c>
      <c r="AB39" s="219">
        <v>40</v>
      </c>
      <c r="AC39" s="219">
        <v>2</v>
      </c>
      <c r="AD39" s="219">
        <v>0</v>
      </c>
      <c r="AE39" s="221">
        <v>11</v>
      </c>
      <c r="AF39" s="217">
        <f t="shared" si="182"/>
      </c>
      <c r="AG39" s="222" t="s">
        <v>173</v>
      </c>
      <c r="AH39" s="223" t="s">
        <v>185</v>
      </c>
      <c r="AI39" s="221">
        <v>13</v>
      </c>
    </row>
    <row r="40">
      <c r="A40" s="211"/>
      <c r="B40" s="212" t="s">
        <v>178</v>
      </c>
      <c r="C40" s="235" t="s">
        <v>176</v>
      </c>
      <c r="D40" s="214">
        <v>1575.83</v>
      </c>
      <c r="E40" s="215">
        <v>4</v>
      </c>
      <c r="F40" s="215">
        <v>3</v>
      </c>
      <c r="G40" s="215">
        <v>3</v>
      </c>
      <c r="H40" s="214">
        <v>1758.8999999999978</v>
      </c>
      <c r="I40" s="214"/>
      <c r="J40" s="217">
        <f t="shared" si="273"/>
      </c>
      <c r="K40" s="217">
        <f t="shared" si="333"/>
      </c>
      <c r="L40" s="217">
        <f t="shared" si="152"/>
      </c>
      <c r="M40" s="218">
        <f t="shared" si="213"/>
      </c>
      <c r="N40" s="217">
        <f t="shared" si="62"/>
      </c>
      <c r="O40" s="217">
        <f t="shared" si="92"/>
      </c>
      <c r="P40" s="218">
        <f t="shared" si="363"/>
      </c>
      <c r="Q40" s="218">
        <f t="shared" si="1"/>
      </c>
      <c r="R40" s="218">
        <f t="shared" si="243"/>
      </c>
      <c r="S40" s="218">
        <f t="shared" si="303"/>
      </c>
      <c r="T40" s="219">
        <f t="shared" si="122"/>
      </c>
      <c r="U40" s="220">
        <v>0.0395</v>
      </c>
      <c r="V40" s="221">
        <v>31</v>
      </c>
      <c r="W40" s="217">
        <f t="shared" si="31"/>
      </c>
      <c r="X40" s="221">
        <v>13983</v>
      </c>
      <c r="Y40" s="221">
        <v>521</v>
      </c>
      <c r="Z40" s="221">
        <v>48</v>
      </c>
      <c r="AA40" s="221">
        <v>701</v>
      </c>
      <c r="AB40" s="221">
        <v>32</v>
      </c>
      <c r="AC40" s="221">
        <v>4</v>
      </c>
      <c r="AD40" s="221">
        <v>2</v>
      </c>
      <c r="AE40" s="221">
        <v>11</v>
      </c>
      <c r="AF40" s="217">
        <f t="shared" si="182"/>
      </c>
      <c r="AG40" s="222" t="s">
        <v>173</v>
      </c>
      <c r="AH40" s="223" t="s">
        <v>185</v>
      </c>
      <c r="AI40" s="221">
        <v>17</v>
      </c>
    </row>
    <row r="41">
      <c r="A41" s="211"/>
      <c r="B41" s="212" t="s">
        <v>178</v>
      </c>
      <c r="C41" s="235" t="s">
        <v>177</v>
      </c>
      <c r="D41" s="214">
        <v>2113.5</v>
      </c>
      <c r="E41" s="215">
        <v>2</v>
      </c>
      <c r="F41" s="215">
        <v>2</v>
      </c>
      <c r="G41" s="215">
        <v>2</v>
      </c>
      <c r="H41" s="214">
        <v>902</v>
      </c>
      <c r="I41" s="214"/>
      <c r="J41" s="217">
        <f t="shared" si="273"/>
      </c>
      <c r="K41" s="217">
        <f t="shared" si="333"/>
      </c>
      <c r="L41" s="217">
        <f t="shared" si="152"/>
      </c>
      <c r="M41" s="218">
        <f t="shared" si="213"/>
      </c>
      <c r="N41" s="217">
        <f t="shared" si="62"/>
      </c>
      <c r="O41" s="217">
        <f t="shared" si="92"/>
      </c>
      <c r="P41" s="218">
        <f t="shared" si="363"/>
      </c>
      <c r="Q41" s="218">
        <f t="shared" si="1"/>
      </c>
      <c r="R41" s="218">
        <f t="shared" si="243"/>
      </c>
      <c r="S41" s="218">
        <f t="shared" si="303"/>
      </c>
      <c r="T41" s="219">
        <f t="shared" si="122"/>
      </c>
      <c r="U41" s="220">
        <v>0.0551</v>
      </c>
      <c r="V41" s="221">
        <v>31</v>
      </c>
      <c r="W41" s="217">
        <f t="shared" si="31"/>
      </c>
      <c r="X41" s="221">
        <v>21634</v>
      </c>
      <c r="Y41" s="221">
        <v>615</v>
      </c>
      <c r="Z41" s="219">
        <v>69</v>
      </c>
      <c r="AA41" s="219">
        <v>769</v>
      </c>
      <c r="AB41" s="219">
        <v>48</v>
      </c>
      <c r="AC41" s="219">
        <v>6</v>
      </c>
      <c r="AD41" s="221">
        <v>0</v>
      </c>
      <c r="AE41" s="221">
        <v>18</v>
      </c>
      <c r="AF41" s="217">
        <f t="shared" si="182"/>
      </c>
      <c r="AG41" s="222" t="s">
        <v>173</v>
      </c>
      <c r="AH41" s="223" t="s">
        <v>185</v>
      </c>
      <c r="AI41" s="221">
        <v>25</v>
      </c>
    </row>
    <row r="42">
      <c r="A42" s="211"/>
      <c r="B42" s="227" t="s">
        <v>165</v>
      </c>
      <c r="C42" s="227"/>
      <c r="D42" s="259">
        <f>SUM(D38:D41)</f>
      </c>
      <c r="E42" s="260">
        <f>SUM(E38:E41)</f>
      </c>
      <c r="F42" s="260">
        <f>SUM(F38:F41)</f>
      </c>
      <c r="G42" s="260">
        <f>SUM(G38:G41)</f>
      </c>
      <c r="H42" s="259">
        <f>SUM(H38:H41)</f>
      </c>
      <c r="I42" s="259"/>
      <c r="J42" s="230">
        <f t="shared" si="273"/>
      </c>
      <c r="K42" s="230">
        <f t="shared" si="333"/>
      </c>
      <c r="L42" s="230">
        <f t="shared" si="152"/>
      </c>
      <c r="M42" s="231">
        <f t="shared" si="213"/>
      </c>
      <c r="N42" s="230">
        <f t="shared" si="62"/>
      </c>
      <c r="O42" s="230">
        <f t="shared" si="92"/>
      </c>
      <c r="P42" s="231">
        <f t="shared" si="363"/>
      </c>
      <c r="Q42" s="231">
        <f t="shared" si="1"/>
      </c>
      <c r="R42" s="231">
        <f t="shared" si="243"/>
      </c>
      <c r="S42" s="231">
        <f t="shared" si="303"/>
      </c>
      <c r="T42" s="229">
        <f t="shared" si="122"/>
      </c>
      <c r="U42" s="231">
        <f>AVERAGE(U38:U41)</f>
      </c>
      <c r="V42" s="228">
        <f>AVERAGE(V38:V41)</f>
      </c>
      <c r="W42" s="230">
        <f t="shared" si="31"/>
      </c>
      <c r="X42" s="229">
        <f>SUM(X38:X41)</f>
      </c>
      <c r="Y42" s="229">
        <f>SUM(Y38:Y41)</f>
      </c>
      <c r="Z42" s="229">
        <f>SUM(Z38:Z41)</f>
      </c>
      <c r="AA42" s="229">
        <f>SUM(AA38:AA41)</f>
      </c>
      <c r="AB42" s="229">
        <f>SUM(AB38:AB41)</f>
      </c>
      <c r="AC42" s="229">
        <f>SUM(AC38:AC41)</f>
      </c>
      <c r="AD42" s="229">
        <f>SUM(AD38:AD41)</f>
      </c>
      <c r="AE42" s="229">
        <f>SUM(AE38:AE41)</f>
      </c>
      <c r="AF42" s="232">
        <f t="shared" si="182"/>
      </c>
      <c r="AG42" s="233"/>
      <c r="AH42" s="233"/>
      <c r="AI42" s="229">
        <f>SUM(AI38:AI41)</f>
      </c>
    </row>
    <row r="43">
      <c r="A43" s="211"/>
      <c r="B43" s="248" t="s">
        <v>186</v>
      </c>
      <c r="C43" s="248" t="s">
        <v>179</v>
      </c>
      <c r="D43" s="261">
        <v>2691.71</v>
      </c>
      <c r="E43" s="237">
        <v>6</v>
      </c>
      <c r="F43" s="237">
        <v>6</v>
      </c>
      <c r="G43" s="238">
        <v>6</v>
      </c>
      <c r="H43" s="239">
        <v>2706</v>
      </c>
      <c r="I43" s="239"/>
      <c r="J43" s="240">
        <f t="shared" si="273"/>
      </c>
      <c r="K43" s="240">
        <f t="shared" si="333"/>
      </c>
      <c r="L43" s="240">
        <f t="shared" si="152"/>
      </c>
      <c r="M43" s="241">
        <f t="shared" si="213"/>
      </c>
      <c r="N43" s="240">
        <f t="shared" si="62"/>
      </c>
      <c r="O43" s="240">
        <f t="shared" si="92"/>
      </c>
      <c r="P43" s="241">
        <f t="shared" si="363"/>
      </c>
      <c r="Q43" s="241">
        <f t="shared" si="1"/>
      </c>
      <c r="R43" s="241">
        <f t="shared" si="243"/>
      </c>
      <c r="S43" s="241">
        <f t="shared" si="303"/>
      </c>
      <c r="T43" s="242">
        <f t="shared" si="122"/>
      </c>
      <c r="U43" s="243">
        <v>0.0615</v>
      </c>
      <c r="V43" s="244">
        <v>33</v>
      </c>
      <c r="W43" s="240">
        <f t="shared" si="31"/>
      </c>
      <c r="X43" s="242">
        <v>28172</v>
      </c>
      <c r="Y43" s="242">
        <v>757</v>
      </c>
      <c r="Z43" s="242">
        <v>83</v>
      </c>
      <c r="AA43" s="242">
        <v>891</v>
      </c>
      <c r="AB43" s="242">
        <v>88</v>
      </c>
      <c r="AC43" s="242">
        <v>4</v>
      </c>
      <c r="AD43" s="242">
        <v>3</v>
      </c>
      <c r="AE43" s="242">
        <v>19</v>
      </c>
      <c r="AF43" s="240">
        <f t="shared" si="182"/>
      </c>
      <c r="AG43" s="222" t="s">
        <v>173</v>
      </c>
      <c r="AH43" s="223" t="s">
        <v>185</v>
      </c>
      <c r="AI43" s="244">
        <v>36</v>
      </c>
    </row>
    <row r="44">
      <c r="A44" s="211"/>
      <c r="B44" s="248" t="s">
        <v>186</v>
      </c>
      <c r="C44" s="248" t="s">
        <v>180</v>
      </c>
      <c r="D44" s="262">
        <v>3975.2</v>
      </c>
      <c r="E44" s="247">
        <v>8</v>
      </c>
      <c r="F44" s="247">
        <v>8</v>
      </c>
      <c r="G44" s="247">
        <v>6</v>
      </c>
      <c r="H44" s="263">
        <v>5020.399999999998</v>
      </c>
      <c r="I44" s="263"/>
      <c r="J44" s="240">
        <f t="shared" si="273"/>
      </c>
      <c r="K44" s="240">
        <f t="shared" si="333"/>
      </c>
      <c r="L44" s="240">
        <f t="shared" si="152"/>
      </c>
      <c r="M44" s="241">
        <f t="shared" si="213"/>
      </c>
      <c r="N44" s="240">
        <f t="shared" si="62"/>
      </c>
      <c r="O44" s="240">
        <f t="shared" si="92"/>
      </c>
      <c r="P44" s="241">
        <f t="shared" si="363"/>
      </c>
      <c r="Q44" s="241">
        <f t="shared" si="1"/>
      </c>
      <c r="R44" s="241">
        <f t="shared" si="243"/>
      </c>
      <c r="S44" s="241">
        <f t="shared" si="303"/>
      </c>
      <c r="T44" s="242">
        <f t="shared" si="122"/>
      </c>
      <c r="U44" s="243">
        <v>0.0642</v>
      </c>
      <c r="V44" s="244">
        <v>34</v>
      </c>
      <c r="W44" s="240">
        <f t="shared" si="31"/>
      </c>
      <c r="X44" s="242">
        <v>43913</v>
      </c>
      <c r="Y44" s="242">
        <v>997</v>
      </c>
      <c r="Z44" s="242">
        <v>115</v>
      </c>
      <c r="AA44" s="242">
        <v>1232</v>
      </c>
      <c r="AB44" s="242">
        <v>103</v>
      </c>
      <c r="AC44" s="242">
        <v>11</v>
      </c>
      <c r="AD44" s="242">
        <v>1</v>
      </c>
      <c r="AE44" s="242">
        <v>50</v>
      </c>
      <c r="AF44" s="240">
        <f t="shared" si="182"/>
      </c>
      <c r="AG44" s="222" t="s">
        <v>173</v>
      </c>
      <c r="AH44" s="223" t="s">
        <v>185</v>
      </c>
      <c r="AI44" s="244">
        <v>43</v>
      </c>
    </row>
    <row r="45">
      <c r="A45" s="211"/>
      <c r="B45" s="248" t="s">
        <v>186</v>
      </c>
      <c r="C45" s="248" t="s">
        <v>181</v>
      </c>
      <c r="D45" s="261">
        <v>4285.58</v>
      </c>
      <c r="E45" s="247">
        <v>16</v>
      </c>
      <c r="F45" s="247">
        <v>12</v>
      </c>
      <c r="G45" s="247">
        <v>12</v>
      </c>
      <c r="H45" s="261">
        <v>8666.900000000001</v>
      </c>
      <c r="I45" s="261"/>
      <c r="J45" s="240">
        <f t="shared" si="273"/>
      </c>
      <c r="K45" s="240">
        <f t="shared" si="333"/>
      </c>
      <c r="L45" s="240">
        <f t="shared" si="152"/>
      </c>
      <c r="M45" s="241">
        <f t="shared" si="213"/>
      </c>
      <c r="N45" s="240">
        <f t="shared" si="62"/>
      </c>
      <c r="O45" s="240">
        <f t="shared" si="92"/>
      </c>
      <c r="P45" s="241">
        <f t="shared" si="363"/>
      </c>
      <c r="Q45" s="241">
        <f t="shared" si="1"/>
      </c>
      <c r="R45" s="241">
        <f t="shared" si="243"/>
      </c>
      <c r="S45" s="241">
        <f t="shared" si="303"/>
      </c>
      <c r="T45" s="242">
        <f t="shared" si="122"/>
      </c>
      <c r="U45" s="243">
        <v>0.0712</v>
      </c>
      <c r="V45" s="244">
        <v>37</v>
      </c>
      <c r="W45" s="240">
        <f t="shared" si="31"/>
      </c>
      <c r="X45" s="242">
        <v>47408</v>
      </c>
      <c r="Y45" s="242">
        <v>1201</v>
      </c>
      <c r="Z45" s="242">
        <v>145</v>
      </c>
      <c r="AA45" s="242">
        <v>1536</v>
      </c>
      <c r="AB45" s="242">
        <v>191</v>
      </c>
      <c r="AC45" s="242">
        <v>20</v>
      </c>
      <c r="AD45" s="242">
        <v>1</v>
      </c>
      <c r="AE45" s="242">
        <v>39</v>
      </c>
      <c r="AF45" s="240">
        <f t="shared" si="182"/>
      </c>
      <c r="AG45" s="222" t="s">
        <v>173</v>
      </c>
      <c r="AH45" s="223" t="s">
        <v>185</v>
      </c>
      <c r="AI45" s="244">
        <v>59</v>
      </c>
    </row>
    <row r="46">
      <c r="A46" s="211"/>
      <c r="B46" s="248" t="s">
        <v>186</v>
      </c>
      <c r="C46" s="248" t="s">
        <v>182</v>
      </c>
      <c r="D46" s="261">
        <v>1415.28</v>
      </c>
      <c r="E46" s="238">
        <v>5</v>
      </c>
      <c r="F46" s="238">
        <v>5</v>
      </c>
      <c r="G46" s="238">
        <v>3</v>
      </c>
      <c r="H46" s="261">
        <v>5555</v>
      </c>
      <c r="I46" s="261"/>
      <c r="J46" s="240">
        <f t="shared" si="273"/>
      </c>
      <c r="K46" s="240">
        <f t="shared" si="333"/>
      </c>
      <c r="L46" s="240">
        <f t="shared" si="152"/>
      </c>
      <c r="M46" s="241">
        <f t="shared" si="213"/>
      </c>
      <c r="N46" s="240">
        <f t="shared" si="62"/>
      </c>
      <c r="O46" s="240">
        <f t="shared" si="92"/>
      </c>
      <c r="P46" s="241">
        <f t="shared" si="363"/>
      </c>
      <c r="Q46" s="241">
        <f t="shared" si="1"/>
      </c>
      <c r="R46" s="241">
        <f t="shared" si="243"/>
      </c>
      <c r="S46" s="241">
        <f t="shared" si="303"/>
      </c>
      <c r="T46" s="242">
        <f t="shared" si="122"/>
      </c>
      <c r="U46" s="243">
        <v>0.0596</v>
      </c>
      <c r="V46" s="244">
        <v>39</v>
      </c>
      <c r="W46" s="240">
        <f t="shared" si="31"/>
      </c>
      <c r="X46" s="242">
        <v>18988</v>
      </c>
      <c r="Y46" s="242">
        <v>386</v>
      </c>
      <c r="Z46" s="242">
        <v>56</v>
      </c>
      <c r="AA46" s="242">
        <v>536</v>
      </c>
      <c r="AB46" s="242">
        <v>78</v>
      </c>
      <c r="AC46" s="242">
        <v>6</v>
      </c>
      <c r="AD46" s="242">
        <v>0</v>
      </c>
      <c r="AE46" s="242">
        <v>14</v>
      </c>
      <c r="AF46" s="240">
        <f t="shared" si="182"/>
      </c>
      <c r="AG46" s="222" t="s">
        <v>173</v>
      </c>
      <c r="AH46" s="223" t="s">
        <v>185</v>
      </c>
      <c r="AI46" s="244">
        <v>24</v>
      </c>
    </row>
    <row r="47">
      <c r="A47" s="211"/>
      <c r="B47" s="249" t="s">
        <v>165</v>
      </c>
      <c r="C47" s="249"/>
      <c r="D47" s="250">
        <f>SUM(D43:D46)</f>
      </c>
      <c r="E47" s="251">
        <f>SUM(E43:E46)</f>
      </c>
      <c r="F47" s="251">
        <f>SUM(F43:F46)</f>
      </c>
      <c r="G47" s="251">
        <f>SUM(G43:G46)</f>
      </c>
      <c r="H47" s="250">
        <f>SUM(H43:H46)</f>
      </c>
      <c r="I47" s="250"/>
      <c r="J47" s="252">
        <f t="shared" si="273"/>
      </c>
      <c r="K47" s="252">
        <f t="shared" si="333"/>
      </c>
      <c r="L47" s="252">
        <f t="shared" si="152"/>
      </c>
      <c r="M47" s="253">
        <f t="shared" si="213"/>
      </c>
      <c r="N47" s="252">
        <f t="shared" si="62"/>
      </c>
      <c r="O47" s="252">
        <f t="shared" si="92"/>
      </c>
      <c r="P47" s="253">
        <f t="shared" si="363"/>
      </c>
      <c r="Q47" s="253">
        <f t="shared" si="1"/>
      </c>
      <c r="R47" s="253">
        <f t="shared" si="243"/>
      </c>
      <c r="S47" s="253">
        <f t="shared" si="303"/>
      </c>
      <c r="T47" s="254">
        <f t="shared" si="122"/>
      </c>
      <c r="U47" s="253">
        <f>AVERAGE(U43:U46)</f>
      </c>
      <c r="V47" s="250">
        <f>AVERAGE(V43:V46)</f>
      </c>
      <c r="W47" s="252">
        <f t="shared" si="31"/>
      </c>
      <c r="X47" s="254">
        <f>SUM(X43:X46)</f>
      </c>
      <c r="Y47" s="254">
        <f>SUM(Y43:Y46)</f>
      </c>
      <c r="Z47" s="254">
        <f>SUM(Z43:Z46)</f>
      </c>
      <c r="AA47" s="254">
        <f>SUM(AA43:AA46)</f>
      </c>
      <c r="AB47" s="254">
        <f>SUM(AB43:AB46)</f>
      </c>
      <c r="AC47" s="254">
        <f>SUM(AC43:AC46)</f>
      </c>
      <c r="AD47" s="254">
        <f>SUM(AD43:AD46)</f>
      </c>
      <c r="AE47" s="254">
        <f>SUM(AE43:AE46)</f>
      </c>
      <c r="AF47" s="255">
        <f t="shared" si="182"/>
      </c>
      <c r="AG47" s="256"/>
      <c r="AH47" s="256"/>
      <c r="AI47" s="257">
        <f>SUM(AI43:AI46)</f>
      </c>
    </row>
    <row r="48">
      <c r="A48" s="211"/>
      <c r="B48" s="264" t="s">
        <v>183</v>
      </c>
      <c r="C48" s="264"/>
      <c r="D48" s="265">
        <f>D32+D37+D42+D47</f>
      </c>
      <c r="E48" s="265">
        <f>E32+E37+E42+E47</f>
      </c>
      <c r="F48" s="265">
        <f>F32+F37+F42+F47</f>
      </c>
      <c r="G48" s="265">
        <f>G32+G37+G42+G47</f>
      </c>
      <c r="H48" s="265">
        <f>H32+H37+H42+H47</f>
      </c>
      <c r="I48" s="265"/>
      <c r="J48" s="266">
        <f t="shared" si="273"/>
      </c>
      <c r="K48" s="267">
        <f t="shared" si="333"/>
      </c>
      <c r="L48" s="267">
        <f t="shared" si="152"/>
      </c>
      <c r="M48" s="268">
        <f t="shared" si="213"/>
      </c>
      <c r="N48" s="267">
        <f t="shared" si="62"/>
      </c>
      <c r="O48" s="267">
        <f t="shared" si="92"/>
      </c>
      <c r="P48" s="268">
        <f t="shared" si="363"/>
      </c>
      <c r="Q48" s="268">
        <f t="shared" si="1"/>
      </c>
      <c r="R48" s="268">
        <f t="shared" si="243"/>
      </c>
      <c r="S48" s="268">
        <f t="shared" si="303"/>
      </c>
      <c r="T48" s="269">
        <f t="shared" si="122"/>
      </c>
      <c r="U48" s="268">
        <f>(U32+U42+U37+U47)/4</f>
      </c>
      <c r="V48" s="267">
        <f>(V32+V42+V37+V47)/4</f>
      </c>
      <c r="W48" s="270">
        <f t="shared" si="31"/>
      </c>
      <c r="X48" s="269">
        <f>X32+X37+X42+X47</f>
      </c>
      <c r="Y48" s="269">
        <f>Y32+Y37+Y42+Y47</f>
      </c>
      <c r="Z48" s="269">
        <f>Z32+Z37+Z42+Z47</f>
      </c>
      <c r="AA48" s="269">
        <f>AA32+AA37+AA42+AA47</f>
      </c>
      <c r="AB48" s="269">
        <f>AB32+AB37+AB42+AB47</f>
      </c>
      <c r="AC48" s="269">
        <f>AC32+AC37+AC42+AC47</f>
      </c>
      <c r="AD48" s="269">
        <f>AD32+AD37+AD42+AD47</f>
      </c>
      <c r="AE48" s="269">
        <f>AE32+AE37+AE42+AE47</f>
      </c>
      <c r="AF48" s="267">
        <f>AF32</f>
      </c>
      <c r="AG48" s="264"/>
      <c r="AH48" s="264"/>
      <c r="AI48" s="269">
        <f>AI32+AI37+AI42+AI47</f>
      </c>
    </row>
    <row r="49">
      <c r="A49" s="193" t="s">
        <v>120</v>
      </c>
      <c r="B49" s="194" t="s">
        <v>121</v>
      </c>
      <c r="C49" s="194"/>
      <c r="D49" s="195" t="s">
        <v>122</v>
      </c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6" t="s">
        <v>123</v>
      </c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7"/>
    </row>
    <row r="50">
      <c r="A50" s="193"/>
      <c r="B50" s="194" t="s">
        <v>124</v>
      </c>
      <c r="C50" s="198" t="s">
        <v>125</v>
      </c>
      <c r="D50" s="199" t="s">
        <v>126</v>
      </c>
      <c r="E50" s="200" t="s">
        <v>127</v>
      </c>
      <c r="F50" s="201" t="s">
        <v>128</v>
      </c>
      <c r="G50" s="201" t="s">
        <v>129</v>
      </c>
      <c r="H50" s="199" t="s">
        <v>130</v>
      </c>
      <c r="I50" s="199"/>
      <c r="J50" s="202" t="s">
        <v>131</v>
      </c>
      <c r="K50" s="202" t="s">
        <v>132</v>
      </c>
      <c r="L50" s="202" t="s">
        <v>133</v>
      </c>
      <c r="M50" s="203" t="s">
        <v>134</v>
      </c>
      <c r="N50" s="202" t="s">
        <v>135</v>
      </c>
      <c r="O50" s="204" t="s">
        <v>136</v>
      </c>
      <c r="P50" s="205" t="s">
        <v>137</v>
      </c>
      <c r="Q50" s="205" t="s">
        <v>138</v>
      </c>
      <c r="R50" s="205" t="s">
        <v>139</v>
      </c>
      <c r="S50" s="205" t="s">
        <v>140</v>
      </c>
      <c r="T50" s="206" t="s">
        <v>141</v>
      </c>
      <c r="U50" s="207" t="s">
        <v>142</v>
      </c>
      <c r="V50" s="208" t="s">
        <v>143</v>
      </c>
      <c r="W50" s="196" t="s">
        <v>144</v>
      </c>
      <c r="X50" s="209" t="s">
        <v>145</v>
      </c>
      <c r="Y50" s="209" t="s">
        <v>146</v>
      </c>
      <c r="Z50" s="209" t="s">
        <v>147</v>
      </c>
      <c r="AA50" s="209" t="s">
        <v>148</v>
      </c>
      <c r="AB50" s="209" t="s">
        <v>149</v>
      </c>
      <c r="AC50" s="209" t="s">
        <v>150</v>
      </c>
      <c r="AD50" s="209" t="s">
        <v>151</v>
      </c>
      <c r="AE50" s="209" t="s">
        <v>152</v>
      </c>
      <c r="AF50" s="196" t="s">
        <v>153</v>
      </c>
      <c r="AG50" s="210" t="s">
        <v>154</v>
      </c>
      <c r="AH50" s="210" t="s">
        <v>155</v>
      </c>
      <c r="AI50" s="197" t="s">
        <v>156</v>
      </c>
    </row>
    <row r="51">
      <c r="A51" s="211">
        <v>46176</v>
      </c>
      <c r="B51" s="235" t="s">
        <v>166</v>
      </c>
      <c r="C51" s="213" t="s">
        <v>158</v>
      </c>
      <c r="D51" s="214">
        <v>2460.11</v>
      </c>
      <c r="E51" s="215">
        <v>4</v>
      </c>
      <c r="F51" s="215">
        <v>4</v>
      </c>
      <c r="G51" s="215">
        <v>4</v>
      </c>
      <c r="H51" s="214">
        <v>3949</v>
      </c>
      <c r="I51" s="214"/>
      <c r="J51" s="216">
        <f t="shared" ref="J51:J72" si="274">H51/D51</f>
      </c>
      <c r="K51" s="217">
        <f t="shared" ref="K51:K72" si="334">D51/F51</f>
      </c>
      <c r="L51" s="217">
        <f t="shared" ref="L51:L72" si="153">D51/G51</f>
      </c>
      <c r="M51" s="218">
        <f t="shared" ref="M51:M72" si="214">F51/E51</f>
      </c>
      <c r="N51" s="217">
        <f t="shared" ref="N51:N72" si="63">H51/F51</f>
      </c>
      <c r="O51" s="217">
        <f t="shared" ref="O51:O72" si="93">D51/Y51</f>
      </c>
      <c r="P51" s="218">
        <f t="shared" ref="P51:P72" si="364">T51/X51*1</f>
      </c>
      <c r="Q51" s="218">
        <f t="shared" ref="Q51:Q72" si="2">Y51/X51</f>
      </c>
      <c r="R51" s="218">
        <f t="shared" ref="R51:R72" si="244">AA51/X51</f>
      </c>
      <c r="S51" s="218">
        <f t="shared" ref="S51:S72" si="304">AB51/AA51</f>
      </c>
      <c r="T51" s="219">
        <f t="shared" ref="T51:T72" si="123">Z51/U51</f>
      </c>
      <c r="U51" s="220">
        <v>0.0274</v>
      </c>
      <c r="V51" s="221">
        <v>30</v>
      </c>
      <c r="W51" s="217">
        <v>41</v>
      </c>
      <c r="X51" s="221">
        <v>21411</v>
      </c>
      <c r="Y51" s="221">
        <v>571</v>
      </c>
      <c r="Z51" s="219">
        <v>66</v>
      </c>
      <c r="AA51" s="219">
        <v>856</v>
      </c>
      <c r="AB51" s="219">
        <v>37</v>
      </c>
      <c r="AC51" s="219">
        <v>14</v>
      </c>
      <c r="AD51" s="221">
        <v>1</v>
      </c>
      <c r="AE51" s="221">
        <v>15</v>
      </c>
      <c r="AF51" s="217">
        <f t="shared" ref="AF51:AF71" si="183">AI51*1000/D51</f>
      </c>
      <c r="AG51" s="222" t="s">
        <v>159</v>
      </c>
      <c r="AH51" s="223" t="s">
        <v>184</v>
      </c>
      <c r="AI51" s="221">
        <v>22</v>
      </c>
    </row>
    <row r="52">
      <c r="A52" s="211"/>
      <c r="B52" s="235" t="s">
        <v>166</v>
      </c>
      <c r="C52" s="213" t="s">
        <v>161</v>
      </c>
      <c r="D52" s="214">
        <v>1068.8</v>
      </c>
      <c r="E52" s="215">
        <v>1</v>
      </c>
      <c r="F52" s="215">
        <v>1</v>
      </c>
      <c r="G52" s="215">
        <v>1</v>
      </c>
      <c r="H52" s="214">
        <v>451</v>
      </c>
      <c r="I52" s="214"/>
      <c r="J52" s="216">
        <f t="shared" si="274"/>
      </c>
      <c r="K52" s="217">
        <f t="shared" si="334"/>
      </c>
      <c r="L52" s="217">
        <f t="shared" si="153"/>
      </c>
      <c r="M52" s="218">
        <f t="shared" si="214"/>
      </c>
      <c r="N52" s="217">
        <f t="shared" si="63"/>
      </c>
      <c r="O52" s="217">
        <f t="shared" si="93"/>
      </c>
      <c r="P52" s="218">
        <f t="shared" si="364"/>
      </c>
      <c r="Q52" s="218">
        <f t="shared" si="2"/>
      </c>
      <c r="R52" s="218">
        <f t="shared" si="244"/>
      </c>
      <c r="S52" s="218">
        <f t="shared" si="304"/>
      </c>
      <c r="T52" s="219">
        <f t="shared" si="123"/>
      </c>
      <c r="U52" s="220">
        <v>0.0267</v>
      </c>
      <c r="V52" s="221">
        <v>37</v>
      </c>
      <c r="W52" s="217">
        <f t="shared" ref="W52:W72" si="32">(D52/X52)*1000</f>
      </c>
      <c r="X52" s="221">
        <v>9226</v>
      </c>
      <c r="Y52" s="221">
        <v>255</v>
      </c>
      <c r="Z52" s="219">
        <v>41</v>
      </c>
      <c r="AA52" s="219">
        <v>333</v>
      </c>
      <c r="AB52" s="221">
        <v>23</v>
      </c>
      <c r="AC52" s="219">
        <v>5</v>
      </c>
      <c r="AD52" s="221">
        <v>0</v>
      </c>
      <c r="AE52" s="221">
        <v>5</v>
      </c>
      <c r="AF52" s="217">
        <f t="shared" si="183"/>
      </c>
      <c r="AG52" s="222" t="s">
        <v>159</v>
      </c>
      <c r="AH52" s="223" t="s">
        <v>184</v>
      </c>
      <c r="AI52" s="221">
        <v>16</v>
      </c>
    </row>
    <row r="53">
      <c r="A53" s="211"/>
      <c r="B53" s="235" t="s">
        <v>166</v>
      </c>
      <c r="C53" s="224" t="s">
        <v>162</v>
      </c>
      <c r="D53" s="214">
        <v>2535.2</v>
      </c>
      <c r="E53" s="215">
        <v>3</v>
      </c>
      <c r="F53" s="215">
        <v>2</v>
      </c>
      <c r="G53" s="215">
        <v>2</v>
      </c>
      <c r="H53" s="214">
        <v>902</v>
      </c>
      <c r="I53" s="214"/>
      <c r="J53" s="216">
        <f t="shared" si="274"/>
      </c>
      <c r="K53" s="217">
        <f t="shared" si="334"/>
      </c>
      <c r="L53" s="217">
        <f t="shared" si="153"/>
      </c>
      <c r="M53" s="218">
        <f t="shared" si="214"/>
      </c>
      <c r="N53" s="217">
        <f t="shared" si="63"/>
      </c>
      <c r="O53" s="217">
        <f t="shared" si="93"/>
      </c>
      <c r="P53" s="218">
        <f t="shared" si="364"/>
      </c>
      <c r="Q53" s="218">
        <f t="shared" si="2"/>
      </c>
      <c r="R53" s="218">
        <f t="shared" si="244"/>
      </c>
      <c r="S53" s="218">
        <f t="shared" si="304"/>
      </c>
      <c r="T53" s="219">
        <f t="shared" si="123"/>
      </c>
      <c r="U53" s="220">
        <v>0.0598</v>
      </c>
      <c r="V53" s="221">
        <v>41</v>
      </c>
      <c r="W53" s="217">
        <f t="shared" si="32"/>
      </c>
      <c r="X53" s="221">
        <v>23645</v>
      </c>
      <c r="Y53" s="221">
        <v>456</v>
      </c>
      <c r="Z53" s="219">
        <v>90</v>
      </c>
      <c r="AA53" s="219">
        <v>588</v>
      </c>
      <c r="AB53" s="221">
        <v>65</v>
      </c>
      <c r="AC53" s="219">
        <v>5</v>
      </c>
      <c r="AD53" s="221">
        <v>1</v>
      </c>
      <c r="AE53" s="221">
        <v>26</v>
      </c>
      <c r="AF53" s="217">
        <f t="shared" si="183"/>
      </c>
      <c r="AG53" s="222" t="s">
        <v>159</v>
      </c>
      <c r="AH53" s="223" t="s">
        <v>184</v>
      </c>
      <c r="AI53" s="221">
        <v>24</v>
      </c>
    </row>
    <row r="54">
      <c r="A54" s="211"/>
      <c r="B54" s="235" t="s">
        <v>166</v>
      </c>
      <c r="C54" s="213" t="s">
        <v>163</v>
      </c>
      <c r="D54" s="214">
        <v>1829.09</v>
      </c>
      <c r="E54" s="215">
        <v>6</v>
      </c>
      <c r="F54" s="215">
        <v>3</v>
      </c>
      <c r="G54" s="215">
        <v>3</v>
      </c>
      <c r="H54" s="214">
        <v>2791.8</v>
      </c>
      <c r="I54" s="214"/>
      <c r="J54" s="216">
        <f t="shared" si="274"/>
      </c>
      <c r="K54" s="217">
        <f t="shared" si="334"/>
      </c>
      <c r="L54" s="217">
        <f t="shared" si="153"/>
      </c>
      <c r="M54" s="218">
        <f t="shared" si="214"/>
      </c>
      <c r="N54" s="217">
        <f t="shared" si="63"/>
      </c>
      <c r="O54" s="217">
        <f t="shared" si="93"/>
      </c>
      <c r="P54" s="218">
        <f t="shared" si="364"/>
      </c>
      <c r="Q54" s="218">
        <f t="shared" si="2"/>
      </c>
      <c r="R54" s="218">
        <f t="shared" si="244"/>
      </c>
      <c r="S54" s="218">
        <f t="shared" si="304"/>
      </c>
      <c r="T54" s="219">
        <f t="shared" si="123"/>
      </c>
      <c r="U54" s="220">
        <v>0.0354</v>
      </c>
      <c r="V54" s="221">
        <v>42</v>
      </c>
      <c r="W54" s="217">
        <f t="shared" si="32"/>
      </c>
      <c r="X54" s="221">
        <v>15574</v>
      </c>
      <c r="Y54" s="221">
        <v>388</v>
      </c>
      <c r="Z54" s="221">
        <v>54</v>
      </c>
      <c r="AA54" s="221">
        <v>571</v>
      </c>
      <c r="AB54" s="221">
        <v>37</v>
      </c>
      <c r="AC54" s="221">
        <v>3</v>
      </c>
      <c r="AD54" s="221">
        <v>0</v>
      </c>
      <c r="AE54" s="221">
        <v>11</v>
      </c>
      <c r="AF54" s="217">
        <f t="shared" si="183"/>
      </c>
      <c r="AG54" s="222" t="s">
        <v>159</v>
      </c>
      <c r="AH54" s="223" t="s">
        <v>184</v>
      </c>
      <c r="AI54" s="221">
        <v>19</v>
      </c>
    </row>
    <row r="55">
      <c r="A55" s="211"/>
      <c r="B55" s="235" t="s">
        <v>166</v>
      </c>
      <c r="C55" s="212" t="s">
        <v>164</v>
      </c>
      <c r="D55" s="225">
        <v>1531.4</v>
      </c>
      <c r="E55" s="226">
        <v>3</v>
      </c>
      <c r="F55" s="226">
        <v>3</v>
      </c>
      <c r="G55" s="226">
        <v>3</v>
      </c>
      <c r="H55" s="225">
        <v>1352.999999999999</v>
      </c>
      <c r="I55" s="225"/>
      <c r="J55" s="217">
        <f t="shared" si="274"/>
      </c>
      <c r="K55" s="217">
        <f t="shared" si="334"/>
      </c>
      <c r="L55" s="217">
        <f t="shared" si="153"/>
      </c>
      <c r="M55" s="218">
        <f t="shared" si="214"/>
      </c>
      <c r="N55" s="217">
        <f t="shared" si="63"/>
      </c>
      <c r="O55" s="217">
        <f t="shared" si="93"/>
      </c>
      <c r="P55" s="218">
        <f t="shared" si="364"/>
      </c>
      <c r="Q55" s="218">
        <f t="shared" si="2"/>
      </c>
      <c r="R55" s="218">
        <f t="shared" si="244"/>
      </c>
      <c r="S55" s="218">
        <f t="shared" si="304"/>
      </c>
      <c r="T55" s="219">
        <f t="shared" si="123"/>
      </c>
      <c r="U55" s="220">
        <v>0.0284</v>
      </c>
      <c r="V55" s="221">
        <v>41</v>
      </c>
      <c r="W55" s="217">
        <f t="shared" si="32"/>
      </c>
      <c r="X55" s="219">
        <v>12499</v>
      </c>
      <c r="Y55" s="219">
        <v>403</v>
      </c>
      <c r="Z55" s="219">
        <v>42</v>
      </c>
      <c r="AA55" s="219">
        <v>637</v>
      </c>
      <c r="AB55" s="219">
        <v>28</v>
      </c>
      <c r="AC55" s="219">
        <v>4</v>
      </c>
      <c r="AD55" s="219">
        <v>1</v>
      </c>
      <c r="AE55" s="219">
        <v>14</v>
      </c>
      <c r="AF55" s="217">
        <f t="shared" si="183"/>
      </c>
      <c r="AG55" s="222" t="s">
        <v>159</v>
      </c>
      <c r="AH55" s="223" t="s">
        <v>184</v>
      </c>
      <c r="AI55" s="221">
        <v>20</v>
      </c>
    </row>
    <row r="56">
      <c r="A56" s="211"/>
      <c r="B56" s="227" t="s">
        <v>165</v>
      </c>
      <c r="C56" s="227"/>
      <c r="D56" s="228">
        <f>SUM(D51:D55)</f>
      </c>
      <c r="E56" s="229">
        <f>SUM(E51:E55)</f>
      </c>
      <c r="F56" s="229">
        <f>SUM(F51:F55)</f>
      </c>
      <c r="G56" s="229">
        <f>SUM(G51:G55)</f>
      </c>
      <c r="H56" s="228">
        <f>SUM(H51:H55)</f>
      </c>
      <c r="I56" s="228"/>
      <c r="J56" s="230">
        <f t="shared" si="274"/>
      </c>
      <c r="K56" s="230">
        <f t="shared" si="334"/>
      </c>
      <c r="L56" s="230">
        <f t="shared" si="153"/>
      </c>
      <c r="M56" s="231">
        <f t="shared" si="214"/>
      </c>
      <c r="N56" s="230">
        <f t="shared" si="63"/>
      </c>
      <c r="O56" s="230">
        <f t="shared" si="93"/>
      </c>
      <c r="P56" s="231">
        <f t="shared" si="364"/>
      </c>
      <c r="Q56" s="231">
        <f t="shared" si="2"/>
      </c>
      <c r="R56" s="231">
        <f t="shared" si="244"/>
      </c>
      <c r="S56" s="231">
        <f t="shared" si="304"/>
      </c>
      <c r="T56" s="229">
        <f t="shared" si="123"/>
      </c>
      <c r="U56" s="231">
        <f>AVERAGE(U51:U55)</f>
      </c>
      <c r="V56" s="228">
        <f>AVERAGE(V51:V55)</f>
      </c>
      <c r="W56" s="230">
        <f t="shared" si="32"/>
      </c>
      <c r="X56" s="229">
        <f>SUM(X51:X55)</f>
      </c>
      <c r="Y56" s="229">
        <f>SUM(Y51:Y55)</f>
      </c>
      <c r="Z56" s="229">
        <f>SUM(Z51:Z55)</f>
      </c>
      <c r="AA56" s="229">
        <f>SUM(AA51:AA55)</f>
      </c>
      <c r="AB56" s="229">
        <f>SUM(AB51:AB55)</f>
      </c>
      <c r="AC56" s="229">
        <f>SUM(AC51:AC55)</f>
      </c>
      <c r="AD56" s="229">
        <f>SUM(AD51:AD55)</f>
      </c>
      <c r="AE56" s="229">
        <f>SUM(AE51:AE55)</f>
      </c>
      <c r="AF56" s="232">
        <f t="shared" si="183"/>
      </c>
      <c r="AG56" s="233"/>
      <c r="AH56" s="233"/>
      <c r="AI56" s="234">
        <f>SUM(AI51:AI55)</f>
      </c>
    </row>
    <row r="57">
      <c r="A57" s="211"/>
      <c r="B57" s="212" t="s">
        <v>178</v>
      </c>
      <c r="C57" s="235" t="s">
        <v>167</v>
      </c>
      <c r="D57" s="236">
        <v>1574.81</v>
      </c>
      <c r="E57" s="237">
        <v>2</v>
      </c>
      <c r="F57" s="237">
        <v>2</v>
      </c>
      <c r="G57" s="238">
        <v>1</v>
      </c>
      <c r="H57" s="239">
        <v>902</v>
      </c>
      <c r="I57" s="239"/>
      <c r="J57" s="240">
        <f t="shared" si="274"/>
      </c>
      <c r="K57" s="240">
        <f t="shared" si="334"/>
      </c>
      <c r="L57" s="240">
        <f t="shared" si="153"/>
      </c>
      <c r="M57" s="241">
        <f t="shared" si="214"/>
      </c>
      <c r="N57" s="240">
        <f t="shared" si="63"/>
      </c>
      <c r="O57" s="240">
        <f t="shared" si="93"/>
      </c>
      <c r="P57" s="241">
        <f t="shared" si="364"/>
      </c>
      <c r="Q57" s="241">
        <f t="shared" si="2"/>
      </c>
      <c r="R57" s="241">
        <f t="shared" si="244"/>
      </c>
      <c r="S57" s="241">
        <f t="shared" si="304"/>
      </c>
      <c r="T57" s="242">
        <f t="shared" si="123"/>
      </c>
      <c r="U57" s="243">
        <v>0.0318</v>
      </c>
      <c r="V57" s="244">
        <v>41</v>
      </c>
      <c r="W57" s="240">
        <f t="shared" si="32"/>
      </c>
      <c r="X57" s="242">
        <v>11724</v>
      </c>
      <c r="Y57" s="242">
        <v>493</v>
      </c>
      <c r="Z57" s="242">
        <v>47</v>
      </c>
      <c r="AA57" s="242">
        <v>709</v>
      </c>
      <c r="AB57" s="242">
        <v>42</v>
      </c>
      <c r="AC57" s="242">
        <v>9</v>
      </c>
      <c r="AD57" s="242">
        <v>3</v>
      </c>
      <c r="AE57" s="242">
        <v>4</v>
      </c>
      <c r="AF57" s="240">
        <f t="shared" si="183"/>
      </c>
      <c r="AG57" s="222" t="s">
        <v>159</v>
      </c>
      <c r="AH57" s="223" t="s">
        <v>184</v>
      </c>
      <c r="AI57" s="244">
        <v>18</v>
      </c>
    </row>
    <row r="58">
      <c r="A58" s="211"/>
      <c r="B58" s="212" t="s">
        <v>178</v>
      </c>
      <c r="C58" s="245" t="s">
        <v>168</v>
      </c>
      <c r="D58" s="246">
        <v>2092.43</v>
      </c>
      <c r="E58" s="247">
        <v>4</v>
      </c>
      <c r="F58" s="247">
        <v>3</v>
      </c>
      <c r="G58" s="247">
        <v>3</v>
      </c>
      <c r="H58" s="239">
        <v>2072.4</v>
      </c>
      <c r="I58" s="239"/>
      <c r="J58" s="240">
        <f t="shared" si="274"/>
      </c>
      <c r="K58" s="240">
        <f t="shared" si="334"/>
      </c>
      <c r="L58" s="240">
        <f t="shared" si="153"/>
      </c>
      <c r="M58" s="241">
        <f t="shared" si="214"/>
      </c>
      <c r="N58" s="240">
        <f t="shared" si="63"/>
      </c>
      <c r="O58" s="240">
        <f t="shared" si="93"/>
      </c>
      <c r="P58" s="241">
        <f t="shared" si="364"/>
      </c>
      <c r="Q58" s="241">
        <f t="shared" si="2"/>
      </c>
      <c r="R58" s="241">
        <f t="shared" si="244"/>
      </c>
      <c r="S58" s="241">
        <f t="shared" si="304"/>
      </c>
      <c r="T58" s="242">
        <f t="shared" si="123"/>
      </c>
      <c r="U58" s="243">
        <v>0.0543</v>
      </c>
      <c r="V58" s="244">
        <v>39</v>
      </c>
      <c r="W58" s="240">
        <f t="shared" si="32"/>
      </c>
      <c r="X58" s="242">
        <v>14499</v>
      </c>
      <c r="Y58" s="242">
        <v>514</v>
      </c>
      <c r="Z58" s="242">
        <v>61</v>
      </c>
      <c r="AA58" s="242">
        <v>813</v>
      </c>
      <c r="AB58" s="242">
        <v>44</v>
      </c>
      <c r="AC58" s="242">
        <v>2</v>
      </c>
      <c r="AD58" s="242">
        <v>1</v>
      </c>
      <c r="AE58" s="242">
        <v>9</v>
      </c>
      <c r="AF58" s="240">
        <f t="shared" si="183"/>
      </c>
      <c r="AG58" s="222" t="s">
        <v>159</v>
      </c>
      <c r="AH58" s="223" t="s">
        <v>184</v>
      </c>
      <c r="AI58" s="244">
        <v>20</v>
      </c>
    </row>
    <row r="59">
      <c r="A59" s="211"/>
      <c r="B59" s="212" t="s">
        <v>178</v>
      </c>
      <c r="C59" s="235" t="s">
        <v>169</v>
      </c>
      <c r="D59" s="236">
        <v>2433.31</v>
      </c>
      <c r="E59" s="247">
        <v>8</v>
      </c>
      <c r="F59" s="247">
        <v>5</v>
      </c>
      <c r="G59" s="247">
        <v>5</v>
      </c>
      <c r="H59" s="236">
        <v>2660.8999999999996</v>
      </c>
      <c r="I59" s="236"/>
      <c r="J59" s="240">
        <f t="shared" si="274"/>
      </c>
      <c r="K59" s="240">
        <f t="shared" si="334"/>
      </c>
      <c r="L59" s="240">
        <f t="shared" si="153"/>
      </c>
      <c r="M59" s="241">
        <f t="shared" si="214"/>
      </c>
      <c r="N59" s="240">
        <f t="shared" si="63"/>
      </c>
      <c r="O59" s="240">
        <f t="shared" si="93"/>
      </c>
      <c r="P59" s="241">
        <f t="shared" si="364"/>
      </c>
      <c r="Q59" s="241">
        <f t="shared" si="2"/>
      </c>
      <c r="R59" s="241">
        <f t="shared" si="244"/>
      </c>
      <c r="S59" s="241">
        <f t="shared" si="304"/>
      </c>
      <c r="T59" s="242">
        <f t="shared" si="123"/>
      </c>
      <c r="U59" s="243">
        <v>0.0757</v>
      </c>
      <c r="V59" s="244">
        <v>40</v>
      </c>
      <c r="W59" s="240">
        <f t="shared" si="32"/>
      </c>
      <c r="X59" s="242">
        <v>16958</v>
      </c>
      <c r="Y59" s="242">
        <v>440</v>
      </c>
      <c r="Z59" s="242">
        <v>75</v>
      </c>
      <c r="AA59" s="242">
        <v>710</v>
      </c>
      <c r="AB59" s="242">
        <v>38</v>
      </c>
      <c r="AC59" s="242">
        <v>10</v>
      </c>
      <c r="AD59" s="242">
        <v>1</v>
      </c>
      <c r="AE59" s="242">
        <v>14</v>
      </c>
      <c r="AF59" s="240">
        <f t="shared" si="183"/>
      </c>
      <c r="AG59" s="222" t="s">
        <v>159</v>
      </c>
      <c r="AH59" s="223" t="s">
        <v>184</v>
      </c>
      <c r="AI59" s="244">
        <v>23</v>
      </c>
    </row>
    <row r="60">
      <c r="A60" s="211"/>
      <c r="B60" s="212" t="s">
        <v>178</v>
      </c>
      <c r="C60" s="248" t="s">
        <v>170</v>
      </c>
      <c r="D60" s="236">
        <v>2500.04</v>
      </c>
      <c r="E60" s="238">
        <v>5</v>
      </c>
      <c r="F60" s="238">
        <v>4</v>
      </c>
      <c r="G60" s="238">
        <v>4</v>
      </c>
      <c r="H60" s="236">
        <v>2900.7000000000007</v>
      </c>
      <c r="I60" s="236"/>
      <c r="J60" s="240">
        <f t="shared" si="274"/>
      </c>
      <c r="K60" s="240">
        <f t="shared" si="334"/>
      </c>
      <c r="L60" s="240">
        <f t="shared" si="153"/>
      </c>
      <c r="M60" s="241">
        <f t="shared" si="214"/>
      </c>
      <c r="N60" s="240">
        <f t="shared" si="63"/>
      </c>
      <c r="O60" s="240">
        <f t="shared" si="93"/>
      </c>
      <c r="P60" s="241">
        <f t="shared" si="364"/>
      </c>
      <c r="Q60" s="241">
        <f t="shared" si="2"/>
      </c>
      <c r="R60" s="241">
        <f t="shared" si="244"/>
      </c>
      <c r="S60" s="241">
        <f t="shared" si="304"/>
      </c>
      <c r="T60" s="242">
        <f t="shared" si="123"/>
      </c>
      <c r="U60" s="243">
        <v>0.0581</v>
      </c>
      <c r="V60" s="244">
        <v>40</v>
      </c>
      <c r="W60" s="240">
        <f t="shared" si="32"/>
      </c>
      <c r="X60" s="242">
        <v>20981</v>
      </c>
      <c r="Y60" s="242">
        <v>499</v>
      </c>
      <c r="Z60" s="242">
        <v>63</v>
      </c>
      <c r="AA60" s="242">
        <v>718</v>
      </c>
      <c r="AB60" s="242">
        <v>56</v>
      </c>
      <c r="AC60" s="242">
        <v>10</v>
      </c>
      <c r="AD60" s="242">
        <v>0</v>
      </c>
      <c r="AE60" s="242">
        <v>17</v>
      </c>
      <c r="AF60" s="240">
        <f t="shared" si="183"/>
      </c>
      <c r="AG60" s="222" t="s">
        <v>159</v>
      </c>
      <c r="AH60" s="223" t="s">
        <v>184</v>
      </c>
      <c r="AI60" s="244">
        <v>21</v>
      </c>
    </row>
    <row r="61">
      <c r="A61" s="211"/>
      <c r="B61" s="249" t="s">
        <v>165</v>
      </c>
      <c r="C61" s="249"/>
      <c r="D61" s="250">
        <f>SUM(D57:D60)</f>
      </c>
      <c r="E61" s="251">
        <f>SUM(E57:E60)</f>
      </c>
      <c r="F61" s="251">
        <f>SUM(F57:F60)</f>
      </c>
      <c r="G61" s="251">
        <f>SUM(G57:G60)</f>
      </c>
      <c r="H61" s="250">
        <f>SUM(H57:H60)</f>
      </c>
      <c r="I61" s="250"/>
      <c r="J61" s="252">
        <f t="shared" si="274"/>
      </c>
      <c r="K61" s="252">
        <f t="shared" si="334"/>
      </c>
      <c r="L61" s="252">
        <f t="shared" si="153"/>
      </c>
      <c r="M61" s="253">
        <f t="shared" si="214"/>
      </c>
      <c r="N61" s="252">
        <f t="shared" si="63"/>
      </c>
      <c r="O61" s="252">
        <f t="shared" si="93"/>
      </c>
      <c r="P61" s="253">
        <f t="shared" si="364"/>
      </c>
      <c r="Q61" s="253">
        <f t="shared" si="2"/>
      </c>
      <c r="R61" s="253">
        <f t="shared" si="244"/>
      </c>
      <c r="S61" s="253">
        <f t="shared" si="304"/>
      </c>
      <c r="T61" s="254">
        <f t="shared" si="123"/>
      </c>
      <c r="U61" s="253">
        <f>AVERAGE(U57:U60)</f>
      </c>
      <c r="V61" s="250">
        <f>AVERAGE(V57:V60)</f>
      </c>
      <c r="W61" s="252">
        <f t="shared" si="32"/>
      </c>
      <c r="X61" s="254">
        <f>SUM(X57:X60)</f>
      </c>
      <c r="Y61" s="254">
        <f>SUM(Y57:Y60)</f>
      </c>
      <c r="Z61" s="254">
        <f>SUM(Z57:Z60)</f>
      </c>
      <c r="AA61" s="254">
        <f>SUM(AA57:AA60)</f>
      </c>
      <c r="AB61" s="254">
        <f>SUM(AB57:AB60)</f>
      </c>
      <c r="AC61" s="254">
        <f>SUM(AC57:AC60)</f>
      </c>
      <c r="AD61" s="254">
        <f>SUM(AD57:AD60)</f>
      </c>
      <c r="AE61" s="254">
        <f>SUM(AE57:AE60)</f>
      </c>
      <c r="AF61" s="255">
        <f t="shared" si="183"/>
      </c>
      <c r="AG61" s="256"/>
      <c r="AH61" s="256"/>
      <c r="AI61" s="257">
        <f>SUM(AI57:AI60)</f>
      </c>
    </row>
    <row r="62">
      <c r="A62" s="211"/>
      <c r="B62" s="212" t="s">
        <v>157</v>
      </c>
      <c r="C62" s="235" t="s">
        <v>172</v>
      </c>
      <c r="D62" s="214">
        <v>1822.54</v>
      </c>
      <c r="E62" s="215">
        <v>7</v>
      </c>
      <c r="F62" s="215">
        <v>3</v>
      </c>
      <c r="G62" s="215">
        <v>3</v>
      </c>
      <c r="H62" s="215">
        <v>2416.7000000000007</v>
      </c>
      <c r="I62" s="215"/>
      <c r="J62" s="217">
        <f t="shared" si="274"/>
      </c>
      <c r="K62" s="217">
        <f t="shared" si="334"/>
      </c>
      <c r="L62" s="217">
        <f t="shared" si="153"/>
      </c>
      <c r="M62" s="218">
        <f t="shared" si="214"/>
      </c>
      <c r="N62" s="217">
        <f t="shared" si="63"/>
      </c>
      <c r="O62" s="217">
        <f t="shared" si="93"/>
      </c>
      <c r="P62" s="218">
        <f t="shared" si="364"/>
      </c>
      <c r="Q62" s="218">
        <f t="shared" si="2"/>
      </c>
      <c r="R62" s="218">
        <f t="shared" si="244"/>
      </c>
      <c r="S62" s="218">
        <f t="shared" si="304"/>
      </c>
      <c r="T62" s="219">
        <f t="shared" si="123"/>
      </c>
      <c r="U62" s="220">
        <v>0.0505</v>
      </c>
      <c r="V62" s="221">
        <v>40</v>
      </c>
      <c r="W62" s="217">
        <f t="shared" si="32"/>
      </c>
      <c r="X62" s="221">
        <v>16660</v>
      </c>
      <c r="Y62" s="221">
        <v>475</v>
      </c>
      <c r="Z62" s="219">
        <v>55</v>
      </c>
      <c r="AA62" s="219">
        <v>704</v>
      </c>
      <c r="AB62" s="219">
        <v>84</v>
      </c>
      <c r="AC62" s="219">
        <v>5</v>
      </c>
      <c r="AD62" s="221">
        <v>0</v>
      </c>
      <c r="AE62" s="221">
        <v>18</v>
      </c>
      <c r="AF62" s="217">
        <f t="shared" si="183"/>
      </c>
      <c r="AG62" s="222" t="s">
        <v>173</v>
      </c>
      <c r="AH62" s="223" t="s">
        <v>185</v>
      </c>
      <c r="AI62" s="221">
        <v>19</v>
      </c>
    </row>
    <row r="63">
      <c r="A63" s="211"/>
      <c r="B63" s="212" t="s">
        <v>157</v>
      </c>
      <c r="C63" s="245" t="s">
        <v>175</v>
      </c>
      <c r="D63" s="214">
        <v>1765.72</v>
      </c>
      <c r="E63" s="215">
        <v>3</v>
      </c>
      <c r="F63" s="215">
        <v>2</v>
      </c>
      <c r="G63" s="215">
        <v>1</v>
      </c>
      <c r="H63" s="214">
        <v>902</v>
      </c>
      <c r="I63" s="214"/>
      <c r="J63" s="217">
        <f t="shared" si="274"/>
      </c>
      <c r="K63" s="217">
        <f t="shared" si="334"/>
      </c>
      <c r="L63" s="217">
        <f t="shared" si="153"/>
      </c>
      <c r="M63" s="218">
        <f t="shared" si="214"/>
      </c>
      <c r="N63" s="217">
        <f t="shared" si="63"/>
      </c>
      <c r="O63" s="217">
        <f t="shared" si="93"/>
      </c>
      <c r="P63" s="218">
        <f t="shared" si="364"/>
      </c>
      <c r="Q63" s="218">
        <f t="shared" si="2"/>
      </c>
      <c r="R63" s="218">
        <f t="shared" si="244"/>
      </c>
      <c r="S63" s="218">
        <f t="shared" si="304"/>
      </c>
      <c r="T63" s="219">
        <f t="shared" si="123"/>
      </c>
      <c r="U63" s="220">
        <v>0.0631</v>
      </c>
      <c r="V63" s="221">
        <v>41</v>
      </c>
      <c r="W63" s="217">
        <f t="shared" si="32"/>
      </c>
      <c r="X63" s="219">
        <v>14061</v>
      </c>
      <c r="Y63" s="219">
        <v>445</v>
      </c>
      <c r="Z63" s="219">
        <v>63</v>
      </c>
      <c r="AA63" s="219">
        <v>601</v>
      </c>
      <c r="AB63" s="219">
        <v>37</v>
      </c>
      <c r="AC63" s="219">
        <v>5</v>
      </c>
      <c r="AD63" s="219">
        <v>0</v>
      </c>
      <c r="AE63" s="221">
        <v>14</v>
      </c>
      <c r="AF63" s="217">
        <f t="shared" si="183"/>
      </c>
      <c r="AG63" s="222" t="s">
        <v>173</v>
      </c>
      <c r="AH63" s="223" t="s">
        <v>185</v>
      </c>
      <c r="AI63" s="221">
        <v>17</v>
      </c>
    </row>
    <row r="64">
      <c r="A64" s="211"/>
      <c r="B64" s="212" t="s">
        <v>157</v>
      </c>
      <c r="C64" s="235" t="s">
        <v>176</v>
      </c>
      <c r="D64" s="214">
        <v>2406.74</v>
      </c>
      <c r="E64" s="215">
        <v>4</v>
      </c>
      <c r="F64" s="215">
        <v>3</v>
      </c>
      <c r="G64" s="215">
        <v>2</v>
      </c>
      <c r="H64" s="214">
        <v>1353</v>
      </c>
      <c r="I64" s="214"/>
      <c r="J64" s="217">
        <f t="shared" si="274"/>
      </c>
      <c r="K64" s="217">
        <f t="shared" si="334"/>
      </c>
      <c r="L64" s="217">
        <f t="shared" si="153"/>
      </c>
      <c r="M64" s="218">
        <f t="shared" si="214"/>
      </c>
      <c r="N64" s="217">
        <f t="shared" si="63"/>
      </c>
      <c r="O64" s="217">
        <f t="shared" si="93"/>
      </c>
      <c r="P64" s="218">
        <f t="shared" si="364"/>
      </c>
      <c r="Q64" s="218">
        <f t="shared" si="2"/>
      </c>
      <c r="R64" s="218">
        <f t="shared" si="244"/>
      </c>
      <c r="S64" s="218">
        <f t="shared" si="304"/>
      </c>
      <c r="T64" s="219">
        <f t="shared" si="123"/>
      </c>
      <c r="U64" s="220">
        <v>0.0738</v>
      </c>
      <c r="V64" s="221">
        <v>41</v>
      </c>
      <c r="W64" s="217">
        <f t="shared" si="32"/>
      </c>
      <c r="X64" s="221">
        <v>19792</v>
      </c>
      <c r="Y64" s="221">
        <v>473</v>
      </c>
      <c r="Z64" s="221">
        <v>71</v>
      </c>
      <c r="AA64" s="221">
        <v>648</v>
      </c>
      <c r="AB64" s="221">
        <v>40</v>
      </c>
      <c r="AC64" s="221">
        <v>4</v>
      </c>
      <c r="AD64" s="221">
        <v>0</v>
      </c>
      <c r="AE64" s="221">
        <v>19</v>
      </c>
      <c r="AF64" s="217">
        <f t="shared" si="183"/>
      </c>
      <c r="AG64" s="222" t="s">
        <v>173</v>
      </c>
      <c r="AH64" s="223" t="s">
        <v>185</v>
      </c>
      <c r="AI64" s="221">
        <v>17</v>
      </c>
    </row>
    <row r="65">
      <c r="A65" s="211"/>
      <c r="B65" s="212" t="s">
        <v>157</v>
      </c>
      <c r="C65" s="235" t="s">
        <v>177</v>
      </c>
      <c r="D65" s="214">
        <v>2543.79</v>
      </c>
      <c r="E65" s="215">
        <v>1</v>
      </c>
      <c r="F65" s="215">
        <v>1</v>
      </c>
      <c r="G65" s="215">
        <v>1</v>
      </c>
      <c r="H65" s="214">
        <v>451</v>
      </c>
      <c r="I65" s="214"/>
      <c r="J65" s="217">
        <f t="shared" si="274"/>
      </c>
      <c r="K65" s="217">
        <f t="shared" si="334"/>
      </c>
      <c r="L65" s="217">
        <f t="shared" si="153"/>
      </c>
      <c r="M65" s="218">
        <f t="shared" si="214"/>
      </c>
      <c r="N65" s="217">
        <f t="shared" si="63"/>
      </c>
      <c r="O65" s="217">
        <f t="shared" si="93"/>
      </c>
      <c r="P65" s="218">
        <f t="shared" si="364"/>
      </c>
      <c r="Q65" s="218">
        <f t="shared" si="2"/>
      </c>
      <c r="R65" s="218">
        <f t="shared" si="244"/>
      </c>
      <c r="S65" s="218">
        <f t="shared" si="304"/>
      </c>
      <c r="T65" s="219">
        <f t="shared" si="123"/>
      </c>
      <c r="U65" s="220">
        <v>0.0811</v>
      </c>
      <c r="V65" s="221">
        <v>41</v>
      </c>
      <c r="W65" s="217">
        <f t="shared" si="32"/>
      </c>
      <c r="X65" s="221">
        <v>23597</v>
      </c>
      <c r="Y65" s="221">
        <v>478</v>
      </c>
      <c r="Z65" s="219">
        <v>76</v>
      </c>
      <c r="AA65" s="219">
        <v>648</v>
      </c>
      <c r="AB65" s="219">
        <v>49</v>
      </c>
      <c r="AC65" s="219">
        <v>4</v>
      </c>
      <c r="AD65" s="221">
        <v>0</v>
      </c>
      <c r="AE65" s="221">
        <v>21</v>
      </c>
      <c r="AF65" s="217">
        <f t="shared" si="183"/>
      </c>
      <c r="AG65" s="222" t="s">
        <v>173</v>
      </c>
      <c r="AH65" s="223" t="s">
        <v>185</v>
      </c>
      <c r="AI65" s="221">
        <v>18</v>
      </c>
    </row>
    <row r="66">
      <c r="A66" s="211"/>
      <c r="B66" s="227" t="s">
        <v>165</v>
      </c>
      <c r="C66" s="227"/>
      <c r="D66" s="259">
        <f>SUM(D62:D65)</f>
      </c>
      <c r="E66" s="260">
        <f>SUM(E62:E65)</f>
      </c>
      <c r="F66" s="260">
        <f>SUM(F62:F65)</f>
      </c>
      <c r="G66" s="260">
        <f>SUM(G62:G65)</f>
      </c>
      <c r="H66" s="259">
        <f>SUM(H62:H65)</f>
      </c>
      <c r="I66" s="259"/>
      <c r="J66" s="230">
        <f t="shared" si="274"/>
      </c>
      <c r="K66" s="230">
        <f t="shared" si="334"/>
      </c>
      <c r="L66" s="230">
        <f t="shared" si="153"/>
      </c>
      <c r="M66" s="231">
        <f t="shared" si="214"/>
      </c>
      <c r="N66" s="230">
        <f t="shared" si="63"/>
      </c>
      <c r="O66" s="230">
        <f t="shared" si="93"/>
      </c>
      <c r="P66" s="231">
        <f t="shared" si="364"/>
      </c>
      <c r="Q66" s="231">
        <f t="shared" si="2"/>
      </c>
      <c r="R66" s="231">
        <f t="shared" si="244"/>
      </c>
      <c r="S66" s="231">
        <f t="shared" si="304"/>
      </c>
      <c r="T66" s="229">
        <f t="shared" si="123"/>
      </c>
      <c r="U66" s="231">
        <f>AVERAGE(U62:U65)</f>
      </c>
      <c r="V66" s="228">
        <f>AVERAGE(V62:V65)</f>
      </c>
      <c r="W66" s="230">
        <f t="shared" si="32"/>
      </c>
      <c r="X66" s="229">
        <f>SUM(X62:X65)</f>
      </c>
      <c r="Y66" s="229">
        <f>SUM(Y62:Y65)</f>
      </c>
      <c r="Z66" s="229">
        <f>SUM(Z62:Z65)</f>
      </c>
      <c r="AA66" s="229">
        <f>SUM(AA62:AA65)</f>
      </c>
      <c r="AB66" s="229">
        <f>SUM(AB62:AB65)</f>
      </c>
      <c r="AC66" s="229">
        <f>SUM(AC62:AC65)</f>
      </c>
      <c r="AD66" s="229">
        <f>SUM(AD62:AD65)</f>
      </c>
      <c r="AE66" s="229">
        <f>SUM(AE62:AE65)</f>
      </c>
      <c r="AF66" s="232">
        <f t="shared" si="183"/>
      </c>
      <c r="AG66" s="233"/>
      <c r="AH66" s="233"/>
      <c r="AI66" s="229">
        <f>SUM(AI62:AI65)</f>
      </c>
    </row>
    <row r="67">
      <c r="A67" s="211"/>
      <c r="B67" s="248" t="s">
        <v>186</v>
      </c>
      <c r="C67" s="248" t="s">
        <v>179</v>
      </c>
      <c r="D67" s="261">
        <v>1733.41</v>
      </c>
      <c r="E67" s="237">
        <v>7</v>
      </c>
      <c r="F67" s="237">
        <v>6</v>
      </c>
      <c r="G67" s="238">
        <v>5</v>
      </c>
      <c r="H67" s="239">
        <v>3036</v>
      </c>
      <c r="I67" s="239"/>
      <c r="J67" s="240">
        <f t="shared" si="274"/>
      </c>
      <c r="K67" s="240">
        <f t="shared" si="334"/>
      </c>
      <c r="L67" s="240">
        <f t="shared" si="153"/>
      </c>
      <c r="M67" s="241">
        <f t="shared" si="214"/>
      </c>
      <c r="N67" s="240">
        <f t="shared" si="63"/>
      </c>
      <c r="O67" s="240">
        <f t="shared" si="93"/>
      </c>
      <c r="P67" s="241">
        <f t="shared" si="364"/>
      </c>
      <c r="Q67" s="241">
        <f t="shared" si="2"/>
      </c>
      <c r="R67" s="241">
        <f t="shared" si="244"/>
      </c>
      <c r="S67" s="241">
        <f t="shared" si="304"/>
      </c>
      <c r="T67" s="242">
        <f t="shared" si="123"/>
      </c>
      <c r="U67" s="243">
        <v>0.0664</v>
      </c>
      <c r="V67" s="244">
        <v>42</v>
      </c>
      <c r="W67" s="240">
        <f t="shared" si="32"/>
      </c>
      <c r="X67" s="242">
        <v>16045</v>
      </c>
      <c r="Y67" s="242">
        <v>431</v>
      </c>
      <c r="Z67" s="242">
        <v>58</v>
      </c>
      <c r="AA67" s="242">
        <v>538</v>
      </c>
      <c r="AB67" s="242">
        <v>58</v>
      </c>
      <c r="AC67" s="242">
        <v>1</v>
      </c>
      <c r="AD67" s="242">
        <v>0</v>
      </c>
      <c r="AE67" s="242">
        <v>17</v>
      </c>
      <c r="AF67" s="240">
        <f t="shared" si="183"/>
      </c>
      <c r="AG67" s="222" t="s">
        <v>173</v>
      </c>
      <c r="AH67" s="223" t="s">
        <v>185</v>
      </c>
      <c r="AI67" s="244">
        <v>19</v>
      </c>
    </row>
    <row r="68">
      <c r="A68" s="211"/>
      <c r="B68" s="248" t="s">
        <v>186</v>
      </c>
      <c r="C68" s="248" t="s">
        <v>180</v>
      </c>
      <c r="D68" s="262">
        <v>1417.56</v>
      </c>
      <c r="E68" s="247">
        <v>1</v>
      </c>
      <c r="F68" s="247">
        <v>1</v>
      </c>
      <c r="G68" s="247">
        <v>1</v>
      </c>
      <c r="H68" s="263">
        <v>781</v>
      </c>
      <c r="I68" s="263"/>
      <c r="J68" s="240">
        <f t="shared" si="274"/>
      </c>
      <c r="K68" s="240">
        <f t="shared" si="334"/>
      </c>
      <c r="L68" s="240">
        <f t="shared" si="153"/>
      </c>
      <c r="M68" s="241">
        <f t="shared" si="214"/>
      </c>
      <c r="N68" s="240">
        <f t="shared" si="63"/>
      </c>
      <c r="O68" s="240">
        <f t="shared" si="93"/>
      </c>
      <c r="P68" s="241">
        <f t="shared" si="364"/>
      </c>
      <c r="Q68" s="241">
        <f t="shared" si="2"/>
      </c>
      <c r="R68" s="241">
        <f t="shared" si="244"/>
      </c>
      <c r="S68" s="241">
        <f t="shared" si="304"/>
      </c>
      <c r="T68" s="242">
        <f t="shared" si="123"/>
      </c>
      <c r="U68" s="243">
        <v>0.0559</v>
      </c>
      <c r="V68" s="244">
        <v>43</v>
      </c>
      <c r="W68" s="240">
        <f t="shared" si="32"/>
      </c>
      <c r="X68" s="242">
        <v>10097</v>
      </c>
      <c r="Y68" s="242">
        <v>352</v>
      </c>
      <c r="Z68" s="242">
        <v>51</v>
      </c>
      <c r="AA68" s="242">
        <v>437</v>
      </c>
      <c r="AB68" s="242">
        <v>39</v>
      </c>
      <c r="AC68" s="242">
        <v>4</v>
      </c>
      <c r="AD68" s="242">
        <v>2</v>
      </c>
      <c r="AE68" s="242">
        <v>5</v>
      </c>
      <c r="AF68" s="240">
        <f t="shared" si="183"/>
      </c>
      <c r="AG68" s="222" t="s">
        <v>173</v>
      </c>
      <c r="AH68" s="223" t="s">
        <v>185</v>
      </c>
      <c r="AI68" s="244">
        <v>22</v>
      </c>
    </row>
    <row r="69">
      <c r="A69" s="211"/>
      <c r="B69" s="248" t="s">
        <v>186</v>
      </c>
      <c r="C69" s="248" t="s">
        <v>181</v>
      </c>
      <c r="D69" s="261">
        <v>1405.19</v>
      </c>
      <c r="E69" s="247">
        <v>4</v>
      </c>
      <c r="F69" s="247">
        <v>4</v>
      </c>
      <c r="G69" s="247">
        <v>4</v>
      </c>
      <c r="H69" s="261">
        <v>3166.9000000000015</v>
      </c>
      <c r="I69" s="261"/>
      <c r="J69" s="240">
        <f t="shared" si="274"/>
      </c>
      <c r="K69" s="240">
        <f t="shared" si="334"/>
      </c>
      <c r="L69" s="240">
        <f t="shared" si="153"/>
      </c>
      <c r="M69" s="241">
        <f t="shared" si="214"/>
      </c>
      <c r="N69" s="240">
        <f t="shared" si="63"/>
      </c>
      <c r="O69" s="240">
        <f t="shared" si="93"/>
      </c>
      <c r="P69" s="241">
        <f t="shared" si="364"/>
      </c>
      <c r="Q69" s="241">
        <f t="shared" si="2"/>
      </c>
      <c r="R69" s="241">
        <f t="shared" si="244"/>
      </c>
      <c r="S69" s="241">
        <f t="shared" si="304"/>
      </c>
      <c r="T69" s="242">
        <f t="shared" si="123"/>
      </c>
      <c r="U69" s="243">
        <v>0.0432</v>
      </c>
      <c r="V69" s="244">
        <v>43</v>
      </c>
      <c r="W69" s="240">
        <f t="shared" si="32"/>
      </c>
      <c r="X69" s="242">
        <v>13131</v>
      </c>
      <c r="Y69" s="242">
        <v>447</v>
      </c>
      <c r="Z69" s="242">
        <v>55</v>
      </c>
      <c r="AA69" s="242">
        <v>604</v>
      </c>
      <c r="AB69" s="242">
        <v>61</v>
      </c>
      <c r="AC69" s="242">
        <v>11</v>
      </c>
      <c r="AD69" s="242">
        <v>0</v>
      </c>
      <c r="AE69" s="242">
        <v>10</v>
      </c>
      <c r="AF69" s="240">
        <f t="shared" si="183"/>
      </c>
      <c r="AG69" s="222" t="s">
        <v>173</v>
      </c>
      <c r="AH69" s="223" t="s">
        <v>185</v>
      </c>
      <c r="AI69" s="244">
        <v>26</v>
      </c>
    </row>
    <row r="70">
      <c r="A70" s="211"/>
      <c r="B70" s="248" t="s">
        <v>186</v>
      </c>
      <c r="C70" s="248" t="s">
        <v>182</v>
      </c>
      <c r="D70" s="261">
        <v>305.35</v>
      </c>
      <c r="E70" s="238">
        <v>2</v>
      </c>
      <c r="F70" s="238">
        <v>2</v>
      </c>
      <c r="G70" s="238">
        <v>1</v>
      </c>
      <c r="H70" s="261">
        <v>1637.8999999999978</v>
      </c>
      <c r="I70" s="261"/>
      <c r="J70" s="240">
        <f t="shared" si="274"/>
      </c>
      <c r="K70" s="240">
        <f t="shared" si="334"/>
      </c>
      <c r="L70" s="240">
        <f t="shared" si="153"/>
      </c>
      <c r="M70" s="241">
        <f t="shared" si="214"/>
      </c>
      <c r="N70" s="240">
        <f t="shared" si="63"/>
      </c>
      <c r="O70" s="240">
        <f t="shared" si="93"/>
      </c>
      <c r="P70" s="241">
        <f t="shared" si="364"/>
      </c>
      <c r="Q70" s="241">
        <f t="shared" si="2"/>
      </c>
      <c r="R70" s="241">
        <f t="shared" si="244"/>
      </c>
      <c r="S70" s="241">
        <f t="shared" si="304"/>
      </c>
      <c r="T70" s="242">
        <f t="shared" si="123"/>
      </c>
      <c r="U70" s="243">
        <v>0</v>
      </c>
      <c r="V70" s="244">
        <v>43</v>
      </c>
      <c r="W70" s="240">
        <f t="shared" si="32"/>
      </c>
      <c r="X70" s="242">
        <v>3035</v>
      </c>
      <c r="Y70" s="242">
        <v>93</v>
      </c>
      <c r="Z70" s="242">
        <v>13</v>
      </c>
      <c r="AA70" s="242">
        <v>118</v>
      </c>
      <c r="AB70" s="242">
        <v>21</v>
      </c>
      <c r="AC70" s="242">
        <v>2</v>
      </c>
      <c r="AD70" s="242">
        <v>0</v>
      </c>
      <c r="AE70" s="242">
        <v>0</v>
      </c>
      <c r="AF70" s="240">
        <f t="shared" si="183"/>
      </c>
      <c r="AG70" s="222" t="s">
        <v>173</v>
      </c>
      <c r="AH70" s="223" t="s">
        <v>185</v>
      </c>
      <c r="AI70" s="244">
        <v>5</v>
      </c>
    </row>
    <row r="71">
      <c r="A71" s="211"/>
      <c r="B71" s="249" t="s">
        <v>165</v>
      </c>
      <c r="C71" s="249"/>
      <c r="D71" s="250">
        <f>SUM(D67:D70)</f>
      </c>
      <c r="E71" s="251">
        <f>SUM(E67:E70)</f>
      </c>
      <c r="F71" s="251">
        <f>SUM(F67:F70)</f>
      </c>
      <c r="G71" s="251">
        <f>SUM(G67:G70)</f>
      </c>
      <c r="H71" s="250">
        <f>SUM(H67:H70)</f>
      </c>
      <c r="I71" s="250"/>
      <c r="J71" s="252">
        <f t="shared" si="274"/>
      </c>
      <c r="K71" s="252">
        <f t="shared" si="334"/>
      </c>
      <c r="L71" s="252">
        <f t="shared" si="153"/>
      </c>
      <c r="M71" s="253">
        <f t="shared" si="214"/>
      </c>
      <c r="N71" s="252">
        <f t="shared" si="63"/>
      </c>
      <c r="O71" s="252">
        <f t="shared" si="93"/>
      </c>
      <c r="P71" s="253">
        <f t="shared" si="364"/>
      </c>
      <c r="Q71" s="253">
        <f t="shared" si="2"/>
      </c>
      <c r="R71" s="253">
        <f t="shared" si="244"/>
      </c>
      <c r="S71" s="253">
        <f t="shared" si="304"/>
      </c>
      <c r="T71" s="254">
        <f t="shared" si="123"/>
      </c>
      <c r="U71" s="253">
        <f>AVERAGE(U67:U70)</f>
      </c>
      <c r="V71" s="250">
        <f>AVERAGE(V67:V70)</f>
      </c>
      <c r="W71" s="252">
        <f t="shared" si="32"/>
      </c>
      <c r="X71" s="254">
        <f>SUM(X67:X70)</f>
      </c>
      <c r="Y71" s="254">
        <f>SUM(Y67:Y70)</f>
      </c>
      <c r="Z71" s="254">
        <f>SUM(Z67:Z70)</f>
      </c>
      <c r="AA71" s="254">
        <f>SUM(AA67:AA70)</f>
      </c>
      <c r="AB71" s="254">
        <f>SUM(AB67:AB70)</f>
      </c>
      <c r="AC71" s="254">
        <f>SUM(AC67:AC70)</f>
      </c>
      <c r="AD71" s="254">
        <f>SUM(AD67:AD70)</f>
      </c>
      <c r="AE71" s="254">
        <f>SUM(AE67:AE70)</f>
      </c>
      <c r="AF71" s="255">
        <f t="shared" si="183"/>
      </c>
      <c r="AG71" s="256"/>
      <c r="AH71" s="256"/>
      <c r="AI71" s="257">
        <f>SUM(AI67:AI70)</f>
      </c>
    </row>
    <row r="72">
      <c r="A72" s="211"/>
      <c r="B72" s="264" t="s">
        <v>183</v>
      </c>
      <c r="C72" s="264"/>
      <c r="D72" s="265">
        <f>D56+D61+D66+D71</f>
      </c>
      <c r="E72" s="265">
        <f>E56+E61+E66+E71</f>
      </c>
      <c r="F72" s="265">
        <f>F56+F61+F66+F71</f>
      </c>
      <c r="G72" s="265">
        <f>G56+G61+G66+G71</f>
      </c>
      <c r="H72" s="265">
        <f>H56+H61+H66+H71</f>
      </c>
      <c r="I72" s="265"/>
      <c r="J72" s="266">
        <f t="shared" si="274"/>
      </c>
      <c r="K72" s="267">
        <f t="shared" si="334"/>
      </c>
      <c r="L72" s="267">
        <f t="shared" si="153"/>
      </c>
      <c r="M72" s="268">
        <f t="shared" si="214"/>
      </c>
      <c r="N72" s="267">
        <f t="shared" si="63"/>
      </c>
      <c r="O72" s="267">
        <f t="shared" si="93"/>
      </c>
      <c r="P72" s="268">
        <f t="shared" si="364"/>
      </c>
      <c r="Q72" s="268">
        <f t="shared" si="2"/>
      </c>
      <c r="R72" s="268">
        <f t="shared" si="244"/>
      </c>
      <c r="S72" s="268">
        <f t="shared" si="304"/>
      </c>
      <c r="T72" s="269">
        <f t="shared" si="123"/>
      </c>
      <c r="U72" s="268">
        <f>(U56+U66+U61+U71)/4</f>
      </c>
      <c r="V72" s="267">
        <f>(V56+V66+V61+V71)/4</f>
      </c>
      <c r="W72" s="270">
        <f t="shared" si="32"/>
      </c>
      <c r="X72" s="269">
        <f>X56+X61+X66+X71</f>
      </c>
      <c r="Y72" s="269">
        <f>Y56+Y61+Y66+Y71</f>
      </c>
      <c r="Z72" s="269">
        <f>Z56+Z61+Z66+Z71</f>
      </c>
      <c r="AA72" s="269">
        <f>AA56+AA61+AA66+AA71</f>
      </c>
      <c r="AB72" s="269">
        <f>AB56+AB61+AB66+AB71</f>
      </c>
      <c r="AC72" s="269">
        <f>AC56+AC61+AC66+AC71</f>
      </c>
      <c r="AD72" s="269">
        <f>AD56+AD61+AD66+AD71</f>
      </c>
      <c r="AE72" s="269">
        <f>AE56+AE61+AE66+AE71</f>
      </c>
      <c r="AF72" s="267">
        <f>AF56</f>
      </c>
      <c r="AG72" s="264"/>
      <c r="AH72" s="264"/>
      <c r="AI72" s="269">
        <f>AI56+AI61+AI66+AI71</f>
      </c>
    </row>
    <row r="73">
      <c r="A73" s="193" t="s">
        <v>120</v>
      </c>
      <c r="B73" s="194" t="s">
        <v>121</v>
      </c>
      <c r="C73" s="194"/>
      <c r="D73" s="195" t="s">
        <v>122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6" t="s">
        <v>123</v>
      </c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7"/>
    </row>
    <row r="74">
      <c r="A74" s="193"/>
      <c r="B74" s="194" t="s">
        <v>124</v>
      </c>
      <c r="C74" s="198" t="s">
        <v>125</v>
      </c>
      <c r="D74" s="199" t="s">
        <v>126</v>
      </c>
      <c r="E74" s="200" t="s">
        <v>127</v>
      </c>
      <c r="F74" s="201" t="s">
        <v>128</v>
      </c>
      <c r="G74" s="201" t="s">
        <v>129</v>
      </c>
      <c r="H74" s="199" t="s">
        <v>130</v>
      </c>
      <c r="I74" s="199"/>
      <c r="J74" s="202" t="s">
        <v>131</v>
      </c>
      <c r="K74" s="202" t="s">
        <v>132</v>
      </c>
      <c r="L74" s="202" t="s">
        <v>133</v>
      </c>
      <c r="M74" s="203" t="s">
        <v>134</v>
      </c>
      <c r="N74" s="202" t="s">
        <v>135</v>
      </c>
      <c r="O74" s="204" t="s">
        <v>136</v>
      </c>
      <c r="P74" s="205" t="s">
        <v>137</v>
      </c>
      <c r="Q74" s="205" t="s">
        <v>138</v>
      </c>
      <c r="R74" s="205" t="s">
        <v>139</v>
      </c>
      <c r="S74" s="205" t="s">
        <v>140</v>
      </c>
      <c r="T74" s="206" t="s">
        <v>141</v>
      </c>
      <c r="U74" s="207" t="s">
        <v>142</v>
      </c>
      <c r="V74" s="208" t="s">
        <v>143</v>
      </c>
      <c r="W74" s="196" t="s">
        <v>144</v>
      </c>
      <c r="X74" s="209" t="s">
        <v>145</v>
      </c>
      <c r="Y74" s="209" t="s">
        <v>146</v>
      </c>
      <c r="Z74" s="209" t="s">
        <v>147</v>
      </c>
      <c r="AA74" s="209" t="s">
        <v>148</v>
      </c>
      <c r="AB74" s="209" t="s">
        <v>149</v>
      </c>
      <c r="AC74" s="209" t="s">
        <v>150</v>
      </c>
      <c r="AD74" s="209" t="s">
        <v>151</v>
      </c>
      <c r="AE74" s="209" t="s">
        <v>152</v>
      </c>
      <c r="AF74" s="196" t="s">
        <v>153</v>
      </c>
      <c r="AG74" s="210" t="s">
        <v>154</v>
      </c>
      <c r="AH74" s="210" t="s">
        <v>155</v>
      </c>
      <c r="AI74" s="197" t="s">
        <v>156</v>
      </c>
    </row>
    <row r="75">
      <c r="A75" s="211">
        <v>46177</v>
      </c>
      <c r="B75" s="235" t="s">
        <v>166</v>
      </c>
      <c r="C75" s="213" t="s">
        <v>158</v>
      </c>
      <c r="D75" s="214">
        <v>2079.1</v>
      </c>
      <c r="E75" s="215">
        <v>3</v>
      </c>
      <c r="F75" s="215">
        <v>3</v>
      </c>
      <c r="G75" s="215">
        <v>3</v>
      </c>
      <c r="H75" s="214">
        <v>2449.7</v>
      </c>
      <c r="I75" s="214"/>
      <c r="J75" s="216">
        <f t="shared" ref="J75:J96" si="275">H75/D75</f>
      </c>
      <c r="K75" s="217">
        <f t="shared" ref="K75:K96" si="335">D75/F75</f>
      </c>
      <c r="L75" s="217">
        <f t="shared" ref="L75:L96" si="154">D75/G75</f>
      </c>
      <c r="M75" s="218">
        <f t="shared" ref="M75:M96" si="215">F75/E75</f>
      </c>
      <c r="N75" s="217">
        <f t="shared" ref="N75:N96" si="64">H75/F75</f>
      </c>
      <c r="O75" s="217">
        <f t="shared" ref="O75:O96" si="94">D75/Y75</f>
      </c>
      <c r="P75" s="218">
        <f t="shared" ref="P75:P96" si="365">T75/X75*1</f>
      </c>
      <c r="Q75" s="218">
        <f t="shared" ref="Q75:Q96" si="3">Y75/X75</f>
      </c>
      <c r="R75" s="218">
        <f t="shared" ref="R75:R96" si="245">AA75/X75</f>
      </c>
      <c r="S75" s="218">
        <f t="shared" ref="S75:S96" si="305">AB75/AA75</f>
      </c>
      <c r="T75" s="219">
        <f t="shared" ref="T75:T96" si="124">Z75/U75</f>
      </c>
      <c r="U75" s="220">
        <v>0.0381</v>
      </c>
      <c r="V75" s="221">
        <v>34</v>
      </c>
      <c r="W75" s="217">
        <v>41</v>
      </c>
      <c r="X75" s="221">
        <v>17525</v>
      </c>
      <c r="Y75" s="221">
        <v>528</v>
      </c>
      <c r="Z75" s="219">
        <v>66</v>
      </c>
      <c r="AA75" s="219">
        <v>849</v>
      </c>
      <c r="AB75" s="219">
        <v>43</v>
      </c>
      <c r="AC75" s="219">
        <v>7</v>
      </c>
      <c r="AD75" s="221">
        <v>1</v>
      </c>
      <c r="AE75" s="221">
        <v>11</v>
      </c>
      <c r="AF75" s="217">
        <f t="shared" ref="AF75:AF95" si="184">AI75*1000/D75</f>
      </c>
      <c r="AG75" s="222" t="s">
        <v>159</v>
      </c>
      <c r="AH75" s="223" t="s">
        <v>184</v>
      </c>
      <c r="AI75" s="221">
        <v>20</v>
      </c>
    </row>
    <row r="76">
      <c r="A76" s="211"/>
      <c r="B76" s="235" t="s">
        <v>166</v>
      </c>
      <c r="C76" s="213" t="s">
        <v>161</v>
      </c>
      <c r="D76" s="214">
        <v>1734.2</v>
      </c>
      <c r="E76" s="215">
        <v>2</v>
      </c>
      <c r="F76" s="215">
        <v>2</v>
      </c>
      <c r="G76" s="215">
        <v>1</v>
      </c>
      <c r="H76" s="214">
        <v>1623.6000000000004</v>
      </c>
      <c r="I76" s="214"/>
      <c r="J76" s="216">
        <f t="shared" si="275"/>
      </c>
      <c r="K76" s="217">
        <f t="shared" si="335"/>
      </c>
      <c r="L76" s="217">
        <f t="shared" si="154"/>
      </c>
      <c r="M76" s="218">
        <f t="shared" si="215"/>
      </c>
      <c r="N76" s="217">
        <f t="shared" si="64"/>
      </c>
      <c r="O76" s="217">
        <f t="shared" si="94"/>
      </c>
      <c r="P76" s="218">
        <f t="shared" si="365"/>
      </c>
      <c r="Q76" s="218">
        <f t="shared" si="3"/>
      </c>
      <c r="R76" s="218">
        <f t="shared" si="245"/>
      </c>
      <c r="S76" s="218">
        <f t="shared" si="305"/>
      </c>
      <c r="T76" s="219">
        <f t="shared" si="124"/>
      </c>
      <c r="U76" s="220">
        <v>0.042</v>
      </c>
      <c r="V76" s="221">
        <v>36</v>
      </c>
      <c r="W76" s="217">
        <f t="shared" ref="W76:W96" si="33">(D76/X76)*1000</f>
      </c>
      <c r="X76" s="221">
        <v>11844</v>
      </c>
      <c r="Y76" s="221">
        <v>384</v>
      </c>
      <c r="Z76" s="219">
        <v>48</v>
      </c>
      <c r="AA76" s="219">
        <v>486</v>
      </c>
      <c r="AB76" s="221">
        <v>24</v>
      </c>
      <c r="AC76" s="219">
        <v>8</v>
      </c>
      <c r="AD76" s="221">
        <v>0</v>
      </c>
      <c r="AE76" s="221">
        <v>13</v>
      </c>
      <c r="AF76" s="217">
        <f t="shared" si="184"/>
      </c>
      <c r="AG76" s="222" t="s">
        <v>159</v>
      </c>
      <c r="AH76" s="223" t="s">
        <v>184</v>
      </c>
      <c r="AI76" s="221">
        <v>17</v>
      </c>
    </row>
    <row r="77">
      <c r="A77" s="211"/>
      <c r="B77" s="235" t="s">
        <v>166</v>
      </c>
      <c r="C77" s="224" t="s">
        <v>162</v>
      </c>
      <c r="D77" s="214">
        <v>2217.83</v>
      </c>
      <c r="E77" s="215">
        <v>7</v>
      </c>
      <c r="F77" s="215">
        <v>3</v>
      </c>
      <c r="G77" s="215">
        <v>3</v>
      </c>
      <c r="H77" s="214">
        <v>1353</v>
      </c>
      <c r="I77" s="214"/>
      <c r="J77" s="216">
        <f t="shared" si="275"/>
      </c>
      <c r="K77" s="217">
        <f t="shared" si="335"/>
      </c>
      <c r="L77" s="217">
        <f t="shared" si="154"/>
      </c>
      <c r="M77" s="218">
        <f t="shared" si="215"/>
      </c>
      <c r="N77" s="217">
        <f t="shared" si="64"/>
      </c>
      <c r="O77" s="217">
        <f t="shared" si="94"/>
      </c>
      <c r="P77" s="218">
        <f t="shared" si="365"/>
      </c>
      <c r="Q77" s="218">
        <f t="shared" si="3"/>
      </c>
      <c r="R77" s="218">
        <f t="shared" si="245"/>
      </c>
      <c r="S77" s="218">
        <f t="shared" si="305"/>
      </c>
      <c r="T77" s="219">
        <f t="shared" si="124"/>
      </c>
      <c r="U77" s="220">
        <v>0.0381</v>
      </c>
      <c r="V77" s="221">
        <v>33</v>
      </c>
      <c r="W77" s="217">
        <f t="shared" si="33"/>
      </c>
      <c r="X77" s="221">
        <v>21394</v>
      </c>
      <c r="Y77" s="221">
        <v>926</v>
      </c>
      <c r="Z77" s="219">
        <v>63</v>
      </c>
      <c r="AA77" s="219">
        <v>1262</v>
      </c>
      <c r="AB77" s="221">
        <v>50</v>
      </c>
      <c r="AC77" s="219">
        <v>8</v>
      </c>
      <c r="AD77" s="221">
        <v>1</v>
      </c>
      <c r="AE77" s="221">
        <v>13</v>
      </c>
      <c r="AF77" s="217">
        <f t="shared" si="184"/>
      </c>
      <c r="AG77" s="222" t="s">
        <v>159</v>
      </c>
      <c r="AH77" s="223" t="s">
        <v>184</v>
      </c>
      <c r="AI77" s="221">
        <v>14</v>
      </c>
    </row>
    <row r="78">
      <c r="A78" s="211"/>
      <c r="B78" s="235" t="s">
        <v>166</v>
      </c>
      <c r="C78" s="213" t="s">
        <v>163</v>
      </c>
      <c r="D78" s="214">
        <v>1450.13</v>
      </c>
      <c r="E78" s="215">
        <v>3</v>
      </c>
      <c r="F78" s="215">
        <v>2</v>
      </c>
      <c r="G78" s="215">
        <v>2</v>
      </c>
      <c r="H78" s="214">
        <v>902</v>
      </c>
      <c r="I78" s="214"/>
      <c r="J78" s="216">
        <f t="shared" si="275"/>
      </c>
      <c r="K78" s="217">
        <f t="shared" si="335"/>
      </c>
      <c r="L78" s="217">
        <f t="shared" si="154"/>
      </c>
      <c r="M78" s="218">
        <f t="shared" si="215"/>
      </c>
      <c r="N78" s="217">
        <f t="shared" si="64"/>
      </c>
      <c r="O78" s="217">
        <f t="shared" si="94"/>
      </c>
      <c r="P78" s="218">
        <f t="shared" si="365"/>
      </c>
      <c r="Q78" s="218">
        <f t="shared" si="3"/>
      </c>
      <c r="R78" s="218">
        <f t="shared" si="245"/>
      </c>
      <c r="S78" s="218">
        <f t="shared" si="305"/>
      </c>
      <c r="T78" s="219">
        <f t="shared" si="124"/>
      </c>
      <c r="U78" s="220">
        <v>0.0357</v>
      </c>
      <c r="V78" s="221">
        <v>32</v>
      </c>
      <c r="W78" s="217">
        <f t="shared" si="33"/>
      </c>
      <c r="X78" s="221">
        <v>11734</v>
      </c>
      <c r="Y78" s="221">
        <v>681</v>
      </c>
      <c r="Z78" s="221">
        <v>44</v>
      </c>
      <c r="AA78" s="221">
        <v>887</v>
      </c>
      <c r="AB78" s="221">
        <v>48</v>
      </c>
      <c r="AC78" s="221">
        <v>5</v>
      </c>
      <c r="AD78" s="221">
        <v>2</v>
      </c>
      <c r="AE78" s="221">
        <v>6</v>
      </c>
      <c r="AF78" s="217">
        <f t="shared" si="184"/>
      </c>
      <c r="AG78" s="222" t="s">
        <v>159</v>
      </c>
      <c r="AH78" s="223" t="s">
        <v>184</v>
      </c>
      <c r="AI78" s="221">
        <v>11</v>
      </c>
    </row>
    <row r="79">
      <c r="A79" s="211"/>
      <c r="B79" s="235" t="s">
        <v>166</v>
      </c>
      <c r="C79" s="212" t="s">
        <v>164</v>
      </c>
      <c r="D79" s="225">
        <v>2203.65</v>
      </c>
      <c r="E79" s="226">
        <v>7</v>
      </c>
      <c r="F79" s="226">
        <v>6</v>
      </c>
      <c r="G79" s="226">
        <v>6</v>
      </c>
      <c r="H79" s="225">
        <v>4538.599999999999</v>
      </c>
      <c r="I79" s="225"/>
      <c r="J79" s="217">
        <f t="shared" si="275"/>
      </c>
      <c r="K79" s="217">
        <f t="shared" si="335"/>
      </c>
      <c r="L79" s="217">
        <f t="shared" si="154"/>
      </c>
      <c r="M79" s="218">
        <f t="shared" si="215"/>
      </c>
      <c r="N79" s="217">
        <f t="shared" si="64"/>
      </c>
      <c r="O79" s="217">
        <f t="shared" si="94"/>
      </c>
      <c r="P79" s="218">
        <f t="shared" si="365"/>
      </c>
      <c r="Q79" s="218">
        <f t="shared" si="3"/>
      </c>
      <c r="R79" s="218">
        <f t="shared" si="245"/>
      </c>
      <c r="S79" s="218">
        <f t="shared" si="305"/>
      </c>
      <c r="T79" s="219">
        <f t="shared" si="124"/>
      </c>
      <c r="U79" s="220">
        <v>0.0365</v>
      </c>
      <c r="V79" s="221">
        <v>33</v>
      </c>
      <c r="W79" s="217">
        <f t="shared" si="33"/>
      </c>
      <c r="X79" s="219">
        <v>15526</v>
      </c>
      <c r="Y79" s="219">
        <v>701</v>
      </c>
      <c r="Z79" s="219">
        <v>44</v>
      </c>
      <c r="AA79" s="219">
        <v>862</v>
      </c>
      <c r="AB79" s="219">
        <v>46</v>
      </c>
      <c r="AC79" s="219">
        <v>6</v>
      </c>
      <c r="AD79" s="219">
        <v>0</v>
      </c>
      <c r="AE79" s="219">
        <v>15</v>
      </c>
      <c r="AF79" s="217">
        <f t="shared" si="184"/>
      </c>
      <c r="AG79" s="222" t="s">
        <v>159</v>
      </c>
      <c r="AH79" s="223" t="s">
        <v>184</v>
      </c>
      <c r="AI79" s="221">
        <v>24</v>
      </c>
    </row>
    <row r="80">
      <c r="A80" s="211"/>
      <c r="B80" s="227" t="s">
        <v>165</v>
      </c>
      <c r="C80" s="227"/>
      <c r="D80" s="228">
        <f>SUM(D75:D79)</f>
      </c>
      <c r="E80" s="229">
        <f>SUM(E75:E79)</f>
      </c>
      <c r="F80" s="229">
        <f>SUM(F75:F79)</f>
      </c>
      <c r="G80" s="229">
        <f>SUM(G75:G79)</f>
      </c>
      <c r="H80" s="228">
        <f>SUM(H75:H79)</f>
      </c>
      <c r="I80" s="228"/>
      <c r="J80" s="230">
        <f t="shared" si="275"/>
      </c>
      <c r="K80" s="230">
        <f t="shared" si="335"/>
      </c>
      <c r="L80" s="230">
        <f t="shared" si="154"/>
      </c>
      <c r="M80" s="231">
        <f t="shared" si="215"/>
      </c>
      <c r="N80" s="230">
        <f t="shared" si="64"/>
      </c>
      <c r="O80" s="230">
        <f t="shared" si="94"/>
      </c>
      <c r="P80" s="231">
        <f t="shared" si="365"/>
      </c>
      <c r="Q80" s="231">
        <f t="shared" si="3"/>
      </c>
      <c r="R80" s="231">
        <f t="shared" si="245"/>
      </c>
      <c r="S80" s="231">
        <f t="shared" si="305"/>
      </c>
      <c r="T80" s="229">
        <f t="shared" si="124"/>
      </c>
      <c r="U80" s="231">
        <f>AVERAGE(U75:U79)</f>
      </c>
      <c r="V80" s="228">
        <f>AVERAGE(V75:V79)</f>
      </c>
      <c r="W80" s="230">
        <f t="shared" si="33"/>
      </c>
      <c r="X80" s="229">
        <f>SUM(X75:X79)</f>
      </c>
      <c r="Y80" s="229">
        <f>SUM(Y75:Y79)</f>
      </c>
      <c r="Z80" s="229">
        <f>SUM(Z75:Z79)</f>
      </c>
      <c r="AA80" s="229">
        <f>SUM(AA75:AA79)</f>
      </c>
      <c r="AB80" s="229">
        <f>SUM(AB75:AB79)</f>
      </c>
      <c r="AC80" s="229">
        <f>SUM(AC75:AC79)</f>
      </c>
      <c r="AD80" s="229">
        <f>SUM(AD75:AD79)</f>
      </c>
      <c r="AE80" s="229">
        <f>SUM(AE75:AE79)</f>
      </c>
      <c r="AF80" s="232">
        <f t="shared" si="184"/>
      </c>
      <c r="AG80" s="233"/>
      <c r="AH80" s="233"/>
      <c r="AI80" s="234">
        <f>SUM(AI75:AI79)</f>
      </c>
    </row>
    <row r="81">
      <c r="A81" s="211"/>
      <c r="B81" s="212" t="s">
        <v>157</v>
      </c>
      <c r="C81" s="235" t="s">
        <v>167</v>
      </c>
      <c r="D81" s="236">
        <v>2974.31</v>
      </c>
      <c r="E81" s="237">
        <v>6</v>
      </c>
      <c r="F81" s="237">
        <v>5</v>
      </c>
      <c r="G81" s="238">
        <v>3</v>
      </c>
      <c r="H81" s="239">
        <v>2232.449999999999</v>
      </c>
      <c r="I81" s="239"/>
      <c r="J81" s="240">
        <f t="shared" si="275"/>
      </c>
      <c r="K81" s="240">
        <f t="shared" si="335"/>
      </c>
      <c r="L81" s="240">
        <f t="shared" si="154"/>
      </c>
      <c r="M81" s="241">
        <f t="shared" si="215"/>
      </c>
      <c r="N81" s="240">
        <f t="shared" si="64"/>
      </c>
      <c r="O81" s="240">
        <f t="shared" si="94"/>
      </c>
      <c r="P81" s="241">
        <f t="shared" si="365"/>
      </c>
      <c r="Q81" s="241">
        <f t="shared" si="3"/>
      </c>
      <c r="R81" s="241">
        <f t="shared" si="245"/>
      </c>
      <c r="S81" s="241">
        <f t="shared" si="305"/>
      </c>
      <c r="T81" s="242">
        <f t="shared" si="124"/>
      </c>
      <c r="U81" s="243">
        <v>0.0527</v>
      </c>
      <c r="V81" s="244">
        <v>32</v>
      </c>
      <c r="W81" s="240">
        <f t="shared" si="33"/>
      </c>
      <c r="X81" s="242">
        <v>21154</v>
      </c>
      <c r="Y81" s="242">
        <v>934</v>
      </c>
      <c r="Z81" s="242">
        <v>77</v>
      </c>
      <c r="AA81" s="242">
        <v>1094</v>
      </c>
      <c r="AB81" s="242">
        <v>66</v>
      </c>
      <c r="AC81" s="242">
        <v>8</v>
      </c>
      <c r="AD81" s="242">
        <v>1</v>
      </c>
      <c r="AE81" s="242">
        <v>24</v>
      </c>
      <c r="AF81" s="240">
        <f t="shared" si="184"/>
      </c>
      <c r="AG81" s="222" t="s">
        <v>159</v>
      </c>
      <c r="AH81" s="223" t="s">
        <v>184</v>
      </c>
      <c r="AI81" s="244">
        <v>20</v>
      </c>
    </row>
    <row r="82">
      <c r="A82" s="211"/>
      <c r="B82" s="212" t="s">
        <v>157</v>
      </c>
      <c r="C82" s="245" t="s">
        <v>168</v>
      </c>
      <c r="D82" s="246">
        <v>2298.72</v>
      </c>
      <c r="E82" s="247">
        <v>5</v>
      </c>
      <c r="F82" s="247">
        <v>4</v>
      </c>
      <c r="G82" s="247">
        <v>4</v>
      </c>
      <c r="H82" s="239">
        <v>3826.9000000000015</v>
      </c>
      <c r="I82" s="239"/>
      <c r="J82" s="240">
        <f t="shared" si="275"/>
      </c>
      <c r="K82" s="240">
        <f t="shared" si="335"/>
      </c>
      <c r="L82" s="240">
        <f t="shared" si="154"/>
      </c>
      <c r="M82" s="241">
        <f t="shared" si="215"/>
      </c>
      <c r="N82" s="240">
        <f t="shared" si="64"/>
      </c>
      <c r="O82" s="240">
        <f t="shared" si="94"/>
      </c>
      <c r="P82" s="241">
        <f t="shared" si="365"/>
      </c>
      <c r="Q82" s="241">
        <f t="shared" si="3"/>
      </c>
      <c r="R82" s="241">
        <f t="shared" si="245"/>
      </c>
      <c r="S82" s="241">
        <f t="shared" si="305"/>
      </c>
      <c r="T82" s="242">
        <f t="shared" si="124"/>
      </c>
      <c r="U82" s="243">
        <v>0.0587</v>
      </c>
      <c r="V82" s="244">
        <v>34</v>
      </c>
      <c r="W82" s="240">
        <f t="shared" si="33"/>
      </c>
      <c r="X82" s="242">
        <v>17459</v>
      </c>
      <c r="Y82" s="242">
        <v>776</v>
      </c>
      <c r="Z82" s="242">
        <v>73</v>
      </c>
      <c r="AA82" s="242">
        <v>976</v>
      </c>
      <c r="AB82" s="242">
        <v>41</v>
      </c>
      <c r="AC82" s="242">
        <v>4</v>
      </c>
      <c r="AD82" s="242">
        <v>0</v>
      </c>
      <c r="AE82" s="242">
        <v>25</v>
      </c>
      <c r="AF82" s="240">
        <f t="shared" si="184"/>
      </c>
      <c r="AG82" s="222" t="s">
        <v>159</v>
      </c>
      <c r="AH82" s="223" t="s">
        <v>184</v>
      </c>
      <c r="AI82" s="244">
        <v>24</v>
      </c>
    </row>
    <row r="83">
      <c r="A83" s="211"/>
      <c r="B83" s="212" t="s">
        <v>157</v>
      </c>
      <c r="C83" s="235" t="s">
        <v>169</v>
      </c>
      <c r="D83" s="236">
        <v>2755.2</v>
      </c>
      <c r="E83" s="247">
        <v>4</v>
      </c>
      <c r="F83" s="247">
        <v>3</v>
      </c>
      <c r="G83" s="247">
        <v>3</v>
      </c>
      <c r="H83" s="236">
        <v>3326.4000000000015</v>
      </c>
      <c r="I83" s="236"/>
      <c r="J83" s="240">
        <f t="shared" si="275"/>
      </c>
      <c r="K83" s="240">
        <f t="shared" si="335"/>
      </c>
      <c r="L83" s="240">
        <f t="shared" si="154"/>
      </c>
      <c r="M83" s="241">
        <f t="shared" si="215"/>
      </c>
      <c r="N83" s="240">
        <f t="shared" si="64"/>
      </c>
      <c r="O83" s="240">
        <f t="shared" si="94"/>
      </c>
      <c r="P83" s="241">
        <f t="shared" si="365"/>
      </c>
      <c r="Q83" s="241">
        <f t="shared" si="3"/>
      </c>
      <c r="R83" s="241">
        <f t="shared" si="245"/>
      </c>
      <c r="S83" s="241">
        <f t="shared" si="305"/>
      </c>
      <c r="T83" s="242">
        <f t="shared" si="124"/>
      </c>
      <c r="U83" s="243">
        <v>0.0676</v>
      </c>
      <c r="V83" s="244">
        <v>35</v>
      </c>
      <c r="W83" s="240">
        <f t="shared" si="33"/>
      </c>
      <c r="X83" s="242">
        <v>17441</v>
      </c>
      <c r="Y83" s="242">
        <v>537</v>
      </c>
      <c r="Z83" s="242">
        <v>65</v>
      </c>
      <c r="AA83" s="242">
        <v>727</v>
      </c>
      <c r="AB83" s="242">
        <v>57</v>
      </c>
      <c r="AC83" s="242">
        <v>3</v>
      </c>
      <c r="AD83" s="242">
        <v>0</v>
      </c>
      <c r="AE83" s="242">
        <v>15</v>
      </c>
      <c r="AF83" s="240">
        <f t="shared" si="184"/>
      </c>
      <c r="AG83" s="222" t="s">
        <v>159</v>
      </c>
      <c r="AH83" s="223" t="s">
        <v>184</v>
      </c>
      <c r="AI83" s="244">
        <v>27</v>
      </c>
    </row>
    <row r="84">
      <c r="A84" s="211"/>
      <c r="B84" s="212" t="s">
        <v>157</v>
      </c>
      <c r="C84" s="248" t="s">
        <v>170</v>
      </c>
      <c r="D84" s="236">
        <v>1846.33</v>
      </c>
      <c r="E84" s="238">
        <v>4</v>
      </c>
      <c r="F84" s="238">
        <v>2</v>
      </c>
      <c r="G84" s="238">
        <v>1</v>
      </c>
      <c r="H84" s="236">
        <v>1623.5999999999985</v>
      </c>
      <c r="I84" s="236"/>
      <c r="J84" s="240">
        <f t="shared" si="275"/>
      </c>
      <c r="K84" s="240">
        <f t="shared" si="335"/>
      </c>
      <c r="L84" s="240">
        <f t="shared" si="154"/>
      </c>
      <c r="M84" s="241">
        <f t="shared" si="215"/>
      </c>
      <c r="N84" s="240">
        <f t="shared" si="64"/>
      </c>
      <c r="O84" s="240">
        <f t="shared" si="94"/>
      </c>
      <c r="P84" s="241">
        <f t="shared" si="365"/>
      </c>
      <c r="Q84" s="241">
        <f t="shared" si="3"/>
      </c>
      <c r="R84" s="241">
        <f t="shared" si="245"/>
      </c>
      <c r="S84" s="241">
        <f t="shared" si="305"/>
      </c>
      <c r="T84" s="242">
        <f t="shared" si="124"/>
      </c>
      <c r="U84" s="243">
        <v>0.0625</v>
      </c>
      <c r="V84" s="244">
        <v>35</v>
      </c>
      <c r="W84" s="240">
        <f t="shared" si="33"/>
      </c>
      <c r="X84" s="242">
        <v>12447</v>
      </c>
      <c r="Y84" s="242">
        <v>532</v>
      </c>
      <c r="Z84" s="242">
        <v>53</v>
      </c>
      <c r="AA84" s="242">
        <v>745</v>
      </c>
      <c r="AB84" s="242">
        <v>40</v>
      </c>
      <c r="AC84" s="242">
        <v>2</v>
      </c>
      <c r="AD84" s="242">
        <v>0</v>
      </c>
      <c r="AE84" s="242">
        <v>15</v>
      </c>
      <c r="AF84" s="240">
        <f t="shared" si="184"/>
      </c>
      <c r="AG84" s="222" t="s">
        <v>159</v>
      </c>
      <c r="AH84" s="223" t="s">
        <v>184</v>
      </c>
      <c r="AI84" s="244">
        <v>13</v>
      </c>
    </row>
    <row r="85">
      <c r="A85" s="211"/>
      <c r="B85" s="249" t="s">
        <v>165</v>
      </c>
      <c r="C85" s="249"/>
      <c r="D85" s="250">
        <f>SUM(D81:D84)</f>
      </c>
      <c r="E85" s="251">
        <f>SUM(E81:E84)</f>
      </c>
      <c r="F85" s="251">
        <f>SUM(F81:F84)</f>
      </c>
      <c r="G85" s="251">
        <f>SUM(G81:G84)</f>
      </c>
      <c r="H85" s="250">
        <f>SUM(H81:H84)</f>
      </c>
      <c r="I85" s="250"/>
      <c r="J85" s="252">
        <f t="shared" si="275"/>
      </c>
      <c r="K85" s="252">
        <f t="shared" si="335"/>
      </c>
      <c r="L85" s="252">
        <f t="shared" si="154"/>
      </c>
      <c r="M85" s="253">
        <f t="shared" si="215"/>
      </c>
      <c r="N85" s="252">
        <f t="shared" si="64"/>
      </c>
      <c r="O85" s="252">
        <f t="shared" si="94"/>
      </c>
      <c r="P85" s="253">
        <f t="shared" si="365"/>
      </c>
      <c r="Q85" s="253">
        <f t="shared" si="3"/>
      </c>
      <c r="R85" s="253">
        <f t="shared" si="245"/>
      </c>
      <c r="S85" s="253">
        <f t="shared" si="305"/>
      </c>
      <c r="T85" s="254">
        <f t="shared" si="124"/>
      </c>
      <c r="U85" s="253">
        <f>AVERAGE(U81:U84)</f>
      </c>
      <c r="V85" s="250">
        <f>AVERAGE(V81:V84)</f>
      </c>
      <c r="W85" s="252">
        <f t="shared" si="33"/>
      </c>
      <c r="X85" s="254">
        <f>SUM(X81:X84)</f>
      </c>
      <c r="Y85" s="254">
        <f>SUM(Y81:Y84)</f>
      </c>
      <c r="Z85" s="254">
        <f>SUM(Z81:Z84)</f>
      </c>
      <c r="AA85" s="254">
        <f>SUM(AA81:AA84)</f>
      </c>
      <c r="AB85" s="254">
        <f>SUM(AB81:AB84)</f>
      </c>
      <c r="AC85" s="254">
        <f>SUM(AC81:AC84)</f>
      </c>
      <c r="AD85" s="254">
        <f>SUM(AD81:AD84)</f>
      </c>
      <c r="AE85" s="254">
        <f>SUM(AE81:AE84)</f>
      </c>
      <c r="AF85" s="255">
        <f t="shared" si="184"/>
      </c>
      <c r="AG85" s="256"/>
      <c r="AH85" s="256"/>
      <c r="AI85" s="257">
        <f>SUM(AI81:AI84)</f>
      </c>
    </row>
    <row r="86">
      <c r="A86" s="211"/>
      <c r="B86" s="258" t="s">
        <v>171</v>
      </c>
      <c r="C86" s="235" t="s">
        <v>172</v>
      </c>
      <c r="D86" s="214">
        <v>1289.04</v>
      </c>
      <c r="E86" s="215">
        <v>4</v>
      </c>
      <c r="F86" s="215">
        <v>4</v>
      </c>
      <c r="G86" s="215">
        <v>4</v>
      </c>
      <c r="H86" s="215">
        <v>1804</v>
      </c>
      <c r="I86" s="215"/>
      <c r="J86" s="217">
        <f t="shared" si="275"/>
      </c>
      <c r="K86" s="217">
        <f t="shared" si="335"/>
      </c>
      <c r="L86" s="217">
        <f t="shared" si="154"/>
      </c>
      <c r="M86" s="218">
        <f t="shared" si="215"/>
      </c>
      <c r="N86" s="217">
        <f t="shared" si="64"/>
      </c>
      <c r="O86" s="217">
        <f t="shared" si="94"/>
      </c>
      <c r="P86" s="218">
        <f t="shared" si="365"/>
      </c>
      <c r="Q86" s="218">
        <f t="shared" si="3"/>
      </c>
      <c r="R86" s="218">
        <f t="shared" si="245"/>
      </c>
      <c r="S86" s="218">
        <f t="shared" si="305"/>
      </c>
      <c r="T86" s="219">
        <f t="shared" si="124"/>
      </c>
      <c r="U86" s="220">
        <v>0.0648</v>
      </c>
      <c r="V86" s="221">
        <v>35</v>
      </c>
      <c r="W86" s="217">
        <f t="shared" si="33"/>
      </c>
      <c r="X86" s="221">
        <v>8625</v>
      </c>
      <c r="Y86" s="221">
        <v>406</v>
      </c>
      <c r="Z86" s="219">
        <v>45</v>
      </c>
      <c r="AA86" s="219">
        <v>568</v>
      </c>
      <c r="AB86" s="219">
        <v>29</v>
      </c>
      <c r="AC86" s="219">
        <v>3</v>
      </c>
      <c r="AD86" s="221">
        <v>0</v>
      </c>
      <c r="AE86" s="221">
        <v>6</v>
      </c>
      <c r="AF86" s="217">
        <f t="shared" si="184"/>
      </c>
      <c r="AG86" s="222" t="s">
        <v>173</v>
      </c>
      <c r="AH86" s="223" t="s">
        <v>185</v>
      </c>
      <c r="AI86" s="221">
        <v>15</v>
      </c>
    </row>
    <row r="87">
      <c r="A87" s="211"/>
      <c r="B87" s="258" t="s">
        <v>171</v>
      </c>
      <c r="C87" s="245" t="s">
        <v>175</v>
      </c>
      <c r="D87" s="214">
        <v>3502.65</v>
      </c>
      <c r="E87" s="215">
        <v>6</v>
      </c>
      <c r="F87" s="215">
        <v>5</v>
      </c>
      <c r="G87" s="215">
        <v>5</v>
      </c>
      <c r="H87" s="214">
        <v>2585</v>
      </c>
      <c r="I87" s="214"/>
      <c r="J87" s="217">
        <f t="shared" si="275"/>
      </c>
      <c r="K87" s="217">
        <f t="shared" si="335"/>
      </c>
      <c r="L87" s="217">
        <f t="shared" si="154"/>
      </c>
      <c r="M87" s="218">
        <f t="shared" si="215"/>
      </c>
      <c r="N87" s="217">
        <f t="shared" si="64"/>
      </c>
      <c r="O87" s="217">
        <f t="shared" si="94"/>
      </c>
      <c r="P87" s="218">
        <f t="shared" si="365"/>
      </c>
      <c r="Q87" s="218">
        <f t="shared" si="3"/>
      </c>
      <c r="R87" s="218">
        <f t="shared" si="245"/>
      </c>
      <c r="S87" s="218">
        <f t="shared" si="305"/>
      </c>
      <c r="T87" s="219">
        <f t="shared" si="124"/>
      </c>
      <c r="U87" s="220">
        <v>0.0718</v>
      </c>
      <c r="V87" s="221">
        <v>35</v>
      </c>
      <c r="W87" s="217">
        <f t="shared" si="33"/>
      </c>
      <c r="X87" s="219">
        <v>25798</v>
      </c>
      <c r="Y87" s="219">
        <v>666</v>
      </c>
      <c r="Z87" s="219">
        <v>84</v>
      </c>
      <c r="AA87" s="219">
        <v>913</v>
      </c>
      <c r="AB87" s="219">
        <v>35</v>
      </c>
      <c r="AC87" s="219">
        <v>13</v>
      </c>
      <c r="AD87" s="219">
        <v>0</v>
      </c>
      <c r="AE87" s="221">
        <v>26</v>
      </c>
      <c r="AF87" s="217">
        <f t="shared" si="184"/>
      </c>
      <c r="AG87" s="222" t="s">
        <v>173</v>
      </c>
      <c r="AH87" s="223" t="s">
        <v>185</v>
      </c>
      <c r="AI87" s="221">
        <v>13</v>
      </c>
    </row>
    <row r="88">
      <c r="A88" s="211"/>
      <c r="B88" s="258" t="s">
        <v>171</v>
      </c>
      <c r="C88" s="235" t="s">
        <v>176</v>
      </c>
      <c r="D88" s="214">
        <v>1757.4</v>
      </c>
      <c r="E88" s="215">
        <v>1</v>
      </c>
      <c r="F88" s="215">
        <v>0</v>
      </c>
      <c r="G88" s="215">
        <v>0</v>
      </c>
      <c r="H88" s="214">
        <v>0</v>
      </c>
      <c r="I88" s="214"/>
      <c r="J88" s="217">
        <f t="shared" si="275"/>
      </c>
      <c r="K88" s="217">
        <f t="shared" si="335"/>
      </c>
      <c r="L88" s="217">
        <f t="shared" si="154"/>
      </c>
      <c r="M88" s="218">
        <f t="shared" si="215"/>
      </c>
      <c r="N88" s="217">
        <f t="shared" si="64"/>
      </c>
      <c r="O88" s="217">
        <f t="shared" si="94"/>
      </c>
      <c r="P88" s="218">
        <f t="shared" si="365"/>
      </c>
      <c r="Q88" s="218">
        <f t="shared" si="3"/>
      </c>
      <c r="R88" s="218">
        <f t="shared" si="245"/>
      </c>
      <c r="S88" s="218">
        <f t="shared" si="305"/>
      </c>
      <c r="T88" s="219">
        <f t="shared" si="124"/>
      </c>
      <c r="U88" s="220">
        <v>0.0763</v>
      </c>
      <c r="V88" s="221">
        <v>35</v>
      </c>
      <c r="W88" s="217">
        <f t="shared" si="33"/>
      </c>
      <c r="X88" s="221">
        <v>14220</v>
      </c>
      <c r="Y88" s="221">
        <v>477</v>
      </c>
      <c r="Z88" s="221">
        <v>55</v>
      </c>
      <c r="AA88" s="221">
        <v>646</v>
      </c>
      <c r="AB88" s="221">
        <v>59</v>
      </c>
      <c r="AC88" s="221">
        <v>6</v>
      </c>
      <c r="AD88" s="221">
        <v>0</v>
      </c>
      <c r="AE88" s="221">
        <v>12</v>
      </c>
      <c r="AF88" s="217">
        <f t="shared" si="184"/>
      </c>
      <c r="AG88" s="222" t="s">
        <v>173</v>
      </c>
      <c r="AH88" s="223" t="s">
        <v>185</v>
      </c>
      <c r="AI88" s="221">
        <v>22</v>
      </c>
    </row>
    <row r="89">
      <c r="A89" s="211"/>
      <c r="B89" s="258" t="s">
        <v>171</v>
      </c>
      <c r="C89" s="235" t="s">
        <v>177</v>
      </c>
      <c r="D89" s="214">
        <v>902.15</v>
      </c>
      <c r="E89" s="215">
        <v>2</v>
      </c>
      <c r="F89" s="215">
        <v>1</v>
      </c>
      <c r="G89" s="215">
        <v>0</v>
      </c>
      <c r="H89" s="214">
        <v>1811.7000000000007</v>
      </c>
      <c r="I89" s="214"/>
      <c r="J89" s="217">
        <f t="shared" si="275"/>
      </c>
      <c r="K89" s="217">
        <f t="shared" si="335"/>
      </c>
      <c r="L89" s="217">
        <f t="shared" si="154"/>
      </c>
      <c r="M89" s="218">
        <f t="shared" si="215"/>
      </c>
      <c r="N89" s="217">
        <f t="shared" si="64"/>
      </c>
      <c r="O89" s="217">
        <f t="shared" si="94"/>
      </c>
      <c r="P89" s="218">
        <f t="shared" si="365"/>
      </c>
      <c r="Q89" s="218">
        <f t="shared" si="3"/>
      </c>
      <c r="R89" s="218">
        <f t="shared" si="245"/>
      </c>
      <c r="S89" s="218">
        <f t="shared" si="305"/>
      </c>
      <c r="T89" s="219">
        <f t="shared" si="124"/>
      </c>
      <c r="U89" s="220">
        <v>0.0345</v>
      </c>
      <c r="V89" s="221">
        <v>36</v>
      </c>
      <c r="W89" s="217">
        <f t="shared" si="33"/>
      </c>
      <c r="X89" s="221">
        <v>6224</v>
      </c>
      <c r="Y89" s="221">
        <v>370</v>
      </c>
      <c r="Z89" s="219">
        <v>23</v>
      </c>
      <c r="AA89" s="219">
        <v>458</v>
      </c>
      <c r="AB89" s="219">
        <v>32</v>
      </c>
      <c r="AC89" s="219">
        <v>3</v>
      </c>
      <c r="AD89" s="221">
        <v>0</v>
      </c>
      <c r="AE89" s="221">
        <v>4</v>
      </c>
      <c r="AF89" s="217">
        <f t="shared" si="184"/>
      </c>
      <c r="AG89" s="222" t="s">
        <v>173</v>
      </c>
      <c r="AH89" s="223" t="s">
        <v>185</v>
      </c>
      <c r="AI89" s="221">
        <v>10</v>
      </c>
    </row>
    <row r="90">
      <c r="A90" s="211"/>
      <c r="B90" s="227" t="s">
        <v>165</v>
      </c>
      <c r="C90" s="227"/>
      <c r="D90" s="259">
        <f>SUM(D86:D89)</f>
      </c>
      <c r="E90" s="260">
        <f>SUM(E86:E89)</f>
      </c>
      <c r="F90" s="260">
        <f>SUM(F86:F89)</f>
      </c>
      <c r="G90" s="260">
        <f>SUM(G86:G89)</f>
      </c>
      <c r="H90" s="259">
        <f>SUM(H86:H89)</f>
      </c>
      <c r="I90" s="259"/>
      <c r="J90" s="230">
        <f t="shared" si="275"/>
      </c>
      <c r="K90" s="230">
        <f t="shared" si="335"/>
      </c>
      <c r="L90" s="230">
        <f t="shared" si="154"/>
      </c>
      <c r="M90" s="231">
        <f t="shared" si="215"/>
      </c>
      <c r="N90" s="230">
        <f t="shared" si="64"/>
      </c>
      <c r="O90" s="230">
        <f t="shared" si="94"/>
      </c>
      <c r="P90" s="231">
        <f t="shared" si="365"/>
      </c>
      <c r="Q90" s="231">
        <f t="shared" si="3"/>
      </c>
      <c r="R90" s="231">
        <f t="shared" si="245"/>
      </c>
      <c r="S90" s="231">
        <f t="shared" si="305"/>
      </c>
      <c r="T90" s="229">
        <f t="shared" si="124"/>
      </c>
      <c r="U90" s="231">
        <f>AVERAGE(U86:U89)</f>
      </c>
      <c r="V90" s="228">
        <f>AVERAGE(V86:V89)</f>
      </c>
      <c r="W90" s="230">
        <f t="shared" si="33"/>
      </c>
      <c r="X90" s="229">
        <f>SUM(X86:X89)</f>
      </c>
      <c r="Y90" s="229">
        <f>SUM(Y86:Y89)</f>
      </c>
      <c r="Z90" s="229">
        <f>SUM(Z86:Z89)</f>
      </c>
      <c r="AA90" s="229">
        <f>SUM(AA86:AA89)</f>
      </c>
      <c r="AB90" s="229">
        <f>SUM(AB86:AB89)</f>
      </c>
      <c r="AC90" s="229">
        <f>SUM(AC86:AC89)</f>
      </c>
      <c r="AD90" s="229">
        <f>SUM(AD86:AD89)</f>
      </c>
      <c r="AE90" s="229">
        <f>SUM(AE86:AE89)</f>
      </c>
      <c r="AF90" s="232">
        <f t="shared" si="184"/>
      </c>
      <c r="AG90" s="233"/>
      <c r="AH90" s="233"/>
      <c r="AI90" s="229">
        <f>SUM(AI86:AI89)</f>
      </c>
    </row>
    <row r="91">
      <c r="A91" s="211"/>
      <c r="B91" s="248" t="s">
        <v>186</v>
      </c>
      <c r="C91" s="248" t="s">
        <v>179</v>
      </c>
      <c r="D91" s="261">
        <v>1338.66</v>
      </c>
      <c r="E91" s="237">
        <v>6</v>
      </c>
      <c r="F91" s="237">
        <v>5</v>
      </c>
      <c r="G91" s="238">
        <v>5</v>
      </c>
      <c r="H91" s="239">
        <v>2990.899999999998</v>
      </c>
      <c r="I91" s="239"/>
      <c r="J91" s="240">
        <f t="shared" si="275"/>
      </c>
      <c r="K91" s="240">
        <f t="shared" si="335"/>
      </c>
      <c r="L91" s="240">
        <f t="shared" si="154"/>
      </c>
      <c r="M91" s="241">
        <f t="shared" si="215"/>
      </c>
      <c r="N91" s="240">
        <f t="shared" si="64"/>
      </c>
      <c r="O91" s="240">
        <f t="shared" si="94"/>
      </c>
      <c r="P91" s="241">
        <f t="shared" si="365"/>
      </c>
      <c r="Q91" s="241">
        <f t="shared" si="3"/>
      </c>
      <c r="R91" s="241">
        <f t="shared" si="245"/>
      </c>
      <c r="S91" s="241">
        <f t="shared" si="305"/>
      </c>
      <c r="T91" s="242">
        <f t="shared" si="124"/>
      </c>
      <c r="U91" s="243">
        <v>0.0744</v>
      </c>
      <c r="V91" s="244">
        <v>36</v>
      </c>
      <c r="W91" s="240">
        <f t="shared" si="33"/>
      </c>
      <c r="X91" s="242">
        <v>8628</v>
      </c>
      <c r="Y91" s="242">
        <v>522</v>
      </c>
      <c r="Z91" s="242">
        <v>62</v>
      </c>
      <c r="AA91" s="242">
        <v>613</v>
      </c>
      <c r="AB91" s="242">
        <v>52</v>
      </c>
      <c r="AC91" s="242">
        <v>6</v>
      </c>
      <c r="AD91" s="242">
        <v>0</v>
      </c>
      <c r="AE91" s="242">
        <v>11</v>
      </c>
      <c r="AF91" s="240">
        <f t="shared" si="184"/>
      </c>
      <c r="AG91" s="222" t="s">
        <v>173</v>
      </c>
      <c r="AH91" s="223" t="s">
        <v>185</v>
      </c>
      <c r="AI91" s="244">
        <v>23</v>
      </c>
    </row>
    <row r="92">
      <c r="A92" s="211"/>
      <c r="B92" s="248" t="s">
        <v>186</v>
      </c>
      <c r="C92" s="248" t="s">
        <v>180</v>
      </c>
      <c r="D92" s="262">
        <v>3890.66</v>
      </c>
      <c r="E92" s="247">
        <v>7</v>
      </c>
      <c r="F92" s="247">
        <v>5</v>
      </c>
      <c r="G92" s="247">
        <v>4</v>
      </c>
      <c r="H92" s="263">
        <v>2660.9000000000015</v>
      </c>
      <c r="I92" s="263"/>
      <c r="J92" s="240">
        <f t="shared" si="275"/>
      </c>
      <c r="K92" s="240">
        <f t="shared" si="335"/>
      </c>
      <c r="L92" s="240">
        <f t="shared" si="154"/>
      </c>
      <c r="M92" s="241">
        <f t="shared" si="215"/>
      </c>
      <c r="N92" s="240">
        <f t="shared" si="64"/>
      </c>
      <c r="O92" s="240">
        <f t="shared" si="94"/>
      </c>
      <c r="P92" s="241">
        <f t="shared" si="365"/>
      </c>
      <c r="Q92" s="241">
        <f t="shared" si="3"/>
      </c>
      <c r="R92" s="241">
        <f t="shared" si="245"/>
      </c>
      <c r="S92" s="241">
        <f t="shared" si="305"/>
      </c>
      <c r="T92" s="242">
        <f t="shared" si="124"/>
      </c>
      <c r="U92" s="243">
        <v>0.0895</v>
      </c>
      <c r="V92" s="244">
        <v>37</v>
      </c>
      <c r="W92" s="240">
        <f t="shared" si="33"/>
      </c>
      <c r="X92" s="242">
        <v>27362</v>
      </c>
      <c r="Y92" s="242">
        <v>852</v>
      </c>
      <c r="Z92" s="242">
        <v>113</v>
      </c>
      <c r="AA92" s="242">
        <v>1012</v>
      </c>
      <c r="AB92" s="242">
        <v>88</v>
      </c>
      <c r="AC92" s="242">
        <v>11</v>
      </c>
      <c r="AD92" s="242">
        <v>2</v>
      </c>
      <c r="AE92" s="242">
        <v>32</v>
      </c>
      <c r="AF92" s="240">
        <f t="shared" si="184"/>
      </c>
      <c r="AG92" s="222" t="s">
        <v>173</v>
      </c>
      <c r="AH92" s="223" t="s">
        <v>185</v>
      </c>
      <c r="AI92" s="244">
        <v>43</v>
      </c>
    </row>
    <row r="93">
      <c r="A93" s="211"/>
      <c r="B93" s="248" t="s">
        <v>186</v>
      </c>
      <c r="C93" s="248" t="s">
        <v>181</v>
      </c>
      <c r="D93" s="261">
        <v>3024.68</v>
      </c>
      <c r="E93" s="247">
        <v>11</v>
      </c>
      <c r="F93" s="247">
        <v>6</v>
      </c>
      <c r="G93" s="247">
        <v>5</v>
      </c>
      <c r="H93" s="261">
        <v>4917</v>
      </c>
      <c r="I93" s="261"/>
      <c r="J93" s="240">
        <f t="shared" si="275"/>
      </c>
      <c r="K93" s="240">
        <f t="shared" si="335"/>
      </c>
      <c r="L93" s="240">
        <f t="shared" si="154"/>
      </c>
      <c r="M93" s="241">
        <f t="shared" si="215"/>
      </c>
      <c r="N93" s="240">
        <f t="shared" si="64"/>
      </c>
      <c r="O93" s="240">
        <f t="shared" si="94"/>
      </c>
      <c r="P93" s="241">
        <f t="shared" si="365"/>
      </c>
      <c r="Q93" s="241">
        <f t="shared" si="3"/>
      </c>
      <c r="R93" s="241">
        <f t="shared" si="245"/>
      </c>
      <c r="S93" s="241">
        <f t="shared" si="305"/>
      </c>
      <c r="T93" s="242">
        <f t="shared" si="124"/>
      </c>
      <c r="U93" s="243">
        <v>0.0779</v>
      </c>
      <c r="V93" s="244">
        <v>39</v>
      </c>
      <c r="W93" s="240">
        <f t="shared" si="33"/>
      </c>
      <c r="X93" s="242">
        <v>22804</v>
      </c>
      <c r="Y93" s="242">
        <v>951</v>
      </c>
      <c r="Z93" s="242">
        <v>120</v>
      </c>
      <c r="AA93" s="242">
        <v>1159</v>
      </c>
      <c r="AB93" s="242">
        <v>100</v>
      </c>
      <c r="AC93" s="242">
        <v>12</v>
      </c>
      <c r="AD93" s="242">
        <v>1</v>
      </c>
      <c r="AE93" s="242">
        <v>23</v>
      </c>
      <c r="AF93" s="240">
        <f t="shared" si="184"/>
      </c>
      <c r="AG93" s="222" t="s">
        <v>173</v>
      </c>
      <c r="AH93" s="223" t="s">
        <v>185</v>
      </c>
      <c r="AI93" s="244">
        <v>44</v>
      </c>
    </row>
    <row r="94">
      <c r="A94" s="211"/>
      <c r="B94" s="248" t="s">
        <v>186</v>
      </c>
      <c r="C94" s="248" t="s">
        <v>182</v>
      </c>
      <c r="D94" s="261">
        <v>1364.52</v>
      </c>
      <c r="E94" s="238">
        <v>7</v>
      </c>
      <c r="F94" s="238">
        <v>5</v>
      </c>
      <c r="G94" s="238">
        <v>4</v>
      </c>
      <c r="H94" s="261">
        <v>2915</v>
      </c>
      <c r="I94" s="261"/>
      <c r="J94" s="240">
        <f t="shared" si="275"/>
      </c>
      <c r="K94" s="240">
        <f t="shared" si="335"/>
      </c>
      <c r="L94" s="240">
        <f t="shared" si="154"/>
      </c>
      <c r="M94" s="241">
        <f t="shared" si="215"/>
      </c>
      <c r="N94" s="240">
        <f t="shared" si="64"/>
      </c>
      <c r="O94" s="240">
        <f t="shared" si="94"/>
      </c>
      <c r="P94" s="241">
        <f t="shared" si="365"/>
      </c>
      <c r="Q94" s="241">
        <f t="shared" si="3"/>
      </c>
      <c r="R94" s="241">
        <f t="shared" si="245"/>
      </c>
      <c r="S94" s="241">
        <f t="shared" si="305"/>
      </c>
      <c r="T94" s="242">
        <f t="shared" si="124"/>
      </c>
      <c r="U94" s="243">
        <v>0.099</v>
      </c>
      <c r="V94" s="244">
        <v>41</v>
      </c>
      <c r="W94" s="240">
        <f t="shared" si="33"/>
      </c>
      <c r="X94" s="242">
        <v>11955</v>
      </c>
      <c r="Y94" s="242">
        <v>432</v>
      </c>
      <c r="Z94" s="242">
        <v>56</v>
      </c>
      <c r="AA94" s="242">
        <v>526</v>
      </c>
      <c r="AB94" s="242">
        <v>75</v>
      </c>
      <c r="AC94" s="242">
        <v>9</v>
      </c>
      <c r="AD94" s="242">
        <v>1</v>
      </c>
      <c r="AE94" s="242">
        <v>11</v>
      </c>
      <c r="AF94" s="240">
        <f t="shared" si="184"/>
      </c>
      <c r="AG94" s="222" t="s">
        <v>173</v>
      </c>
      <c r="AH94" s="223" t="s">
        <v>185</v>
      </c>
      <c r="AI94" s="244">
        <v>20</v>
      </c>
    </row>
    <row r="95">
      <c r="A95" s="211"/>
      <c r="B95" s="249" t="s">
        <v>165</v>
      </c>
      <c r="C95" s="249"/>
      <c r="D95" s="250">
        <f>SUM(D91:D94)</f>
      </c>
      <c r="E95" s="251">
        <f>SUM(E91:E94)</f>
      </c>
      <c r="F95" s="251">
        <f>SUM(F91:F94)</f>
      </c>
      <c r="G95" s="251">
        <f>SUM(G91:G94)</f>
      </c>
      <c r="H95" s="250">
        <f>SUM(H91:H94)</f>
      </c>
      <c r="I95" s="250"/>
      <c r="J95" s="252">
        <f t="shared" si="275"/>
      </c>
      <c r="K95" s="252">
        <f t="shared" si="335"/>
      </c>
      <c r="L95" s="252">
        <f t="shared" si="154"/>
      </c>
      <c r="M95" s="253">
        <f t="shared" si="215"/>
      </c>
      <c r="N95" s="252">
        <f t="shared" si="64"/>
      </c>
      <c r="O95" s="252">
        <f t="shared" si="94"/>
      </c>
      <c r="P95" s="253">
        <f t="shared" si="365"/>
      </c>
      <c r="Q95" s="253">
        <f t="shared" si="3"/>
      </c>
      <c r="R95" s="253">
        <f t="shared" si="245"/>
      </c>
      <c r="S95" s="253">
        <f t="shared" si="305"/>
      </c>
      <c r="T95" s="254">
        <f t="shared" si="124"/>
      </c>
      <c r="U95" s="253">
        <f>AVERAGE(U91:U94)</f>
      </c>
      <c r="V95" s="250">
        <f>AVERAGE(V91:V94)</f>
      </c>
      <c r="W95" s="252">
        <f t="shared" si="33"/>
      </c>
      <c r="X95" s="254">
        <f>SUM(X91:X94)</f>
      </c>
      <c r="Y95" s="254">
        <f>SUM(Y91:Y94)</f>
      </c>
      <c r="Z95" s="254">
        <f>SUM(Z91:Z94)</f>
      </c>
      <c r="AA95" s="254">
        <f>SUM(AA91:AA94)</f>
      </c>
      <c r="AB95" s="254">
        <f>SUM(AB91:AB94)</f>
      </c>
      <c r="AC95" s="254">
        <f>SUM(AC91:AC94)</f>
      </c>
      <c r="AD95" s="254">
        <f>SUM(AD91:AD94)</f>
      </c>
      <c r="AE95" s="254">
        <f>SUM(AE91:AE94)</f>
      </c>
      <c r="AF95" s="255">
        <f t="shared" si="184"/>
      </c>
      <c r="AG95" s="256"/>
      <c r="AH95" s="256"/>
      <c r="AI95" s="257">
        <f>SUM(AI91:AI94)</f>
      </c>
    </row>
    <row r="96">
      <c r="A96" s="211"/>
      <c r="B96" s="264" t="s">
        <v>183</v>
      </c>
      <c r="C96" s="264"/>
      <c r="D96" s="265">
        <f>D80+D85+D90+D95</f>
      </c>
      <c r="E96" s="265">
        <f>E80+E85+E90+E95</f>
      </c>
      <c r="F96" s="265">
        <f>F80+F85+F90+F95</f>
      </c>
      <c r="G96" s="265">
        <f>G80+G85+G90+G95</f>
      </c>
      <c r="H96" s="265">
        <f>H80+H85+H90+H95</f>
      </c>
      <c r="I96" s="265"/>
      <c r="J96" s="266">
        <f t="shared" si="275"/>
      </c>
      <c r="K96" s="267">
        <f t="shared" si="335"/>
      </c>
      <c r="L96" s="267">
        <f t="shared" si="154"/>
      </c>
      <c r="M96" s="268">
        <f t="shared" si="215"/>
      </c>
      <c r="N96" s="267">
        <f t="shared" si="64"/>
      </c>
      <c r="O96" s="267">
        <f t="shared" si="94"/>
      </c>
      <c r="P96" s="268">
        <f t="shared" si="365"/>
      </c>
      <c r="Q96" s="268">
        <f t="shared" si="3"/>
      </c>
      <c r="R96" s="268">
        <f t="shared" si="245"/>
      </c>
      <c r="S96" s="268">
        <f t="shared" si="305"/>
      </c>
      <c r="T96" s="269">
        <f t="shared" si="124"/>
      </c>
      <c r="U96" s="268">
        <f>(U80+U90+U85+U95)/4</f>
      </c>
      <c r="V96" s="267">
        <f>(V80+V90+V85+V95)/4</f>
      </c>
      <c r="W96" s="270">
        <f t="shared" si="33"/>
      </c>
      <c r="X96" s="269">
        <f>X80+X85+X90+X95</f>
      </c>
      <c r="Y96" s="269">
        <f>Y80+Y85+Y90+Y95</f>
      </c>
      <c r="Z96" s="269">
        <f>Z80+Z85+Z90+Z95</f>
      </c>
      <c r="AA96" s="269">
        <f>AA80+AA85+AA90+AA95</f>
      </c>
      <c r="AB96" s="269">
        <f>AB80+AB85+AB90+AB95</f>
      </c>
      <c r="AC96" s="269">
        <f>AC80+AC85+AC90+AC95</f>
      </c>
      <c r="AD96" s="269">
        <f>AD80+AD85+AD90+AD95</f>
      </c>
      <c r="AE96" s="269">
        <f>AE80+AE85+AE90+AE95</f>
      </c>
      <c r="AF96" s="267">
        <f>AF80</f>
      </c>
      <c r="AG96" s="264"/>
      <c r="AH96" s="264"/>
      <c r="AI96" s="269">
        <f>AI80+AI85+AI90+AI95</f>
      </c>
    </row>
    <row r="97">
      <c r="A97" s="193" t="s">
        <v>120</v>
      </c>
      <c r="B97" s="194" t="s">
        <v>121</v>
      </c>
      <c r="C97" s="194"/>
      <c r="D97" s="195" t="s">
        <v>122</v>
      </c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6" t="s">
        <v>123</v>
      </c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7"/>
    </row>
    <row r="98">
      <c r="A98" s="193"/>
      <c r="B98" s="194" t="s">
        <v>124</v>
      </c>
      <c r="C98" s="198" t="s">
        <v>125</v>
      </c>
      <c r="D98" s="199" t="s">
        <v>126</v>
      </c>
      <c r="E98" s="200" t="s">
        <v>127</v>
      </c>
      <c r="F98" s="201" t="s">
        <v>128</v>
      </c>
      <c r="G98" s="201" t="s">
        <v>129</v>
      </c>
      <c r="H98" s="199" t="s">
        <v>130</v>
      </c>
      <c r="I98" s="199"/>
      <c r="J98" s="202" t="s">
        <v>131</v>
      </c>
      <c r="K98" s="202" t="s">
        <v>132</v>
      </c>
      <c r="L98" s="202" t="s">
        <v>133</v>
      </c>
      <c r="M98" s="203" t="s">
        <v>134</v>
      </c>
      <c r="N98" s="202" t="s">
        <v>135</v>
      </c>
      <c r="O98" s="204" t="s">
        <v>136</v>
      </c>
      <c r="P98" s="205" t="s">
        <v>137</v>
      </c>
      <c r="Q98" s="205" t="s">
        <v>138</v>
      </c>
      <c r="R98" s="205" t="s">
        <v>139</v>
      </c>
      <c r="S98" s="205" t="s">
        <v>140</v>
      </c>
      <c r="T98" s="206" t="s">
        <v>141</v>
      </c>
      <c r="U98" s="207" t="s">
        <v>142</v>
      </c>
      <c r="V98" s="208" t="s">
        <v>143</v>
      </c>
      <c r="W98" s="196" t="s">
        <v>144</v>
      </c>
      <c r="X98" s="209" t="s">
        <v>145</v>
      </c>
      <c r="Y98" s="209" t="s">
        <v>146</v>
      </c>
      <c r="Z98" s="209" t="s">
        <v>147</v>
      </c>
      <c r="AA98" s="209" t="s">
        <v>148</v>
      </c>
      <c r="AB98" s="209" t="s">
        <v>149</v>
      </c>
      <c r="AC98" s="209" t="s">
        <v>150</v>
      </c>
      <c r="AD98" s="209" t="s">
        <v>151</v>
      </c>
      <c r="AE98" s="209" t="s">
        <v>152</v>
      </c>
      <c r="AF98" s="196" t="s">
        <v>153</v>
      </c>
      <c r="AG98" s="210" t="s">
        <v>154</v>
      </c>
      <c r="AH98" s="210" t="s">
        <v>155</v>
      </c>
      <c r="AI98" s="197" t="s">
        <v>156</v>
      </c>
    </row>
    <row r="99">
      <c r="A99" s="211">
        <v>46178</v>
      </c>
      <c r="B99" s="212" t="s">
        <v>157</v>
      </c>
      <c r="C99" s="213" t="s">
        <v>158</v>
      </c>
      <c r="D99" s="214">
        <v>1923</v>
      </c>
      <c r="E99" s="215">
        <v>3</v>
      </c>
      <c r="F99" s="215">
        <v>1</v>
      </c>
      <c r="G99" s="215">
        <v>1</v>
      </c>
      <c r="H99" s="214">
        <v>781</v>
      </c>
      <c r="I99" s="214"/>
      <c r="J99" s="216">
        <f t="shared" ref="J99:J120" si="276">H99/D99</f>
      </c>
      <c r="K99" s="217">
        <f t="shared" ref="K99:K120" si="336">D99/F99</f>
      </c>
      <c r="L99" s="217">
        <f t="shared" ref="L99:L120" si="155">D99/G99</f>
      </c>
      <c r="M99" s="218">
        <f t="shared" ref="M99:M120" si="216">F99/E99</f>
      </c>
      <c r="N99" s="217">
        <f t="shared" ref="N99:N120" si="65">H99/F99</f>
      </c>
      <c r="O99" s="217">
        <f t="shared" ref="O99:O120" si="95">D99/Y99</f>
      </c>
      <c r="P99" s="218">
        <f t="shared" ref="P99:P120" si="366">T99/X99*1</f>
      </c>
      <c r="Q99" s="218">
        <f t="shared" ref="Q99:Q120" si="4">Y99/X99</f>
      </c>
      <c r="R99" s="218">
        <f t="shared" ref="R99:R120" si="246">AA99/X99</f>
      </c>
      <c r="S99" s="218">
        <f t="shared" ref="S99:S120" si="306">AB99/AA99</f>
      </c>
      <c r="T99" s="219">
        <f t="shared" ref="T99:T120" si="125">Z99/U99</f>
      </c>
      <c r="U99" s="220">
        <v>0.0605</v>
      </c>
      <c r="V99" s="221">
        <v>34</v>
      </c>
      <c r="W99" s="217">
        <v>41</v>
      </c>
      <c r="X99" s="221">
        <v>12407</v>
      </c>
      <c r="Y99" s="221">
        <v>330</v>
      </c>
      <c r="Z99" s="219">
        <v>62</v>
      </c>
      <c r="AA99" s="219">
        <v>578</v>
      </c>
      <c r="AB99" s="219">
        <v>44</v>
      </c>
      <c r="AC99" s="219">
        <v>7</v>
      </c>
      <c r="AD99" s="221">
        <v>1</v>
      </c>
      <c r="AE99" s="221">
        <v>24</v>
      </c>
      <c r="AF99" s="217">
        <f t="shared" ref="AF99:AF119" si="185">AI99*1000/D99</f>
      </c>
      <c r="AG99" s="222" t="s">
        <v>159</v>
      </c>
      <c r="AH99" s="223" t="s">
        <v>184</v>
      </c>
      <c r="AI99" s="221">
        <v>20</v>
      </c>
    </row>
    <row r="100">
      <c r="A100" s="211"/>
      <c r="B100" s="212" t="s">
        <v>157</v>
      </c>
      <c r="C100" s="213" t="s">
        <v>161</v>
      </c>
      <c r="D100" s="214">
        <v>2338.27</v>
      </c>
      <c r="E100" s="215">
        <v>7</v>
      </c>
      <c r="F100" s="215">
        <v>5</v>
      </c>
      <c r="G100" s="215">
        <v>5</v>
      </c>
      <c r="H100" s="214">
        <v>3036</v>
      </c>
      <c r="I100" s="214"/>
      <c r="J100" s="216">
        <f t="shared" si="276"/>
      </c>
      <c r="K100" s="217">
        <f t="shared" si="336"/>
      </c>
      <c r="L100" s="217">
        <f t="shared" si="155"/>
      </c>
      <c r="M100" s="218">
        <f t="shared" si="216"/>
      </c>
      <c r="N100" s="217">
        <f t="shared" si="65"/>
      </c>
      <c r="O100" s="217">
        <f t="shared" si="95"/>
      </c>
      <c r="P100" s="218">
        <f t="shared" si="366"/>
      </c>
      <c r="Q100" s="218">
        <f t="shared" si="4"/>
      </c>
      <c r="R100" s="218">
        <f t="shared" si="246"/>
      </c>
      <c r="S100" s="218">
        <f t="shared" si="306"/>
      </c>
      <c r="T100" s="219">
        <f t="shared" si="125"/>
      </c>
      <c r="U100" s="220">
        <v>0.0836</v>
      </c>
      <c r="V100" s="221">
        <v>38</v>
      </c>
      <c r="W100" s="217">
        <f t="shared" ref="W100:W120" si="34">(D100/X100)*1000</f>
      </c>
      <c r="X100" s="221">
        <v>14952</v>
      </c>
      <c r="Y100" s="221">
        <v>414</v>
      </c>
      <c r="Z100" s="219">
        <v>74</v>
      </c>
      <c r="AA100" s="219">
        <v>629</v>
      </c>
      <c r="AB100" s="221">
        <v>43</v>
      </c>
      <c r="AC100" s="219">
        <v>5</v>
      </c>
      <c r="AD100" s="221">
        <v>0</v>
      </c>
      <c r="AE100" s="221">
        <v>19</v>
      </c>
      <c r="AF100" s="217">
        <f t="shared" si="185"/>
      </c>
      <c r="AG100" s="222" t="s">
        <v>159</v>
      </c>
      <c r="AH100" s="223" t="s">
        <v>184</v>
      </c>
      <c r="AI100" s="221">
        <v>22</v>
      </c>
    </row>
    <row r="101">
      <c r="A101" s="211"/>
      <c r="B101" s="212" t="s">
        <v>157</v>
      </c>
      <c r="C101" s="224" t="s">
        <v>162</v>
      </c>
      <c r="D101" s="214">
        <v>2185.94</v>
      </c>
      <c r="E101" s="215">
        <v>8</v>
      </c>
      <c r="F101" s="215">
        <v>7</v>
      </c>
      <c r="G101" s="215">
        <v>5</v>
      </c>
      <c r="H101" s="214">
        <v>2759.3500000000004</v>
      </c>
      <c r="I101" s="214"/>
      <c r="J101" s="216">
        <f t="shared" si="276"/>
      </c>
      <c r="K101" s="217">
        <f t="shared" si="336"/>
      </c>
      <c r="L101" s="217">
        <f t="shared" si="155"/>
      </c>
      <c r="M101" s="218">
        <f t="shared" si="216"/>
      </c>
      <c r="N101" s="217">
        <f t="shared" si="65"/>
      </c>
      <c r="O101" s="217">
        <f t="shared" si="95"/>
      </c>
      <c r="P101" s="218">
        <f t="shared" si="366"/>
      </c>
      <c r="Q101" s="218">
        <f t="shared" si="4"/>
      </c>
      <c r="R101" s="218">
        <f t="shared" si="246"/>
      </c>
      <c r="S101" s="218">
        <f t="shared" si="306"/>
      </c>
      <c r="T101" s="219">
        <f t="shared" si="125"/>
      </c>
      <c r="U101" s="220">
        <v>0.0772</v>
      </c>
      <c r="V101" s="221">
        <v>40</v>
      </c>
      <c r="W101" s="217">
        <f t="shared" si="34"/>
      </c>
      <c r="X101" s="221">
        <v>18133</v>
      </c>
      <c r="Y101" s="221">
        <v>385</v>
      </c>
      <c r="Z101" s="219">
        <v>62</v>
      </c>
      <c r="AA101" s="219">
        <v>627</v>
      </c>
      <c r="AB101" s="221">
        <v>65</v>
      </c>
      <c r="AC101" s="219">
        <v>5</v>
      </c>
      <c r="AD101" s="221">
        <v>0</v>
      </c>
      <c r="AE101" s="221">
        <v>23</v>
      </c>
      <c r="AF101" s="217">
        <f t="shared" si="185"/>
      </c>
      <c r="AG101" s="222" t="s">
        <v>159</v>
      </c>
      <c r="AH101" s="223" t="s">
        <v>184</v>
      </c>
      <c r="AI101" s="221">
        <v>12</v>
      </c>
    </row>
    <row r="102">
      <c r="A102" s="211"/>
      <c r="B102" s="212" t="s">
        <v>157</v>
      </c>
      <c r="C102" s="213" t="s">
        <v>163</v>
      </c>
      <c r="D102" s="214">
        <v>1375.32</v>
      </c>
      <c r="E102" s="215">
        <v>2</v>
      </c>
      <c r="F102" s="215">
        <v>1</v>
      </c>
      <c r="G102" s="215">
        <v>0</v>
      </c>
      <c r="H102" s="214">
        <v>450.9999999999991</v>
      </c>
      <c r="I102" s="214"/>
      <c r="J102" s="216">
        <f t="shared" si="276"/>
      </c>
      <c r="K102" s="217">
        <f t="shared" si="336"/>
      </c>
      <c r="L102" s="217">
        <f t="shared" si="155"/>
      </c>
      <c r="M102" s="218">
        <f t="shared" si="216"/>
      </c>
      <c r="N102" s="217">
        <f t="shared" si="65"/>
      </c>
      <c r="O102" s="217">
        <f t="shared" si="95"/>
      </c>
      <c r="P102" s="218">
        <f t="shared" si="366"/>
      </c>
      <c r="Q102" s="218">
        <f t="shared" si="4"/>
      </c>
      <c r="R102" s="218">
        <f t="shared" si="246"/>
      </c>
      <c r="S102" s="218">
        <f t="shared" si="306"/>
      </c>
      <c r="T102" s="219">
        <f t="shared" si="125"/>
      </c>
      <c r="U102" s="220">
        <v>0.0563</v>
      </c>
      <c r="V102" s="221">
        <v>39</v>
      </c>
      <c r="W102" s="217">
        <f t="shared" si="34"/>
      </c>
      <c r="X102" s="221">
        <v>8629</v>
      </c>
      <c r="Y102" s="221">
        <v>254</v>
      </c>
      <c r="Z102" s="221">
        <v>37</v>
      </c>
      <c r="AA102" s="221">
        <v>324</v>
      </c>
      <c r="AB102" s="221">
        <v>16</v>
      </c>
      <c r="AC102" s="221">
        <v>0</v>
      </c>
      <c r="AD102" s="221">
        <v>0</v>
      </c>
      <c r="AE102" s="221">
        <v>9</v>
      </c>
      <c r="AF102" s="217">
        <f t="shared" si="185"/>
      </c>
      <c r="AG102" s="222" t="s">
        <v>159</v>
      </c>
      <c r="AH102" s="223" t="s">
        <v>184</v>
      </c>
      <c r="AI102" s="221">
        <v>12</v>
      </c>
    </row>
    <row r="103">
      <c r="A103" s="211"/>
      <c r="B103" s="212" t="s">
        <v>157</v>
      </c>
      <c r="C103" s="212" t="s">
        <v>164</v>
      </c>
      <c r="D103" s="225">
        <v>1966.8</v>
      </c>
      <c r="E103" s="226">
        <v>2</v>
      </c>
      <c r="F103" s="226">
        <v>1</v>
      </c>
      <c r="G103" s="226">
        <v>0</v>
      </c>
      <c r="H103" s="225">
        <v>451</v>
      </c>
      <c r="I103" s="225"/>
      <c r="J103" s="217">
        <f t="shared" si="276"/>
      </c>
      <c r="K103" s="217">
        <f t="shared" si="336"/>
      </c>
      <c r="L103" s="217">
        <f t="shared" si="155"/>
      </c>
      <c r="M103" s="218">
        <f t="shared" si="216"/>
      </c>
      <c r="N103" s="217">
        <f t="shared" si="65"/>
      </c>
      <c r="O103" s="217">
        <f t="shared" si="95"/>
      </c>
      <c r="P103" s="218">
        <f t="shared" si="366"/>
      </c>
      <c r="Q103" s="218">
        <f t="shared" si="4"/>
      </c>
      <c r="R103" s="218">
        <f t="shared" si="246"/>
      </c>
      <c r="S103" s="218">
        <f t="shared" si="306"/>
      </c>
      <c r="T103" s="219">
        <f t="shared" si="125"/>
      </c>
      <c r="U103" s="220">
        <v>0.0759</v>
      </c>
      <c r="V103" s="221">
        <v>40</v>
      </c>
      <c r="W103" s="217">
        <f t="shared" si="34"/>
      </c>
      <c r="X103" s="219">
        <v>15260</v>
      </c>
      <c r="Y103" s="219">
        <v>556</v>
      </c>
      <c r="Z103" s="219">
        <v>69</v>
      </c>
      <c r="AA103" s="219">
        <v>717</v>
      </c>
      <c r="AB103" s="219">
        <v>41</v>
      </c>
      <c r="AC103" s="219">
        <v>4</v>
      </c>
      <c r="AD103" s="219">
        <v>1</v>
      </c>
      <c r="AE103" s="219">
        <v>18</v>
      </c>
      <c r="AF103" s="217">
        <f t="shared" si="185"/>
      </c>
      <c r="AG103" s="222" t="s">
        <v>159</v>
      </c>
      <c r="AH103" s="223" t="s">
        <v>184</v>
      </c>
      <c r="AI103" s="221">
        <v>19</v>
      </c>
    </row>
    <row r="104">
      <c r="A104" s="211"/>
      <c r="B104" s="227" t="s">
        <v>165</v>
      </c>
      <c r="C104" s="227"/>
      <c r="D104" s="228">
        <f>SUM(D99:D103)</f>
      </c>
      <c r="E104" s="229">
        <f>SUM(E99:E103)</f>
      </c>
      <c r="F104" s="229">
        <f>SUM(F99:F103)</f>
      </c>
      <c r="G104" s="229">
        <f>SUM(G99:G103)</f>
      </c>
      <c r="H104" s="228">
        <f>SUM(H99:H103)</f>
      </c>
      <c r="I104" s="228"/>
      <c r="J104" s="230">
        <f t="shared" si="276"/>
      </c>
      <c r="K104" s="230">
        <f t="shared" si="336"/>
      </c>
      <c r="L104" s="230">
        <f t="shared" si="155"/>
      </c>
      <c r="M104" s="231">
        <f t="shared" si="216"/>
      </c>
      <c r="N104" s="230">
        <f t="shared" si="65"/>
      </c>
      <c r="O104" s="230">
        <f t="shared" si="95"/>
      </c>
      <c r="P104" s="231">
        <f t="shared" si="366"/>
      </c>
      <c r="Q104" s="231">
        <f t="shared" si="4"/>
      </c>
      <c r="R104" s="231">
        <f t="shared" si="246"/>
      </c>
      <c r="S104" s="231">
        <f t="shared" si="306"/>
      </c>
      <c r="T104" s="229">
        <f t="shared" si="125"/>
      </c>
      <c r="U104" s="231">
        <f>AVERAGE(U99:U103)</f>
      </c>
      <c r="V104" s="228">
        <f>AVERAGE(V99:V103)</f>
      </c>
      <c r="W104" s="230">
        <f t="shared" si="34"/>
      </c>
      <c r="X104" s="229">
        <f>SUM(X99:X103)</f>
      </c>
      <c r="Y104" s="229">
        <f>SUM(Y99:Y103)</f>
      </c>
      <c r="Z104" s="229">
        <f>SUM(Z99:Z103)</f>
      </c>
      <c r="AA104" s="229">
        <f>SUM(AA99:AA103)</f>
      </c>
      <c r="AB104" s="229">
        <f>SUM(AB99:AB103)</f>
      </c>
      <c r="AC104" s="229">
        <f>SUM(AC99:AC103)</f>
      </c>
      <c r="AD104" s="229">
        <f>SUM(AD99:AD103)</f>
      </c>
      <c r="AE104" s="229">
        <f>SUM(AE99:AE103)</f>
      </c>
      <c r="AF104" s="232">
        <f t="shared" si="185"/>
      </c>
      <c r="AG104" s="233"/>
      <c r="AH104" s="233"/>
      <c r="AI104" s="234">
        <f>SUM(AI99:AI103)</f>
      </c>
    </row>
    <row r="105">
      <c r="A105" s="211"/>
      <c r="B105" s="212" t="s">
        <v>178</v>
      </c>
      <c r="C105" s="235" t="s">
        <v>167</v>
      </c>
      <c r="D105" s="236">
        <v>2101.57</v>
      </c>
      <c r="E105" s="237">
        <v>5</v>
      </c>
      <c r="F105" s="237">
        <v>4</v>
      </c>
      <c r="G105" s="238">
        <v>4</v>
      </c>
      <c r="H105" s="239">
        <v>4059.000000000001</v>
      </c>
      <c r="I105" s="239"/>
      <c r="J105" s="240">
        <f t="shared" si="276"/>
      </c>
      <c r="K105" s="240">
        <f t="shared" si="336"/>
      </c>
      <c r="L105" s="240">
        <f t="shared" si="155"/>
      </c>
      <c r="M105" s="241">
        <f t="shared" si="216"/>
      </c>
      <c r="N105" s="240">
        <f t="shared" si="65"/>
      </c>
      <c r="O105" s="240">
        <f t="shared" si="95"/>
      </c>
      <c r="P105" s="241">
        <f t="shared" si="366"/>
      </c>
      <c r="Q105" s="241">
        <f t="shared" si="4"/>
      </c>
      <c r="R105" s="241">
        <f t="shared" si="246"/>
      </c>
      <c r="S105" s="241">
        <f t="shared" si="306"/>
      </c>
      <c r="T105" s="242">
        <f t="shared" si="125"/>
      </c>
      <c r="U105" s="243">
        <v>0.0612</v>
      </c>
      <c r="V105" s="244">
        <v>42</v>
      </c>
      <c r="W105" s="240">
        <f t="shared" si="34"/>
      </c>
      <c r="X105" s="242">
        <v>17434</v>
      </c>
      <c r="Y105" s="242">
        <v>671</v>
      </c>
      <c r="Z105" s="242">
        <v>69</v>
      </c>
      <c r="AA105" s="242">
        <v>897</v>
      </c>
      <c r="AB105" s="242">
        <v>42</v>
      </c>
      <c r="AC105" s="242">
        <v>5</v>
      </c>
      <c r="AD105" s="242">
        <v>1</v>
      </c>
      <c r="AE105" s="242">
        <v>26</v>
      </c>
      <c r="AF105" s="240">
        <f t="shared" si="185"/>
      </c>
      <c r="AG105" s="222" t="s">
        <v>159</v>
      </c>
      <c r="AH105" s="223" t="s">
        <v>184</v>
      </c>
      <c r="AI105" s="244">
        <v>20</v>
      </c>
    </row>
    <row r="106">
      <c r="A106" s="211"/>
      <c r="B106" s="212" t="s">
        <v>178</v>
      </c>
      <c r="C106" s="245" t="s">
        <v>168</v>
      </c>
      <c r="D106" s="246">
        <v>2268.07</v>
      </c>
      <c r="E106" s="247">
        <v>5</v>
      </c>
      <c r="F106" s="247">
        <v>3</v>
      </c>
      <c r="G106" s="247">
        <v>3</v>
      </c>
      <c r="H106" s="239">
        <v>1683</v>
      </c>
      <c r="I106" s="239"/>
      <c r="J106" s="240">
        <f t="shared" si="276"/>
      </c>
      <c r="K106" s="240">
        <f t="shared" si="336"/>
      </c>
      <c r="L106" s="240">
        <f t="shared" si="155"/>
      </c>
      <c r="M106" s="241">
        <f t="shared" si="216"/>
      </c>
      <c r="N106" s="240">
        <f t="shared" si="65"/>
      </c>
      <c r="O106" s="240">
        <f t="shared" si="95"/>
      </c>
      <c r="P106" s="241">
        <f t="shared" si="366"/>
      </c>
      <c r="Q106" s="241">
        <f t="shared" si="4"/>
      </c>
      <c r="R106" s="241">
        <f t="shared" si="246"/>
      </c>
      <c r="S106" s="241">
        <f t="shared" si="306"/>
      </c>
      <c r="T106" s="242">
        <f t="shared" si="125"/>
      </c>
      <c r="U106" s="243">
        <v>0.0645</v>
      </c>
      <c r="V106" s="244">
        <v>41</v>
      </c>
      <c r="W106" s="240">
        <f t="shared" si="34"/>
      </c>
      <c r="X106" s="242">
        <v>17292</v>
      </c>
      <c r="Y106" s="242">
        <v>687</v>
      </c>
      <c r="Z106" s="242">
        <v>80</v>
      </c>
      <c r="AA106" s="242">
        <v>895</v>
      </c>
      <c r="AB106" s="242">
        <v>63</v>
      </c>
      <c r="AC106" s="242">
        <v>9</v>
      </c>
      <c r="AD106" s="242">
        <v>0</v>
      </c>
      <c r="AE106" s="242">
        <v>27</v>
      </c>
      <c r="AF106" s="240">
        <f t="shared" si="185"/>
      </c>
      <c r="AG106" s="222" t="s">
        <v>159</v>
      </c>
      <c r="AH106" s="223" t="s">
        <v>184</v>
      </c>
      <c r="AI106" s="244">
        <v>24</v>
      </c>
    </row>
    <row r="107">
      <c r="A107" s="211"/>
      <c r="B107" s="212" t="s">
        <v>178</v>
      </c>
      <c r="C107" s="235" t="s">
        <v>169</v>
      </c>
      <c r="D107" s="236">
        <v>1817.9</v>
      </c>
      <c r="E107" s="247">
        <v>3</v>
      </c>
      <c r="F107" s="247">
        <v>3</v>
      </c>
      <c r="G107" s="247">
        <v>3</v>
      </c>
      <c r="H107" s="236">
        <v>1682.9999999999982</v>
      </c>
      <c r="I107" s="236"/>
      <c r="J107" s="240">
        <f t="shared" si="276"/>
      </c>
      <c r="K107" s="240">
        <f t="shared" si="336"/>
      </c>
      <c r="L107" s="240">
        <f t="shared" si="155"/>
      </c>
      <c r="M107" s="241">
        <f t="shared" si="216"/>
      </c>
      <c r="N107" s="240">
        <f t="shared" si="65"/>
      </c>
      <c r="O107" s="240">
        <f t="shared" si="95"/>
      </c>
      <c r="P107" s="241">
        <f t="shared" si="366"/>
      </c>
      <c r="Q107" s="241">
        <f t="shared" si="4"/>
      </c>
      <c r="R107" s="241">
        <f t="shared" si="246"/>
      </c>
      <c r="S107" s="241">
        <f t="shared" si="306"/>
      </c>
      <c r="T107" s="242">
        <f t="shared" si="125"/>
      </c>
      <c r="U107" s="243">
        <v>0.0646</v>
      </c>
      <c r="V107" s="244">
        <v>40</v>
      </c>
      <c r="W107" s="240">
        <f t="shared" si="34"/>
      </c>
      <c r="X107" s="242">
        <v>12701</v>
      </c>
      <c r="Y107" s="242">
        <v>518</v>
      </c>
      <c r="Z107" s="242">
        <v>59</v>
      </c>
      <c r="AA107" s="242">
        <v>671</v>
      </c>
      <c r="AB107" s="242">
        <v>32</v>
      </c>
      <c r="AC107" s="242">
        <v>9</v>
      </c>
      <c r="AD107" s="242">
        <v>0</v>
      </c>
      <c r="AE107" s="242">
        <v>11</v>
      </c>
      <c r="AF107" s="240">
        <f t="shared" si="185"/>
      </c>
      <c r="AG107" s="222" t="s">
        <v>159</v>
      </c>
      <c r="AH107" s="223" t="s">
        <v>184</v>
      </c>
      <c r="AI107" s="244">
        <v>20</v>
      </c>
    </row>
    <row r="108">
      <c r="A108" s="211"/>
      <c r="B108" s="212" t="s">
        <v>178</v>
      </c>
      <c r="C108" s="248" t="s">
        <v>170</v>
      </c>
      <c r="D108" s="236">
        <v>2192.63</v>
      </c>
      <c r="E108" s="238">
        <v>1</v>
      </c>
      <c r="F108" s="238">
        <v>1</v>
      </c>
      <c r="G108" s="238">
        <v>1</v>
      </c>
      <c r="H108" s="236">
        <v>451.0000000000018</v>
      </c>
      <c r="I108" s="236"/>
      <c r="J108" s="240">
        <f t="shared" si="276"/>
      </c>
      <c r="K108" s="240">
        <f t="shared" si="336"/>
      </c>
      <c r="L108" s="240">
        <f t="shared" si="155"/>
      </c>
      <c r="M108" s="241">
        <f t="shared" si="216"/>
      </c>
      <c r="N108" s="240">
        <f t="shared" si="65"/>
      </c>
      <c r="O108" s="240">
        <f t="shared" si="95"/>
      </c>
      <c r="P108" s="241">
        <f t="shared" si="366"/>
      </c>
      <c r="Q108" s="241">
        <f t="shared" si="4"/>
      </c>
      <c r="R108" s="241">
        <f t="shared" si="246"/>
      </c>
      <c r="S108" s="241">
        <f t="shared" si="306"/>
      </c>
      <c r="T108" s="242">
        <f t="shared" si="125"/>
      </c>
      <c r="U108" s="243">
        <v>0.0751</v>
      </c>
      <c r="V108" s="244">
        <v>40</v>
      </c>
      <c r="W108" s="240">
        <f t="shared" si="34"/>
      </c>
      <c r="X108" s="242">
        <v>17130</v>
      </c>
      <c r="Y108" s="242">
        <v>460</v>
      </c>
      <c r="Z108" s="242">
        <v>60</v>
      </c>
      <c r="AA108" s="242">
        <v>618</v>
      </c>
      <c r="AB108" s="242">
        <v>37</v>
      </c>
      <c r="AC108" s="242">
        <v>0</v>
      </c>
      <c r="AD108" s="242">
        <v>0</v>
      </c>
      <c r="AE108" s="242">
        <v>16</v>
      </c>
      <c r="AF108" s="240">
        <f t="shared" si="185"/>
      </c>
      <c r="AG108" s="222" t="s">
        <v>159</v>
      </c>
      <c r="AH108" s="223" t="s">
        <v>184</v>
      </c>
      <c r="AI108" s="244">
        <v>22</v>
      </c>
    </row>
    <row r="109">
      <c r="A109" s="211"/>
      <c r="B109" s="249" t="s">
        <v>165</v>
      </c>
      <c r="C109" s="249"/>
      <c r="D109" s="250">
        <f>SUM(D105:D108)</f>
      </c>
      <c r="E109" s="251">
        <f>SUM(E105:E108)</f>
      </c>
      <c r="F109" s="251">
        <f>SUM(F105:F108)</f>
      </c>
      <c r="G109" s="251">
        <f>SUM(G105:G108)</f>
      </c>
      <c r="H109" s="250">
        <f>SUM(H105:H108)</f>
      </c>
      <c r="I109" s="250"/>
      <c r="J109" s="252">
        <f t="shared" si="276"/>
      </c>
      <c r="K109" s="252">
        <f t="shared" si="336"/>
      </c>
      <c r="L109" s="252">
        <f t="shared" si="155"/>
      </c>
      <c r="M109" s="253">
        <f t="shared" si="216"/>
      </c>
      <c r="N109" s="252">
        <f t="shared" si="65"/>
      </c>
      <c r="O109" s="252">
        <f t="shared" si="95"/>
      </c>
      <c r="P109" s="253">
        <f t="shared" si="366"/>
      </c>
      <c r="Q109" s="253">
        <f t="shared" si="4"/>
      </c>
      <c r="R109" s="253">
        <f t="shared" si="246"/>
      </c>
      <c r="S109" s="253">
        <f t="shared" si="306"/>
      </c>
      <c r="T109" s="254">
        <f t="shared" si="125"/>
      </c>
      <c r="U109" s="253">
        <f>AVERAGE(U105:U108)</f>
      </c>
      <c r="V109" s="250">
        <f>AVERAGE(V105:V108)</f>
      </c>
      <c r="W109" s="252">
        <f t="shared" si="34"/>
      </c>
      <c r="X109" s="254">
        <f>SUM(X105:X108)</f>
      </c>
      <c r="Y109" s="254">
        <f>SUM(Y105:Y108)</f>
      </c>
      <c r="Z109" s="254">
        <f>SUM(Z105:Z108)</f>
      </c>
      <c r="AA109" s="254">
        <f>SUM(AA105:AA108)</f>
      </c>
      <c r="AB109" s="254">
        <f>SUM(AB105:AB108)</f>
      </c>
      <c r="AC109" s="254">
        <f>SUM(AC105:AC108)</f>
      </c>
      <c r="AD109" s="254">
        <f>SUM(AD105:AD108)</f>
      </c>
      <c r="AE109" s="254">
        <f>SUM(AE105:AE108)</f>
      </c>
      <c r="AF109" s="255">
        <f t="shared" si="185"/>
      </c>
      <c r="AG109" s="256"/>
      <c r="AH109" s="256"/>
      <c r="AI109" s="257">
        <f>SUM(AI105:AI108)</f>
      </c>
    </row>
    <row r="110">
      <c r="A110" s="211"/>
      <c r="B110" s="248" t="s">
        <v>186</v>
      </c>
      <c r="C110" s="235" t="s">
        <v>172</v>
      </c>
      <c r="D110" s="212">
        <v>1526.91</v>
      </c>
      <c r="E110" s="215">
        <v>4</v>
      </c>
      <c r="F110" s="215">
        <v>3</v>
      </c>
      <c r="G110" s="215">
        <v>2</v>
      </c>
      <c r="H110" s="215">
        <v>3594.800000000001</v>
      </c>
      <c r="I110" s="215"/>
      <c r="J110" s="217">
        <f t="shared" si="276"/>
      </c>
      <c r="K110" s="217">
        <f t="shared" si="336"/>
      </c>
      <c r="L110" s="217">
        <f t="shared" si="155"/>
      </c>
      <c r="M110" s="218">
        <f t="shared" si="216"/>
      </c>
      <c r="N110" s="217">
        <f t="shared" si="65"/>
      </c>
      <c r="O110" s="217">
        <f t="shared" si="95"/>
      </c>
      <c r="P110" s="218">
        <f t="shared" si="366"/>
      </c>
      <c r="Q110" s="218">
        <f t="shared" si="4"/>
      </c>
      <c r="R110" s="218">
        <f t="shared" si="246"/>
      </c>
      <c r="S110" s="218">
        <f t="shared" si="306"/>
      </c>
      <c r="T110" s="219">
        <f t="shared" si="125"/>
      </c>
      <c r="U110" s="220">
        <v>0.0646</v>
      </c>
      <c r="V110" s="221">
        <v>40</v>
      </c>
      <c r="W110" s="217">
        <f t="shared" si="34"/>
      </c>
      <c r="X110" s="221">
        <v>12623</v>
      </c>
      <c r="Y110" s="221">
        <v>382</v>
      </c>
      <c r="Z110" s="219">
        <v>45</v>
      </c>
      <c r="AA110" s="219">
        <v>495</v>
      </c>
      <c r="AB110" s="219">
        <v>29</v>
      </c>
      <c r="AC110" s="219">
        <v>5</v>
      </c>
      <c r="AD110" s="221">
        <v>0</v>
      </c>
      <c r="AE110" s="221">
        <v>15</v>
      </c>
      <c r="AF110" s="217">
        <f t="shared" si="185"/>
      </c>
      <c r="AG110" s="222" t="s">
        <v>173</v>
      </c>
      <c r="AH110" s="223" t="s">
        <v>185</v>
      </c>
      <c r="AI110" s="221">
        <v>7</v>
      </c>
    </row>
    <row r="111">
      <c r="A111" s="211"/>
      <c r="B111" s="248" t="s">
        <v>186</v>
      </c>
      <c r="C111" s="245" t="s">
        <v>175</v>
      </c>
      <c r="D111" s="212">
        <v>754.64</v>
      </c>
      <c r="E111" s="215">
        <v>2</v>
      </c>
      <c r="F111" s="215">
        <v>1</v>
      </c>
      <c r="G111" s="215">
        <v>1</v>
      </c>
      <c r="H111" s="214">
        <v>781</v>
      </c>
      <c r="I111" s="214"/>
      <c r="J111" s="217">
        <f t="shared" si="276"/>
      </c>
      <c r="K111" s="217">
        <f t="shared" si="336"/>
      </c>
      <c r="L111" s="217">
        <f t="shared" si="155"/>
      </c>
      <c r="M111" s="218">
        <f t="shared" si="216"/>
      </c>
      <c r="N111" s="217">
        <f t="shared" si="65"/>
      </c>
      <c r="O111" s="217">
        <f t="shared" si="95"/>
      </c>
      <c r="P111" s="218">
        <f t="shared" si="366"/>
      </c>
      <c r="Q111" s="218">
        <f t="shared" si="4"/>
      </c>
      <c r="R111" s="218">
        <f t="shared" si="246"/>
      </c>
      <c r="S111" s="218">
        <f t="shared" si="306"/>
      </c>
      <c r="T111" s="219">
        <f t="shared" si="125"/>
      </c>
      <c r="U111" s="220">
        <v>0.0439</v>
      </c>
      <c r="V111" s="221">
        <v>40</v>
      </c>
      <c r="W111" s="217">
        <f t="shared" si="34"/>
      </c>
      <c r="X111" s="219">
        <v>6530</v>
      </c>
      <c r="Y111" s="219">
        <v>244</v>
      </c>
      <c r="Z111" s="219">
        <v>23</v>
      </c>
      <c r="AA111" s="219">
        <v>342</v>
      </c>
      <c r="AB111" s="219">
        <v>21</v>
      </c>
      <c r="AC111" s="219">
        <v>1</v>
      </c>
      <c r="AD111" s="219">
        <v>1</v>
      </c>
      <c r="AE111" s="221">
        <v>6</v>
      </c>
      <c r="AF111" s="217">
        <f t="shared" si="185"/>
      </c>
      <c r="AG111" s="222" t="s">
        <v>173</v>
      </c>
      <c r="AH111" s="223" t="s">
        <v>185</v>
      </c>
      <c r="AI111" s="221">
        <v>12</v>
      </c>
    </row>
    <row r="112">
      <c r="A112" s="211"/>
      <c r="B112" s="248" t="s">
        <v>186</v>
      </c>
      <c r="C112" s="235" t="s">
        <v>176</v>
      </c>
      <c r="D112" s="212">
        <v>435.62</v>
      </c>
      <c r="E112" s="215">
        <v>1</v>
      </c>
      <c r="F112" s="215">
        <v>1</v>
      </c>
      <c r="G112" s="215">
        <v>1</v>
      </c>
      <c r="H112" s="214">
        <v>451</v>
      </c>
      <c r="I112" s="214"/>
      <c r="J112" s="217">
        <f t="shared" si="276"/>
      </c>
      <c r="K112" s="217">
        <f t="shared" si="336"/>
      </c>
      <c r="L112" s="217">
        <f t="shared" si="155"/>
      </c>
      <c r="M112" s="218">
        <f t="shared" si="216"/>
      </c>
      <c r="N112" s="217">
        <f t="shared" si="65"/>
      </c>
      <c r="O112" s="217">
        <f t="shared" si="95"/>
      </c>
      <c r="P112" s="218">
        <f t="shared" si="366"/>
      </c>
      <c r="Q112" s="218">
        <f t="shared" si="4"/>
      </c>
      <c r="R112" s="218">
        <f t="shared" si="246"/>
      </c>
      <c r="S112" s="218">
        <f t="shared" si="306"/>
      </c>
      <c r="T112" s="219">
        <f t="shared" si="125"/>
      </c>
      <c r="U112" s="220">
        <v>0.0429</v>
      </c>
      <c r="V112" s="221">
        <v>41</v>
      </c>
      <c r="W112" s="217">
        <f t="shared" si="34"/>
      </c>
      <c r="X112" s="221">
        <v>3442</v>
      </c>
      <c r="Y112" s="221">
        <v>151</v>
      </c>
      <c r="Z112" s="221">
        <v>15</v>
      </c>
      <c r="AA112" s="221">
        <v>219</v>
      </c>
      <c r="AB112" s="221">
        <v>22</v>
      </c>
      <c r="AC112" s="221">
        <v>4</v>
      </c>
      <c r="AD112" s="221">
        <v>1</v>
      </c>
      <c r="AE112" s="221">
        <v>2</v>
      </c>
      <c r="AF112" s="217">
        <f t="shared" si="185"/>
      </c>
      <c r="AG112" s="222" t="s">
        <v>173</v>
      </c>
      <c r="AH112" s="223" t="s">
        <v>185</v>
      </c>
      <c r="AI112" s="221">
        <v>5</v>
      </c>
    </row>
    <row r="113">
      <c r="A113" s="211"/>
      <c r="B113" s="248" t="s">
        <v>186</v>
      </c>
      <c r="C113" s="235" t="s">
        <v>177</v>
      </c>
      <c r="D113" s="212">
        <v>852.89</v>
      </c>
      <c r="E113" s="215">
        <v>2</v>
      </c>
      <c r="F113" s="215">
        <v>2</v>
      </c>
      <c r="G113" s="215">
        <v>2</v>
      </c>
      <c r="H113" s="214">
        <v>902</v>
      </c>
      <c r="I113" s="214"/>
      <c r="J113" s="217">
        <f t="shared" si="276"/>
      </c>
      <c r="K113" s="217">
        <f t="shared" si="336"/>
      </c>
      <c r="L113" s="217">
        <f t="shared" si="155"/>
      </c>
      <c r="M113" s="218">
        <f t="shared" si="216"/>
      </c>
      <c r="N113" s="217">
        <f t="shared" si="65"/>
      </c>
      <c r="O113" s="217">
        <f t="shared" si="95"/>
      </c>
      <c r="P113" s="218">
        <f t="shared" si="366"/>
      </c>
      <c r="Q113" s="218">
        <f t="shared" si="4"/>
      </c>
      <c r="R113" s="218">
        <f t="shared" si="246"/>
      </c>
      <c r="S113" s="218">
        <f t="shared" si="306"/>
      </c>
      <c r="T113" s="219">
        <f t="shared" si="125"/>
      </c>
      <c r="U113" s="220">
        <v>0.045</v>
      </c>
      <c r="V113" s="221">
        <v>41</v>
      </c>
      <c r="W113" s="217">
        <f t="shared" si="34"/>
      </c>
      <c r="X113" s="221">
        <v>6162</v>
      </c>
      <c r="Y113" s="221">
        <v>201</v>
      </c>
      <c r="Z113" s="219">
        <v>23</v>
      </c>
      <c r="AA113" s="219">
        <v>345</v>
      </c>
      <c r="AB113" s="219">
        <v>35</v>
      </c>
      <c r="AC113" s="219">
        <v>2</v>
      </c>
      <c r="AD113" s="221">
        <v>0</v>
      </c>
      <c r="AE113" s="221">
        <v>7</v>
      </c>
      <c r="AF113" s="217">
        <f t="shared" si="185"/>
      </c>
      <c r="AG113" s="222" t="s">
        <v>173</v>
      </c>
      <c r="AH113" s="223" t="s">
        <v>185</v>
      </c>
      <c r="AI113" s="221">
        <v>14</v>
      </c>
    </row>
    <row r="114">
      <c r="A114" s="211"/>
      <c r="B114" s="227" t="s">
        <v>165</v>
      </c>
      <c r="C114" s="227"/>
      <c r="D114" s="259">
        <f>SUM(D110:D113)</f>
      </c>
      <c r="E114" s="260">
        <f>SUM(E110:E113)</f>
      </c>
      <c r="F114" s="260">
        <f>SUM(F110:F113)</f>
      </c>
      <c r="G114" s="260">
        <f>SUM(G110:G113)</f>
      </c>
      <c r="H114" s="259">
        <f>SUM(H110:H113)</f>
      </c>
      <c r="I114" s="259"/>
      <c r="J114" s="230">
        <f t="shared" si="276"/>
      </c>
      <c r="K114" s="230">
        <f t="shared" si="336"/>
      </c>
      <c r="L114" s="230">
        <f t="shared" si="155"/>
      </c>
      <c r="M114" s="231">
        <f t="shared" si="216"/>
      </c>
      <c r="N114" s="230">
        <f t="shared" si="65"/>
      </c>
      <c r="O114" s="230">
        <f t="shared" si="95"/>
      </c>
      <c r="P114" s="231">
        <f t="shared" si="366"/>
      </c>
      <c r="Q114" s="231">
        <f t="shared" si="4"/>
      </c>
      <c r="R114" s="231">
        <f t="shared" si="246"/>
      </c>
      <c r="S114" s="231">
        <f t="shared" si="306"/>
      </c>
      <c r="T114" s="229">
        <f t="shared" si="125"/>
      </c>
      <c r="U114" s="231">
        <f>AVERAGE(U110:U113)</f>
      </c>
      <c r="V114" s="228">
        <f>AVERAGE(V110:V113)</f>
      </c>
      <c r="W114" s="230">
        <f t="shared" si="34"/>
      </c>
      <c r="X114" s="229">
        <f>SUM(X110:X113)</f>
      </c>
      <c r="Y114" s="229">
        <f>SUM(Y110:Y113)</f>
      </c>
      <c r="Z114" s="229">
        <f>SUM(Z110:Z113)</f>
      </c>
      <c r="AA114" s="229">
        <f>SUM(AA110:AA113)</f>
      </c>
      <c r="AB114" s="229">
        <f>SUM(AB110:AB113)</f>
      </c>
      <c r="AC114" s="229">
        <f>SUM(AC110:AC113)</f>
      </c>
      <c r="AD114" s="229">
        <f>SUM(AD110:AD113)</f>
      </c>
      <c r="AE114" s="229">
        <f>SUM(AE110:AE113)</f>
      </c>
      <c r="AF114" s="232">
        <f t="shared" si="185"/>
      </c>
      <c r="AG114" s="233"/>
      <c r="AH114" s="233"/>
      <c r="AI114" s="229">
        <f>SUM(AI110:AI113)</f>
      </c>
    </row>
    <row r="115">
      <c r="A115" s="211"/>
      <c r="B115" s="258" t="s">
        <v>171</v>
      </c>
      <c r="C115" s="248" t="s">
        <v>179</v>
      </c>
      <c r="D115" s="261">
        <v>584.52</v>
      </c>
      <c r="E115" s="237">
        <v>4</v>
      </c>
      <c r="F115" s="237">
        <v>1</v>
      </c>
      <c r="G115" s="238">
        <v>0</v>
      </c>
      <c r="H115" s="239">
        <v>451</v>
      </c>
      <c r="I115" s="239"/>
      <c r="J115" s="240">
        <f t="shared" si="276"/>
      </c>
      <c r="K115" s="240">
        <f t="shared" si="336"/>
      </c>
      <c r="L115" s="240">
        <f t="shared" si="155"/>
      </c>
      <c r="M115" s="241">
        <f t="shared" si="216"/>
      </c>
      <c r="N115" s="240">
        <f t="shared" si="65"/>
      </c>
      <c r="O115" s="240">
        <f t="shared" si="95"/>
      </c>
      <c r="P115" s="241">
        <f t="shared" si="366"/>
      </c>
      <c r="Q115" s="241">
        <f t="shared" si="4"/>
      </c>
      <c r="R115" s="241">
        <f t="shared" si="246"/>
      </c>
      <c r="S115" s="241">
        <f t="shared" si="306"/>
      </c>
      <c r="T115" s="242">
        <f t="shared" si="125"/>
      </c>
      <c r="U115" s="243">
        <v>0.0338</v>
      </c>
      <c r="V115" s="244">
        <v>41</v>
      </c>
      <c r="W115" s="240">
        <f t="shared" si="34"/>
      </c>
      <c r="X115" s="242">
        <v>4437</v>
      </c>
      <c r="Y115" s="242">
        <v>241</v>
      </c>
      <c r="Z115" s="242">
        <v>20</v>
      </c>
      <c r="AA115" s="242">
        <v>405</v>
      </c>
      <c r="AB115" s="242">
        <v>18</v>
      </c>
      <c r="AC115" s="242">
        <v>1</v>
      </c>
      <c r="AD115" s="242">
        <v>0</v>
      </c>
      <c r="AE115" s="242">
        <v>2</v>
      </c>
      <c r="AF115" s="240">
        <f t="shared" si="185"/>
      </c>
      <c r="AG115" s="222" t="s">
        <v>173</v>
      </c>
      <c r="AH115" s="223" t="s">
        <v>185</v>
      </c>
      <c r="AI115" s="244">
        <v>3</v>
      </c>
    </row>
    <row r="116">
      <c r="A116" s="211"/>
      <c r="B116" s="258" t="s">
        <v>171</v>
      </c>
      <c r="C116" s="248" t="s">
        <v>180</v>
      </c>
      <c r="D116" s="262">
        <v>779.37</v>
      </c>
      <c r="E116" s="247">
        <v>2</v>
      </c>
      <c r="F116" s="247">
        <v>2</v>
      </c>
      <c r="G116" s="247">
        <v>2</v>
      </c>
      <c r="H116" s="263">
        <v>1231.9999999999964</v>
      </c>
      <c r="I116" s="263"/>
      <c r="J116" s="240">
        <f t="shared" si="276"/>
      </c>
      <c r="K116" s="240">
        <f t="shared" si="336"/>
      </c>
      <c r="L116" s="240">
        <f t="shared" si="155"/>
      </c>
      <c r="M116" s="241">
        <f t="shared" si="216"/>
      </c>
      <c r="N116" s="240">
        <f t="shared" si="65"/>
      </c>
      <c r="O116" s="240">
        <f t="shared" si="95"/>
      </c>
      <c r="P116" s="241">
        <f t="shared" si="366"/>
      </c>
      <c r="Q116" s="241">
        <f t="shared" si="4"/>
      </c>
      <c r="R116" s="241">
        <f t="shared" si="246"/>
      </c>
      <c r="S116" s="241">
        <f t="shared" si="306"/>
      </c>
      <c r="T116" s="242">
        <f t="shared" si="125"/>
      </c>
      <c r="U116" s="243">
        <v>0.0629</v>
      </c>
      <c r="V116" s="244">
        <v>40</v>
      </c>
      <c r="W116" s="240">
        <f t="shared" si="34"/>
      </c>
      <c r="X116" s="242">
        <v>5307</v>
      </c>
      <c r="Y116" s="242">
        <v>297</v>
      </c>
      <c r="Z116" s="242">
        <v>37</v>
      </c>
      <c r="AA116" s="242">
        <v>439</v>
      </c>
      <c r="AB116" s="242">
        <v>27</v>
      </c>
      <c r="AC116" s="242">
        <v>3</v>
      </c>
      <c r="AD116" s="242">
        <v>1</v>
      </c>
      <c r="AE116" s="242">
        <v>4</v>
      </c>
      <c r="AF116" s="240">
        <f t="shared" si="185"/>
      </c>
      <c r="AG116" s="222" t="s">
        <v>173</v>
      </c>
      <c r="AH116" s="223" t="s">
        <v>185</v>
      </c>
      <c r="AI116" s="244">
        <v>9</v>
      </c>
    </row>
    <row r="117">
      <c r="A117" s="211"/>
      <c r="B117" s="258" t="s">
        <v>171</v>
      </c>
      <c r="C117" s="248" t="s">
        <v>181</v>
      </c>
      <c r="D117" s="261">
        <v>1165.01</v>
      </c>
      <c r="E117" s="247">
        <v>0</v>
      </c>
      <c r="F117" s="247">
        <v>0</v>
      </c>
      <c r="G117" s="247">
        <v>0</v>
      </c>
      <c r="H117" s="236">
        <v>0</v>
      </c>
      <c r="I117" s="236"/>
      <c r="J117" s="240">
        <f t="shared" si="276"/>
      </c>
      <c r="K117" s="240">
        <f t="shared" si="336"/>
      </c>
      <c r="L117" s="240">
        <f t="shared" si="155"/>
      </c>
      <c r="M117" s="241">
        <f t="shared" si="216"/>
      </c>
      <c r="N117" s="240">
        <f t="shared" si="65"/>
      </c>
      <c r="O117" s="240">
        <f t="shared" si="95"/>
      </c>
      <c r="P117" s="241">
        <f t="shared" si="366"/>
      </c>
      <c r="Q117" s="241">
        <f t="shared" si="4"/>
      </c>
      <c r="R117" s="241">
        <f t="shared" si="246"/>
      </c>
      <c r="S117" s="241">
        <f t="shared" si="306"/>
      </c>
      <c r="T117" s="242">
        <f t="shared" si="125"/>
      </c>
      <c r="U117" s="243">
        <v>0.0325</v>
      </c>
      <c r="V117" s="244">
        <v>39</v>
      </c>
      <c r="W117" s="240">
        <f t="shared" si="34"/>
      </c>
      <c r="X117" s="242">
        <v>8415</v>
      </c>
      <c r="Y117" s="242">
        <v>456</v>
      </c>
      <c r="Z117" s="242">
        <v>27</v>
      </c>
      <c r="AA117" s="242">
        <v>629</v>
      </c>
      <c r="AB117" s="242">
        <v>17</v>
      </c>
      <c r="AC117" s="242">
        <v>4</v>
      </c>
      <c r="AD117" s="242">
        <v>1</v>
      </c>
      <c r="AE117" s="242">
        <v>13</v>
      </c>
      <c r="AF117" s="240">
        <f t="shared" si="185"/>
      </c>
      <c r="AG117" s="222" t="s">
        <v>173</v>
      </c>
      <c r="AH117" s="223" t="s">
        <v>185</v>
      </c>
      <c r="AI117" s="244">
        <v>13</v>
      </c>
    </row>
    <row r="118">
      <c r="A118" s="211"/>
      <c r="B118" s="258" t="s">
        <v>171</v>
      </c>
      <c r="C118" s="248" t="s">
        <v>182</v>
      </c>
      <c r="D118" s="261">
        <v>494.46</v>
      </c>
      <c r="E118" s="238">
        <v>5</v>
      </c>
      <c r="F118" s="238">
        <v>4</v>
      </c>
      <c r="G118" s="238">
        <v>2</v>
      </c>
      <c r="H118" s="261">
        <v>3662.4500000000007</v>
      </c>
      <c r="I118" s="261"/>
      <c r="J118" s="240">
        <f t="shared" si="276"/>
      </c>
      <c r="K118" s="240">
        <f t="shared" si="336"/>
      </c>
      <c r="L118" s="240">
        <f t="shared" si="155"/>
      </c>
      <c r="M118" s="241">
        <f t="shared" si="216"/>
      </c>
      <c r="N118" s="240">
        <f t="shared" si="65"/>
      </c>
      <c r="O118" s="240">
        <f t="shared" si="95"/>
      </c>
      <c r="P118" s="241">
        <f t="shared" si="366"/>
      </c>
      <c r="Q118" s="241">
        <f t="shared" si="4"/>
      </c>
      <c r="R118" s="241">
        <f t="shared" si="246"/>
      </c>
      <c r="S118" s="241">
        <f t="shared" si="306"/>
      </c>
      <c r="T118" s="242">
        <f t="shared" si="125"/>
      </c>
      <c r="U118" s="243">
        <v>0.0569</v>
      </c>
      <c r="V118" s="244">
        <v>39</v>
      </c>
      <c r="W118" s="240">
        <f t="shared" si="34"/>
      </c>
      <c r="X118" s="242">
        <v>3966</v>
      </c>
      <c r="Y118" s="242">
        <v>243</v>
      </c>
      <c r="Z118" s="242">
        <v>25</v>
      </c>
      <c r="AA118" s="242">
        <v>330</v>
      </c>
      <c r="AB118" s="242">
        <v>25</v>
      </c>
      <c r="AC118" s="242">
        <v>1</v>
      </c>
      <c r="AD118" s="242">
        <v>0</v>
      </c>
      <c r="AE118" s="242">
        <v>6</v>
      </c>
      <c r="AF118" s="240">
        <f t="shared" si="185"/>
      </c>
      <c r="AG118" s="222" t="s">
        <v>173</v>
      </c>
      <c r="AH118" s="223" t="s">
        <v>185</v>
      </c>
      <c r="AI118" s="244">
        <v>6</v>
      </c>
    </row>
    <row r="119">
      <c r="A119" s="211"/>
      <c r="B119" s="249" t="s">
        <v>165</v>
      </c>
      <c r="C119" s="249"/>
      <c r="D119" s="250">
        <f>SUM(D115:D118)</f>
      </c>
      <c r="E119" s="251">
        <f>SUM(E115:E118)</f>
      </c>
      <c r="F119" s="251">
        <f>SUM(F115:F118)</f>
      </c>
      <c r="G119" s="251">
        <f>SUM(G115:G118)</f>
      </c>
      <c r="H119" s="250">
        <f>SUM(H115:H118)</f>
      </c>
      <c r="I119" s="250"/>
      <c r="J119" s="252">
        <f t="shared" si="276"/>
      </c>
      <c r="K119" s="252">
        <f t="shared" si="336"/>
      </c>
      <c r="L119" s="252">
        <f t="shared" si="155"/>
      </c>
      <c r="M119" s="253">
        <f t="shared" si="216"/>
      </c>
      <c r="N119" s="252">
        <f t="shared" si="65"/>
      </c>
      <c r="O119" s="252">
        <f t="shared" si="95"/>
      </c>
      <c r="P119" s="253">
        <f t="shared" si="366"/>
      </c>
      <c r="Q119" s="253">
        <f t="shared" si="4"/>
      </c>
      <c r="R119" s="253">
        <f t="shared" si="246"/>
      </c>
      <c r="S119" s="253">
        <f t="shared" si="306"/>
      </c>
      <c r="T119" s="254">
        <f t="shared" si="125"/>
      </c>
      <c r="U119" s="253">
        <f>AVERAGE(U115:U118)</f>
      </c>
      <c r="V119" s="250">
        <f>AVERAGE(V115:V118)</f>
      </c>
      <c r="W119" s="252">
        <f t="shared" si="34"/>
      </c>
      <c r="X119" s="254">
        <f>SUM(X115:X118)</f>
      </c>
      <c r="Y119" s="254">
        <f>SUM(Y115:Y118)</f>
      </c>
      <c r="Z119" s="254">
        <f>SUM(Z115:Z118)</f>
      </c>
      <c r="AA119" s="254">
        <f>SUM(AA115:AA118)</f>
      </c>
      <c r="AB119" s="254">
        <f>SUM(AB115:AB118)</f>
      </c>
      <c r="AC119" s="254">
        <f>SUM(AC115:AC118)</f>
      </c>
      <c r="AD119" s="254">
        <f>SUM(AD115:AD118)</f>
      </c>
      <c r="AE119" s="254">
        <f>SUM(AE115:AE118)</f>
      </c>
      <c r="AF119" s="255">
        <f t="shared" si="185"/>
      </c>
      <c r="AG119" s="256"/>
      <c r="AH119" s="256"/>
      <c r="AI119" s="257">
        <f>SUM(AI115:AI118)</f>
      </c>
    </row>
    <row r="120">
      <c r="A120" s="211"/>
      <c r="B120" s="264" t="s">
        <v>183</v>
      </c>
      <c r="C120" s="264"/>
      <c r="D120" s="265">
        <f>D104+D109+D114+D119</f>
      </c>
      <c r="E120" s="265">
        <f>E104+E109+E114+E119</f>
      </c>
      <c r="F120" s="265">
        <f>F104+F109+F114+F119</f>
      </c>
      <c r="G120" s="265">
        <f>G104+G109+G114+G119</f>
      </c>
      <c r="H120" s="265">
        <f>H104+H109+H114+H119</f>
      </c>
      <c r="I120" s="265"/>
      <c r="J120" s="266">
        <f t="shared" si="276"/>
      </c>
      <c r="K120" s="267">
        <f t="shared" si="336"/>
      </c>
      <c r="L120" s="267">
        <f t="shared" si="155"/>
      </c>
      <c r="M120" s="268">
        <f t="shared" si="216"/>
      </c>
      <c r="N120" s="267">
        <f t="shared" si="65"/>
      </c>
      <c r="O120" s="267">
        <f t="shared" si="95"/>
      </c>
      <c r="P120" s="268">
        <f t="shared" si="366"/>
      </c>
      <c r="Q120" s="268">
        <f t="shared" si="4"/>
      </c>
      <c r="R120" s="268">
        <f t="shared" si="246"/>
      </c>
      <c r="S120" s="268">
        <f t="shared" si="306"/>
      </c>
      <c r="T120" s="269">
        <f t="shared" si="125"/>
      </c>
      <c r="U120" s="268">
        <f>(U104+U114+U109+U119)/4</f>
      </c>
      <c r="V120" s="267">
        <f>(V104+V114+V109+V119)/4</f>
      </c>
      <c r="W120" s="270">
        <f t="shared" si="34"/>
      </c>
      <c r="X120" s="269">
        <f>X104+X109+X114+X119</f>
      </c>
      <c r="Y120" s="269">
        <f>Y104+Y109+Y114+Y119</f>
      </c>
      <c r="Z120" s="269">
        <f>Z104+Z109+Z114+Z119</f>
      </c>
      <c r="AA120" s="269">
        <f>AA104+AA109+AA114+AA119</f>
      </c>
      <c r="AB120" s="269">
        <f>AB104+AB109+AB114+AB119</f>
      </c>
      <c r="AC120" s="269">
        <f>AC104+AC109+AC114+AC119</f>
      </c>
      <c r="AD120" s="269">
        <f>AD104+AD109+AD114+AD119</f>
      </c>
      <c r="AE120" s="269">
        <f>AE104+AE109+AE114+AE119</f>
      </c>
      <c r="AF120" s="267">
        <f>AF104</f>
      </c>
      <c r="AG120" s="264"/>
      <c r="AH120" s="264"/>
      <c r="AI120" s="269">
        <f>AI104+AI109+AI114+AI119</f>
      </c>
    </row>
    <row r="121">
      <c r="A121" s="193" t="s">
        <v>120</v>
      </c>
      <c r="B121" s="194" t="s">
        <v>121</v>
      </c>
      <c r="C121" s="194"/>
      <c r="D121" s="195" t="s">
        <v>122</v>
      </c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6" t="s">
        <v>123</v>
      </c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7"/>
    </row>
    <row r="122">
      <c r="A122" s="193"/>
      <c r="B122" s="194" t="s">
        <v>124</v>
      </c>
      <c r="C122" s="198" t="s">
        <v>125</v>
      </c>
      <c r="D122" s="199" t="s">
        <v>126</v>
      </c>
      <c r="E122" s="200" t="s">
        <v>127</v>
      </c>
      <c r="F122" s="201" t="s">
        <v>128</v>
      </c>
      <c r="G122" s="201" t="s">
        <v>129</v>
      </c>
      <c r="H122" s="199" t="s">
        <v>130</v>
      </c>
      <c r="I122" s="199"/>
      <c r="J122" s="202" t="s">
        <v>131</v>
      </c>
      <c r="K122" s="202" t="s">
        <v>132</v>
      </c>
      <c r="L122" s="202" t="s">
        <v>133</v>
      </c>
      <c r="M122" s="203" t="s">
        <v>134</v>
      </c>
      <c r="N122" s="202" t="s">
        <v>135</v>
      </c>
      <c r="O122" s="204" t="s">
        <v>136</v>
      </c>
      <c r="P122" s="205" t="s">
        <v>137</v>
      </c>
      <c r="Q122" s="205" t="s">
        <v>138</v>
      </c>
      <c r="R122" s="205" t="s">
        <v>139</v>
      </c>
      <c r="S122" s="205" t="s">
        <v>140</v>
      </c>
      <c r="T122" s="206" t="s">
        <v>141</v>
      </c>
      <c r="U122" s="207" t="s">
        <v>142</v>
      </c>
      <c r="V122" s="208" t="s">
        <v>143</v>
      </c>
      <c r="W122" s="196" t="s">
        <v>144</v>
      </c>
      <c r="X122" s="209" t="s">
        <v>145</v>
      </c>
      <c r="Y122" s="209" t="s">
        <v>146</v>
      </c>
      <c r="Z122" s="209" t="s">
        <v>147</v>
      </c>
      <c r="AA122" s="209" t="s">
        <v>148</v>
      </c>
      <c r="AB122" s="209" t="s">
        <v>149</v>
      </c>
      <c r="AC122" s="209" t="s">
        <v>150</v>
      </c>
      <c r="AD122" s="209" t="s">
        <v>151</v>
      </c>
      <c r="AE122" s="209" t="s">
        <v>152</v>
      </c>
      <c r="AF122" s="196" t="s">
        <v>153</v>
      </c>
      <c r="AG122" s="210" t="s">
        <v>154</v>
      </c>
      <c r="AH122" s="210" t="s">
        <v>155</v>
      </c>
      <c r="AI122" s="197" t="s">
        <v>156</v>
      </c>
    </row>
    <row r="123">
      <c r="A123" s="211">
        <v>46179</v>
      </c>
      <c r="B123" s="248" t="s">
        <v>186</v>
      </c>
      <c r="C123" s="213" t="s">
        <v>158</v>
      </c>
      <c r="D123" s="214">
        <v>2305.31</v>
      </c>
      <c r="E123" s="215">
        <v>9</v>
      </c>
      <c r="F123" s="215">
        <v>8</v>
      </c>
      <c r="G123" s="215">
        <v>7</v>
      </c>
      <c r="H123" s="214">
        <v>6889.3</v>
      </c>
      <c r="I123" s="214"/>
      <c r="J123" s="216">
        <f t="shared" ref="J123:J144" si="277">H123/D123</f>
      </c>
      <c r="K123" s="217">
        <f t="shared" ref="K123:K144" si="337">D123/F123</f>
      </c>
      <c r="L123" s="217">
        <f t="shared" ref="L123:L144" si="156">D123/G123</f>
      </c>
      <c r="M123" s="218">
        <f t="shared" ref="M123:M144" si="217">F123/E123</f>
      </c>
      <c r="N123" s="217">
        <f t="shared" ref="N123:N144" si="66">H123/F123</f>
      </c>
      <c r="O123" s="217">
        <f t="shared" ref="O123:O144" si="96">D123/Y123</f>
      </c>
      <c r="P123" s="218">
        <f t="shared" ref="P123:P144" si="367">T123/X123*1</f>
      </c>
      <c r="Q123" s="218">
        <f t="shared" ref="Q123:Q144" si="5">Y123/X123</f>
      </c>
      <c r="R123" s="218">
        <f t="shared" ref="R123:R144" si="247">AA123/X123</f>
      </c>
      <c r="S123" s="218">
        <f t="shared" ref="S123:S144" si="307">AB123/AA123</f>
      </c>
      <c r="T123" s="219">
        <f t="shared" ref="T123:T144" si="126">Z123/U123</f>
      </c>
      <c r="U123" s="220">
        <v>0.0573</v>
      </c>
      <c r="V123" s="221">
        <v>55</v>
      </c>
      <c r="W123" s="217">
        <v>41</v>
      </c>
      <c r="X123" s="221">
        <v>15229</v>
      </c>
      <c r="Y123" s="221">
        <v>527</v>
      </c>
      <c r="Z123" s="219">
        <v>69</v>
      </c>
      <c r="AA123" s="219">
        <v>808</v>
      </c>
      <c r="AB123" s="219">
        <v>80</v>
      </c>
      <c r="AC123" s="219">
        <v>11</v>
      </c>
      <c r="AD123" s="221">
        <v>1</v>
      </c>
      <c r="AE123" s="221">
        <v>19</v>
      </c>
      <c r="AF123" s="217">
        <f t="shared" ref="AF123:AF143" si="186">AI123*1000/D123</f>
      </c>
      <c r="AG123" s="222" t="s">
        <v>159</v>
      </c>
      <c r="AH123" s="223" t="s">
        <v>184</v>
      </c>
      <c r="AI123" s="221">
        <v>37</v>
      </c>
    </row>
    <row r="124">
      <c r="A124" s="211"/>
      <c r="B124" s="248" t="s">
        <v>186</v>
      </c>
      <c r="C124" s="213" t="s">
        <v>161</v>
      </c>
      <c r="D124" s="214">
        <v>4068.1</v>
      </c>
      <c r="E124" s="215">
        <v>8</v>
      </c>
      <c r="F124" s="215">
        <v>8</v>
      </c>
      <c r="G124" s="215">
        <v>6</v>
      </c>
      <c r="H124" s="214">
        <v>5788.199999999998</v>
      </c>
      <c r="I124" s="214"/>
      <c r="J124" s="216">
        <f t="shared" si="277"/>
      </c>
      <c r="K124" s="217">
        <f t="shared" si="337"/>
      </c>
      <c r="L124" s="217">
        <f t="shared" si="156"/>
      </c>
      <c r="M124" s="218">
        <f t="shared" si="217"/>
      </c>
      <c r="N124" s="217">
        <f t="shared" si="66"/>
      </c>
      <c r="O124" s="217">
        <f t="shared" si="96"/>
      </c>
      <c r="P124" s="218">
        <f t="shared" si="367"/>
      </c>
      <c r="Q124" s="218">
        <f t="shared" si="5"/>
      </c>
      <c r="R124" s="218">
        <f t="shared" si="247"/>
      </c>
      <c r="S124" s="218">
        <f t="shared" si="307"/>
      </c>
      <c r="T124" s="219">
        <f t="shared" si="126"/>
      </c>
      <c r="U124" s="220">
        <v>0.0769</v>
      </c>
      <c r="V124" s="221">
        <v>50</v>
      </c>
      <c r="W124" s="217">
        <f t="shared" ref="W124:W144" si="35">(D124/X124)*1000</f>
      </c>
      <c r="X124" s="221">
        <v>29704</v>
      </c>
      <c r="Y124" s="221">
        <v>689</v>
      </c>
      <c r="Z124" s="219">
        <v>96</v>
      </c>
      <c r="AA124" s="219">
        <v>1064</v>
      </c>
      <c r="AB124" s="221">
        <v>103</v>
      </c>
      <c r="AC124" s="219">
        <v>9</v>
      </c>
      <c r="AD124" s="221">
        <v>0</v>
      </c>
      <c r="AE124" s="221">
        <v>53</v>
      </c>
      <c r="AF124" s="217">
        <f t="shared" si="186"/>
      </c>
      <c r="AG124" s="222" t="s">
        <v>159</v>
      </c>
      <c r="AH124" s="223" t="s">
        <v>184</v>
      </c>
      <c r="AI124" s="221">
        <v>44</v>
      </c>
    </row>
    <row r="125">
      <c r="A125" s="211"/>
      <c r="B125" s="248" t="s">
        <v>186</v>
      </c>
      <c r="C125" s="224" t="s">
        <v>162</v>
      </c>
      <c r="D125" s="214">
        <v>3026.64</v>
      </c>
      <c r="E125" s="215">
        <v>8</v>
      </c>
      <c r="F125" s="215">
        <v>7</v>
      </c>
      <c r="G125" s="215">
        <v>5</v>
      </c>
      <c r="H125" s="214">
        <v>4284.500000000002</v>
      </c>
      <c r="I125" s="214"/>
      <c r="J125" s="216">
        <f t="shared" si="277"/>
      </c>
      <c r="K125" s="217">
        <f t="shared" si="337"/>
      </c>
      <c r="L125" s="217">
        <f t="shared" si="156"/>
      </c>
      <c r="M125" s="218">
        <f t="shared" si="217"/>
      </c>
      <c r="N125" s="217">
        <f t="shared" si="66"/>
      </c>
      <c r="O125" s="217">
        <f t="shared" si="96"/>
      </c>
      <c r="P125" s="218">
        <f t="shared" si="367"/>
      </c>
      <c r="Q125" s="218">
        <f t="shared" si="5"/>
      </c>
      <c r="R125" s="218">
        <f t="shared" si="247"/>
      </c>
      <c r="S125" s="218">
        <f t="shared" si="307"/>
      </c>
      <c r="T125" s="219">
        <f t="shared" si="126"/>
      </c>
      <c r="U125" s="220">
        <v>0.0792</v>
      </c>
      <c r="V125" s="221">
        <v>54</v>
      </c>
      <c r="W125" s="217">
        <f t="shared" si="35"/>
      </c>
      <c r="X125" s="221">
        <v>26681</v>
      </c>
      <c r="Y125" s="221">
        <v>682</v>
      </c>
      <c r="Z125" s="219">
        <v>98</v>
      </c>
      <c r="AA125" s="219">
        <v>900</v>
      </c>
      <c r="AB125" s="221">
        <v>148</v>
      </c>
      <c r="AC125" s="219">
        <v>6</v>
      </c>
      <c r="AD125" s="221">
        <v>2</v>
      </c>
      <c r="AE125" s="221">
        <v>29</v>
      </c>
      <c r="AF125" s="217">
        <f t="shared" si="186"/>
      </c>
      <c r="AG125" s="222" t="s">
        <v>159</v>
      </c>
      <c r="AH125" s="223" t="s">
        <v>184</v>
      </c>
      <c r="AI125" s="221">
        <v>32</v>
      </c>
    </row>
    <row r="126">
      <c r="A126" s="211"/>
      <c r="B126" s="248" t="s">
        <v>186</v>
      </c>
      <c r="C126" s="213" t="s">
        <v>163</v>
      </c>
      <c r="D126" s="214">
        <v>3119.8</v>
      </c>
      <c r="E126" s="215">
        <v>12</v>
      </c>
      <c r="F126" s="215">
        <v>9</v>
      </c>
      <c r="G126" s="215">
        <v>9</v>
      </c>
      <c r="H126" s="214">
        <v>5903.700000000001</v>
      </c>
      <c r="I126" s="214"/>
      <c r="J126" s="216">
        <f t="shared" si="277"/>
      </c>
      <c r="K126" s="217">
        <f t="shared" si="337"/>
      </c>
      <c r="L126" s="217">
        <f t="shared" si="156"/>
      </c>
      <c r="M126" s="218">
        <f t="shared" si="217"/>
      </c>
      <c r="N126" s="217">
        <f t="shared" si="66"/>
      </c>
      <c r="O126" s="217">
        <f t="shared" si="96"/>
      </c>
      <c r="P126" s="218">
        <f t="shared" si="367"/>
      </c>
      <c r="Q126" s="218">
        <f t="shared" si="5"/>
      </c>
      <c r="R126" s="218">
        <f t="shared" si="247"/>
      </c>
      <c r="S126" s="218">
        <f t="shared" si="307"/>
      </c>
      <c r="T126" s="219">
        <f t="shared" si="126"/>
      </c>
      <c r="U126" s="220">
        <v>0.0827</v>
      </c>
      <c r="V126" s="221">
        <v>56</v>
      </c>
      <c r="W126" s="217">
        <f t="shared" si="35"/>
      </c>
      <c r="X126" s="221">
        <v>21840</v>
      </c>
      <c r="Y126" s="221">
        <v>484</v>
      </c>
      <c r="Z126" s="221">
        <v>82</v>
      </c>
      <c r="AA126" s="221">
        <v>679</v>
      </c>
      <c r="AB126" s="221">
        <v>123</v>
      </c>
      <c r="AC126" s="221">
        <v>6</v>
      </c>
      <c r="AD126" s="221">
        <v>2</v>
      </c>
      <c r="AE126" s="221">
        <v>29</v>
      </c>
      <c r="AF126" s="217">
        <f t="shared" si="186"/>
      </c>
      <c r="AG126" s="222" t="s">
        <v>159</v>
      </c>
      <c r="AH126" s="223" t="s">
        <v>184</v>
      </c>
      <c r="AI126" s="221">
        <v>32</v>
      </c>
    </row>
    <row r="127">
      <c r="A127" s="211"/>
      <c r="B127" s="248" t="s">
        <v>186</v>
      </c>
      <c r="C127" s="212" t="s">
        <v>164</v>
      </c>
      <c r="D127" s="225">
        <v>2703.05</v>
      </c>
      <c r="E127" s="226">
        <v>6</v>
      </c>
      <c r="F127" s="226">
        <v>4</v>
      </c>
      <c r="G127" s="226">
        <v>1</v>
      </c>
      <c r="H127" s="225">
        <v>2945.7999999999993</v>
      </c>
      <c r="I127" s="225"/>
      <c r="J127" s="217">
        <f t="shared" si="277"/>
      </c>
      <c r="K127" s="217">
        <f t="shared" si="337"/>
      </c>
      <c r="L127" s="217">
        <f t="shared" si="156"/>
      </c>
      <c r="M127" s="218">
        <f t="shared" si="217"/>
      </c>
      <c r="N127" s="217">
        <f t="shared" si="66"/>
      </c>
      <c r="O127" s="217">
        <f t="shared" si="96"/>
      </c>
      <c r="P127" s="218">
        <f t="shared" si="367"/>
      </c>
      <c r="Q127" s="218">
        <f t="shared" si="5"/>
      </c>
      <c r="R127" s="218">
        <f t="shared" si="247"/>
      </c>
      <c r="S127" s="218">
        <f t="shared" si="307"/>
      </c>
      <c r="T127" s="219">
        <f t="shared" si="126"/>
      </c>
      <c r="U127" s="220">
        <v>0.0909</v>
      </c>
      <c r="V127" s="221">
        <v>58</v>
      </c>
      <c r="W127" s="217">
        <f t="shared" si="35"/>
      </c>
      <c r="X127" s="219">
        <v>20717</v>
      </c>
      <c r="Y127" s="219">
        <v>443</v>
      </c>
      <c r="Z127" s="219">
        <v>85</v>
      </c>
      <c r="AA127" s="219">
        <v>667</v>
      </c>
      <c r="AB127" s="219">
        <v>61</v>
      </c>
      <c r="AC127" s="219">
        <v>8</v>
      </c>
      <c r="AD127" s="219">
        <v>1</v>
      </c>
      <c r="AE127" s="219">
        <v>25</v>
      </c>
      <c r="AF127" s="217">
        <f t="shared" si="186"/>
      </c>
      <c r="AG127" s="222" t="s">
        <v>159</v>
      </c>
      <c r="AH127" s="223" t="s">
        <v>184</v>
      </c>
      <c r="AI127" s="221">
        <v>28</v>
      </c>
    </row>
    <row r="128">
      <c r="A128" s="211"/>
      <c r="B128" s="227" t="s">
        <v>165</v>
      </c>
      <c r="C128" s="227"/>
      <c r="D128" s="228">
        <f>SUM(D123:D127)</f>
      </c>
      <c r="E128" s="229">
        <f>SUM(E123:E127)</f>
      </c>
      <c r="F128" s="229">
        <f>SUM(F123:F127)</f>
      </c>
      <c r="G128" s="229">
        <f>SUM(G123:G127)</f>
      </c>
      <c r="H128" s="228">
        <f>SUM(H123:H127)</f>
      </c>
      <c r="I128" s="228"/>
      <c r="J128" s="230">
        <f t="shared" si="277"/>
      </c>
      <c r="K128" s="230">
        <f t="shared" si="337"/>
      </c>
      <c r="L128" s="230">
        <f t="shared" si="156"/>
      </c>
      <c r="M128" s="231">
        <f t="shared" si="217"/>
      </c>
      <c r="N128" s="230">
        <f t="shared" si="66"/>
      </c>
      <c r="O128" s="230">
        <f t="shared" si="96"/>
      </c>
      <c r="P128" s="231">
        <f t="shared" si="367"/>
      </c>
      <c r="Q128" s="231">
        <f t="shared" si="5"/>
      </c>
      <c r="R128" s="231">
        <f t="shared" si="247"/>
      </c>
      <c r="S128" s="231">
        <f t="shared" si="307"/>
      </c>
      <c r="T128" s="229">
        <f t="shared" si="126"/>
      </c>
      <c r="U128" s="231">
        <f>AVERAGE(U123:U127)</f>
      </c>
      <c r="V128" s="228">
        <f>AVERAGE(V123:V127)</f>
      </c>
      <c r="W128" s="230">
        <f t="shared" si="35"/>
      </c>
      <c r="X128" s="229">
        <f>SUM(X123:X127)</f>
      </c>
      <c r="Y128" s="229">
        <f>SUM(Y123:Y127)</f>
      </c>
      <c r="Z128" s="229">
        <f>SUM(Z123:Z127)</f>
      </c>
      <c r="AA128" s="229">
        <f>SUM(AA123:AA127)</f>
      </c>
      <c r="AB128" s="229">
        <f>SUM(AB123:AB127)</f>
      </c>
      <c r="AC128" s="229">
        <f>SUM(AC123:AC127)</f>
      </c>
      <c r="AD128" s="229">
        <f>SUM(AD123:AD127)</f>
      </c>
      <c r="AE128" s="229">
        <f>SUM(AE123:AE127)</f>
      </c>
      <c r="AF128" s="232">
        <f t="shared" si="186"/>
      </c>
      <c r="AG128" s="233"/>
      <c r="AH128" s="233"/>
      <c r="AI128" s="234">
        <f>SUM(AI123:AI127)</f>
      </c>
    </row>
    <row r="129">
      <c r="A129" s="211"/>
      <c r="B129" s="212" t="s">
        <v>178</v>
      </c>
      <c r="C129" s="235" t="s">
        <v>167</v>
      </c>
      <c r="D129" s="236">
        <v>1731.15</v>
      </c>
      <c r="E129" s="237">
        <v>6</v>
      </c>
      <c r="F129" s="237">
        <v>5</v>
      </c>
      <c r="G129" s="238">
        <v>1</v>
      </c>
      <c r="H129" s="239">
        <v>4678.8499999999985</v>
      </c>
      <c r="I129" s="239"/>
      <c r="J129" s="240">
        <f t="shared" si="277"/>
      </c>
      <c r="K129" s="240">
        <f t="shared" si="337"/>
      </c>
      <c r="L129" s="240">
        <f t="shared" si="156"/>
      </c>
      <c r="M129" s="241">
        <f t="shared" si="217"/>
      </c>
      <c r="N129" s="240">
        <f t="shared" si="66"/>
      </c>
      <c r="O129" s="240">
        <f t="shared" si="96"/>
      </c>
      <c r="P129" s="241">
        <f t="shared" si="367"/>
      </c>
      <c r="Q129" s="241">
        <f t="shared" si="5"/>
      </c>
      <c r="R129" s="241">
        <f t="shared" si="247"/>
      </c>
      <c r="S129" s="241">
        <f t="shared" si="307"/>
      </c>
      <c r="T129" s="242">
        <f t="shared" si="126"/>
      </c>
      <c r="U129" s="243">
        <v>0.0623</v>
      </c>
      <c r="V129" s="244">
        <v>55</v>
      </c>
      <c r="W129" s="240">
        <f t="shared" si="35"/>
      </c>
      <c r="X129" s="242">
        <v>14342</v>
      </c>
      <c r="Y129" s="242">
        <v>428</v>
      </c>
      <c r="Z129" s="242">
        <v>50</v>
      </c>
      <c r="AA129" s="242">
        <v>615</v>
      </c>
      <c r="AB129" s="242">
        <v>23</v>
      </c>
      <c r="AC129" s="242">
        <v>2</v>
      </c>
      <c r="AD129" s="242">
        <v>0</v>
      </c>
      <c r="AE129" s="242">
        <v>12</v>
      </c>
      <c r="AF129" s="240">
        <f t="shared" si="186"/>
      </c>
      <c r="AG129" s="222" t="s">
        <v>159</v>
      </c>
      <c r="AH129" s="223" t="s">
        <v>184</v>
      </c>
      <c r="AI129" s="244">
        <v>12</v>
      </c>
    </row>
    <row r="130">
      <c r="A130" s="211"/>
      <c r="B130" s="212" t="s">
        <v>178</v>
      </c>
      <c r="C130" s="245" t="s">
        <v>168</v>
      </c>
      <c r="D130" s="246">
        <v>1642.17</v>
      </c>
      <c r="E130" s="247">
        <v>3</v>
      </c>
      <c r="F130" s="247">
        <v>0</v>
      </c>
      <c r="G130" s="247">
        <v>0</v>
      </c>
      <c r="H130" s="239">
        <v>0</v>
      </c>
      <c r="I130" s="239"/>
      <c r="J130" s="240">
        <f t="shared" si="277"/>
      </c>
      <c r="K130" s="240">
        <f t="shared" si="337"/>
      </c>
      <c r="L130" s="240">
        <f t="shared" si="156"/>
      </c>
      <c r="M130" s="241">
        <f t="shared" si="217"/>
      </c>
      <c r="N130" s="240">
        <f t="shared" si="66"/>
      </c>
      <c r="O130" s="240">
        <f t="shared" si="96"/>
      </c>
      <c r="P130" s="241">
        <f t="shared" si="367"/>
      </c>
      <c r="Q130" s="241">
        <f t="shared" si="5"/>
      </c>
      <c r="R130" s="241">
        <f t="shared" si="247"/>
      </c>
      <c r="S130" s="241">
        <f t="shared" si="307"/>
      </c>
      <c r="T130" s="242">
        <f t="shared" si="126"/>
      </c>
      <c r="U130" s="243">
        <v>0.0856</v>
      </c>
      <c r="V130" s="244">
        <v>52</v>
      </c>
      <c r="W130" s="240">
        <f t="shared" si="35"/>
      </c>
      <c r="X130" s="242">
        <v>12218</v>
      </c>
      <c r="Y130" s="242">
        <v>466</v>
      </c>
      <c r="Z130" s="242">
        <v>70</v>
      </c>
      <c r="AA130" s="242">
        <v>646</v>
      </c>
      <c r="AB130" s="242">
        <v>36</v>
      </c>
      <c r="AC130" s="242">
        <v>6</v>
      </c>
      <c r="AD130" s="242">
        <v>2</v>
      </c>
      <c r="AE130" s="242">
        <v>16</v>
      </c>
      <c r="AF130" s="240">
        <f t="shared" si="186"/>
      </c>
      <c r="AG130" s="222" t="s">
        <v>159</v>
      </c>
      <c r="AH130" s="223" t="s">
        <v>184</v>
      </c>
      <c r="AI130" s="244">
        <v>22</v>
      </c>
    </row>
    <row r="131">
      <c r="A131" s="211"/>
      <c r="B131" s="212" t="s">
        <v>178</v>
      </c>
      <c r="C131" s="235" t="s">
        <v>169</v>
      </c>
      <c r="D131" s="236">
        <v>1337.75</v>
      </c>
      <c r="E131" s="247">
        <v>3</v>
      </c>
      <c r="F131" s="247">
        <v>1</v>
      </c>
      <c r="G131" s="247">
        <v>1</v>
      </c>
      <c r="H131" s="236">
        <v>451</v>
      </c>
      <c r="I131" s="236"/>
      <c r="J131" s="240">
        <f t="shared" si="277"/>
      </c>
      <c r="K131" s="240">
        <f t="shared" si="337"/>
      </c>
      <c r="L131" s="240">
        <f t="shared" si="156"/>
      </c>
      <c r="M131" s="241">
        <f t="shared" si="217"/>
      </c>
      <c r="N131" s="240">
        <f t="shared" si="66"/>
      </c>
      <c r="O131" s="240">
        <f t="shared" si="96"/>
      </c>
      <c r="P131" s="241">
        <f t="shared" si="367"/>
      </c>
      <c r="Q131" s="241">
        <f t="shared" si="5"/>
      </c>
      <c r="R131" s="241">
        <f t="shared" si="247"/>
      </c>
      <c r="S131" s="241">
        <f t="shared" si="307"/>
      </c>
      <c r="T131" s="242">
        <f t="shared" si="126"/>
      </c>
      <c r="U131" s="243">
        <v>0.0718</v>
      </c>
      <c r="V131" s="244">
        <v>50</v>
      </c>
      <c r="W131" s="240">
        <f t="shared" si="35"/>
      </c>
      <c r="X131" s="242">
        <v>9734</v>
      </c>
      <c r="Y131" s="242">
        <v>436</v>
      </c>
      <c r="Z131" s="242">
        <v>55</v>
      </c>
      <c r="AA131" s="242">
        <v>591</v>
      </c>
      <c r="AB131" s="242">
        <v>37</v>
      </c>
      <c r="AC131" s="242">
        <v>4</v>
      </c>
      <c r="AD131" s="242">
        <v>1</v>
      </c>
      <c r="AE131" s="242">
        <v>16</v>
      </c>
      <c r="AF131" s="240">
        <f t="shared" si="186"/>
      </c>
      <c r="AG131" s="222" t="s">
        <v>159</v>
      </c>
      <c r="AH131" s="223" t="s">
        <v>184</v>
      </c>
      <c r="AI131" s="244">
        <v>16</v>
      </c>
    </row>
    <row r="132">
      <c r="A132" s="211"/>
      <c r="B132" s="212" t="s">
        <v>178</v>
      </c>
      <c r="C132" s="248" t="s">
        <v>170</v>
      </c>
      <c r="D132" s="236">
        <v>1466.69</v>
      </c>
      <c r="E132" s="238">
        <v>5</v>
      </c>
      <c r="F132" s="238">
        <v>3</v>
      </c>
      <c r="G132" s="238">
        <v>3</v>
      </c>
      <c r="H132" s="236">
        <v>1758.9000000000015</v>
      </c>
      <c r="I132" s="236"/>
      <c r="J132" s="240">
        <f t="shared" si="277"/>
      </c>
      <c r="K132" s="240">
        <f t="shared" si="337"/>
      </c>
      <c r="L132" s="240">
        <f t="shared" si="156"/>
      </c>
      <c r="M132" s="241">
        <f t="shared" si="217"/>
      </c>
      <c r="N132" s="240">
        <f t="shared" si="66"/>
      </c>
      <c r="O132" s="240">
        <f t="shared" si="96"/>
      </c>
      <c r="P132" s="241">
        <f t="shared" si="367"/>
      </c>
      <c r="Q132" s="241">
        <f t="shared" si="5"/>
      </c>
      <c r="R132" s="241">
        <f t="shared" si="247"/>
      </c>
      <c r="S132" s="241">
        <f t="shared" si="307"/>
      </c>
      <c r="T132" s="242">
        <f t="shared" si="126"/>
      </c>
      <c r="U132" s="243">
        <v>0.0607</v>
      </c>
      <c r="V132" s="244">
        <v>50</v>
      </c>
      <c r="W132" s="240">
        <f t="shared" si="35"/>
      </c>
      <c r="X132" s="242">
        <v>10629</v>
      </c>
      <c r="Y132" s="242">
        <v>388</v>
      </c>
      <c r="Z132" s="242">
        <v>46</v>
      </c>
      <c r="AA132" s="242">
        <v>550</v>
      </c>
      <c r="AB132" s="242">
        <v>44</v>
      </c>
      <c r="AC132" s="242">
        <v>8</v>
      </c>
      <c r="AD132" s="242">
        <v>0</v>
      </c>
      <c r="AE132" s="242">
        <v>3</v>
      </c>
      <c r="AF132" s="240">
        <f t="shared" si="186"/>
      </c>
      <c r="AG132" s="222" t="s">
        <v>159</v>
      </c>
      <c r="AH132" s="223" t="s">
        <v>184</v>
      </c>
      <c r="AI132" s="244">
        <v>19</v>
      </c>
    </row>
    <row r="133">
      <c r="A133" s="211"/>
      <c r="B133" s="249" t="s">
        <v>165</v>
      </c>
      <c r="C133" s="249"/>
      <c r="D133" s="250">
        <f>SUM(D129:D132)</f>
      </c>
      <c r="E133" s="251">
        <f>SUM(E129:E132)</f>
      </c>
      <c r="F133" s="251">
        <f>SUM(F129:F132)</f>
      </c>
      <c r="G133" s="251">
        <f>SUM(G129:G132)</f>
      </c>
      <c r="H133" s="250">
        <f>SUM(H129:H132)</f>
      </c>
      <c r="I133" s="250"/>
      <c r="J133" s="252">
        <f t="shared" si="277"/>
      </c>
      <c r="K133" s="252">
        <f t="shared" si="337"/>
      </c>
      <c r="L133" s="252">
        <f t="shared" si="156"/>
      </c>
      <c r="M133" s="253">
        <f t="shared" si="217"/>
      </c>
      <c r="N133" s="252">
        <f t="shared" si="66"/>
      </c>
      <c r="O133" s="252">
        <f t="shared" si="96"/>
      </c>
      <c r="P133" s="253">
        <f t="shared" si="367"/>
      </c>
      <c r="Q133" s="253">
        <f t="shared" si="5"/>
      </c>
      <c r="R133" s="253">
        <f t="shared" si="247"/>
      </c>
      <c r="S133" s="253">
        <f t="shared" si="307"/>
      </c>
      <c r="T133" s="254">
        <f t="shared" si="126"/>
      </c>
      <c r="U133" s="253">
        <f>AVERAGE(U129:U132)</f>
      </c>
      <c r="V133" s="250">
        <f>AVERAGE(V129:V132)</f>
      </c>
      <c r="W133" s="252">
        <f t="shared" si="35"/>
      </c>
      <c r="X133" s="254">
        <f>SUM(X129:X132)</f>
      </c>
      <c r="Y133" s="254">
        <f>SUM(Y129:Y132)</f>
      </c>
      <c r="Z133" s="254">
        <f>SUM(Z129:Z132)</f>
      </c>
      <c r="AA133" s="254">
        <f>SUM(AA129:AA132)</f>
      </c>
      <c r="AB133" s="254">
        <f>SUM(AB129:AB132)</f>
      </c>
      <c r="AC133" s="254">
        <f>SUM(AC129:AC132)</f>
      </c>
      <c r="AD133" s="254">
        <f>SUM(AD129:AD132)</f>
      </c>
      <c r="AE133" s="254">
        <f>SUM(AE129:AE132)</f>
      </c>
      <c r="AF133" s="255">
        <f t="shared" si="186"/>
      </c>
      <c r="AG133" s="256"/>
      <c r="AH133" s="256"/>
      <c r="AI133" s="257">
        <f>SUM(AI129:AI132)</f>
      </c>
    </row>
    <row r="134">
      <c r="A134" s="211"/>
      <c r="B134" s="258" t="s">
        <v>171</v>
      </c>
      <c r="C134" s="235" t="s">
        <v>172</v>
      </c>
      <c r="D134" s="212">
        <v>1296.89</v>
      </c>
      <c r="E134" s="215">
        <v>2</v>
      </c>
      <c r="F134" s="215">
        <v>1</v>
      </c>
      <c r="G134" s="215">
        <v>1</v>
      </c>
      <c r="H134" s="215">
        <v>1811.699999999997</v>
      </c>
      <c r="I134" s="215"/>
      <c r="J134" s="217">
        <f t="shared" si="277"/>
      </c>
      <c r="K134" s="217">
        <f t="shared" si="337"/>
      </c>
      <c r="L134" s="217">
        <f t="shared" si="156"/>
      </c>
      <c r="M134" s="218">
        <f t="shared" si="217"/>
      </c>
      <c r="N134" s="217">
        <f t="shared" si="66"/>
      </c>
      <c r="O134" s="217">
        <f t="shared" si="96"/>
      </c>
      <c r="P134" s="218">
        <f t="shared" si="367"/>
      </c>
      <c r="Q134" s="218">
        <f t="shared" si="5"/>
      </c>
      <c r="R134" s="218">
        <f t="shared" si="247"/>
      </c>
      <c r="S134" s="218">
        <f t="shared" si="307"/>
      </c>
      <c r="T134" s="219">
        <f t="shared" si="126"/>
      </c>
      <c r="U134" s="220">
        <v>0.065</v>
      </c>
      <c r="V134" s="221">
        <v>51</v>
      </c>
      <c r="W134" s="217">
        <f t="shared" si="35"/>
      </c>
      <c r="X134" s="221">
        <v>10397</v>
      </c>
      <c r="Y134" s="221">
        <v>360</v>
      </c>
      <c r="Z134" s="219">
        <v>44</v>
      </c>
      <c r="AA134" s="219">
        <v>497</v>
      </c>
      <c r="AB134" s="219">
        <v>49</v>
      </c>
      <c r="AC134" s="219">
        <v>1</v>
      </c>
      <c r="AD134" s="221">
        <v>0</v>
      </c>
      <c r="AE134" s="221">
        <v>19</v>
      </c>
      <c r="AF134" s="217">
        <f t="shared" si="186"/>
      </c>
      <c r="AG134" s="222" t="s">
        <v>173</v>
      </c>
      <c r="AH134" s="223" t="s">
        <v>184</v>
      </c>
      <c r="AI134" s="221">
        <v>20</v>
      </c>
    </row>
    <row r="135">
      <c r="A135" s="211"/>
      <c r="B135" s="258" t="s">
        <v>171</v>
      </c>
      <c r="C135" s="245" t="s">
        <v>175</v>
      </c>
      <c r="D135" s="212">
        <v>965.54</v>
      </c>
      <c r="E135" s="215">
        <v>3</v>
      </c>
      <c r="F135" s="215">
        <v>2</v>
      </c>
      <c r="G135" s="215">
        <v>1</v>
      </c>
      <c r="H135" s="214">
        <v>902</v>
      </c>
      <c r="I135" s="214"/>
      <c r="J135" s="217">
        <f t="shared" si="277"/>
      </c>
      <c r="K135" s="217">
        <f t="shared" si="337"/>
      </c>
      <c r="L135" s="217">
        <f t="shared" si="156"/>
      </c>
      <c r="M135" s="218">
        <f t="shared" si="217"/>
      </c>
      <c r="N135" s="217">
        <f t="shared" si="66"/>
      </c>
      <c r="O135" s="217">
        <f t="shared" si="96"/>
      </c>
      <c r="P135" s="218">
        <f t="shared" si="367"/>
      </c>
      <c r="Q135" s="218">
        <f t="shared" si="5"/>
      </c>
      <c r="R135" s="218">
        <f t="shared" si="247"/>
      </c>
      <c r="S135" s="218">
        <f t="shared" si="307"/>
      </c>
      <c r="T135" s="219">
        <f t="shared" si="126"/>
      </c>
      <c r="U135" s="220">
        <v>0.0381</v>
      </c>
      <c r="V135" s="221">
        <v>50</v>
      </c>
      <c r="W135" s="217">
        <f t="shared" si="35"/>
      </c>
      <c r="X135" s="219">
        <v>6980</v>
      </c>
      <c r="Y135" s="219">
        <v>354</v>
      </c>
      <c r="Z135" s="219">
        <v>25</v>
      </c>
      <c r="AA135" s="219">
        <v>464</v>
      </c>
      <c r="AB135" s="219">
        <v>31</v>
      </c>
      <c r="AC135" s="219">
        <v>4</v>
      </c>
      <c r="AD135" s="219">
        <v>0</v>
      </c>
      <c r="AE135" s="221">
        <v>9</v>
      </c>
      <c r="AF135" s="217">
        <f t="shared" si="186"/>
      </c>
      <c r="AG135" s="222" t="s">
        <v>173</v>
      </c>
      <c r="AH135" s="223" t="s">
        <v>184</v>
      </c>
      <c r="AI135" s="221">
        <v>17</v>
      </c>
    </row>
    <row r="136">
      <c r="A136" s="211"/>
      <c r="B136" s="258" t="s">
        <v>171</v>
      </c>
      <c r="C136" s="235" t="s">
        <v>176</v>
      </c>
      <c r="D136" s="212">
        <v>476.48</v>
      </c>
      <c r="E136" s="215">
        <v>2</v>
      </c>
      <c r="F136" s="215">
        <v>2</v>
      </c>
      <c r="G136" s="215">
        <v>1</v>
      </c>
      <c r="H136" s="214">
        <v>1307.9000000000015</v>
      </c>
      <c r="I136" s="214"/>
      <c r="J136" s="217">
        <f t="shared" si="277"/>
      </c>
      <c r="K136" s="217">
        <f t="shared" si="337"/>
      </c>
      <c r="L136" s="217">
        <f t="shared" si="156"/>
      </c>
      <c r="M136" s="218">
        <f t="shared" si="217"/>
      </c>
      <c r="N136" s="217">
        <f t="shared" si="66"/>
      </c>
      <c r="O136" s="217">
        <f t="shared" si="96"/>
      </c>
      <c r="P136" s="218">
        <f t="shared" si="367"/>
      </c>
      <c r="Q136" s="218">
        <f t="shared" si="5"/>
      </c>
      <c r="R136" s="218">
        <f t="shared" si="247"/>
      </c>
      <c r="S136" s="218">
        <f t="shared" si="307"/>
      </c>
      <c r="T136" s="219">
        <f t="shared" si="126"/>
      </c>
      <c r="U136" s="220">
        <v>0.033</v>
      </c>
      <c r="V136" s="221">
        <v>46</v>
      </c>
      <c r="W136" s="217">
        <f t="shared" si="35"/>
      </c>
      <c r="X136" s="221">
        <v>4331</v>
      </c>
      <c r="Y136" s="221">
        <v>275</v>
      </c>
      <c r="Z136" s="221">
        <v>18</v>
      </c>
      <c r="AA136" s="221">
        <v>378</v>
      </c>
      <c r="AB136" s="221">
        <v>8</v>
      </c>
      <c r="AC136" s="221">
        <v>4</v>
      </c>
      <c r="AD136" s="221">
        <v>0</v>
      </c>
      <c r="AE136" s="221">
        <v>5</v>
      </c>
      <c r="AF136" s="217">
        <f t="shared" si="186"/>
      </c>
      <c r="AG136" s="222" t="s">
        <v>173</v>
      </c>
      <c r="AH136" s="223" t="s">
        <v>187</v>
      </c>
      <c r="AI136" s="221">
        <v>9</v>
      </c>
    </row>
    <row r="137">
      <c r="A137" s="211"/>
      <c r="B137" s="258" t="s">
        <v>171</v>
      </c>
      <c r="C137" s="235" t="s">
        <v>177</v>
      </c>
      <c r="D137" s="212">
        <v>597.33</v>
      </c>
      <c r="E137" s="215">
        <v>3</v>
      </c>
      <c r="F137" s="215">
        <v>3</v>
      </c>
      <c r="G137" s="215">
        <v>3</v>
      </c>
      <c r="H137" s="214">
        <v>1683</v>
      </c>
      <c r="I137" s="214"/>
      <c r="J137" s="217">
        <f t="shared" si="277"/>
      </c>
      <c r="K137" s="217">
        <f t="shared" si="337"/>
      </c>
      <c r="L137" s="217">
        <f t="shared" si="156"/>
      </c>
      <c r="M137" s="218">
        <f t="shared" si="217"/>
      </c>
      <c r="N137" s="217">
        <f t="shared" si="66"/>
      </c>
      <c r="O137" s="217">
        <f t="shared" si="96"/>
      </c>
      <c r="P137" s="218">
        <f t="shared" si="367"/>
      </c>
      <c r="Q137" s="218">
        <f t="shared" si="5"/>
      </c>
      <c r="R137" s="218">
        <f t="shared" si="247"/>
      </c>
      <c r="S137" s="218">
        <f t="shared" si="307"/>
      </c>
      <c r="T137" s="219">
        <f t="shared" si="126"/>
      </c>
      <c r="U137" s="220">
        <v>0.0542</v>
      </c>
      <c r="V137" s="221">
        <v>47</v>
      </c>
      <c r="W137" s="217">
        <f t="shared" si="35"/>
      </c>
      <c r="X137" s="221">
        <v>4234</v>
      </c>
      <c r="Y137" s="221">
        <v>246</v>
      </c>
      <c r="Z137" s="219">
        <v>30</v>
      </c>
      <c r="AA137" s="219">
        <v>376</v>
      </c>
      <c r="AB137" s="219">
        <v>30</v>
      </c>
      <c r="AC137" s="219">
        <v>1</v>
      </c>
      <c r="AD137" s="221">
        <v>1</v>
      </c>
      <c r="AE137" s="221">
        <v>5</v>
      </c>
      <c r="AF137" s="217">
        <f t="shared" si="186"/>
      </c>
      <c r="AG137" s="222" t="s">
        <v>173</v>
      </c>
      <c r="AH137" s="223" t="s">
        <v>187</v>
      </c>
      <c r="AI137" s="221">
        <v>18</v>
      </c>
    </row>
    <row r="138">
      <c r="A138" s="211"/>
      <c r="B138" s="227" t="s">
        <v>165</v>
      </c>
      <c r="C138" s="227"/>
      <c r="D138" s="259">
        <f>SUM(D134:D137)</f>
      </c>
      <c r="E138" s="260">
        <f>SUM(E134:E137)</f>
      </c>
      <c r="F138" s="260">
        <f>SUM(F134:F137)</f>
      </c>
      <c r="G138" s="260">
        <f>SUM(G134:G137)</f>
      </c>
      <c r="H138" s="259">
        <f>SUM(H134:H137)</f>
      </c>
      <c r="I138" s="259"/>
      <c r="J138" s="230">
        <f t="shared" si="277"/>
      </c>
      <c r="K138" s="230">
        <f t="shared" si="337"/>
      </c>
      <c r="L138" s="230">
        <f t="shared" si="156"/>
      </c>
      <c r="M138" s="231">
        <f t="shared" si="217"/>
      </c>
      <c r="N138" s="230">
        <f t="shared" si="66"/>
      </c>
      <c r="O138" s="230">
        <f t="shared" si="96"/>
      </c>
      <c r="P138" s="231">
        <f t="shared" si="367"/>
      </c>
      <c r="Q138" s="231">
        <f t="shared" si="5"/>
      </c>
      <c r="R138" s="231">
        <f t="shared" si="247"/>
      </c>
      <c r="S138" s="231">
        <f t="shared" si="307"/>
      </c>
      <c r="T138" s="229">
        <f t="shared" si="126"/>
      </c>
      <c r="U138" s="231">
        <f>AVERAGE(U134:U137)</f>
      </c>
      <c r="V138" s="228">
        <f>AVERAGE(V134:V137)</f>
      </c>
      <c r="W138" s="230">
        <f t="shared" si="35"/>
      </c>
      <c r="X138" s="229">
        <f>SUM(X134:X137)</f>
      </c>
      <c r="Y138" s="229">
        <f>SUM(Y134:Y137)</f>
      </c>
      <c r="Z138" s="229">
        <f>SUM(Z134:Z137)</f>
      </c>
      <c r="AA138" s="229">
        <f>SUM(AA134:AA137)</f>
      </c>
      <c r="AB138" s="229">
        <f>SUM(AB134:AB137)</f>
      </c>
      <c r="AC138" s="229">
        <f>SUM(AC134:AC137)</f>
      </c>
      <c r="AD138" s="229">
        <f>SUM(AD134:AD137)</f>
      </c>
      <c r="AE138" s="229">
        <f>SUM(AE134:AE137)</f>
      </c>
      <c r="AF138" s="232">
        <f t="shared" si="186"/>
      </c>
      <c r="AG138" s="233"/>
      <c r="AH138" s="233"/>
      <c r="AI138" s="229">
        <f>SUM(AI134:AI137)</f>
      </c>
    </row>
    <row r="139">
      <c r="A139" s="211"/>
      <c r="B139" s="212" t="s">
        <v>166</v>
      </c>
      <c r="C139" s="248" t="s">
        <v>179</v>
      </c>
      <c r="D139" s="261">
        <v>891.5</v>
      </c>
      <c r="E139" s="237">
        <v>0</v>
      </c>
      <c r="F139" s="237">
        <v>0</v>
      </c>
      <c r="G139" s="238">
        <v>0</v>
      </c>
      <c r="H139" s="239">
        <v>0</v>
      </c>
      <c r="I139" s="239"/>
      <c r="J139" s="240">
        <f t="shared" si="277"/>
      </c>
      <c r="K139" s="240">
        <f t="shared" si="337"/>
      </c>
      <c r="L139" s="240">
        <f t="shared" si="156"/>
      </c>
      <c r="M139" s="241">
        <f t="shared" si="217"/>
      </c>
      <c r="N139" s="240">
        <f t="shared" si="66"/>
      </c>
      <c r="O139" s="240">
        <f t="shared" si="96"/>
      </c>
      <c r="P139" s="241">
        <f t="shared" si="367"/>
      </c>
      <c r="Q139" s="241">
        <f t="shared" si="5"/>
      </c>
      <c r="R139" s="241">
        <f t="shared" si="247"/>
      </c>
      <c r="S139" s="241">
        <f t="shared" si="307"/>
      </c>
      <c r="T139" s="242">
        <f t="shared" si="126"/>
      </c>
      <c r="U139" s="243">
        <v>0.0614</v>
      </c>
      <c r="V139" s="244">
        <v>47</v>
      </c>
      <c r="W139" s="240">
        <f t="shared" si="35"/>
      </c>
      <c r="X139" s="242">
        <v>6094</v>
      </c>
      <c r="Y139" s="242">
        <v>331</v>
      </c>
      <c r="Z139" s="242">
        <v>40</v>
      </c>
      <c r="AA139" s="242">
        <v>463</v>
      </c>
      <c r="AB139" s="242">
        <v>40</v>
      </c>
      <c r="AC139" s="242">
        <v>5</v>
      </c>
      <c r="AD139" s="242">
        <v>1</v>
      </c>
      <c r="AE139" s="242">
        <v>4</v>
      </c>
      <c r="AF139" s="240">
        <f t="shared" si="186"/>
      </c>
      <c r="AG139" s="222" t="s">
        <v>173</v>
      </c>
      <c r="AH139" s="223" t="s">
        <v>187</v>
      </c>
      <c r="AI139" s="244">
        <v>12</v>
      </c>
    </row>
    <row r="140">
      <c r="A140" s="211"/>
      <c r="B140" s="212" t="s">
        <v>166</v>
      </c>
      <c r="C140" s="248" t="s">
        <v>180</v>
      </c>
      <c r="D140" s="262">
        <v>1107.79</v>
      </c>
      <c r="E140" s="247">
        <v>2</v>
      </c>
      <c r="F140" s="247">
        <v>2</v>
      </c>
      <c r="G140" s="247">
        <v>1</v>
      </c>
      <c r="H140" s="263">
        <v>902</v>
      </c>
      <c r="I140" s="263"/>
      <c r="J140" s="240">
        <f t="shared" si="277"/>
      </c>
      <c r="K140" s="240">
        <f t="shared" si="337"/>
      </c>
      <c r="L140" s="240">
        <f t="shared" si="156"/>
      </c>
      <c r="M140" s="241">
        <f t="shared" si="217"/>
      </c>
      <c r="N140" s="240">
        <f t="shared" si="66"/>
      </c>
      <c r="O140" s="240">
        <f t="shared" si="96"/>
      </c>
      <c r="P140" s="241">
        <f t="shared" si="367"/>
      </c>
      <c r="Q140" s="241">
        <f t="shared" si="5"/>
      </c>
      <c r="R140" s="241">
        <f t="shared" si="247"/>
      </c>
      <c r="S140" s="241">
        <f t="shared" si="307"/>
      </c>
      <c r="T140" s="242">
        <f t="shared" si="126"/>
      </c>
      <c r="U140" s="243">
        <v>0.0607</v>
      </c>
      <c r="V140" s="244">
        <v>46</v>
      </c>
      <c r="W140" s="240">
        <f t="shared" si="35"/>
      </c>
      <c r="X140" s="242">
        <v>7449</v>
      </c>
      <c r="Y140" s="242">
        <v>454</v>
      </c>
      <c r="Z140" s="242">
        <v>50</v>
      </c>
      <c r="AA140" s="242">
        <v>595</v>
      </c>
      <c r="AB140" s="242">
        <v>37</v>
      </c>
      <c r="AC140" s="242">
        <v>8</v>
      </c>
      <c r="AD140" s="242">
        <v>0</v>
      </c>
      <c r="AE140" s="242">
        <v>8</v>
      </c>
      <c r="AF140" s="240">
        <f t="shared" si="186"/>
      </c>
      <c r="AG140" s="222" t="s">
        <v>173</v>
      </c>
      <c r="AH140" s="223" t="s">
        <v>187</v>
      </c>
      <c r="AI140" s="244">
        <v>16</v>
      </c>
    </row>
    <row r="141">
      <c r="A141" s="211"/>
      <c r="B141" s="212" t="s">
        <v>166</v>
      </c>
      <c r="C141" s="248" t="s">
        <v>181</v>
      </c>
      <c r="D141" s="261">
        <v>1468.73</v>
      </c>
      <c r="E141" s="247">
        <v>4</v>
      </c>
      <c r="F141" s="247">
        <v>3</v>
      </c>
      <c r="G141" s="247">
        <v>2</v>
      </c>
      <c r="H141" s="236">
        <v>1713.800000000003</v>
      </c>
      <c r="I141" s="236"/>
      <c r="J141" s="240">
        <f t="shared" si="277"/>
      </c>
      <c r="K141" s="240">
        <f t="shared" si="337"/>
      </c>
      <c r="L141" s="240">
        <f t="shared" si="156"/>
      </c>
      <c r="M141" s="241">
        <f t="shared" si="217"/>
      </c>
      <c r="N141" s="240">
        <f t="shared" si="66"/>
      </c>
      <c r="O141" s="240">
        <f t="shared" si="96"/>
      </c>
      <c r="P141" s="241">
        <f t="shared" si="367"/>
      </c>
      <c r="Q141" s="241">
        <f t="shared" si="5"/>
      </c>
      <c r="R141" s="241">
        <f t="shared" si="247"/>
      </c>
      <c r="S141" s="241">
        <f t="shared" si="307"/>
      </c>
      <c r="T141" s="242">
        <f t="shared" si="126"/>
      </c>
      <c r="U141" s="243">
        <v>0.0544</v>
      </c>
      <c r="V141" s="244">
        <v>45</v>
      </c>
      <c r="W141" s="240">
        <f t="shared" si="35"/>
      </c>
      <c r="X141" s="242">
        <v>8961</v>
      </c>
      <c r="Y141" s="242">
        <v>448</v>
      </c>
      <c r="Z141" s="242">
        <v>53</v>
      </c>
      <c r="AA141" s="242">
        <v>634</v>
      </c>
      <c r="AB141" s="242">
        <v>30</v>
      </c>
      <c r="AC141" s="242">
        <v>2</v>
      </c>
      <c r="AD141" s="242">
        <v>0</v>
      </c>
      <c r="AE141" s="242">
        <v>14</v>
      </c>
      <c r="AF141" s="240">
        <f t="shared" si="186"/>
      </c>
      <c r="AG141" s="222" t="s">
        <v>173</v>
      </c>
      <c r="AH141" s="223" t="s">
        <v>187</v>
      </c>
      <c r="AI141" s="244">
        <v>21</v>
      </c>
    </row>
    <row r="142">
      <c r="A142" s="211"/>
      <c r="B142" s="212" t="s">
        <v>166</v>
      </c>
      <c r="C142" s="248" t="s">
        <v>182</v>
      </c>
      <c r="D142" s="261">
        <v>561.91</v>
      </c>
      <c r="E142" s="238">
        <v>2</v>
      </c>
      <c r="F142" s="238">
        <v>2</v>
      </c>
      <c r="G142" s="238">
        <v>2</v>
      </c>
      <c r="H142" s="261">
        <v>902</v>
      </c>
      <c r="I142" s="261"/>
      <c r="J142" s="240">
        <f t="shared" si="277"/>
      </c>
      <c r="K142" s="240">
        <f t="shared" si="337"/>
      </c>
      <c r="L142" s="240">
        <f t="shared" si="156"/>
      </c>
      <c r="M142" s="241">
        <f t="shared" si="217"/>
      </c>
      <c r="N142" s="240">
        <f t="shared" si="66"/>
      </c>
      <c r="O142" s="240">
        <f t="shared" si="96"/>
      </c>
      <c r="P142" s="241">
        <f t="shared" si="367"/>
      </c>
      <c r="Q142" s="241">
        <f t="shared" si="5"/>
      </c>
      <c r="R142" s="241">
        <f t="shared" si="247"/>
      </c>
      <c r="S142" s="241">
        <f t="shared" si="307"/>
      </c>
      <c r="T142" s="242">
        <f t="shared" si="126"/>
      </c>
      <c r="U142" s="243">
        <v>0.0519</v>
      </c>
      <c r="V142" s="244">
        <v>45</v>
      </c>
      <c r="W142" s="240">
        <f t="shared" si="35"/>
      </c>
      <c r="X142" s="242">
        <v>4045</v>
      </c>
      <c r="Y142" s="242">
        <v>161</v>
      </c>
      <c r="Z142" s="242">
        <v>21</v>
      </c>
      <c r="AA142" s="242">
        <v>257</v>
      </c>
      <c r="AB142" s="242">
        <v>8</v>
      </c>
      <c r="AC142" s="242">
        <v>1</v>
      </c>
      <c r="AD142" s="242">
        <v>0</v>
      </c>
      <c r="AE142" s="242">
        <v>8</v>
      </c>
      <c r="AF142" s="240">
        <f t="shared" si="186"/>
      </c>
      <c r="AG142" s="222" t="s">
        <v>173</v>
      </c>
      <c r="AH142" s="223" t="s">
        <v>187</v>
      </c>
      <c r="AI142" s="244">
        <v>4</v>
      </c>
    </row>
    <row r="143">
      <c r="A143" s="211"/>
      <c r="B143" s="249" t="s">
        <v>165</v>
      </c>
      <c r="C143" s="249"/>
      <c r="D143" s="250">
        <f>SUM(D139:D142)</f>
      </c>
      <c r="E143" s="251">
        <f>SUM(E139:E142)</f>
      </c>
      <c r="F143" s="251">
        <f>SUM(F139:F142)</f>
      </c>
      <c r="G143" s="251">
        <f>SUM(G139:G142)</f>
      </c>
      <c r="H143" s="250">
        <f>SUM(H139:H142)</f>
      </c>
      <c r="I143" s="250"/>
      <c r="J143" s="252">
        <f t="shared" si="277"/>
      </c>
      <c r="K143" s="252">
        <f t="shared" si="337"/>
      </c>
      <c r="L143" s="252">
        <f t="shared" si="156"/>
      </c>
      <c r="M143" s="253">
        <f t="shared" si="217"/>
      </c>
      <c r="N143" s="252">
        <f t="shared" si="66"/>
      </c>
      <c r="O143" s="252">
        <f t="shared" si="96"/>
      </c>
      <c r="P143" s="253">
        <f t="shared" si="367"/>
      </c>
      <c r="Q143" s="253">
        <f t="shared" si="5"/>
      </c>
      <c r="R143" s="253">
        <f t="shared" si="247"/>
      </c>
      <c r="S143" s="253">
        <f t="shared" si="307"/>
      </c>
      <c r="T143" s="254">
        <f t="shared" si="126"/>
      </c>
      <c r="U143" s="253">
        <f>AVERAGE(U139:U142)</f>
      </c>
      <c r="V143" s="250">
        <f>AVERAGE(V139:V142)</f>
      </c>
      <c r="W143" s="252">
        <f t="shared" si="35"/>
      </c>
      <c r="X143" s="254">
        <f>SUM(X139:X142)</f>
      </c>
      <c r="Y143" s="254">
        <f>SUM(Y139:Y142)</f>
      </c>
      <c r="Z143" s="254">
        <f>SUM(Z139:Z142)</f>
      </c>
      <c r="AA143" s="254">
        <f>SUM(AA139:AA142)</f>
      </c>
      <c r="AB143" s="254">
        <f>SUM(AB139:AB142)</f>
      </c>
      <c r="AC143" s="254">
        <f>SUM(AC139:AC142)</f>
      </c>
      <c r="AD143" s="254">
        <f>SUM(AD139:AD142)</f>
      </c>
      <c r="AE143" s="254">
        <f>SUM(AE139:AE142)</f>
      </c>
      <c r="AF143" s="255">
        <f t="shared" si="186"/>
      </c>
      <c r="AG143" s="256"/>
      <c r="AH143" s="256"/>
      <c r="AI143" s="257">
        <f>SUM(AI139:AI142)</f>
      </c>
    </row>
    <row r="144">
      <c r="A144" s="211"/>
      <c r="B144" s="264" t="s">
        <v>183</v>
      </c>
      <c r="C144" s="264"/>
      <c r="D144" s="265">
        <f>D128+D133+D138+D143</f>
      </c>
      <c r="E144" s="265">
        <f>E128+E133+E138+E143</f>
      </c>
      <c r="F144" s="265">
        <f>F128+F133+F138+F143</f>
      </c>
      <c r="G144" s="265">
        <f>G128+G133+G138+G143</f>
      </c>
      <c r="H144" s="265">
        <f>H128+H133+H138+H143</f>
      </c>
      <c r="I144" s="265"/>
      <c r="J144" s="266">
        <f t="shared" si="277"/>
      </c>
      <c r="K144" s="267">
        <f t="shared" si="337"/>
      </c>
      <c r="L144" s="267">
        <f t="shared" si="156"/>
      </c>
      <c r="M144" s="268">
        <f t="shared" si="217"/>
      </c>
      <c r="N144" s="267">
        <f t="shared" si="66"/>
      </c>
      <c r="O144" s="267">
        <f t="shared" si="96"/>
      </c>
      <c r="P144" s="268">
        <f t="shared" si="367"/>
      </c>
      <c r="Q144" s="268">
        <f t="shared" si="5"/>
      </c>
      <c r="R144" s="268">
        <f t="shared" si="247"/>
      </c>
      <c r="S144" s="268">
        <f t="shared" si="307"/>
      </c>
      <c r="T144" s="269">
        <f t="shared" si="126"/>
      </c>
      <c r="U144" s="268">
        <f>(U128+U138+U133+U143)/4</f>
      </c>
      <c r="V144" s="267">
        <f>(V128+V138+V133+V143)/4</f>
      </c>
      <c r="W144" s="270">
        <f t="shared" si="35"/>
      </c>
      <c r="X144" s="269">
        <f>X128+X133+X138+X143</f>
      </c>
      <c r="Y144" s="269">
        <f>Y128+Y133+Y138+Y143</f>
      </c>
      <c r="Z144" s="269">
        <f>Z128+Z133+Z138+Z143</f>
      </c>
      <c r="AA144" s="269">
        <f>AA128+AA133+AA138+AA143</f>
      </c>
      <c r="AB144" s="269">
        <f>AB128+AB133+AB138+AB143</f>
      </c>
      <c r="AC144" s="269">
        <f>AC128+AC133+AC138+AC143</f>
      </c>
      <c r="AD144" s="269">
        <f>AD128+AD133+AD138+AD143</f>
      </c>
      <c r="AE144" s="269">
        <f>AE128+AE133+AE138+AE143</f>
      </c>
      <c r="AF144" s="267">
        <f>AF128</f>
      </c>
      <c r="AG144" s="264"/>
      <c r="AH144" s="264"/>
      <c r="AI144" s="269">
        <f>AI128+AI133+AI138+AI143</f>
      </c>
    </row>
    <row r="145">
      <c r="A145" s="193" t="s">
        <v>120</v>
      </c>
      <c r="B145" s="194" t="s">
        <v>121</v>
      </c>
      <c r="C145" s="194"/>
      <c r="D145" s="195" t="s">
        <v>122</v>
      </c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6" t="s">
        <v>123</v>
      </c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7"/>
    </row>
    <row r="146">
      <c r="A146" s="193"/>
      <c r="B146" s="194" t="s">
        <v>124</v>
      </c>
      <c r="C146" s="198" t="s">
        <v>125</v>
      </c>
      <c r="D146" s="199" t="s">
        <v>126</v>
      </c>
      <c r="E146" s="200" t="s">
        <v>127</v>
      </c>
      <c r="F146" s="201" t="s">
        <v>128</v>
      </c>
      <c r="G146" s="201" t="s">
        <v>129</v>
      </c>
      <c r="H146" s="199" t="s">
        <v>130</v>
      </c>
      <c r="I146" s="199"/>
      <c r="J146" s="202" t="s">
        <v>131</v>
      </c>
      <c r="K146" s="202" t="s">
        <v>132</v>
      </c>
      <c r="L146" s="202" t="s">
        <v>133</v>
      </c>
      <c r="M146" s="203" t="s">
        <v>134</v>
      </c>
      <c r="N146" s="202" t="s">
        <v>135</v>
      </c>
      <c r="O146" s="204" t="s">
        <v>136</v>
      </c>
      <c r="P146" s="205" t="s">
        <v>137</v>
      </c>
      <c r="Q146" s="205" t="s">
        <v>138</v>
      </c>
      <c r="R146" s="205" t="s">
        <v>139</v>
      </c>
      <c r="S146" s="205" t="s">
        <v>140</v>
      </c>
      <c r="T146" s="206" t="s">
        <v>141</v>
      </c>
      <c r="U146" s="207" t="s">
        <v>142</v>
      </c>
      <c r="V146" s="208" t="s">
        <v>143</v>
      </c>
      <c r="W146" s="196" t="s">
        <v>144</v>
      </c>
      <c r="X146" s="209" t="s">
        <v>145</v>
      </c>
      <c r="Y146" s="209" t="s">
        <v>146</v>
      </c>
      <c r="Z146" s="209" t="s">
        <v>147</v>
      </c>
      <c r="AA146" s="209" t="s">
        <v>148</v>
      </c>
      <c r="AB146" s="209" t="s">
        <v>149</v>
      </c>
      <c r="AC146" s="209" t="s">
        <v>150</v>
      </c>
      <c r="AD146" s="209" t="s">
        <v>151</v>
      </c>
      <c r="AE146" s="209" t="s">
        <v>152</v>
      </c>
      <c r="AF146" s="196" t="s">
        <v>153</v>
      </c>
      <c r="AG146" s="210" t="s">
        <v>154</v>
      </c>
      <c r="AH146" s="210" t="s">
        <v>155</v>
      </c>
      <c r="AI146" s="197" t="s">
        <v>156</v>
      </c>
    </row>
    <row r="147">
      <c r="A147" s="211">
        <v>46180</v>
      </c>
      <c r="B147" s="248" t="s">
        <v>186</v>
      </c>
      <c r="C147" s="213" t="s">
        <v>158</v>
      </c>
      <c r="D147" s="214">
        <v>2337.99</v>
      </c>
      <c r="E147" s="215">
        <v>10</v>
      </c>
      <c r="F147" s="215">
        <v>6</v>
      </c>
      <c r="G147" s="215">
        <v>6</v>
      </c>
      <c r="H147" s="214">
        <v>4507.700000000001</v>
      </c>
      <c r="I147" s="214"/>
      <c r="J147" s="216">
        <f t="shared" ref="J147:J168" si="278">H147/D147</f>
      </c>
      <c r="K147" s="217">
        <f t="shared" ref="K147:K168" si="338">D147/F147</f>
      </c>
      <c r="L147" s="217">
        <f t="shared" ref="L147:L168" si="157">D147/G147</f>
      </c>
      <c r="M147" s="218">
        <f t="shared" ref="M147:M168" si="218">F147/E147</f>
      </c>
      <c r="N147" s="217">
        <f t="shared" ref="N147:N168" si="67">H147/F147</f>
      </c>
      <c r="O147" s="217">
        <f t="shared" ref="O147:O168" si="97">D147/Y147</f>
      </c>
      <c r="P147" s="218">
        <f t="shared" ref="P147:P168" si="368">T147/X147*1</f>
      </c>
      <c r="Q147" s="218">
        <f t="shared" ref="Q147:Q168" si="6">Y147/X147</f>
      </c>
      <c r="R147" s="218">
        <f t="shared" ref="R147:R168" si="248">AA147/X147</f>
      </c>
      <c r="S147" s="218">
        <f t="shared" ref="S147:S168" si="308">AB147/AA147</f>
      </c>
      <c r="T147" s="219">
        <f t="shared" ref="T147:T168" si="127">Z147/U147</f>
      </c>
      <c r="U147" s="220">
        <v>0.0706</v>
      </c>
      <c r="V147" s="221">
        <v>63</v>
      </c>
      <c r="W147" s="217">
        <f t="shared" ref="W147:W168" si="36">(D147/X147)*1000</f>
      </c>
      <c r="X147" s="221">
        <v>13382</v>
      </c>
      <c r="Y147" s="221">
        <v>440</v>
      </c>
      <c r="Z147" s="219">
        <v>75</v>
      </c>
      <c r="AA147" s="219">
        <v>702</v>
      </c>
      <c r="AB147" s="219">
        <v>78</v>
      </c>
      <c r="AC147" s="219">
        <v>6</v>
      </c>
      <c r="AD147" s="221">
        <v>0</v>
      </c>
      <c r="AE147" s="221">
        <v>16</v>
      </c>
      <c r="AF147" s="217">
        <f t="shared" ref="AF147:AF167" si="187">AI147*1000/D147</f>
      </c>
      <c r="AG147" s="222" t="s">
        <v>159</v>
      </c>
      <c r="AH147" s="223" t="s">
        <v>188</v>
      </c>
      <c r="AI147" s="221">
        <v>43</v>
      </c>
    </row>
    <row r="148">
      <c r="A148" s="211"/>
      <c r="B148" s="248" t="s">
        <v>186</v>
      </c>
      <c r="C148" s="213" t="s">
        <v>161</v>
      </c>
      <c r="D148" s="214">
        <v>2721.55</v>
      </c>
      <c r="E148" s="215">
        <v>6</v>
      </c>
      <c r="F148" s="215">
        <v>4</v>
      </c>
      <c r="G148" s="215">
        <v>4</v>
      </c>
      <c r="H148" s="214">
        <v>2945.7999999999993</v>
      </c>
      <c r="I148" s="214"/>
      <c r="J148" s="216">
        <f t="shared" si="278"/>
      </c>
      <c r="K148" s="217">
        <f t="shared" si="338"/>
      </c>
      <c r="L148" s="217">
        <f t="shared" si="157"/>
      </c>
      <c r="M148" s="218">
        <f t="shared" si="218"/>
      </c>
      <c r="N148" s="217">
        <f t="shared" si="67"/>
      </c>
      <c r="O148" s="217">
        <f t="shared" si="97"/>
      </c>
      <c r="P148" s="218">
        <f t="shared" si="368"/>
      </c>
      <c r="Q148" s="218">
        <f t="shared" si="6"/>
      </c>
      <c r="R148" s="218">
        <f t="shared" si="248"/>
      </c>
      <c r="S148" s="218">
        <f t="shared" si="308"/>
      </c>
      <c r="T148" s="219">
        <f t="shared" si="127"/>
      </c>
      <c r="U148" s="220">
        <v>0.0511</v>
      </c>
      <c r="V148" s="221">
        <v>56</v>
      </c>
      <c r="W148" s="217">
        <f t="shared" si="36"/>
      </c>
      <c r="X148" s="221">
        <v>18561</v>
      </c>
      <c r="Y148" s="221">
        <v>501</v>
      </c>
      <c r="Z148" s="219">
        <v>60</v>
      </c>
      <c r="AA148" s="219">
        <v>812</v>
      </c>
      <c r="AB148" s="221">
        <v>66</v>
      </c>
      <c r="AC148" s="219">
        <v>13</v>
      </c>
      <c r="AD148" s="221">
        <v>0</v>
      </c>
      <c r="AE148" s="221">
        <v>25</v>
      </c>
      <c r="AF148" s="217">
        <f t="shared" si="187"/>
      </c>
      <c r="AG148" s="222" t="s">
        <v>159</v>
      </c>
      <c r="AH148" s="223" t="s">
        <v>188</v>
      </c>
      <c r="AI148" s="221">
        <v>37</v>
      </c>
    </row>
    <row r="149">
      <c r="A149" s="211"/>
      <c r="B149" s="248" t="s">
        <v>186</v>
      </c>
      <c r="C149" s="224" t="s">
        <v>162</v>
      </c>
      <c r="D149" s="214">
        <v>2449.54</v>
      </c>
      <c r="E149" s="215">
        <v>4</v>
      </c>
      <c r="F149" s="215">
        <v>2</v>
      </c>
      <c r="G149" s="215">
        <v>2</v>
      </c>
      <c r="H149" s="214">
        <v>902</v>
      </c>
      <c r="I149" s="214"/>
      <c r="J149" s="216">
        <f t="shared" si="278"/>
      </c>
      <c r="K149" s="217">
        <f t="shared" si="338"/>
      </c>
      <c r="L149" s="217">
        <f t="shared" si="157"/>
      </c>
      <c r="M149" s="218">
        <f t="shared" si="218"/>
      </c>
      <c r="N149" s="217">
        <f t="shared" si="67"/>
      </c>
      <c r="O149" s="217">
        <f t="shared" si="97"/>
      </c>
      <c r="P149" s="218">
        <f t="shared" si="368"/>
      </c>
      <c r="Q149" s="218">
        <f t="shared" si="6"/>
      </c>
      <c r="R149" s="218">
        <f t="shared" si="248"/>
      </c>
      <c r="S149" s="218">
        <f t="shared" si="308"/>
      </c>
      <c r="T149" s="219">
        <f t="shared" si="127"/>
      </c>
      <c r="U149" s="220">
        <v>0.0604</v>
      </c>
      <c r="V149" s="221">
        <v>56</v>
      </c>
      <c r="W149" s="217">
        <f t="shared" si="36"/>
      </c>
      <c r="X149" s="221">
        <v>16758</v>
      </c>
      <c r="Y149" s="221">
        <v>488</v>
      </c>
      <c r="Z149" s="219">
        <v>67</v>
      </c>
      <c r="AA149" s="219">
        <v>694</v>
      </c>
      <c r="AB149" s="221">
        <v>84</v>
      </c>
      <c r="AC149" s="219">
        <v>13</v>
      </c>
      <c r="AD149" s="221">
        <v>3</v>
      </c>
      <c r="AE149" s="221">
        <v>19</v>
      </c>
      <c r="AF149" s="217">
        <f t="shared" si="187"/>
      </c>
      <c r="AG149" s="222" t="s">
        <v>159</v>
      </c>
      <c r="AH149" s="223" t="s">
        <v>188</v>
      </c>
      <c r="AI149" s="221">
        <v>27</v>
      </c>
    </row>
    <row r="150">
      <c r="A150" s="211"/>
      <c r="B150" s="248" t="s">
        <v>186</v>
      </c>
      <c r="C150" s="213" t="s">
        <v>163</v>
      </c>
      <c r="D150" s="214">
        <v>1415.95</v>
      </c>
      <c r="E150" s="215">
        <v>4</v>
      </c>
      <c r="F150" s="215">
        <v>3</v>
      </c>
      <c r="G150" s="215">
        <v>3</v>
      </c>
      <c r="H150" s="214">
        <v>2013</v>
      </c>
      <c r="I150" s="214"/>
      <c r="J150" s="216">
        <f t="shared" si="278"/>
      </c>
      <c r="K150" s="217">
        <f t="shared" si="338"/>
      </c>
      <c r="L150" s="217">
        <f t="shared" si="157"/>
      </c>
      <c r="M150" s="218">
        <f t="shared" si="218"/>
      </c>
      <c r="N150" s="217">
        <f t="shared" si="67"/>
      </c>
      <c r="O150" s="217">
        <f t="shared" si="97"/>
      </c>
      <c r="P150" s="218">
        <f t="shared" si="368"/>
      </c>
      <c r="Q150" s="218">
        <f t="shared" si="6"/>
      </c>
      <c r="R150" s="218">
        <f t="shared" si="248"/>
      </c>
      <c r="S150" s="218">
        <f t="shared" si="308"/>
      </c>
      <c r="T150" s="219">
        <f t="shared" si="127"/>
      </c>
      <c r="U150" s="220">
        <v>0.0493</v>
      </c>
      <c r="V150" s="221">
        <v>53</v>
      </c>
      <c r="W150" s="217">
        <f t="shared" si="36"/>
      </c>
      <c r="X150" s="221">
        <v>10696</v>
      </c>
      <c r="Y150" s="221">
        <v>350</v>
      </c>
      <c r="Z150" s="221">
        <v>41</v>
      </c>
      <c r="AA150" s="221">
        <v>541</v>
      </c>
      <c r="AB150" s="221">
        <v>45</v>
      </c>
      <c r="AC150" s="221">
        <v>2</v>
      </c>
      <c r="AD150" s="221">
        <v>0</v>
      </c>
      <c r="AE150" s="221">
        <v>10</v>
      </c>
      <c r="AF150" s="217">
        <f t="shared" si="187"/>
      </c>
      <c r="AG150" s="222" t="s">
        <v>159</v>
      </c>
      <c r="AH150" s="223" t="s">
        <v>188</v>
      </c>
      <c r="AI150" s="221">
        <v>22</v>
      </c>
    </row>
    <row r="151">
      <c r="A151" s="211"/>
      <c r="B151" s="248" t="s">
        <v>186</v>
      </c>
      <c r="C151" s="212" t="s">
        <v>164</v>
      </c>
      <c r="D151" s="225">
        <v>1933.68</v>
      </c>
      <c r="E151" s="226">
        <v>5</v>
      </c>
      <c r="F151" s="226">
        <v>4</v>
      </c>
      <c r="G151" s="226">
        <v>3</v>
      </c>
      <c r="H151" s="225">
        <v>2791.8</v>
      </c>
      <c r="I151" s="225"/>
      <c r="J151" s="217">
        <f t="shared" si="278"/>
      </c>
      <c r="K151" s="217">
        <f t="shared" si="338"/>
      </c>
      <c r="L151" s="217">
        <f t="shared" si="157"/>
      </c>
      <c r="M151" s="218">
        <f t="shared" si="218"/>
      </c>
      <c r="N151" s="217">
        <f t="shared" si="67"/>
      </c>
      <c r="O151" s="217">
        <f t="shared" si="97"/>
      </c>
      <c r="P151" s="218">
        <f t="shared" si="368"/>
      </c>
      <c r="Q151" s="218">
        <f t="shared" si="6"/>
      </c>
      <c r="R151" s="218">
        <f t="shared" si="248"/>
      </c>
      <c r="S151" s="218">
        <f t="shared" si="308"/>
      </c>
      <c r="T151" s="219">
        <f t="shared" si="127"/>
      </c>
      <c r="U151" s="220">
        <v>0.0563</v>
      </c>
      <c r="V151" s="221">
        <v>53</v>
      </c>
      <c r="W151" s="217">
        <f t="shared" si="36"/>
      </c>
      <c r="X151" s="219">
        <v>13750</v>
      </c>
      <c r="Y151" s="219">
        <v>401</v>
      </c>
      <c r="Z151" s="219">
        <v>50</v>
      </c>
      <c r="AA151" s="219">
        <v>618</v>
      </c>
      <c r="AB151" s="219">
        <v>60</v>
      </c>
      <c r="AC151" s="219">
        <v>3</v>
      </c>
      <c r="AD151" s="219">
        <v>1</v>
      </c>
      <c r="AE151" s="221">
        <v>14</v>
      </c>
      <c r="AF151" s="217">
        <f t="shared" si="187"/>
      </c>
      <c r="AG151" s="222" t="s">
        <v>159</v>
      </c>
      <c r="AH151" s="223" t="s">
        <v>188</v>
      </c>
      <c r="AI151" s="221">
        <v>17</v>
      </c>
    </row>
    <row r="152">
      <c r="A152" s="211"/>
      <c r="B152" s="227" t="s">
        <v>165</v>
      </c>
      <c r="C152" s="227"/>
      <c r="D152" s="228">
        <f>SUM(D147:D151)</f>
      </c>
      <c r="E152" s="229">
        <f>SUM(E147:E151)</f>
      </c>
      <c r="F152" s="229">
        <f>SUM(F147:F151)</f>
      </c>
      <c r="G152" s="229">
        <f>SUM(G147:G151)</f>
      </c>
      <c r="H152" s="228">
        <f>SUM(H147:H151)</f>
      </c>
      <c r="I152" s="228"/>
      <c r="J152" s="230">
        <f t="shared" si="278"/>
      </c>
      <c r="K152" s="230">
        <f t="shared" si="338"/>
      </c>
      <c r="L152" s="230">
        <f t="shared" si="157"/>
      </c>
      <c r="M152" s="231">
        <f t="shared" si="218"/>
      </c>
      <c r="N152" s="230">
        <f t="shared" si="67"/>
      </c>
      <c r="O152" s="230">
        <f t="shared" si="97"/>
      </c>
      <c r="P152" s="231">
        <f t="shared" si="368"/>
      </c>
      <c r="Q152" s="231">
        <f t="shared" si="6"/>
      </c>
      <c r="R152" s="231">
        <f t="shared" si="248"/>
      </c>
      <c r="S152" s="231">
        <f t="shared" si="308"/>
      </c>
      <c r="T152" s="229">
        <f t="shared" si="127"/>
      </c>
      <c r="U152" s="231">
        <f>AVERAGE(U147:U151)</f>
      </c>
      <c r="V152" s="228">
        <f>AVERAGE(V147:V151)</f>
      </c>
      <c r="W152" s="230">
        <f t="shared" si="36"/>
      </c>
      <c r="X152" s="229">
        <f>SUM(X147:X151)</f>
      </c>
      <c r="Y152" s="229">
        <f>SUM(Y147:Y151)</f>
      </c>
      <c r="Z152" s="229">
        <f>SUM(Z147:Z151)</f>
      </c>
      <c r="AA152" s="229">
        <f>SUM(AA147:AA151)</f>
      </c>
      <c r="AB152" s="229">
        <f>SUM(AB147:AB151)</f>
      </c>
      <c r="AC152" s="229">
        <f>SUM(AC147:AC151)</f>
      </c>
      <c r="AD152" s="229">
        <f>SUM(AD147:AD151)</f>
      </c>
      <c r="AE152" s="229">
        <f>SUM(AE147:AE151)</f>
      </c>
      <c r="AF152" s="232">
        <f t="shared" si="187"/>
      </c>
      <c r="AG152" s="233"/>
      <c r="AH152" s="233"/>
      <c r="AI152" s="234">
        <f>SUM(AI147:AI151)</f>
      </c>
    </row>
    <row r="153">
      <c r="A153" s="211"/>
      <c r="B153" s="212" t="s">
        <v>178</v>
      </c>
      <c r="C153" s="235" t="s">
        <v>167</v>
      </c>
      <c r="D153" s="236">
        <v>2283.41</v>
      </c>
      <c r="E153" s="237">
        <v>5</v>
      </c>
      <c r="F153" s="237">
        <v>5</v>
      </c>
      <c r="G153" s="238">
        <v>5</v>
      </c>
      <c r="H153" s="239">
        <v>3997.4</v>
      </c>
      <c r="I153" s="239"/>
      <c r="J153" s="240">
        <f t="shared" si="278"/>
      </c>
      <c r="K153" s="240">
        <f t="shared" si="338"/>
      </c>
      <c r="L153" s="240">
        <f t="shared" si="157"/>
      </c>
      <c r="M153" s="241">
        <f t="shared" si="218"/>
      </c>
      <c r="N153" s="240">
        <f t="shared" si="67"/>
      </c>
      <c r="O153" s="240">
        <f t="shared" si="97"/>
      </c>
      <c r="P153" s="241">
        <f t="shared" si="368"/>
      </c>
      <c r="Q153" s="241">
        <f t="shared" si="6"/>
      </c>
      <c r="R153" s="241">
        <f t="shared" si="248"/>
      </c>
      <c r="S153" s="241">
        <f t="shared" si="308"/>
      </c>
      <c r="T153" s="242">
        <f t="shared" si="127"/>
      </c>
      <c r="U153" s="243">
        <v>0.0706</v>
      </c>
      <c r="V153" s="244">
        <v>52</v>
      </c>
      <c r="W153" s="240">
        <f t="shared" si="36"/>
      </c>
      <c r="X153" s="242">
        <v>16481</v>
      </c>
      <c r="Y153" s="242">
        <v>439</v>
      </c>
      <c r="Z153" s="242">
        <v>72</v>
      </c>
      <c r="AA153" s="242">
        <v>575</v>
      </c>
      <c r="AB153" s="242">
        <v>71</v>
      </c>
      <c r="AC153" s="242">
        <v>8</v>
      </c>
      <c r="AD153" s="242">
        <v>2</v>
      </c>
      <c r="AE153" s="242">
        <v>20</v>
      </c>
      <c r="AF153" s="240">
        <f t="shared" si="187"/>
      </c>
      <c r="AG153" s="222" t="s">
        <v>159</v>
      </c>
      <c r="AH153" s="223" t="s">
        <v>188</v>
      </c>
      <c r="AI153" s="244">
        <v>28</v>
      </c>
    </row>
    <row r="154">
      <c r="A154" s="211"/>
      <c r="B154" s="212" t="s">
        <v>178</v>
      </c>
      <c r="C154" s="245" t="s">
        <v>168</v>
      </c>
      <c r="D154" s="246">
        <v>3336.97</v>
      </c>
      <c r="E154" s="247">
        <v>13</v>
      </c>
      <c r="F154" s="247">
        <v>10</v>
      </c>
      <c r="G154" s="247">
        <v>7</v>
      </c>
      <c r="H154" s="239">
        <v>7014.7</v>
      </c>
      <c r="I154" s="239"/>
      <c r="J154" s="240">
        <f t="shared" si="278"/>
      </c>
      <c r="K154" s="240">
        <f t="shared" si="338"/>
      </c>
      <c r="L154" s="240">
        <f t="shared" si="157"/>
      </c>
      <c r="M154" s="241">
        <f t="shared" si="218"/>
      </c>
      <c r="N154" s="240">
        <f t="shared" si="67"/>
      </c>
      <c r="O154" s="240">
        <f t="shared" si="97"/>
      </c>
      <c r="P154" s="241">
        <f t="shared" si="368"/>
      </c>
      <c r="Q154" s="241">
        <f t="shared" si="6"/>
      </c>
      <c r="R154" s="241">
        <f t="shared" si="248"/>
      </c>
      <c r="S154" s="241">
        <f t="shared" si="308"/>
      </c>
      <c r="T154" s="242">
        <f t="shared" si="127"/>
      </c>
      <c r="U154" s="243">
        <v>0.1093</v>
      </c>
      <c r="V154" s="244">
        <v>52</v>
      </c>
      <c r="W154" s="240">
        <f t="shared" si="36"/>
      </c>
      <c r="X154" s="242">
        <v>24357</v>
      </c>
      <c r="Y154" s="242">
        <v>508</v>
      </c>
      <c r="Z154" s="242">
        <v>93</v>
      </c>
      <c r="AA154" s="242">
        <v>680</v>
      </c>
      <c r="AB154" s="242">
        <v>41</v>
      </c>
      <c r="AC154" s="242">
        <v>13</v>
      </c>
      <c r="AD154" s="242">
        <v>0</v>
      </c>
      <c r="AE154" s="242">
        <v>35</v>
      </c>
      <c r="AF154" s="240">
        <f t="shared" si="187"/>
      </c>
      <c r="AG154" s="222" t="s">
        <v>159</v>
      </c>
      <c r="AH154" s="223" t="s">
        <v>188</v>
      </c>
      <c r="AI154" s="244">
        <v>22</v>
      </c>
    </row>
    <row r="155">
      <c r="A155" s="211"/>
      <c r="B155" s="212" t="s">
        <v>178</v>
      </c>
      <c r="C155" s="235" t="s">
        <v>169</v>
      </c>
      <c r="D155" s="236">
        <v>2809.48</v>
      </c>
      <c r="E155" s="247">
        <v>3</v>
      </c>
      <c r="F155" s="247">
        <v>2</v>
      </c>
      <c r="G155" s="247">
        <v>0</v>
      </c>
      <c r="H155" s="236">
        <v>902</v>
      </c>
      <c r="I155" s="236"/>
      <c r="J155" s="240">
        <f t="shared" si="278"/>
      </c>
      <c r="K155" s="240">
        <f t="shared" si="338"/>
      </c>
      <c r="L155" s="240">
        <f t="shared" si="157"/>
      </c>
      <c r="M155" s="241">
        <f t="shared" si="218"/>
      </c>
      <c r="N155" s="240">
        <f t="shared" si="67"/>
      </c>
      <c r="O155" s="240">
        <f t="shared" si="97"/>
      </c>
      <c r="P155" s="241">
        <f t="shared" si="368"/>
      </c>
      <c r="Q155" s="241">
        <f t="shared" si="6"/>
      </c>
      <c r="R155" s="241">
        <f t="shared" si="248"/>
      </c>
      <c r="S155" s="241">
        <f t="shared" si="308"/>
      </c>
      <c r="T155" s="242">
        <f t="shared" si="127"/>
      </c>
      <c r="U155" s="243">
        <v>0.0994</v>
      </c>
      <c r="V155" s="244">
        <v>53</v>
      </c>
      <c r="W155" s="240">
        <f t="shared" si="36"/>
      </c>
      <c r="X155" s="242">
        <v>21576</v>
      </c>
      <c r="Y155" s="242">
        <v>535</v>
      </c>
      <c r="Z155" s="242">
        <v>89</v>
      </c>
      <c r="AA155" s="242">
        <v>739</v>
      </c>
      <c r="AB155" s="242">
        <v>37</v>
      </c>
      <c r="AC155" s="242">
        <v>6</v>
      </c>
      <c r="AD155" s="242">
        <v>3</v>
      </c>
      <c r="AE155" s="244">
        <v>26</v>
      </c>
      <c r="AF155" s="240">
        <f t="shared" si="187"/>
      </c>
      <c r="AG155" s="222" t="s">
        <v>159</v>
      </c>
      <c r="AH155" s="223" t="s">
        <v>188</v>
      </c>
      <c r="AI155" s="244">
        <v>29</v>
      </c>
    </row>
    <row r="156">
      <c r="A156" s="211"/>
      <c r="B156" s="212" t="s">
        <v>178</v>
      </c>
      <c r="C156" s="248" t="s">
        <v>170</v>
      </c>
      <c r="D156" s="236">
        <v>1819.74</v>
      </c>
      <c r="E156" s="238">
        <v>9</v>
      </c>
      <c r="F156" s="238">
        <v>5</v>
      </c>
      <c r="G156" s="238">
        <v>5</v>
      </c>
      <c r="H156" s="236">
        <v>5591.299999999999</v>
      </c>
      <c r="I156" s="236"/>
      <c r="J156" s="240">
        <f t="shared" si="278"/>
      </c>
      <c r="K156" s="240">
        <f t="shared" si="338"/>
      </c>
      <c r="L156" s="240">
        <f t="shared" si="157"/>
      </c>
      <c r="M156" s="241">
        <f t="shared" si="218"/>
      </c>
      <c r="N156" s="240">
        <f t="shared" si="67"/>
      </c>
      <c r="O156" s="240">
        <f t="shared" si="97"/>
      </c>
      <c r="P156" s="241">
        <f t="shared" si="368"/>
      </c>
      <c r="Q156" s="241">
        <f t="shared" si="6"/>
      </c>
      <c r="R156" s="241">
        <f t="shared" si="248"/>
      </c>
      <c r="S156" s="241">
        <f t="shared" si="308"/>
      </c>
      <c r="T156" s="242">
        <f t="shared" si="127"/>
      </c>
      <c r="U156" s="243">
        <v>0.0879</v>
      </c>
      <c r="V156" s="244">
        <v>52</v>
      </c>
      <c r="W156" s="240">
        <f t="shared" si="36"/>
      </c>
      <c r="X156" s="242">
        <v>14085</v>
      </c>
      <c r="Y156" s="242">
        <v>386</v>
      </c>
      <c r="Z156" s="242">
        <v>71</v>
      </c>
      <c r="AA156" s="242">
        <v>553</v>
      </c>
      <c r="AB156" s="242">
        <v>77</v>
      </c>
      <c r="AC156" s="242">
        <v>6</v>
      </c>
      <c r="AD156" s="242">
        <v>0</v>
      </c>
      <c r="AE156" s="242">
        <v>22</v>
      </c>
      <c r="AF156" s="240">
        <f t="shared" si="187"/>
      </c>
      <c r="AG156" s="222" t="s">
        <v>159</v>
      </c>
      <c r="AH156" s="223" t="s">
        <v>188</v>
      </c>
      <c r="AI156" s="244">
        <v>32</v>
      </c>
    </row>
    <row r="157">
      <c r="A157" s="211"/>
      <c r="B157" s="249" t="s">
        <v>165</v>
      </c>
      <c r="C157" s="249"/>
      <c r="D157" s="250">
        <f>SUM(D153:D156)</f>
      </c>
      <c r="E157" s="251">
        <f>SUM(E153:E156)</f>
      </c>
      <c r="F157" s="251">
        <f>SUM(F153:F156)</f>
      </c>
      <c r="G157" s="251">
        <f>SUM(G153:G156)</f>
      </c>
      <c r="H157" s="250">
        <f>SUM(H153:H156)</f>
      </c>
      <c r="I157" s="250"/>
      <c r="J157" s="252">
        <f t="shared" si="278"/>
      </c>
      <c r="K157" s="252">
        <f t="shared" si="338"/>
      </c>
      <c r="L157" s="252">
        <f t="shared" si="157"/>
      </c>
      <c r="M157" s="253">
        <f t="shared" si="218"/>
      </c>
      <c r="N157" s="252">
        <f t="shared" si="67"/>
      </c>
      <c r="O157" s="252">
        <f t="shared" si="97"/>
      </c>
      <c r="P157" s="253">
        <f t="shared" si="368"/>
      </c>
      <c r="Q157" s="253">
        <f t="shared" si="6"/>
      </c>
      <c r="R157" s="253">
        <f t="shared" si="248"/>
      </c>
      <c r="S157" s="253">
        <f t="shared" si="308"/>
      </c>
      <c r="T157" s="254">
        <f t="shared" si="127"/>
      </c>
      <c r="U157" s="253">
        <f>AVERAGE(U153:U156)</f>
      </c>
      <c r="V157" s="250">
        <f>AVERAGE(V153:V156)</f>
      </c>
      <c r="W157" s="252">
        <f t="shared" si="36"/>
      </c>
      <c r="X157" s="254">
        <f>SUM(X153:X156)</f>
      </c>
      <c r="Y157" s="254">
        <f>SUM(Y153:Y156)</f>
      </c>
      <c r="Z157" s="254">
        <f>SUM(Z153:Z156)</f>
      </c>
      <c r="AA157" s="254">
        <f>SUM(AA153:AA156)</f>
      </c>
      <c r="AB157" s="254">
        <f>SUM(AB153:AB156)</f>
      </c>
      <c r="AC157" s="254">
        <f>SUM(AC153:AC156)</f>
      </c>
      <c r="AD157" s="254">
        <f>SUM(AD153:AD156)</f>
      </c>
      <c r="AE157" s="254">
        <f>SUM(AE153:AE156)</f>
      </c>
      <c r="AF157" s="255">
        <f t="shared" si="187"/>
      </c>
      <c r="AG157" s="256"/>
      <c r="AH157" s="256"/>
      <c r="AI157" s="257">
        <f>SUM(AI153:AI156)</f>
      </c>
    </row>
    <row r="158">
      <c r="A158" s="211"/>
      <c r="B158" s="258" t="s">
        <v>171</v>
      </c>
      <c r="C158" s="235" t="s">
        <v>172</v>
      </c>
      <c r="D158" s="212">
        <v>1904.28</v>
      </c>
      <c r="E158" s="215">
        <v>2</v>
      </c>
      <c r="F158" s="215">
        <v>2</v>
      </c>
      <c r="G158" s="215">
        <v>1</v>
      </c>
      <c r="H158" s="215">
        <v>1307.9000000000015</v>
      </c>
      <c r="I158" s="215"/>
      <c r="J158" s="217">
        <f t="shared" si="278"/>
      </c>
      <c r="K158" s="217">
        <f t="shared" si="338"/>
      </c>
      <c r="L158" s="217">
        <f t="shared" si="157"/>
      </c>
      <c r="M158" s="218">
        <f t="shared" si="218"/>
      </c>
      <c r="N158" s="217">
        <f t="shared" si="67"/>
      </c>
      <c r="O158" s="217">
        <f t="shared" si="97"/>
      </c>
      <c r="P158" s="218">
        <f t="shared" si="368"/>
      </c>
      <c r="Q158" s="218">
        <f t="shared" si="6"/>
      </c>
      <c r="R158" s="218">
        <f t="shared" si="248"/>
      </c>
      <c r="S158" s="218">
        <f t="shared" si="308"/>
      </c>
      <c r="T158" s="219">
        <f t="shared" si="127"/>
      </c>
      <c r="U158" s="220">
        <v>0.079</v>
      </c>
      <c r="V158" s="221">
        <v>52</v>
      </c>
      <c r="W158" s="217">
        <f t="shared" si="36"/>
      </c>
      <c r="X158" s="221">
        <v>15759</v>
      </c>
      <c r="Y158" s="221">
        <v>337</v>
      </c>
      <c r="Z158" s="219">
        <v>66</v>
      </c>
      <c r="AA158" s="219">
        <v>519</v>
      </c>
      <c r="AB158" s="219">
        <v>32</v>
      </c>
      <c r="AC158" s="219">
        <v>2</v>
      </c>
      <c r="AD158" s="221">
        <v>0</v>
      </c>
      <c r="AE158" s="221">
        <v>15</v>
      </c>
      <c r="AF158" s="217">
        <f t="shared" si="187"/>
      </c>
      <c r="AG158" s="222" t="s">
        <v>173</v>
      </c>
      <c r="AH158" s="223" t="s">
        <v>187</v>
      </c>
      <c r="AI158" s="221">
        <v>17</v>
      </c>
    </row>
    <row r="159">
      <c r="A159" s="211"/>
      <c r="B159" s="258" t="s">
        <v>171</v>
      </c>
      <c r="C159" s="245" t="s">
        <v>175</v>
      </c>
      <c r="D159" s="212">
        <v>1763.35</v>
      </c>
      <c r="E159" s="215">
        <v>5</v>
      </c>
      <c r="F159" s="215">
        <v>2</v>
      </c>
      <c r="G159" s="215">
        <v>2</v>
      </c>
      <c r="H159" s="214">
        <v>1232.0000000000036</v>
      </c>
      <c r="I159" s="214"/>
      <c r="J159" s="217">
        <f t="shared" si="278"/>
      </c>
      <c r="K159" s="217">
        <f t="shared" si="338"/>
      </c>
      <c r="L159" s="217">
        <f t="shared" si="157"/>
      </c>
      <c r="M159" s="218">
        <f t="shared" si="218"/>
      </c>
      <c r="N159" s="217">
        <f t="shared" si="67"/>
      </c>
      <c r="O159" s="217">
        <f t="shared" si="97"/>
      </c>
      <c r="P159" s="218">
        <f t="shared" si="368"/>
      </c>
      <c r="Q159" s="218">
        <f t="shared" si="6"/>
      </c>
      <c r="R159" s="218">
        <f t="shared" si="248"/>
      </c>
      <c r="S159" s="218">
        <f t="shared" si="308"/>
      </c>
      <c r="T159" s="219">
        <f t="shared" si="127"/>
      </c>
      <c r="U159" s="220">
        <v>0.0832</v>
      </c>
      <c r="V159" s="221">
        <v>52</v>
      </c>
      <c r="W159" s="217">
        <f t="shared" si="36"/>
      </c>
      <c r="X159" s="219">
        <v>15783</v>
      </c>
      <c r="Y159" s="219">
        <v>307</v>
      </c>
      <c r="Z159" s="219">
        <v>63</v>
      </c>
      <c r="AA159" s="219">
        <v>442</v>
      </c>
      <c r="AB159" s="219">
        <v>42</v>
      </c>
      <c r="AC159" s="219">
        <v>8</v>
      </c>
      <c r="AD159" s="219">
        <v>0</v>
      </c>
      <c r="AE159" s="221">
        <v>19</v>
      </c>
      <c r="AF159" s="217">
        <f t="shared" si="187"/>
      </c>
      <c r="AG159" s="222" t="s">
        <v>173</v>
      </c>
      <c r="AH159" s="223" t="s">
        <v>187</v>
      </c>
      <c r="AI159" s="221">
        <v>16</v>
      </c>
    </row>
    <row r="160">
      <c r="A160" s="211"/>
      <c r="B160" s="258" t="s">
        <v>171</v>
      </c>
      <c r="C160" s="235" t="s">
        <v>176</v>
      </c>
      <c r="D160" s="212">
        <v>1341.87</v>
      </c>
      <c r="E160" s="215">
        <v>1</v>
      </c>
      <c r="F160" s="215">
        <v>0</v>
      </c>
      <c r="G160" s="215">
        <v>0</v>
      </c>
      <c r="H160" s="214">
        <v>0</v>
      </c>
      <c r="I160" s="214"/>
      <c r="J160" s="217">
        <f t="shared" si="278"/>
      </c>
      <c r="K160" s="217">
        <f t="shared" si="338"/>
      </c>
      <c r="L160" s="217">
        <f t="shared" si="157"/>
      </c>
      <c r="M160" s="218">
        <f t="shared" si="218"/>
      </c>
      <c r="N160" s="217">
        <f t="shared" si="67"/>
      </c>
      <c r="O160" s="217">
        <f t="shared" si="97"/>
      </c>
      <c r="P160" s="218">
        <f t="shared" si="368"/>
      </c>
      <c r="Q160" s="218">
        <f t="shared" si="6"/>
      </c>
      <c r="R160" s="218">
        <f t="shared" si="248"/>
      </c>
      <c r="S160" s="218">
        <f t="shared" si="308"/>
      </c>
      <c r="T160" s="219">
        <f t="shared" si="127"/>
      </c>
      <c r="U160" s="220">
        <v>0.0852</v>
      </c>
      <c r="V160" s="221">
        <v>51</v>
      </c>
      <c r="W160" s="217">
        <f t="shared" si="36"/>
      </c>
      <c r="X160" s="221">
        <v>12539</v>
      </c>
      <c r="Y160" s="221">
        <v>273</v>
      </c>
      <c r="Z160" s="221">
        <v>52</v>
      </c>
      <c r="AA160" s="221">
        <v>355</v>
      </c>
      <c r="AB160" s="221">
        <v>32</v>
      </c>
      <c r="AC160" s="221">
        <v>6</v>
      </c>
      <c r="AD160" s="221">
        <v>0</v>
      </c>
      <c r="AE160" s="221">
        <v>11</v>
      </c>
      <c r="AF160" s="217">
        <f t="shared" si="187"/>
      </c>
      <c r="AG160" s="222" t="s">
        <v>173</v>
      </c>
      <c r="AH160" s="223" t="s">
        <v>187</v>
      </c>
      <c r="AI160" s="221">
        <v>10</v>
      </c>
    </row>
    <row r="161">
      <c r="A161" s="211"/>
      <c r="B161" s="258" t="s">
        <v>171</v>
      </c>
      <c r="C161" s="235" t="s">
        <v>177</v>
      </c>
      <c r="D161" s="212">
        <v>1272.96</v>
      </c>
      <c r="E161" s="215">
        <v>5</v>
      </c>
      <c r="F161" s="215">
        <v>3</v>
      </c>
      <c r="G161" s="215">
        <v>3</v>
      </c>
      <c r="H161" s="214">
        <v>1758.8999999999942</v>
      </c>
      <c r="I161" s="214"/>
      <c r="J161" s="217">
        <f t="shared" si="278"/>
      </c>
      <c r="K161" s="217">
        <f t="shared" si="338"/>
      </c>
      <c r="L161" s="217">
        <f t="shared" si="157"/>
      </c>
      <c r="M161" s="218">
        <f t="shared" si="218"/>
      </c>
      <c r="N161" s="217">
        <f t="shared" si="67"/>
      </c>
      <c r="O161" s="217">
        <f t="shared" si="97"/>
      </c>
      <c r="P161" s="218">
        <f t="shared" si="368"/>
      </c>
      <c r="Q161" s="218">
        <f t="shared" si="6"/>
      </c>
      <c r="R161" s="218">
        <f t="shared" si="248"/>
      </c>
      <c r="S161" s="218">
        <f t="shared" si="308"/>
      </c>
      <c r="T161" s="219">
        <f t="shared" si="127"/>
      </c>
      <c r="U161" s="220">
        <v>0.0764</v>
      </c>
      <c r="V161" s="221">
        <v>51</v>
      </c>
      <c r="W161" s="217">
        <f t="shared" si="36"/>
      </c>
      <c r="X161" s="221">
        <v>10951</v>
      </c>
      <c r="Y161" s="221">
        <v>301</v>
      </c>
      <c r="Z161" s="219">
        <v>56</v>
      </c>
      <c r="AA161" s="219">
        <v>429</v>
      </c>
      <c r="AB161" s="219">
        <v>36</v>
      </c>
      <c r="AC161" s="219">
        <v>5</v>
      </c>
      <c r="AD161" s="221">
        <v>1</v>
      </c>
      <c r="AE161" s="221">
        <v>17</v>
      </c>
      <c r="AF161" s="217">
        <f t="shared" si="187"/>
      </c>
      <c r="AG161" s="222" t="s">
        <v>173</v>
      </c>
      <c r="AH161" s="223" t="s">
        <v>187</v>
      </c>
      <c r="AI161" s="221">
        <v>17</v>
      </c>
    </row>
    <row r="162">
      <c r="A162" s="211"/>
      <c r="B162" s="227" t="s">
        <v>165</v>
      </c>
      <c r="C162" s="227"/>
      <c r="D162" s="259">
        <f>SUM(D158:D161)</f>
      </c>
      <c r="E162" s="260">
        <f>SUM(E158:E161)</f>
      </c>
      <c r="F162" s="260">
        <f>SUM(F158:F161)</f>
      </c>
      <c r="G162" s="260">
        <f>SUM(G158:G161)</f>
      </c>
      <c r="H162" s="259">
        <f>SUM(H158:H161)</f>
      </c>
      <c r="I162" s="259"/>
      <c r="J162" s="230">
        <f t="shared" si="278"/>
      </c>
      <c r="K162" s="230">
        <f t="shared" si="338"/>
      </c>
      <c r="L162" s="230">
        <f t="shared" si="157"/>
      </c>
      <c r="M162" s="231">
        <f t="shared" si="218"/>
      </c>
      <c r="N162" s="230">
        <f t="shared" si="67"/>
      </c>
      <c r="O162" s="230">
        <f t="shared" si="97"/>
      </c>
      <c r="P162" s="231">
        <f t="shared" si="368"/>
      </c>
      <c r="Q162" s="231">
        <f t="shared" si="6"/>
      </c>
      <c r="R162" s="231">
        <f t="shared" si="248"/>
      </c>
      <c r="S162" s="231">
        <f t="shared" si="308"/>
      </c>
      <c r="T162" s="229">
        <f t="shared" si="127"/>
      </c>
      <c r="U162" s="231">
        <f>AVERAGE(U158:U161)</f>
      </c>
      <c r="V162" s="228">
        <f>AVERAGE(V158:V161)</f>
      </c>
      <c r="W162" s="230">
        <f t="shared" si="36"/>
      </c>
      <c r="X162" s="229">
        <f>SUM(X158:X161)</f>
      </c>
      <c r="Y162" s="229">
        <f>SUM(Y158:Y161)</f>
      </c>
      <c r="Z162" s="229">
        <f>SUM(Z158:Z161)</f>
      </c>
      <c r="AA162" s="229">
        <f>SUM(AA158:AA161)</f>
      </c>
      <c r="AB162" s="229">
        <f>SUM(AB158:AB161)</f>
      </c>
      <c r="AC162" s="229">
        <f>SUM(AC158:AC161)</f>
      </c>
      <c r="AD162" s="229">
        <f>SUM(AD158:AD161)</f>
      </c>
      <c r="AE162" s="229">
        <f>SUM(AE158:AE161)</f>
      </c>
      <c r="AF162" s="232">
        <f t="shared" si="187"/>
      </c>
      <c r="AG162" s="233"/>
      <c r="AH162" s="233"/>
      <c r="AI162" s="229">
        <f>SUM(AI158:AI161)</f>
      </c>
    </row>
    <row r="163">
      <c r="A163" s="211"/>
      <c r="B163" s="212" t="s">
        <v>166</v>
      </c>
      <c r="C163" s="248" t="s">
        <v>179</v>
      </c>
      <c r="D163" s="261">
        <v>1356.7</v>
      </c>
      <c r="E163" s="237">
        <v>3</v>
      </c>
      <c r="F163" s="237">
        <v>0</v>
      </c>
      <c r="G163" s="238">
        <v>0</v>
      </c>
      <c r="H163" s="239">
        <v>0</v>
      </c>
      <c r="I163" s="239"/>
      <c r="J163" s="240">
        <f t="shared" si="278"/>
      </c>
      <c r="K163" s="240">
        <f t="shared" si="338"/>
      </c>
      <c r="L163" s="240">
        <f t="shared" si="157"/>
      </c>
      <c r="M163" s="241">
        <f t="shared" si="218"/>
      </c>
      <c r="N163" s="240">
        <f t="shared" si="67"/>
      </c>
      <c r="O163" s="240">
        <f t="shared" si="97"/>
      </c>
      <c r="P163" s="241">
        <f t="shared" si="368"/>
      </c>
      <c r="Q163" s="241">
        <f t="shared" si="6"/>
      </c>
      <c r="R163" s="241">
        <f t="shared" si="248"/>
      </c>
      <c r="S163" s="241">
        <f t="shared" si="308"/>
      </c>
      <c r="T163" s="242">
        <f t="shared" si="127"/>
      </c>
      <c r="U163" s="243">
        <v>0.0635</v>
      </c>
      <c r="V163" s="244">
        <v>51</v>
      </c>
      <c r="W163" s="240">
        <f t="shared" si="36"/>
      </c>
      <c r="X163" s="242">
        <v>9912</v>
      </c>
      <c r="Y163" s="242">
        <v>303</v>
      </c>
      <c r="Z163" s="242">
        <v>51</v>
      </c>
      <c r="AA163" s="242">
        <v>458</v>
      </c>
      <c r="AB163" s="242">
        <v>25</v>
      </c>
      <c r="AC163" s="242">
        <v>6</v>
      </c>
      <c r="AD163" s="242">
        <v>0</v>
      </c>
      <c r="AE163" s="242">
        <v>17</v>
      </c>
      <c r="AF163" s="240">
        <f t="shared" si="187"/>
      </c>
      <c r="AG163" s="222" t="s">
        <v>173</v>
      </c>
      <c r="AH163" s="223" t="s">
        <v>187</v>
      </c>
      <c r="AI163" s="244">
        <v>14</v>
      </c>
    </row>
    <row r="164">
      <c r="A164" s="211"/>
      <c r="B164" s="212" t="s">
        <v>166</v>
      </c>
      <c r="C164" s="248" t="s">
        <v>180</v>
      </c>
      <c r="D164" s="262">
        <v>685.53</v>
      </c>
      <c r="E164" s="247">
        <v>8</v>
      </c>
      <c r="F164" s="247">
        <v>4</v>
      </c>
      <c r="G164" s="247">
        <v>3</v>
      </c>
      <c r="H164" s="263">
        <v>2765.4000000000015</v>
      </c>
      <c r="I164" s="263"/>
      <c r="J164" s="240">
        <f t="shared" si="278"/>
      </c>
      <c r="K164" s="240">
        <f t="shared" si="338"/>
      </c>
      <c r="L164" s="240">
        <f t="shared" si="157"/>
      </c>
      <c r="M164" s="241">
        <f t="shared" si="218"/>
      </c>
      <c r="N164" s="240">
        <f t="shared" si="67"/>
      </c>
      <c r="O164" s="240">
        <f t="shared" si="97"/>
      </c>
      <c r="P164" s="241">
        <f t="shared" si="368"/>
      </c>
      <c r="Q164" s="241">
        <f t="shared" si="6"/>
      </c>
      <c r="R164" s="241">
        <f t="shared" si="248"/>
      </c>
      <c r="S164" s="241">
        <f t="shared" si="308"/>
      </c>
      <c r="T164" s="242">
        <f t="shared" si="127"/>
      </c>
      <c r="U164" s="243">
        <v>0.0395</v>
      </c>
      <c r="V164" s="244">
        <v>51</v>
      </c>
      <c r="W164" s="240">
        <f t="shared" si="36"/>
      </c>
      <c r="X164" s="242">
        <v>5232</v>
      </c>
      <c r="Y164" s="242">
        <v>280</v>
      </c>
      <c r="Z164" s="242">
        <v>34</v>
      </c>
      <c r="AA164" s="242">
        <v>367</v>
      </c>
      <c r="AB164" s="242">
        <v>34</v>
      </c>
      <c r="AC164" s="242">
        <v>3</v>
      </c>
      <c r="AD164" s="242">
        <v>0</v>
      </c>
      <c r="AE164" s="242">
        <v>10</v>
      </c>
      <c r="AF164" s="240">
        <f t="shared" si="187"/>
      </c>
      <c r="AG164" s="222" t="s">
        <v>173</v>
      </c>
      <c r="AH164" s="223" t="s">
        <v>187</v>
      </c>
      <c r="AI164" s="244">
        <v>14</v>
      </c>
    </row>
    <row r="165">
      <c r="A165" s="211"/>
      <c r="B165" s="212" t="s">
        <v>166</v>
      </c>
      <c r="C165" s="248" t="s">
        <v>181</v>
      </c>
      <c r="D165" s="261">
        <v>867.65</v>
      </c>
      <c r="E165" s="247">
        <v>3</v>
      </c>
      <c r="F165" s="247">
        <v>2</v>
      </c>
      <c r="G165" s="247">
        <v>1</v>
      </c>
      <c r="H165" s="236">
        <v>1498.2000000000044</v>
      </c>
      <c r="I165" s="236"/>
      <c r="J165" s="240">
        <f t="shared" si="278"/>
      </c>
      <c r="K165" s="240">
        <f t="shared" si="338"/>
      </c>
      <c r="L165" s="240">
        <f t="shared" si="157"/>
      </c>
      <c r="M165" s="241">
        <f t="shared" si="218"/>
      </c>
      <c r="N165" s="240">
        <f t="shared" si="67"/>
      </c>
      <c r="O165" s="240">
        <f t="shared" si="97"/>
      </c>
      <c r="P165" s="241">
        <f t="shared" si="368"/>
      </c>
      <c r="Q165" s="241">
        <f t="shared" si="6"/>
      </c>
      <c r="R165" s="241">
        <f t="shared" si="248"/>
      </c>
      <c r="S165" s="241">
        <f t="shared" si="308"/>
      </c>
      <c r="T165" s="242">
        <f t="shared" si="127"/>
      </c>
      <c r="U165" s="243">
        <v>0.0603</v>
      </c>
      <c r="V165" s="244">
        <v>51</v>
      </c>
      <c r="W165" s="240">
        <f t="shared" si="36"/>
      </c>
      <c r="X165" s="242">
        <v>5595</v>
      </c>
      <c r="Y165" s="242">
        <v>315</v>
      </c>
      <c r="Z165" s="242">
        <v>59</v>
      </c>
      <c r="AA165" s="242">
        <v>431</v>
      </c>
      <c r="AB165" s="242">
        <v>25</v>
      </c>
      <c r="AC165" s="242">
        <v>6</v>
      </c>
      <c r="AD165" s="242">
        <v>0</v>
      </c>
      <c r="AE165" s="242">
        <v>8</v>
      </c>
      <c r="AF165" s="240">
        <f t="shared" si="187"/>
      </c>
      <c r="AG165" s="222" t="s">
        <v>173</v>
      </c>
      <c r="AH165" s="223" t="s">
        <v>187</v>
      </c>
      <c r="AI165" s="244">
        <v>10</v>
      </c>
    </row>
    <row r="166">
      <c r="A166" s="211"/>
      <c r="B166" s="212" t="s">
        <v>166</v>
      </c>
      <c r="C166" s="248" t="s">
        <v>182</v>
      </c>
      <c r="D166" s="261">
        <v>403.95</v>
      </c>
      <c r="E166" s="238">
        <v>1</v>
      </c>
      <c r="F166" s="238">
        <v>1</v>
      </c>
      <c r="G166" s="238">
        <v>1</v>
      </c>
      <c r="H166" s="261">
        <v>451</v>
      </c>
      <c r="I166" s="261"/>
      <c r="J166" s="240">
        <f t="shared" si="278"/>
      </c>
      <c r="K166" s="240">
        <f t="shared" si="338"/>
      </c>
      <c r="L166" s="240">
        <f t="shared" si="157"/>
      </c>
      <c r="M166" s="241">
        <f t="shared" si="218"/>
      </c>
      <c r="N166" s="240">
        <f t="shared" si="67"/>
      </c>
      <c r="O166" s="240">
        <f t="shared" si="97"/>
      </c>
      <c r="P166" s="241">
        <f t="shared" si="368"/>
      </c>
      <c r="Q166" s="241">
        <f t="shared" si="6"/>
      </c>
      <c r="R166" s="241">
        <f t="shared" si="248"/>
      </c>
      <c r="S166" s="241">
        <f t="shared" si="308"/>
      </c>
      <c r="T166" s="242">
        <f t="shared" si="127"/>
      </c>
      <c r="U166" s="243">
        <v>0.032</v>
      </c>
      <c r="V166" s="244">
        <v>50</v>
      </c>
      <c r="W166" s="240">
        <f t="shared" si="36"/>
      </c>
      <c r="X166" s="242">
        <v>2741</v>
      </c>
      <c r="Y166" s="242">
        <v>152</v>
      </c>
      <c r="Z166" s="242">
        <v>15</v>
      </c>
      <c r="AA166" s="242">
        <v>236</v>
      </c>
      <c r="AB166" s="242">
        <v>0</v>
      </c>
      <c r="AC166" s="242">
        <v>1</v>
      </c>
      <c r="AD166" s="242">
        <v>0</v>
      </c>
      <c r="AE166" s="242">
        <v>3</v>
      </c>
      <c r="AF166" s="240">
        <f t="shared" si="187"/>
      </c>
      <c r="AG166" s="222" t="s">
        <v>173</v>
      </c>
      <c r="AH166" s="223" t="s">
        <v>187</v>
      </c>
      <c r="AI166" s="244">
        <v>1</v>
      </c>
    </row>
    <row r="167">
      <c r="A167" s="211"/>
      <c r="B167" s="249" t="s">
        <v>165</v>
      </c>
      <c r="C167" s="249"/>
      <c r="D167" s="250">
        <f>SUM(D163:D166)</f>
      </c>
      <c r="E167" s="251">
        <f>SUM(E163:E166)</f>
      </c>
      <c r="F167" s="251">
        <f>SUM(F163:F166)</f>
      </c>
      <c r="G167" s="251">
        <f>SUM(G163:G166)</f>
      </c>
      <c r="H167" s="250">
        <f>SUM(H163:H166)</f>
      </c>
      <c r="I167" s="250"/>
      <c r="J167" s="252">
        <f t="shared" si="278"/>
      </c>
      <c r="K167" s="252">
        <f t="shared" si="338"/>
      </c>
      <c r="L167" s="252">
        <f t="shared" si="157"/>
      </c>
      <c r="M167" s="253">
        <f t="shared" si="218"/>
      </c>
      <c r="N167" s="252">
        <f t="shared" si="67"/>
      </c>
      <c r="O167" s="252">
        <f t="shared" si="97"/>
      </c>
      <c r="P167" s="253">
        <f t="shared" si="368"/>
      </c>
      <c r="Q167" s="253">
        <f t="shared" si="6"/>
      </c>
      <c r="R167" s="253">
        <f t="shared" si="248"/>
      </c>
      <c r="S167" s="253">
        <f t="shared" si="308"/>
      </c>
      <c r="T167" s="254">
        <f t="shared" si="127"/>
      </c>
      <c r="U167" s="253">
        <f>AVERAGE(U163:U166)</f>
      </c>
      <c r="V167" s="250">
        <f>AVERAGE(V163:V166)</f>
      </c>
      <c r="W167" s="252">
        <f t="shared" si="36"/>
      </c>
      <c r="X167" s="254">
        <f>SUM(X163:X166)</f>
      </c>
      <c r="Y167" s="254">
        <f>SUM(Y163:Y166)</f>
      </c>
      <c r="Z167" s="254">
        <f>SUM(Z163:Z166)</f>
      </c>
      <c r="AA167" s="254">
        <f>SUM(AA163:AA166)</f>
      </c>
      <c r="AB167" s="254">
        <f>SUM(AB163:AB166)</f>
      </c>
      <c r="AC167" s="254">
        <f>SUM(AC163:AC166)</f>
      </c>
      <c r="AD167" s="254">
        <f>SUM(AD163:AD166)</f>
      </c>
      <c r="AE167" s="254">
        <f>SUM(AE163:AE166)</f>
      </c>
      <c r="AF167" s="255">
        <f t="shared" si="187"/>
      </c>
      <c r="AG167" s="256"/>
      <c r="AH167" s="256"/>
      <c r="AI167" s="257">
        <f>SUM(AI163:AI166)</f>
      </c>
    </row>
    <row r="168">
      <c r="A168" s="211"/>
      <c r="B168" s="264" t="s">
        <v>183</v>
      </c>
      <c r="C168" s="264"/>
      <c r="D168" s="265">
        <f>D152+D157+D162+D167</f>
      </c>
      <c r="E168" s="265">
        <f>E152+E157+E162+E167</f>
      </c>
      <c r="F168" s="265">
        <f>F152+F157+F162+F167</f>
      </c>
      <c r="G168" s="265">
        <f>G152+G157+G162+G167</f>
      </c>
      <c r="H168" s="265">
        <f>H152+H157+H162+H167</f>
      </c>
      <c r="I168" s="265"/>
      <c r="J168" s="266">
        <f t="shared" si="278"/>
      </c>
      <c r="K168" s="267">
        <f t="shared" si="338"/>
      </c>
      <c r="L168" s="267">
        <f t="shared" si="157"/>
      </c>
      <c r="M168" s="268">
        <f t="shared" si="218"/>
      </c>
      <c r="N168" s="267">
        <f t="shared" si="67"/>
      </c>
      <c r="O168" s="267">
        <f t="shared" si="97"/>
      </c>
      <c r="P168" s="268">
        <f t="shared" si="368"/>
      </c>
      <c r="Q168" s="268">
        <f t="shared" si="6"/>
      </c>
      <c r="R168" s="268">
        <f t="shared" si="248"/>
      </c>
      <c r="S168" s="268">
        <f t="shared" si="308"/>
      </c>
      <c r="T168" s="269">
        <f t="shared" si="127"/>
      </c>
      <c r="U168" s="268">
        <f>(U152+U162+U157+U167)/4</f>
      </c>
      <c r="V168" s="267">
        <f>(V152+V162+V157+V167)/4</f>
      </c>
      <c r="W168" s="270">
        <f t="shared" si="36"/>
      </c>
      <c r="X168" s="269">
        <f>X152+X157+X162+X167</f>
      </c>
      <c r="Y168" s="269">
        <f>Y152+Y157+Y162+Y167</f>
      </c>
      <c r="Z168" s="269">
        <f>Z152+Z157+Z162+Z167</f>
      </c>
      <c r="AA168" s="269">
        <f>AA152+AA157+AA162+AA167</f>
      </c>
      <c r="AB168" s="269">
        <f>AB152+AB157+AB162+AB167</f>
      </c>
      <c r="AC168" s="269">
        <f>AC152+AC157+AC162+AC167</f>
      </c>
      <c r="AD168" s="269">
        <f>AD152+AD157+AD162+AD167</f>
      </c>
      <c r="AE168" s="269">
        <f>AE152+AE157+AE162+AE167</f>
      </c>
      <c r="AF168" s="267">
        <f>AF152</f>
      </c>
      <c r="AG168" s="264"/>
      <c r="AH168" s="264"/>
      <c r="AI168" s="269">
        <f>AI152+AI157+AI162+AI167</f>
      </c>
    </row>
    <row r="169">
      <c r="A169" s="193" t="s">
        <v>120</v>
      </c>
      <c r="B169" s="194" t="s">
        <v>121</v>
      </c>
      <c r="C169" s="194"/>
      <c r="D169" s="195" t="s">
        <v>122</v>
      </c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6" t="s">
        <v>123</v>
      </c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7"/>
    </row>
    <row r="170">
      <c r="A170" s="193"/>
      <c r="B170" s="194" t="s">
        <v>124</v>
      </c>
      <c r="C170" s="198" t="s">
        <v>125</v>
      </c>
      <c r="D170" s="199" t="s">
        <v>126</v>
      </c>
      <c r="E170" s="200" t="s">
        <v>127</v>
      </c>
      <c r="F170" s="201" t="s">
        <v>128</v>
      </c>
      <c r="G170" s="201" t="s">
        <v>129</v>
      </c>
      <c r="H170" s="199" t="s">
        <v>130</v>
      </c>
      <c r="I170" s="199"/>
      <c r="J170" s="202" t="s">
        <v>131</v>
      </c>
      <c r="K170" s="202" t="s">
        <v>132</v>
      </c>
      <c r="L170" s="202" t="s">
        <v>133</v>
      </c>
      <c r="M170" s="203" t="s">
        <v>134</v>
      </c>
      <c r="N170" s="202" t="s">
        <v>135</v>
      </c>
      <c r="O170" s="204" t="s">
        <v>136</v>
      </c>
      <c r="P170" s="205" t="s">
        <v>137</v>
      </c>
      <c r="Q170" s="205" t="s">
        <v>138</v>
      </c>
      <c r="R170" s="205" t="s">
        <v>139</v>
      </c>
      <c r="S170" s="205" t="s">
        <v>140</v>
      </c>
      <c r="T170" s="206" t="s">
        <v>141</v>
      </c>
      <c r="U170" s="207" t="s">
        <v>142</v>
      </c>
      <c r="V170" s="208" t="s">
        <v>143</v>
      </c>
      <c r="W170" s="196" t="s">
        <v>144</v>
      </c>
      <c r="X170" s="209" t="s">
        <v>145</v>
      </c>
      <c r="Y170" s="209" t="s">
        <v>146</v>
      </c>
      <c r="Z170" s="209" t="s">
        <v>147</v>
      </c>
      <c r="AA170" s="209" t="s">
        <v>148</v>
      </c>
      <c r="AB170" s="209" t="s">
        <v>149</v>
      </c>
      <c r="AC170" s="209" t="s">
        <v>150</v>
      </c>
      <c r="AD170" s="209" t="s">
        <v>151</v>
      </c>
      <c r="AE170" s="209" t="s">
        <v>152</v>
      </c>
      <c r="AF170" s="196" t="s">
        <v>153</v>
      </c>
      <c r="AG170" s="210" t="s">
        <v>154</v>
      </c>
      <c r="AH170" s="210" t="s">
        <v>155</v>
      </c>
      <c r="AI170" s="197" t="s">
        <v>156</v>
      </c>
    </row>
    <row r="171">
      <c r="A171" s="211">
        <v>46181</v>
      </c>
      <c r="B171" s="248" t="s">
        <v>186</v>
      </c>
      <c r="C171" s="213" t="s">
        <v>158</v>
      </c>
      <c r="D171" s="214">
        <v>1753.56</v>
      </c>
      <c r="E171" s="215">
        <v>4</v>
      </c>
      <c r="F171" s="215">
        <v>2</v>
      </c>
      <c r="G171" s="215">
        <v>1</v>
      </c>
      <c r="H171" s="214">
        <v>1621.4</v>
      </c>
      <c r="I171" s="214"/>
      <c r="J171" s="216">
        <f t="shared" ref="J171:J192" si="279">H171/D171</f>
      </c>
      <c r="K171" s="217">
        <f t="shared" ref="K171:K192" si="339">D171/F171</f>
      </c>
      <c r="L171" s="217">
        <f t="shared" ref="L171:L192" si="158">D171/G171</f>
      </c>
      <c r="M171" s="218">
        <f t="shared" ref="M171:M192" si="219">F171/E171</f>
      </c>
      <c r="N171" s="217">
        <f t="shared" ref="N171:N192" si="68">H171/F171</f>
      </c>
      <c r="O171" s="217">
        <f t="shared" ref="O171:O192" si="98">D171/Y171</f>
      </c>
      <c r="P171" s="218">
        <f t="shared" ref="P171:P192" si="369">T171/X171*1</f>
      </c>
      <c r="Q171" s="218">
        <f t="shared" ref="Q171:Q192" si="7">Y171/X171</f>
      </c>
      <c r="R171" s="218">
        <f t="shared" ref="R171:R192" si="249">AA171/X171</f>
      </c>
      <c r="S171" s="218">
        <f t="shared" ref="S171:S192" si="309">AB171/AA171</f>
      </c>
      <c r="T171" s="219">
        <f t="shared" ref="T171:T192" si="128">Z171/U171</f>
      </c>
      <c r="U171" s="220">
        <v>0.0531</v>
      </c>
      <c r="V171" s="221">
        <v>33</v>
      </c>
      <c r="W171" s="217">
        <f t="shared" ref="W171:W192" si="37">(D171/X171)*1000</f>
      </c>
      <c r="X171" s="221">
        <v>10563</v>
      </c>
      <c r="Y171" s="221">
        <v>313</v>
      </c>
      <c r="Z171" s="219">
        <v>54</v>
      </c>
      <c r="AA171" s="219">
        <v>514</v>
      </c>
      <c r="AB171" s="219">
        <v>47</v>
      </c>
      <c r="AC171" s="219">
        <v>5</v>
      </c>
      <c r="AD171" s="221">
        <v>0</v>
      </c>
      <c r="AE171" s="221">
        <v>14</v>
      </c>
      <c r="AF171" s="217">
        <f t="shared" ref="AF171:AF191" si="188">AI171*1000/D171</f>
      </c>
      <c r="AG171" s="222" t="s">
        <v>159</v>
      </c>
      <c r="AH171" s="223" t="s">
        <v>184</v>
      </c>
      <c r="AI171" s="221">
        <v>23</v>
      </c>
    </row>
    <row r="172">
      <c r="A172" s="211"/>
      <c r="B172" s="248" t="s">
        <v>186</v>
      </c>
      <c r="C172" s="213" t="s">
        <v>161</v>
      </c>
      <c r="D172" s="214">
        <v>977.69</v>
      </c>
      <c r="E172" s="215">
        <v>0</v>
      </c>
      <c r="F172" s="215">
        <v>0</v>
      </c>
      <c r="G172" s="215">
        <v>0</v>
      </c>
      <c r="H172" s="214">
        <v>0</v>
      </c>
      <c r="I172" s="214"/>
      <c r="J172" s="216">
        <f t="shared" si="279"/>
      </c>
      <c r="K172" s="217">
        <f t="shared" si="339"/>
      </c>
      <c r="L172" s="217">
        <f t="shared" si="158"/>
      </c>
      <c r="M172" s="218">
        <f t="shared" si="219"/>
      </c>
      <c r="N172" s="217">
        <f t="shared" si="68"/>
      </c>
      <c r="O172" s="217">
        <f t="shared" si="98"/>
      </c>
      <c r="P172" s="218">
        <f t="shared" si="369"/>
      </c>
      <c r="Q172" s="218">
        <f t="shared" si="7"/>
      </c>
      <c r="R172" s="218">
        <f t="shared" si="249"/>
      </c>
      <c r="S172" s="218">
        <f t="shared" si="309"/>
      </c>
      <c r="T172" s="219">
        <f t="shared" si="128"/>
      </c>
      <c r="U172" s="220">
        <v>0.0711</v>
      </c>
      <c r="V172" s="221">
        <v>33</v>
      </c>
      <c r="W172" s="217">
        <f t="shared" si="37"/>
      </c>
      <c r="X172" s="221">
        <v>7642</v>
      </c>
      <c r="Y172" s="221">
        <v>284</v>
      </c>
      <c r="Z172" s="219">
        <v>28</v>
      </c>
      <c r="AA172" s="219">
        <v>566</v>
      </c>
      <c r="AB172" s="221">
        <v>36</v>
      </c>
      <c r="AC172" s="219">
        <v>4</v>
      </c>
      <c r="AD172" s="221">
        <v>0</v>
      </c>
      <c r="AE172" s="221">
        <v>8</v>
      </c>
      <c r="AF172" s="217">
        <f t="shared" si="188"/>
      </c>
      <c r="AG172" s="222" t="s">
        <v>159</v>
      </c>
      <c r="AH172" s="223" t="s">
        <v>184</v>
      </c>
      <c r="AI172" s="221">
        <v>11</v>
      </c>
    </row>
    <row r="173">
      <c r="A173" s="211"/>
      <c r="B173" s="248" t="s">
        <v>186</v>
      </c>
      <c r="C173" s="224" t="s">
        <v>162</v>
      </c>
      <c r="D173" s="214">
        <v>466.24</v>
      </c>
      <c r="E173" s="215">
        <v>2</v>
      </c>
      <c r="F173" s="215">
        <v>1</v>
      </c>
      <c r="G173" s="215">
        <v>1</v>
      </c>
      <c r="H173" s="214">
        <v>451</v>
      </c>
      <c r="I173" s="214"/>
      <c r="J173" s="216">
        <f t="shared" si="279"/>
      </c>
      <c r="K173" s="217">
        <f t="shared" si="339"/>
      </c>
      <c r="L173" s="217">
        <f t="shared" si="158"/>
      </c>
      <c r="M173" s="218">
        <f t="shared" si="219"/>
      </c>
      <c r="N173" s="217">
        <f t="shared" si="68"/>
      </c>
      <c r="O173" s="217">
        <f t="shared" si="98"/>
      </c>
      <c r="P173" s="218">
        <f t="shared" si="369"/>
      </c>
      <c r="Q173" s="218">
        <f t="shared" si="7"/>
      </c>
      <c r="R173" s="218">
        <f t="shared" si="249"/>
      </c>
      <c r="S173" s="218">
        <f t="shared" si="309"/>
      </c>
      <c r="T173" s="219">
        <f t="shared" si="128"/>
      </c>
      <c r="U173" s="220">
        <v>0.0312</v>
      </c>
      <c r="V173" s="221">
        <v>35</v>
      </c>
      <c r="W173" s="217">
        <f t="shared" si="37"/>
      </c>
      <c r="X173" s="221">
        <v>3763</v>
      </c>
      <c r="Y173" s="221">
        <v>203</v>
      </c>
      <c r="Z173" s="219">
        <v>22</v>
      </c>
      <c r="AA173" s="219">
        <v>379</v>
      </c>
      <c r="AB173" s="221">
        <v>7</v>
      </c>
      <c r="AC173" s="219">
        <v>2</v>
      </c>
      <c r="AD173" s="221">
        <v>0</v>
      </c>
      <c r="AE173" s="221">
        <v>1</v>
      </c>
      <c r="AF173" s="217">
        <f t="shared" si="188"/>
      </c>
      <c r="AG173" s="222" t="s">
        <v>159</v>
      </c>
      <c r="AH173" s="223" t="s">
        <v>184</v>
      </c>
      <c r="AI173" s="221">
        <v>6</v>
      </c>
    </row>
    <row r="174">
      <c r="A174" s="211"/>
      <c r="B174" s="248" t="s">
        <v>186</v>
      </c>
      <c r="C174" s="213" t="s">
        <v>163</v>
      </c>
      <c r="D174" s="214">
        <v>1683.82</v>
      </c>
      <c r="E174" s="215">
        <v>5</v>
      </c>
      <c r="F174" s="215">
        <v>5</v>
      </c>
      <c r="G174" s="215">
        <v>3</v>
      </c>
      <c r="H174" s="214">
        <v>3511.1999999999994</v>
      </c>
      <c r="I174" s="214"/>
      <c r="J174" s="216">
        <f t="shared" si="279"/>
      </c>
      <c r="K174" s="217">
        <f t="shared" si="339"/>
      </c>
      <c r="L174" s="217">
        <f t="shared" si="158"/>
      </c>
      <c r="M174" s="218">
        <f t="shared" si="219"/>
      </c>
      <c r="N174" s="217">
        <f t="shared" si="68"/>
      </c>
      <c r="O174" s="217">
        <f t="shared" si="98"/>
      </c>
      <c r="P174" s="218">
        <f t="shared" si="369"/>
      </c>
      <c r="Q174" s="218">
        <f t="shared" si="7"/>
      </c>
      <c r="R174" s="218">
        <f t="shared" si="249"/>
      </c>
      <c r="S174" s="218">
        <f t="shared" si="309"/>
      </c>
      <c r="T174" s="219">
        <f t="shared" si="128"/>
      </c>
      <c r="U174" s="220">
        <v>0.0825</v>
      </c>
      <c r="V174" s="221">
        <v>43</v>
      </c>
      <c r="W174" s="217">
        <f t="shared" si="37"/>
      </c>
      <c r="X174" s="221">
        <v>8787</v>
      </c>
      <c r="Y174" s="221">
        <v>268</v>
      </c>
      <c r="Z174" s="221">
        <v>55</v>
      </c>
      <c r="AA174" s="221">
        <v>396</v>
      </c>
      <c r="AB174" s="221">
        <v>79</v>
      </c>
      <c r="AC174" s="221">
        <v>3</v>
      </c>
      <c r="AD174" s="221">
        <v>5</v>
      </c>
      <c r="AE174" s="221">
        <v>9</v>
      </c>
      <c r="AF174" s="217">
        <f t="shared" si="188"/>
      </c>
      <c r="AG174" s="222" t="s">
        <v>159</v>
      </c>
      <c r="AH174" s="223" t="s">
        <v>184</v>
      </c>
      <c r="AI174" s="221">
        <v>21</v>
      </c>
    </row>
    <row r="175">
      <c r="A175" s="211"/>
      <c r="B175" s="248" t="s">
        <v>186</v>
      </c>
      <c r="C175" s="212" t="s">
        <v>164</v>
      </c>
      <c r="D175" s="225">
        <v>2202.24</v>
      </c>
      <c r="E175" s="226">
        <v>7</v>
      </c>
      <c r="F175" s="226">
        <v>4</v>
      </c>
      <c r="G175" s="226">
        <v>3</v>
      </c>
      <c r="H175" s="225">
        <v>2094.95</v>
      </c>
      <c r="I175" s="225"/>
      <c r="J175" s="217">
        <f t="shared" si="279"/>
      </c>
      <c r="K175" s="217">
        <f t="shared" si="339"/>
      </c>
      <c r="L175" s="217">
        <f t="shared" si="158"/>
      </c>
      <c r="M175" s="218">
        <f t="shared" si="219"/>
      </c>
      <c r="N175" s="217">
        <f t="shared" si="68"/>
      </c>
      <c r="O175" s="217">
        <f t="shared" si="98"/>
      </c>
      <c r="P175" s="218">
        <f t="shared" si="369"/>
      </c>
      <c r="Q175" s="218">
        <f t="shared" si="7"/>
      </c>
      <c r="R175" s="218">
        <f t="shared" si="249"/>
      </c>
      <c r="S175" s="218">
        <f t="shared" si="309"/>
      </c>
      <c r="T175" s="219">
        <f t="shared" si="128"/>
      </c>
      <c r="U175" s="220">
        <v>0.0611</v>
      </c>
      <c r="V175" s="221">
        <v>45</v>
      </c>
      <c r="W175" s="217">
        <f t="shared" si="37"/>
      </c>
      <c r="X175" s="219">
        <v>15124</v>
      </c>
      <c r="Y175" s="219">
        <v>364</v>
      </c>
      <c r="Z175" s="219">
        <v>55</v>
      </c>
      <c r="AA175" s="219">
        <v>557</v>
      </c>
      <c r="AB175" s="219">
        <v>59</v>
      </c>
      <c r="AC175" s="219">
        <v>4</v>
      </c>
      <c r="AD175" s="219">
        <v>0</v>
      </c>
      <c r="AE175" s="221">
        <v>15</v>
      </c>
      <c r="AF175" s="217">
        <f t="shared" si="188"/>
      </c>
      <c r="AG175" s="222" t="s">
        <v>159</v>
      </c>
      <c r="AH175" s="223" t="s">
        <v>184</v>
      </c>
      <c r="AI175" s="221">
        <v>17</v>
      </c>
    </row>
    <row r="176">
      <c r="A176" s="211"/>
      <c r="B176" s="227" t="s">
        <v>165</v>
      </c>
      <c r="C176" s="227"/>
      <c r="D176" s="228">
        <f>SUM(D171:D175)</f>
      </c>
      <c r="E176" s="229">
        <f>SUM(E171:E175)</f>
      </c>
      <c r="F176" s="229">
        <f>SUM(F171:F175)</f>
      </c>
      <c r="G176" s="229">
        <f>SUM(G171:G175)</f>
      </c>
      <c r="H176" s="228">
        <f>SUM(H171:H175)</f>
      </c>
      <c r="I176" s="228"/>
      <c r="J176" s="230">
        <f t="shared" si="279"/>
      </c>
      <c r="K176" s="230">
        <f t="shared" si="339"/>
      </c>
      <c r="L176" s="230">
        <f t="shared" si="158"/>
      </c>
      <c r="M176" s="231">
        <f t="shared" si="219"/>
      </c>
      <c r="N176" s="230">
        <f t="shared" si="68"/>
      </c>
      <c r="O176" s="230">
        <f t="shared" si="98"/>
      </c>
      <c r="P176" s="231">
        <f t="shared" si="369"/>
      </c>
      <c r="Q176" s="231">
        <f t="shared" si="7"/>
      </c>
      <c r="R176" s="231">
        <f t="shared" si="249"/>
      </c>
      <c r="S176" s="231">
        <f t="shared" si="309"/>
      </c>
      <c r="T176" s="229">
        <f t="shared" si="128"/>
      </c>
      <c r="U176" s="231">
        <f>AVERAGE(U171:U175)</f>
      </c>
      <c r="V176" s="228">
        <f>AVERAGE(V171:V175)</f>
      </c>
      <c r="W176" s="230">
        <f t="shared" si="37"/>
      </c>
      <c r="X176" s="229">
        <f>SUM(X171:X175)</f>
      </c>
      <c r="Y176" s="229">
        <f>SUM(Y171:Y175)</f>
      </c>
      <c r="Z176" s="229">
        <f>SUM(Z171:Z175)</f>
      </c>
      <c r="AA176" s="229">
        <f>SUM(AA171:AA175)</f>
      </c>
      <c r="AB176" s="229">
        <f>SUM(AB171:AB175)</f>
      </c>
      <c r="AC176" s="229">
        <f>SUM(AC171:AC175)</f>
      </c>
      <c r="AD176" s="229">
        <f>SUM(AD171:AD175)</f>
      </c>
      <c r="AE176" s="229">
        <f>SUM(AE171:AE175)</f>
      </c>
      <c r="AF176" s="232">
        <f t="shared" si="188"/>
      </c>
      <c r="AG176" s="233"/>
      <c r="AH176" s="233"/>
      <c r="AI176" s="234">
        <f>SUM(AI171:AI175)</f>
      </c>
    </row>
    <row r="177">
      <c r="A177" s="211"/>
      <c r="B177" s="212" t="s">
        <v>178</v>
      </c>
      <c r="C177" s="235" t="s">
        <v>167</v>
      </c>
      <c r="D177" s="236">
        <v>1196.02</v>
      </c>
      <c r="E177" s="237">
        <v>1</v>
      </c>
      <c r="F177" s="237">
        <v>1</v>
      </c>
      <c r="G177" s="238">
        <v>1</v>
      </c>
      <c r="H177" s="239">
        <v>451</v>
      </c>
      <c r="I177" s="239"/>
      <c r="J177" s="240">
        <f t="shared" si="279"/>
      </c>
      <c r="K177" s="240">
        <f t="shared" si="339"/>
      </c>
      <c r="L177" s="240">
        <f t="shared" si="158"/>
      </c>
      <c r="M177" s="241">
        <f t="shared" si="219"/>
      </c>
      <c r="N177" s="240">
        <f t="shared" si="68"/>
      </c>
      <c r="O177" s="240">
        <f t="shared" si="98"/>
      </c>
      <c r="P177" s="241">
        <f t="shared" si="369"/>
      </c>
      <c r="Q177" s="241">
        <f t="shared" si="7"/>
      </c>
      <c r="R177" s="241">
        <f t="shared" si="249"/>
      </c>
      <c r="S177" s="241">
        <f t="shared" si="309"/>
      </c>
      <c r="T177" s="242">
        <f t="shared" si="128"/>
      </c>
      <c r="U177" s="243">
        <v>0.0539</v>
      </c>
      <c r="V177" s="244">
        <v>41</v>
      </c>
      <c r="W177" s="240">
        <f t="shared" si="37"/>
      </c>
      <c r="X177" s="242">
        <v>9000</v>
      </c>
      <c r="Y177" s="242">
        <v>348</v>
      </c>
      <c r="Z177" s="242">
        <v>46</v>
      </c>
      <c r="AA177" s="242">
        <v>489</v>
      </c>
      <c r="AB177" s="242">
        <v>21</v>
      </c>
      <c r="AC177" s="242">
        <v>7</v>
      </c>
      <c r="AD177" s="242">
        <v>1</v>
      </c>
      <c r="AE177" s="242">
        <v>11</v>
      </c>
      <c r="AF177" s="240">
        <f t="shared" si="188"/>
      </c>
      <c r="AG177" s="222" t="s">
        <v>159</v>
      </c>
      <c r="AH177" s="223" t="s">
        <v>184</v>
      </c>
      <c r="AI177" s="244">
        <v>7</v>
      </c>
    </row>
    <row r="178">
      <c r="A178" s="211"/>
      <c r="B178" s="212" t="s">
        <v>178</v>
      </c>
      <c r="C178" s="245" t="s">
        <v>168</v>
      </c>
      <c r="D178" s="246">
        <v>1157.56</v>
      </c>
      <c r="E178" s="247">
        <v>1</v>
      </c>
      <c r="F178" s="247">
        <v>0</v>
      </c>
      <c r="G178" s="247">
        <v>0</v>
      </c>
      <c r="H178" s="239">
        <v>0</v>
      </c>
      <c r="I178" s="239"/>
      <c r="J178" s="240">
        <f t="shared" si="279"/>
      </c>
      <c r="K178" s="240">
        <f t="shared" si="339"/>
      </c>
      <c r="L178" s="240">
        <f t="shared" si="158"/>
      </c>
      <c r="M178" s="241">
        <f t="shared" si="219"/>
      </c>
      <c r="N178" s="240">
        <f t="shared" si="68"/>
      </c>
      <c r="O178" s="240">
        <f t="shared" si="98"/>
      </c>
      <c r="P178" s="241">
        <f t="shared" si="369"/>
      </c>
      <c r="Q178" s="241">
        <f t="shared" si="7"/>
      </c>
      <c r="R178" s="241">
        <f t="shared" si="249"/>
      </c>
      <c r="S178" s="241">
        <f t="shared" si="309"/>
      </c>
      <c r="T178" s="242">
        <f t="shared" si="128"/>
      </c>
      <c r="U178" s="243">
        <v>0.0406</v>
      </c>
      <c r="V178" s="244">
        <v>39</v>
      </c>
      <c r="W178" s="240">
        <f t="shared" si="37"/>
      </c>
      <c r="X178" s="242">
        <v>7290</v>
      </c>
      <c r="Y178" s="242">
        <v>353</v>
      </c>
      <c r="Z178" s="242">
        <v>38</v>
      </c>
      <c r="AA178" s="242">
        <v>541</v>
      </c>
      <c r="AB178" s="242">
        <v>35</v>
      </c>
      <c r="AC178" s="242">
        <v>4</v>
      </c>
      <c r="AD178" s="242">
        <v>1</v>
      </c>
      <c r="AE178" s="242">
        <v>9</v>
      </c>
      <c r="AF178" s="240">
        <f t="shared" si="188"/>
      </c>
      <c r="AG178" s="222" t="s">
        <v>159</v>
      </c>
      <c r="AH178" s="223" t="s">
        <v>184</v>
      </c>
      <c r="AI178" s="244">
        <v>9</v>
      </c>
    </row>
    <row r="179">
      <c r="A179" s="211"/>
      <c r="B179" s="212" t="s">
        <v>178</v>
      </c>
      <c r="C179" s="235" t="s">
        <v>169</v>
      </c>
      <c r="D179" s="236">
        <v>705.25</v>
      </c>
      <c r="E179" s="247">
        <v>1</v>
      </c>
      <c r="F179" s="247">
        <v>1</v>
      </c>
      <c r="G179" s="247">
        <v>1</v>
      </c>
      <c r="H179" s="236">
        <v>451</v>
      </c>
      <c r="I179" s="236"/>
      <c r="J179" s="240">
        <f t="shared" si="279"/>
      </c>
      <c r="K179" s="240">
        <f t="shared" si="339"/>
      </c>
      <c r="L179" s="240">
        <f t="shared" si="158"/>
      </c>
      <c r="M179" s="241">
        <f t="shared" si="219"/>
      </c>
      <c r="N179" s="240">
        <f t="shared" si="68"/>
      </c>
      <c r="O179" s="240">
        <f t="shared" si="98"/>
      </c>
      <c r="P179" s="241">
        <f t="shared" si="369"/>
      </c>
      <c r="Q179" s="241">
        <f t="shared" si="7"/>
      </c>
      <c r="R179" s="241">
        <f t="shared" si="249"/>
      </c>
      <c r="S179" s="241">
        <f t="shared" si="309"/>
      </c>
      <c r="T179" s="242">
        <f t="shared" si="128"/>
      </c>
      <c r="U179" s="243">
        <v>0.0277</v>
      </c>
      <c r="V179" s="244">
        <v>38</v>
      </c>
      <c r="W179" s="240">
        <f t="shared" si="37"/>
      </c>
      <c r="X179" s="242">
        <v>5368</v>
      </c>
      <c r="Y179" s="242">
        <v>317</v>
      </c>
      <c r="Z179" s="242">
        <v>26</v>
      </c>
      <c r="AA179" s="242">
        <v>457</v>
      </c>
      <c r="AB179" s="242">
        <v>15</v>
      </c>
      <c r="AC179" s="242">
        <v>1</v>
      </c>
      <c r="AD179" s="242">
        <v>0</v>
      </c>
      <c r="AE179" s="244">
        <v>4</v>
      </c>
      <c r="AF179" s="240">
        <f t="shared" si="188"/>
      </c>
      <c r="AG179" s="222" t="s">
        <v>159</v>
      </c>
      <c r="AH179" s="223" t="s">
        <v>184</v>
      </c>
      <c r="AI179" s="244">
        <v>10</v>
      </c>
    </row>
    <row r="180">
      <c r="A180" s="211"/>
      <c r="B180" s="212" t="s">
        <v>178</v>
      </c>
      <c r="C180" s="248" t="s">
        <v>170</v>
      </c>
      <c r="D180" s="236">
        <v>1234.07</v>
      </c>
      <c r="E180" s="238">
        <v>6</v>
      </c>
      <c r="F180" s="238">
        <v>5</v>
      </c>
      <c r="G180" s="238">
        <v>4</v>
      </c>
      <c r="H180" s="236">
        <v>2209.8999999999996</v>
      </c>
      <c r="I180" s="236"/>
      <c r="J180" s="240">
        <f t="shared" si="279"/>
      </c>
      <c r="K180" s="240">
        <f t="shared" si="339"/>
      </c>
      <c r="L180" s="240">
        <f t="shared" si="158"/>
      </c>
      <c r="M180" s="241">
        <f t="shared" si="219"/>
      </c>
      <c r="N180" s="240">
        <f t="shared" si="68"/>
      </c>
      <c r="O180" s="240">
        <f t="shared" si="98"/>
      </c>
      <c r="P180" s="241">
        <f t="shared" si="369"/>
      </c>
      <c r="Q180" s="241">
        <f t="shared" si="7"/>
      </c>
      <c r="R180" s="241">
        <f t="shared" si="249"/>
      </c>
      <c r="S180" s="241">
        <f t="shared" si="309"/>
      </c>
      <c r="T180" s="242">
        <f t="shared" si="128"/>
      </c>
      <c r="U180" s="243">
        <v>0.0503</v>
      </c>
      <c r="V180" s="244">
        <v>39</v>
      </c>
      <c r="W180" s="240">
        <f t="shared" si="37"/>
      </c>
      <c r="X180" s="242">
        <v>7876</v>
      </c>
      <c r="Y180" s="242">
        <v>414</v>
      </c>
      <c r="Z180" s="242">
        <v>59</v>
      </c>
      <c r="AA180" s="242">
        <v>550</v>
      </c>
      <c r="AB180" s="242">
        <v>54</v>
      </c>
      <c r="AC180" s="242">
        <v>3</v>
      </c>
      <c r="AD180" s="242">
        <v>0</v>
      </c>
      <c r="AE180" s="242">
        <v>13</v>
      </c>
      <c r="AF180" s="240">
        <f t="shared" si="188"/>
      </c>
      <c r="AG180" s="222" t="s">
        <v>159</v>
      </c>
      <c r="AH180" s="223" t="s">
        <v>184</v>
      </c>
      <c r="AI180" s="244">
        <v>44</v>
      </c>
    </row>
    <row r="181">
      <c r="A181" s="211"/>
      <c r="B181" s="249" t="s">
        <v>165</v>
      </c>
      <c r="C181" s="249"/>
      <c r="D181" s="250">
        <f>SUM(D177:D180)</f>
      </c>
      <c r="E181" s="251">
        <f>SUM(E177:E180)</f>
      </c>
      <c r="F181" s="251">
        <f>SUM(F177:F180)</f>
      </c>
      <c r="G181" s="251">
        <f>SUM(G177:G180)</f>
      </c>
      <c r="H181" s="250">
        <f>SUM(H177:H180)</f>
      </c>
      <c r="I181" s="250"/>
      <c r="J181" s="252">
        <f t="shared" si="279"/>
      </c>
      <c r="K181" s="252">
        <f t="shared" si="339"/>
      </c>
      <c r="L181" s="252">
        <f t="shared" si="158"/>
      </c>
      <c r="M181" s="253">
        <f t="shared" si="219"/>
      </c>
      <c r="N181" s="252">
        <f t="shared" si="68"/>
      </c>
      <c r="O181" s="252">
        <f t="shared" si="98"/>
      </c>
      <c r="P181" s="253">
        <f t="shared" si="369"/>
      </c>
      <c r="Q181" s="253">
        <f t="shared" si="7"/>
      </c>
      <c r="R181" s="253">
        <f t="shared" si="249"/>
      </c>
      <c r="S181" s="253">
        <f t="shared" si="309"/>
      </c>
      <c r="T181" s="254">
        <f t="shared" si="128"/>
      </c>
      <c r="U181" s="253">
        <f>AVERAGE(U177:U180)</f>
      </c>
      <c r="V181" s="250">
        <f>AVERAGE(V177:V180)</f>
      </c>
      <c r="W181" s="252">
        <f t="shared" si="37"/>
      </c>
      <c r="X181" s="254">
        <f>SUM(X177:X180)</f>
      </c>
      <c r="Y181" s="254">
        <f>SUM(Y177:Y180)</f>
      </c>
      <c r="Z181" s="254">
        <f>SUM(Z177:Z180)</f>
      </c>
      <c r="AA181" s="254">
        <f>SUM(AA177:AA180)</f>
      </c>
      <c r="AB181" s="254">
        <f>SUM(AB177:AB180)</f>
      </c>
      <c r="AC181" s="254">
        <f>SUM(AC177:AC180)</f>
      </c>
      <c r="AD181" s="254">
        <f>SUM(AD177:AD180)</f>
      </c>
      <c r="AE181" s="254">
        <f>SUM(AE177:AE180)</f>
      </c>
      <c r="AF181" s="255">
        <f t="shared" si="188"/>
      </c>
      <c r="AG181" s="256"/>
      <c r="AH181" s="256"/>
      <c r="AI181" s="257">
        <f>SUM(AI177:AI180)</f>
      </c>
    </row>
    <row r="182">
      <c r="A182" s="211"/>
      <c r="B182" s="212" t="s">
        <v>157</v>
      </c>
      <c r="C182" s="235" t="s">
        <v>172</v>
      </c>
      <c r="D182" s="212">
        <v>2228.5</v>
      </c>
      <c r="E182" s="215">
        <v>5</v>
      </c>
      <c r="F182" s="215">
        <v>3</v>
      </c>
      <c r="G182" s="215">
        <v>3</v>
      </c>
      <c r="H182" s="215">
        <v>1353</v>
      </c>
      <c r="I182" s="215"/>
      <c r="J182" s="217">
        <f t="shared" si="279"/>
      </c>
      <c r="K182" s="217">
        <f t="shared" si="339"/>
      </c>
      <c r="L182" s="217">
        <f t="shared" si="158"/>
      </c>
      <c r="M182" s="218">
        <f t="shared" si="219"/>
      </c>
      <c r="N182" s="217">
        <f t="shared" si="68"/>
      </c>
      <c r="O182" s="217">
        <f t="shared" si="98"/>
      </c>
      <c r="P182" s="218">
        <f t="shared" si="369"/>
      </c>
      <c r="Q182" s="218">
        <f t="shared" si="7"/>
      </c>
      <c r="R182" s="218">
        <f t="shared" si="249"/>
      </c>
      <c r="S182" s="218">
        <f t="shared" si="309"/>
      </c>
      <c r="T182" s="219">
        <f t="shared" si="128"/>
      </c>
      <c r="U182" s="220">
        <v>0.0625</v>
      </c>
      <c r="V182" s="221">
        <v>40</v>
      </c>
      <c r="W182" s="217">
        <f t="shared" si="37"/>
      </c>
      <c r="X182" s="221">
        <v>15159</v>
      </c>
      <c r="Y182" s="221">
        <v>449</v>
      </c>
      <c r="Z182" s="219">
        <v>82</v>
      </c>
      <c r="AA182" s="219">
        <v>604</v>
      </c>
      <c r="AB182" s="219">
        <v>34</v>
      </c>
      <c r="AC182" s="219">
        <v>2</v>
      </c>
      <c r="AD182" s="221">
        <v>1</v>
      </c>
      <c r="AE182" s="221">
        <v>22</v>
      </c>
      <c r="AF182" s="217">
        <f t="shared" si="188"/>
      </c>
      <c r="AG182" s="222" t="s">
        <v>173</v>
      </c>
      <c r="AH182" s="223" t="s">
        <v>174</v>
      </c>
      <c r="AI182" s="221">
        <v>23</v>
      </c>
    </row>
    <row r="183">
      <c r="A183" s="211"/>
      <c r="B183" s="212" t="s">
        <v>157</v>
      </c>
      <c r="C183" s="245" t="s">
        <v>175</v>
      </c>
      <c r="D183" s="212">
        <v>2300.46</v>
      </c>
      <c r="E183" s="215">
        <v>12</v>
      </c>
      <c r="F183" s="215">
        <v>7</v>
      </c>
      <c r="G183" s="215">
        <v>4</v>
      </c>
      <c r="H183" s="214">
        <v>4216.85</v>
      </c>
      <c r="I183" s="214"/>
      <c r="J183" s="217">
        <f t="shared" si="279"/>
      </c>
      <c r="K183" s="217">
        <f t="shared" si="339"/>
      </c>
      <c r="L183" s="217">
        <f t="shared" si="158"/>
      </c>
      <c r="M183" s="218">
        <f t="shared" si="219"/>
      </c>
      <c r="N183" s="217">
        <f t="shared" si="68"/>
      </c>
      <c r="O183" s="217">
        <f t="shared" si="98"/>
      </c>
      <c r="P183" s="218">
        <f t="shared" si="369"/>
      </c>
      <c r="Q183" s="218">
        <f t="shared" si="7"/>
      </c>
      <c r="R183" s="218">
        <f t="shared" si="249"/>
      </c>
      <c r="S183" s="218">
        <f t="shared" si="309"/>
      </c>
      <c r="T183" s="219">
        <f t="shared" si="128"/>
      </c>
      <c r="U183" s="220">
        <v>0.0556</v>
      </c>
      <c r="V183" s="221">
        <v>43</v>
      </c>
      <c r="W183" s="217">
        <f t="shared" si="37"/>
      </c>
      <c r="X183" s="219">
        <v>15298</v>
      </c>
      <c r="Y183" s="219">
        <v>396</v>
      </c>
      <c r="Z183" s="219">
        <v>63</v>
      </c>
      <c r="AA183" s="219">
        <v>538</v>
      </c>
      <c r="AB183" s="219">
        <v>71</v>
      </c>
      <c r="AC183" s="219">
        <v>11</v>
      </c>
      <c r="AD183" s="219">
        <v>0</v>
      </c>
      <c r="AE183" s="221">
        <v>15</v>
      </c>
      <c r="AF183" s="217">
        <f t="shared" si="188"/>
      </c>
      <c r="AG183" s="222" t="s">
        <v>173</v>
      </c>
      <c r="AH183" s="223" t="s">
        <v>174</v>
      </c>
      <c r="AI183" s="221">
        <v>25</v>
      </c>
    </row>
    <row r="184">
      <c r="A184" s="211"/>
      <c r="B184" s="212" t="s">
        <v>157</v>
      </c>
      <c r="C184" s="235" t="s">
        <v>176</v>
      </c>
      <c r="D184" s="212">
        <v>2078.13</v>
      </c>
      <c r="E184" s="215">
        <v>5</v>
      </c>
      <c r="F184" s="215">
        <v>3</v>
      </c>
      <c r="G184" s="215">
        <v>2</v>
      </c>
      <c r="H184" s="214">
        <v>2715.9000000000015</v>
      </c>
      <c r="I184" s="214"/>
      <c r="J184" s="217">
        <f t="shared" si="279"/>
      </c>
      <c r="K184" s="217">
        <f t="shared" si="339"/>
      </c>
      <c r="L184" s="217">
        <f t="shared" si="158"/>
      </c>
      <c r="M184" s="218">
        <f t="shared" si="219"/>
      </c>
      <c r="N184" s="217">
        <f t="shared" si="68"/>
      </c>
      <c r="O184" s="217">
        <f t="shared" si="98"/>
      </c>
      <c r="P184" s="218">
        <f t="shared" si="369"/>
      </c>
      <c r="Q184" s="218">
        <f t="shared" si="7"/>
      </c>
      <c r="R184" s="218">
        <f t="shared" si="249"/>
      </c>
      <c r="S184" s="218">
        <f t="shared" si="309"/>
      </c>
      <c r="T184" s="219">
        <f t="shared" si="128"/>
      </c>
      <c r="U184" s="220">
        <v>0.0713</v>
      </c>
      <c r="V184" s="221">
        <v>45</v>
      </c>
      <c r="W184" s="217">
        <f t="shared" si="37"/>
      </c>
      <c r="X184" s="221">
        <v>19402</v>
      </c>
      <c r="Y184" s="221">
        <v>395</v>
      </c>
      <c r="Z184" s="221">
        <v>81</v>
      </c>
      <c r="AA184" s="221">
        <v>566</v>
      </c>
      <c r="AB184" s="221">
        <v>65</v>
      </c>
      <c r="AC184" s="221">
        <v>6</v>
      </c>
      <c r="AD184" s="221">
        <v>2</v>
      </c>
      <c r="AE184" s="221">
        <v>18</v>
      </c>
      <c r="AF184" s="217">
        <f t="shared" si="188"/>
      </c>
      <c r="AG184" s="222" t="s">
        <v>173</v>
      </c>
      <c r="AH184" s="223" t="s">
        <v>174</v>
      </c>
      <c r="AI184" s="221">
        <v>23</v>
      </c>
    </row>
    <row r="185">
      <c r="A185" s="211"/>
      <c r="B185" s="212" t="s">
        <v>157</v>
      </c>
      <c r="C185" s="235" t="s">
        <v>177</v>
      </c>
      <c r="D185" s="212">
        <v>1178.88</v>
      </c>
      <c r="E185" s="215">
        <v>6</v>
      </c>
      <c r="F185" s="215">
        <v>5</v>
      </c>
      <c r="G185" s="215">
        <v>3</v>
      </c>
      <c r="H185" s="214">
        <v>2615.7999999999993</v>
      </c>
      <c r="I185" s="214"/>
      <c r="J185" s="217">
        <f t="shared" si="279"/>
      </c>
      <c r="K185" s="217">
        <f t="shared" si="339"/>
      </c>
      <c r="L185" s="217">
        <f t="shared" si="158"/>
      </c>
      <c r="M185" s="218">
        <f t="shared" si="219"/>
      </c>
      <c r="N185" s="217">
        <f t="shared" si="68"/>
      </c>
      <c r="O185" s="217">
        <f t="shared" si="98"/>
      </c>
      <c r="P185" s="218">
        <f t="shared" si="369"/>
      </c>
      <c r="Q185" s="218">
        <f t="shared" si="7"/>
      </c>
      <c r="R185" s="218">
        <f t="shared" si="249"/>
      </c>
      <c r="S185" s="218">
        <f t="shared" si="309"/>
      </c>
      <c r="T185" s="219">
        <f t="shared" si="128"/>
      </c>
      <c r="U185" s="220">
        <v>0.0582</v>
      </c>
      <c r="V185" s="221">
        <v>46</v>
      </c>
      <c r="W185" s="217">
        <f t="shared" si="37"/>
      </c>
      <c r="X185" s="221">
        <v>9275</v>
      </c>
      <c r="Y185" s="221">
        <v>310</v>
      </c>
      <c r="Z185" s="219">
        <v>57</v>
      </c>
      <c r="AA185" s="219">
        <v>424</v>
      </c>
      <c r="AB185" s="219">
        <v>24</v>
      </c>
      <c r="AC185" s="219">
        <v>2</v>
      </c>
      <c r="AD185" s="221">
        <v>0</v>
      </c>
      <c r="AE185" s="221">
        <v>9</v>
      </c>
      <c r="AF185" s="217">
        <f t="shared" si="188"/>
      </c>
      <c r="AG185" s="222" t="s">
        <v>173</v>
      </c>
      <c r="AH185" s="223" t="s">
        <v>174</v>
      </c>
      <c r="AI185" s="221">
        <v>17</v>
      </c>
    </row>
    <row r="186">
      <c r="A186" s="211"/>
      <c r="B186" s="227" t="s">
        <v>165</v>
      </c>
      <c r="C186" s="227"/>
      <c r="D186" s="259">
        <f>SUM(D182:D185)</f>
      </c>
      <c r="E186" s="260">
        <f>SUM(E182:E185)</f>
      </c>
      <c r="F186" s="260">
        <f>SUM(F182:F185)</f>
      </c>
      <c r="G186" s="260">
        <f>SUM(G182:G185)</f>
      </c>
      <c r="H186" s="259">
        <f>SUM(H182:H185)</f>
      </c>
      <c r="I186" s="259"/>
      <c r="J186" s="230">
        <f t="shared" si="279"/>
      </c>
      <c r="K186" s="230">
        <f t="shared" si="339"/>
      </c>
      <c r="L186" s="230">
        <f t="shared" si="158"/>
      </c>
      <c r="M186" s="231">
        <f t="shared" si="219"/>
      </c>
      <c r="N186" s="230">
        <f t="shared" si="68"/>
      </c>
      <c r="O186" s="230">
        <f t="shared" si="98"/>
      </c>
      <c r="P186" s="231">
        <f t="shared" si="369"/>
      </c>
      <c r="Q186" s="231">
        <f t="shared" si="7"/>
      </c>
      <c r="R186" s="231">
        <f t="shared" si="249"/>
      </c>
      <c r="S186" s="231">
        <f t="shared" si="309"/>
      </c>
      <c r="T186" s="229">
        <f t="shared" si="128"/>
      </c>
      <c r="U186" s="231">
        <f>AVERAGE(U182:U185)</f>
      </c>
      <c r="V186" s="228">
        <f>AVERAGE(V182:V185)</f>
      </c>
      <c r="W186" s="230">
        <f t="shared" si="37"/>
      </c>
      <c r="X186" s="229">
        <f>SUM(X182:X185)</f>
      </c>
      <c r="Y186" s="229">
        <f>SUM(Y182:Y185)</f>
      </c>
      <c r="Z186" s="229">
        <f>SUM(Z182:Z185)</f>
      </c>
      <c r="AA186" s="229">
        <f>SUM(AA182:AA185)</f>
      </c>
      <c r="AB186" s="229">
        <f>SUM(AB182:AB185)</f>
      </c>
      <c r="AC186" s="229">
        <f>SUM(AC182:AC185)</f>
      </c>
      <c r="AD186" s="229">
        <f>SUM(AD182:AD185)</f>
      </c>
      <c r="AE186" s="229">
        <f>SUM(AE182:AE185)</f>
      </c>
      <c r="AF186" s="232">
        <f t="shared" si="188"/>
      </c>
      <c r="AG186" s="233"/>
      <c r="AH186" s="233"/>
      <c r="AI186" s="229">
        <f>SUM(AI182:AI185)</f>
      </c>
    </row>
    <row r="187">
      <c r="A187" s="211"/>
      <c r="B187" s="212" t="s">
        <v>166</v>
      </c>
      <c r="C187" s="248" t="s">
        <v>179</v>
      </c>
      <c r="D187" s="261">
        <v>2261.46</v>
      </c>
      <c r="E187" s="237">
        <v>5</v>
      </c>
      <c r="F187" s="237">
        <v>4</v>
      </c>
      <c r="G187" s="238">
        <v>3</v>
      </c>
      <c r="H187" s="239">
        <v>3727.899999999998</v>
      </c>
      <c r="I187" s="239"/>
      <c r="J187" s="240">
        <f t="shared" si="279"/>
      </c>
      <c r="K187" s="240">
        <f t="shared" si="339"/>
      </c>
      <c r="L187" s="240">
        <f t="shared" si="158"/>
      </c>
      <c r="M187" s="241">
        <f t="shared" si="219"/>
      </c>
      <c r="N187" s="240">
        <f t="shared" si="68"/>
      </c>
      <c r="O187" s="240">
        <f t="shared" si="98"/>
      </c>
      <c r="P187" s="241">
        <f t="shared" si="369"/>
      </c>
      <c r="Q187" s="241">
        <f t="shared" si="7"/>
      </c>
      <c r="R187" s="241">
        <f t="shared" si="249"/>
      </c>
      <c r="S187" s="241">
        <f t="shared" si="309"/>
      </c>
      <c r="T187" s="242">
        <f t="shared" si="128"/>
      </c>
      <c r="U187" s="243">
        <v>0.0639</v>
      </c>
      <c r="V187" s="244">
        <v>47</v>
      </c>
      <c r="W187" s="240">
        <f t="shared" si="37"/>
      </c>
      <c r="X187" s="242">
        <v>14863</v>
      </c>
      <c r="Y187" s="242">
        <v>414</v>
      </c>
      <c r="Z187" s="242">
        <v>69</v>
      </c>
      <c r="AA187" s="242">
        <v>589</v>
      </c>
      <c r="AB187" s="242">
        <v>58</v>
      </c>
      <c r="AC187" s="242">
        <v>9</v>
      </c>
      <c r="AD187" s="242">
        <v>0</v>
      </c>
      <c r="AE187" s="242">
        <v>12</v>
      </c>
      <c r="AF187" s="240">
        <f t="shared" si="188"/>
      </c>
      <c r="AG187" s="222" t="s">
        <v>173</v>
      </c>
      <c r="AH187" s="223" t="s">
        <v>174</v>
      </c>
      <c r="AI187" s="244">
        <v>26</v>
      </c>
    </row>
    <row r="188">
      <c r="A188" s="211"/>
      <c r="B188" s="212" t="s">
        <v>166</v>
      </c>
      <c r="C188" s="248" t="s">
        <v>180</v>
      </c>
      <c r="D188" s="262">
        <v>1865.57</v>
      </c>
      <c r="E188" s="247">
        <v>4</v>
      </c>
      <c r="F188" s="247">
        <v>3</v>
      </c>
      <c r="G188" s="247">
        <v>1</v>
      </c>
      <c r="H188" s="263">
        <v>2976.5999999999985</v>
      </c>
      <c r="I188" s="263"/>
      <c r="J188" s="240">
        <f t="shared" si="279"/>
      </c>
      <c r="K188" s="240">
        <f t="shared" si="339"/>
      </c>
      <c r="L188" s="240">
        <f t="shared" si="158"/>
      </c>
      <c r="M188" s="241">
        <f t="shared" si="219"/>
      </c>
      <c r="N188" s="240">
        <f t="shared" si="68"/>
      </c>
      <c r="O188" s="240">
        <f t="shared" si="98"/>
      </c>
      <c r="P188" s="241">
        <f t="shared" si="369"/>
      </c>
      <c r="Q188" s="241">
        <f t="shared" si="7"/>
      </c>
      <c r="R188" s="241">
        <f t="shared" si="249"/>
      </c>
      <c r="S188" s="241">
        <f t="shared" si="309"/>
      </c>
      <c r="T188" s="242">
        <f t="shared" si="128"/>
      </c>
      <c r="U188" s="243">
        <v>0.0563</v>
      </c>
      <c r="V188" s="244">
        <v>48</v>
      </c>
      <c r="W188" s="240">
        <f t="shared" si="37"/>
      </c>
      <c r="X188" s="242">
        <v>11588</v>
      </c>
      <c r="Y188" s="242">
        <v>459</v>
      </c>
      <c r="Z188" s="242">
        <v>79</v>
      </c>
      <c r="AA188" s="242">
        <v>624</v>
      </c>
      <c r="AB188" s="242">
        <v>31</v>
      </c>
      <c r="AC188" s="242">
        <v>1</v>
      </c>
      <c r="AD188" s="242">
        <v>1</v>
      </c>
      <c r="AE188" s="242">
        <v>7</v>
      </c>
      <c r="AF188" s="240">
        <f t="shared" si="188"/>
      </c>
      <c r="AG188" s="222" t="s">
        <v>173</v>
      </c>
      <c r="AH188" s="223" t="s">
        <v>174</v>
      </c>
      <c r="AI188" s="244">
        <v>19</v>
      </c>
    </row>
    <row r="189">
      <c r="A189" s="211"/>
      <c r="B189" s="212" t="s">
        <v>166</v>
      </c>
      <c r="C189" s="248" t="s">
        <v>181</v>
      </c>
      <c r="D189" s="261">
        <v>1729.27</v>
      </c>
      <c r="E189" s="247">
        <v>3</v>
      </c>
      <c r="F189" s="247">
        <v>2</v>
      </c>
      <c r="G189" s="247">
        <v>1</v>
      </c>
      <c r="H189" s="236">
        <v>1713.800000000003</v>
      </c>
      <c r="I189" s="236"/>
      <c r="J189" s="240">
        <f t="shared" si="279"/>
      </c>
      <c r="K189" s="240">
        <f t="shared" si="339"/>
      </c>
      <c r="L189" s="240">
        <f t="shared" si="158"/>
      </c>
      <c r="M189" s="241">
        <f t="shared" si="219"/>
      </c>
      <c r="N189" s="240">
        <f t="shared" si="68"/>
      </c>
      <c r="O189" s="240">
        <f t="shared" si="98"/>
      </c>
      <c r="P189" s="241">
        <f t="shared" si="369"/>
      </c>
      <c r="Q189" s="241">
        <f t="shared" si="7"/>
      </c>
      <c r="R189" s="241">
        <f t="shared" si="249"/>
      </c>
      <c r="S189" s="241">
        <f t="shared" si="309"/>
      </c>
      <c r="T189" s="242">
        <f t="shared" si="128"/>
      </c>
      <c r="U189" s="243">
        <v>0.0553</v>
      </c>
      <c r="V189" s="244">
        <v>49</v>
      </c>
      <c r="W189" s="240">
        <f t="shared" si="37"/>
      </c>
      <c r="X189" s="242">
        <v>11343</v>
      </c>
      <c r="Y189" s="242">
        <v>487</v>
      </c>
      <c r="Z189" s="242">
        <v>75</v>
      </c>
      <c r="AA189" s="242">
        <v>639</v>
      </c>
      <c r="AB189" s="242">
        <v>50</v>
      </c>
      <c r="AC189" s="242">
        <v>4</v>
      </c>
      <c r="AD189" s="242">
        <v>0</v>
      </c>
      <c r="AE189" s="242">
        <v>16</v>
      </c>
      <c r="AF189" s="240">
        <f t="shared" si="188"/>
      </c>
      <c r="AG189" s="222" t="s">
        <v>173</v>
      </c>
      <c r="AH189" s="223" t="s">
        <v>174</v>
      </c>
      <c r="AI189" s="244">
        <v>25</v>
      </c>
    </row>
    <row r="190">
      <c r="A190" s="211"/>
      <c r="B190" s="212" t="s">
        <v>166</v>
      </c>
      <c r="C190" s="248" t="s">
        <v>182</v>
      </c>
      <c r="D190" s="261">
        <v>644.71</v>
      </c>
      <c r="E190" s="238">
        <v>3</v>
      </c>
      <c r="F190" s="238">
        <v>1</v>
      </c>
      <c r="G190" s="238">
        <v>0</v>
      </c>
      <c r="H190" s="261">
        <v>856.8999999999978</v>
      </c>
      <c r="I190" s="261"/>
      <c r="J190" s="240">
        <f t="shared" si="279"/>
      </c>
      <c r="K190" s="240">
        <f t="shared" si="339"/>
      </c>
      <c r="L190" s="240">
        <f t="shared" si="158"/>
      </c>
      <c r="M190" s="241">
        <f t="shared" si="219"/>
      </c>
      <c r="N190" s="240">
        <f t="shared" si="68"/>
      </c>
      <c r="O190" s="240">
        <f t="shared" si="98"/>
      </c>
      <c r="P190" s="241">
        <f t="shared" si="369"/>
      </c>
      <c r="Q190" s="241">
        <f t="shared" si="7"/>
      </c>
      <c r="R190" s="241">
        <f t="shared" si="249"/>
      </c>
      <c r="S190" s="241">
        <f t="shared" si="309"/>
      </c>
      <c r="T190" s="242">
        <f t="shared" si="128"/>
      </c>
      <c r="U190" s="243">
        <v>0.0369</v>
      </c>
      <c r="V190" s="244">
        <v>48</v>
      </c>
      <c r="W190" s="240">
        <f t="shared" si="37"/>
      </c>
      <c r="X190" s="242">
        <v>5191</v>
      </c>
      <c r="Y190" s="242">
        <v>260</v>
      </c>
      <c r="Z190" s="242">
        <v>29</v>
      </c>
      <c r="AA190" s="242">
        <v>354</v>
      </c>
      <c r="AB190" s="242">
        <v>30</v>
      </c>
      <c r="AC190" s="242">
        <v>5</v>
      </c>
      <c r="AD190" s="242">
        <v>1</v>
      </c>
      <c r="AE190" s="244">
        <v>7</v>
      </c>
      <c r="AF190" s="240">
        <f t="shared" si="188"/>
      </c>
      <c r="AG190" s="222" t="s">
        <v>173</v>
      </c>
      <c r="AH190" s="223" t="s">
        <v>174</v>
      </c>
      <c r="AI190" s="244">
        <v>9</v>
      </c>
    </row>
    <row r="191">
      <c r="A191" s="211"/>
      <c r="B191" s="249" t="s">
        <v>165</v>
      </c>
      <c r="C191" s="249"/>
      <c r="D191" s="250">
        <f>SUM(D187:D190)</f>
      </c>
      <c r="E191" s="251">
        <f>SUM(E187:E190)</f>
      </c>
      <c r="F191" s="251">
        <f>SUM(F187:F190)</f>
      </c>
      <c r="G191" s="251">
        <f>SUM(G187:G190)</f>
      </c>
      <c r="H191" s="250">
        <f>SUM(H187:H190)</f>
      </c>
      <c r="I191" s="250"/>
      <c r="J191" s="252">
        <f t="shared" si="279"/>
      </c>
      <c r="K191" s="252">
        <f t="shared" si="339"/>
      </c>
      <c r="L191" s="252">
        <f t="shared" si="158"/>
      </c>
      <c r="M191" s="253">
        <f t="shared" si="219"/>
      </c>
      <c r="N191" s="252">
        <f t="shared" si="68"/>
      </c>
      <c r="O191" s="252">
        <f t="shared" si="98"/>
      </c>
      <c r="P191" s="253">
        <f t="shared" si="369"/>
      </c>
      <c r="Q191" s="253">
        <f t="shared" si="7"/>
      </c>
      <c r="R191" s="253">
        <f t="shared" si="249"/>
      </c>
      <c r="S191" s="253">
        <f t="shared" si="309"/>
      </c>
      <c r="T191" s="254">
        <f t="shared" si="128"/>
      </c>
      <c r="U191" s="253">
        <f>AVERAGE(U187:U190)</f>
      </c>
      <c r="V191" s="250">
        <f>AVERAGE(V187:V190)</f>
      </c>
      <c r="W191" s="252">
        <f t="shared" si="37"/>
      </c>
      <c r="X191" s="254">
        <f>SUM(X187:X190)</f>
      </c>
      <c r="Y191" s="254">
        <f>SUM(Y187:Y190)</f>
      </c>
      <c r="Z191" s="254">
        <f>SUM(Z187:Z190)</f>
      </c>
      <c r="AA191" s="254">
        <f>SUM(AA187:AA190)</f>
      </c>
      <c r="AB191" s="254">
        <f>SUM(AB187:AB190)</f>
      </c>
      <c r="AC191" s="254">
        <f>SUM(AC187:AC190)</f>
      </c>
      <c r="AD191" s="254">
        <f>SUM(AD187:AD190)</f>
      </c>
      <c r="AE191" s="254">
        <f>SUM(AE187:AE190)</f>
      </c>
      <c r="AF191" s="255">
        <f t="shared" si="188"/>
      </c>
      <c r="AG191" s="256"/>
      <c r="AH191" s="256"/>
      <c r="AI191" s="257">
        <f>SUM(AI187:AI190)</f>
      </c>
    </row>
    <row r="192">
      <c r="A192" s="211"/>
      <c r="B192" s="264" t="s">
        <v>183</v>
      </c>
      <c r="C192" s="264"/>
      <c r="D192" s="265">
        <f>D176+D181+D186+D191</f>
      </c>
      <c r="E192" s="265">
        <f>E176+E181+E186+E191</f>
      </c>
      <c r="F192" s="265">
        <f>F176+F181+F186+F191</f>
      </c>
      <c r="G192" s="265">
        <f>G176+G181+G186+G191</f>
      </c>
      <c r="H192" s="265">
        <f>H176+H181+H186+H191</f>
      </c>
      <c r="I192" s="265"/>
      <c r="J192" s="266">
        <f t="shared" si="279"/>
      </c>
      <c r="K192" s="267">
        <f t="shared" si="339"/>
      </c>
      <c r="L192" s="267">
        <f t="shared" si="158"/>
      </c>
      <c r="M192" s="268">
        <f t="shared" si="219"/>
      </c>
      <c r="N192" s="267">
        <f t="shared" si="68"/>
      </c>
      <c r="O192" s="267">
        <f t="shared" si="98"/>
      </c>
      <c r="P192" s="268">
        <f t="shared" si="369"/>
      </c>
      <c r="Q192" s="268">
        <f t="shared" si="7"/>
      </c>
      <c r="R192" s="268">
        <f t="shared" si="249"/>
      </c>
      <c r="S192" s="268">
        <f t="shared" si="309"/>
      </c>
      <c r="T192" s="269">
        <f t="shared" si="128"/>
      </c>
      <c r="U192" s="268">
        <f>(U176+U186+U181+U191)/4</f>
      </c>
      <c r="V192" s="267">
        <f>(V176+V186+V181+V191)/4</f>
      </c>
      <c r="W192" s="270">
        <f t="shared" si="37"/>
      </c>
      <c r="X192" s="269">
        <f>X176+X181+X186+X191</f>
      </c>
      <c r="Y192" s="269">
        <f>Y176+Y181+Y186+Y191</f>
      </c>
      <c r="Z192" s="269">
        <f>Z176+Z181+Z186+Z191</f>
      </c>
      <c r="AA192" s="269">
        <f>AA176+AA181+AA186+AA191</f>
      </c>
      <c r="AB192" s="269">
        <f>AB176+AB181+AB186+AB191</f>
      </c>
      <c r="AC192" s="269">
        <f>AC176+AC181+AC186+AC191</f>
      </c>
      <c r="AD192" s="269">
        <f>AD176+AD181+AD186+AD191</f>
      </c>
      <c r="AE192" s="269">
        <f>AE176+AE181+AE186+AE191</f>
      </c>
      <c r="AF192" s="267">
        <f>AF176</f>
      </c>
      <c r="AG192" s="264"/>
      <c r="AH192" s="264"/>
      <c r="AI192" s="269">
        <f>AI176+AI181+AI186+AI191</f>
      </c>
    </row>
    <row r="193">
      <c r="A193" s="193" t="s">
        <v>120</v>
      </c>
      <c r="B193" s="194" t="s">
        <v>121</v>
      </c>
      <c r="C193" s="194"/>
      <c r="D193" s="195" t="s">
        <v>122</v>
      </c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6" t="s">
        <v>123</v>
      </c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7"/>
    </row>
    <row r="194">
      <c r="A194" s="193"/>
      <c r="B194" s="194" t="s">
        <v>124</v>
      </c>
      <c r="C194" s="198" t="s">
        <v>125</v>
      </c>
      <c r="D194" s="199" t="s">
        <v>126</v>
      </c>
      <c r="E194" s="200" t="s">
        <v>127</v>
      </c>
      <c r="F194" s="201" t="s">
        <v>128</v>
      </c>
      <c r="G194" s="201" t="s">
        <v>129</v>
      </c>
      <c r="H194" s="199" t="s">
        <v>130</v>
      </c>
      <c r="I194" s="199"/>
      <c r="J194" s="202" t="s">
        <v>131</v>
      </c>
      <c r="K194" s="202" t="s">
        <v>132</v>
      </c>
      <c r="L194" s="202" t="s">
        <v>133</v>
      </c>
      <c r="M194" s="203" t="s">
        <v>134</v>
      </c>
      <c r="N194" s="202" t="s">
        <v>135</v>
      </c>
      <c r="O194" s="204" t="s">
        <v>136</v>
      </c>
      <c r="P194" s="205" t="s">
        <v>137</v>
      </c>
      <c r="Q194" s="205" t="s">
        <v>138</v>
      </c>
      <c r="R194" s="205" t="s">
        <v>139</v>
      </c>
      <c r="S194" s="205" t="s">
        <v>140</v>
      </c>
      <c r="T194" s="206" t="s">
        <v>141</v>
      </c>
      <c r="U194" s="207" t="s">
        <v>142</v>
      </c>
      <c r="V194" s="208" t="s">
        <v>143</v>
      </c>
      <c r="W194" s="196" t="s">
        <v>144</v>
      </c>
      <c r="X194" s="209" t="s">
        <v>145</v>
      </c>
      <c r="Y194" s="209" t="s">
        <v>146</v>
      </c>
      <c r="Z194" s="209" t="s">
        <v>147</v>
      </c>
      <c r="AA194" s="209" t="s">
        <v>148</v>
      </c>
      <c r="AB194" s="209" t="s">
        <v>149</v>
      </c>
      <c r="AC194" s="209" t="s">
        <v>150</v>
      </c>
      <c r="AD194" s="209" t="s">
        <v>151</v>
      </c>
      <c r="AE194" s="209" t="s">
        <v>152</v>
      </c>
      <c r="AF194" s="196" t="s">
        <v>153</v>
      </c>
      <c r="AG194" s="210" t="s">
        <v>154</v>
      </c>
      <c r="AH194" s="210" t="s">
        <v>155</v>
      </c>
      <c r="AI194" s="197" t="s">
        <v>156</v>
      </c>
    </row>
    <row r="195">
      <c r="A195" s="211">
        <v>46182</v>
      </c>
      <c r="B195" s="212" t="s">
        <v>157</v>
      </c>
      <c r="C195" s="213" t="s">
        <v>161</v>
      </c>
      <c r="D195" s="214">
        <v>1750.22</v>
      </c>
      <c r="E195" s="215">
        <v>5</v>
      </c>
      <c r="F195" s="215">
        <v>4</v>
      </c>
      <c r="G195" s="215">
        <v>4</v>
      </c>
      <c r="H195" s="214">
        <v>2464</v>
      </c>
      <c r="I195" s="214"/>
      <c r="J195" s="216">
        <f t="shared" ref="J195:J215" si="280">H195/D195</f>
      </c>
      <c r="K195" s="217">
        <f t="shared" ref="K195:K215" si="340">D195/F195</f>
      </c>
      <c r="L195" s="217">
        <f t="shared" ref="L195:L215" si="159">D195/G195</f>
      </c>
      <c r="M195" s="218">
        <f t="shared" ref="M195:M215" si="220">F195/E195</f>
      </c>
      <c r="N195" s="217">
        <f t="shared" ref="N195:N215" si="69">H195/F195</f>
      </c>
      <c r="O195" s="217">
        <f t="shared" ref="O195:O215" si="99">D195/Y195</f>
      </c>
      <c r="P195" s="218">
        <f t="shared" ref="P195:P215" si="370">T195/X195*1</f>
      </c>
      <c r="Q195" s="218">
        <f t="shared" ref="Q195:Q215" si="8">Y195/X195</f>
      </c>
      <c r="R195" s="218">
        <f t="shared" ref="R195:R215" si="250">AA195/X195</f>
      </c>
      <c r="S195" s="218">
        <f t="shared" ref="S195:S215" si="310">AB195/AA195</f>
      </c>
      <c r="T195" s="219">
        <f t="shared" ref="T195:T215" si="129">Z195/U195</f>
      </c>
      <c r="U195" s="220">
        <v>0.0507</v>
      </c>
      <c r="V195" s="221">
        <v>48</v>
      </c>
      <c r="W195" s="217">
        <f t="shared" ref="W195:W215" si="38">(D195/X195)*1000</f>
      </c>
      <c r="X195" s="221">
        <v>10305</v>
      </c>
      <c r="Y195" s="221">
        <v>360</v>
      </c>
      <c r="Z195" s="219">
        <v>51</v>
      </c>
      <c r="AA195" s="219">
        <v>525</v>
      </c>
      <c r="AB195" s="221">
        <v>32</v>
      </c>
      <c r="AC195" s="219">
        <v>2</v>
      </c>
      <c r="AD195" s="221">
        <v>1</v>
      </c>
      <c r="AE195" s="221">
        <v>9</v>
      </c>
      <c r="AF195" s="217">
        <f t="shared" ref="AF195:AF214" si="189">AI195*1000/D195</f>
      </c>
      <c r="AG195" s="222" t="s">
        <v>159</v>
      </c>
      <c r="AH195" s="223" t="s">
        <v>184</v>
      </c>
      <c r="AI195" s="221">
        <v>19</v>
      </c>
    </row>
    <row r="196">
      <c r="A196" s="211"/>
      <c r="B196" s="212" t="s">
        <v>157</v>
      </c>
      <c r="C196" s="224" t="s">
        <v>162</v>
      </c>
      <c r="D196" s="214">
        <v>1839.86</v>
      </c>
      <c r="E196" s="215">
        <v>5</v>
      </c>
      <c r="F196" s="215">
        <v>4</v>
      </c>
      <c r="G196" s="215">
        <v>1</v>
      </c>
      <c r="H196" s="214">
        <v>2094.95</v>
      </c>
      <c r="I196" s="214"/>
      <c r="J196" s="216">
        <f t="shared" si="280"/>
      </c>
      <c r="K196" s="217">
        <f t="shared" si="340"/>
      </c>
      <c r="L196" s="217">
        <f t="shared" si="159"/>
      </c>
      <c r="M196" s="218">
        <f t="shared" si="220"/>
      </c>
      <c r="N196" s="217">
        <f t="shared" si="69"/>
      </c>
      <c r="O196" s="217">
        <f t="shared" si="99"/>
      </c>
      <c r="P196" s="218">
        <f t="shared" si="370"/>
      </c>
      <c r="Q196" s="218">
        <f t="shared" si="8"/>
      </c>
      <c r="R196" s="218">
        <f t="shared" si="250"/>
      </c>
      <c r="S196" s="218">
        <f t="shared" si="310"/>
      </c>
      <c r="T196" s="219">
        <f t="shared" si="129"/>
      </c>
      <c r="U196" s="220">
        <v>0.0473</v>
      </c>
      <c r="V196" s="221">
        <v>51</v>
      </c>
      <c r="W196" s="217">
        <f t="shared" si="38"/>
      </c>
      <c r="X196" s="221">
        <v>11822</v>
      </c>
      <c r="Y196" s="221">
        <v>429</v>
      </c>
      <c r="Z196" s="219">
        <v>48</v>
      </c>
      <c r="AA196" s="219">
        <v>638</v>
      </c>
      <c r="AB196" s="221">
        <v>66</v>
      </c>
      <c r="AC196" s="219">
        <v>10</v>
      </c>
      <c r="AD196" s="221">
        <v>0</v>
      </c>
      <c r="AE196" s="221">
        <v>10</v>
      </c>
      <c r="AF196" s="217">
        <f t="shared" si="189"/>
      </c>
      <c r="AG196" s="222" t="s">
        <v>159</v>
      </c>
      <c r="AH196" s="223" t="s">
        <v>184</v>
      </c>
      <c r="AI196" s="221">
        <v>20</v>
      </c>
    </row>
    <row r="197">
      <c r="A197" s="211"/>
      <c r="B197" s="212" t="s">
        <v>157</v>
      </c>
      <c r="C197" s="213" t="s">
        <v>163</v>
      </c>
      <c r="D197" s="214">
        <v>1661.4</v>
      </c>
      <c r="E197" s="215">
        <v>7</v>
      </c>
      <c r="F197" s="215">
        <v>6</v>
      </c>
      <c r="G197" s="215">
        <v>3</v>
      </c>
      <c r="H197" s="214">
        <v>3771.8999999999987</v>
      </c>
      <c r="I197" s="214"/>
      <c r="J197" s="216">
        <f t="shared" si="280"/>
      </c>
      <c r="K197" s="217">
        <f t="shared" si="340"/>
      </c>
      <c r="L197" s="217">
        <f t="shared" si="159"/>
      </c>
      <c r="M197" s="218">
        <f t="shared" si="220"/>
      </c>
      <c r="N197" s="217">
        <f t="shared" si="69"/>
      </c>
      <c r="O197" s="217">
        <f t="shared" si="99"/>
      </c>
      <c r="P197" s="218">
        <f t="shared" si="370"/>
      </c>
      <c r="Q197" s="218">
        <f t="shared" si="8"/>
      </c>
      <c r="R197" s="218">
        <f t="shared" si="250"/>
      </c>
      <c r="S197" s="218">
        <f t="shared" si="310"/>
      </c>
      <c r="T197" s="219">
        <f t="shared" si="129"/>
      </c>
      <c r="U197" s="220">
        <v>0.0412</v>
      </c>
      <c r="V197" s="221">
        <v>50</v>
      </c>
      <c r="W197" s="217">
        <f t="shared" si="38"/>
      </c>
      <c r="X197" s="221">
        <v>11602</v>
      </c>
      <c r="Y197" s="221">
        <v>357</v>
      </c>
      <c r="Z197" s="221">
        <v>35</v>
      </c>
      <c r="AA197" s="221">
        <v>545</v>
      </c>
      <c r="AB197" s="221">
        <v>40</v>
      </c>
      <c r="AC197" s="221">
        <v>4</v>
      </c>
      <c r="AD197" s="221">
        <v>1</v>
      </c>
      <c r="AE197" s="221">
        <v>16</v>
      </c>
      <c r="AF197" s="217">
        <f t="shared" si="189"/>
      </c>
      <c r="AG197" s="222" t="s">
        <v>159</v>
      </c>
      <c r="AH197" s="223" t="s">
        <v>184</v>
      </c>
      <c r="AI197" s="221">
        <v>23</v>
      </c>
    </row>
    <row r="198">
      <c r="A198" s="211"/>
      <c r="B198" s="212" t="s">
        <v>157</v>
      </c>
      <c r="C198" s="212" t="s">
        <v>164</v>
      </c>
      <c r="D198" s="225">
        <v>1689.4</v>
      </c>
      <c r="E198" s="226">
        <v>4</v>
      </c>
      <c r="F198" s="226">
        <v>3</v>
      </c>
      <c r="G198" s="226">
        <v>2</v>
      </c>
      <c r="H198" s="225">
        <v>1330.4500000000007</v>
      </c>
      <c r="I198" s="225"/>
      <c r="J198" s="217">
        <f t="shared" si="280"/>
      </c>
      <c r="K198" s="217">
        <f t="shared" si="340"/>
      </c>
      <c r="L198" s="217">
        <f t="shared" si="159"/>
      </c>
      <c r="M198" s="218">
        <f t="shared" si="220"/>
      </c>
      <c r="N198" s="217">
        <f t="shared" si="69"/>
      </c>
      <c r="O198" s="217">
        <f t="shared" si="99"/>
      </c>
      <c r="P198" s="218">
        <f t="shared" si="370"/>
      </c>
      <c r="Q198" s="218">
        <f t="shared" si="8"/>
      </c>
      <c r="R198" s="218">
        <f t="shared" si="250"/>
      </c>
      <c r="S198" s="218">
        <f t="shared" si="310"/>
      </c>
      <c r="T198" s="219">
        <f t="shared" si="129"/>
      </c>
      <c r="U198" s="220">
        <v>0.059</v>
      </c>
      <c r="V198" s="221">
        <v>51</v>
      </c>
      <c r="W198" s="217">
        <f t="shared" si="38"/>
      </c>
      <c r="X198" s="219">
        <v>13221</v>
      </c>
      <c r="Y198" s="219">
        <v>337</v>
      </c>
      <c r="Z198" s="219">
        <v>46</v>
      </c>
      <c r="AA198" s="219">
        <v>532</v>
      </c>
      <c r="AB198" s="219">
        <v>61</v>
      </c>
      <c r="AC198" s="219">
        <v>3</v>
      </c>
      <c r="AD198" s="219">
        <v>1</v>
      </c>
      <c r="AE198" s="221">
        <v>9</v>
      </c>
      <c r="AF198" s="217">
        <f t="shared" si="189"/>
      </c>
      <c r="AG198" s="222" t="s">
        <v>159</v>
      </c>
      <c r="AH198" s="223" t="s">
        <v>184</v>
      </c>
      <c r="AI198" s="221">
        <v>12</v>
      </c>
    </row>
    <row r="199">
      <c r="A199" s="211"/>
      <c r="B199" s="227" t="s">
        <v>165</v>
      </c>
      <c r="C199" s="227"/>
      <c r="D199" s="228">
        <f>SUM(D195:D198)</f>
      </c>
      <c r="E199" s="229">
        <f>SUM(E195:E198)</f>
      </c>
      <c r="F199" s="229">
        <f>SUM(F195:F198)</f>
      </c>
      <c r="G199" s="229">
        <f>SUM(G195:G198)</f>
      </c>
      <c r="H199" s="228">
        <f>SUM(H195:H198)</f>
      </c>
      <c r="I199" s="228"/>
      <c r="J199" s="230">
        <f t="shared" si="280"/>
      </c>
      <c r="K199" s="230">
        <f t="shared" si="340"/>
      </c>
      <c r="L199" s="230">
        <f t="shared" si="159"/>
      </c>
      <c r="M199" s="231">
        <f t="shared" si="220"/>
      </c>
      <c r="N199" s="230">
        <f t="shared" si="69"/>
      </c>
      <c r="O199" s="230">
        <f t="shared" si="99"/>
      </c>
      <c r="P199" s="231">
        <f t="shared" si="370"/>
      </c>
      <c r="Q199" s="231">
        <f t="shared" si="8"/>
      </c>
      <c r="R199" s="231">
        <f t="shared" si="250"/>
      </c>
      <c r="S199" s="231">
        <f t="shared" si="310"/>
      </c>
      <c r="T199" s="229">
        <f t="shared" si="129"/>
      </c>
      <c r="U199" s="231">
        <f>AVERAGE(U195:U198)</f>
      </c>
      <c r="V199" s="228">
        <f>AVERAGE(V195:V198)</f>
      </c>
      <c r="W199" s="230">
        <f t="shared" si="38"/>
      </c>
      <c r="X199" s="229">
        <f>SUM(X195:X198)</f>
      </c>
      <c r="Y199" s="229">
        <f>SUM(Y195:Y198)</f>
      </c>
      <c r="Z199" s="229">
        <f>SUM(Z195:Z198)</f>
      </c>
      <c r="AA199" s="229">
        <f>SUM(AA195:AA198)</f>
      </c>
      <c r="AB199" s="229">
        <f>SUM(AB195:AB198)</f>
      </c>
      <c r="AC199" s="229">
        <f>SUM(AC195:AC198)</f>
      </c>
      <c r="AD199" s="229">
        <f>SUM(AD195:AD198)</f>
      </c>
      <c r="AE199" s="229">
        <f>SUM(AE195:AE198)</f>
      </c>
      <c r="AF199" s="232">
        <f t="shared" si="189"/>
      </c>
      <c r="AG199" s="233"/>
      <c r="AH199" s="233"/>
      <c r="AI199" s="234">
        <f>SUM(AI195:AI198)</f>
      </c>
    </row>
    <row r="200">
      <c r="A200" s="211"/>
      <c r="B200" s="212" t="s">
        <v>166</v>
      </c>
      <c r="C200" s="235" t="s">
        <v>167</v>
      </c>
      <c r="D200" s="236">
        <v>1478.16</v>
      </c>
      <c r="E200" s="237">
        <v>3</v>
      </c>
      <c r="F200" s="237">
        <v>1</v>
      </c>
      <c r="G200" s="238">
        <v>0</v>
      </c>
      <c r="H200" s="239">
        <v>428.45</v>
      </c>
      <c r="I200" s="239"/>
      <c r="J200" s="240">
        <f t="shared" si="280"/>
      </c>
      <c r="K200" s="240">
        <f t="shared" si="340"/>
      </c>
      <c r="L200" s="240">
        <f t="shared" si="159"/>
      </c>
      <c r="M200" s="241">
        <f t="shared" si="220"/>
      </c>
      <c r="N200" s="240">
        <f t="shared" si="69"/>
      </c>
      <c r="O200" s="240">
        <f t="shared" si="99"/>
      </c>
      <c r="P200" s="241">
        <f t="shared" si="370"/>
      </c>
      <c r="Q200" s="241">
        <f t="shared" si="8"/>
      </c>
      <c r="R200" s="241">
        <f t="shared" si="250"/>
      </c>
      <c r="S200" s="241">
        <f t="shared" si="310"/>
      </c>
      <c r="T200" s="242">
        <f t="shared" si="129"/>
      </c>
      <c r="U200" s="243">
        <v>0.054</v>
      </c>
      <c r="V200" s="244">
        <v>52</v>
      </c>
      <c r="W200" s="240">
        <f t="shared" si="38"/>
      </c>
      <c r="X200" s="242">
        <v>11877</v>
      </c>
      <c r="Y200" s="242">
        <v>354</v>
      </c>
      <c r="Z200" s="242">
        <v>45</v>
      </c>
      <c r="AA200" s="242">
        <v>552</v>
      </c>
      <c r="AB200" s="242">
        <v>56</v>
      </c>
      <c r="AC200" s="242">
        <v>6</v>
      </c>
      <c r="AD200" s="242">
        <v>0</v>
      </c>
      <c r="AE200" s="242">
        <v>8</v>
      </c>
      <c r="AF200" s="240">
        <f t="shared" si="189"/>
      </c>
      <c r="AG200" s="222" t="s">
        <v>159</v>
      </c>
      <c r="AH200" s="223" t="s">
        <v>184</v>
      </c>
      <c r="AI200" s="244">
        <v>17</v>
      </c>
    </row>
    <row r="201">
      <c r="A201" s="211"/>
      <c r="B201" s="212" t="s">
        <v>166</v>
      </c>
      <c r="C201" s="245" t="s">
        <v>168</v>
      </c>
      <c r="D201" s="246">
        <v>1212.18</v>
      </c>
      <c r="E201" s="247">
        <v>7</v>
      </c>
      <c r="F201" s="247">
        <v>6</v>
      </c>
      <c r="G201" s="247">
        <v>5</v>
      </c>
      <c r="H201" s="239">
        <v>4314.75</v>
      </c>
      <c r="I201" s="239"/>
      <c r="J201" s="240">
        <f t="shared" si="280"/>
      </c>
      <c r="K201" s="240">
        <f t="shared" si="340"/>
      </c>
      <c r="L201" s="240">
        <f t="shared" si="159"/>
      </c>
      <c r="M201" s="241">
        <f t="shared" si="220"/>
      </c>
      <c r="N201" s="240">
        <f t="shared" si="69"/>
      </c>
      <c r="O201" s="240">
        <f t="shared" si="99"/>
      </c>
      <c r="P201" s="241">
        <f t="shared" si="370"/>
      </c>
      <c r="Q201" s="241">
        <f t="shared" si="8"/>
      </c>
      <c r="R201" s="241">
        <f t="shared" si="250"/>
      </c>
      <c r="S201" s="241">
        <f t="shared" si="310"/>
      </c>
      <c r="T201" s="242">
        <f t="shared" si="129"/>
      </c>
      <c r="U201" s="243">
        <v>0.0546</v>
      </c>
      <c r="V201" s="244">
        <v>53</v>
      </c>
      <c r="W201" s="240">
        <f t="shared" si="38"/>
      </c>
      <c r="X201" s="242">
        <v>7214</v>
      </c>
      <c r="Y201" s="242">
        <v>308</v>
      </c>
      <c r="Z201" s="242">
        <v>36</v>
      </c>
      <c r="AA201" s="242">
        <v>482</v>
      </c>
      <c r="AB201" s="242">
        <v>48</v>
      </c>
      <c r="AC201" s="242">
        <v>5</v>
      </c>
      <c r="AD201" s="242">
        <v>1</v>
      </c>
      <c r="AE201" s="242">
        <v>11</v>
      </c>
      <c r="AF201" s="240">
        <f t="shared" si="189"/>
      </c>
      <c r="AG201" s="222" t="s">
        <v>159</v>
      </c>
      <c r="AH201" s="223" t="s">
        <v>184</v>
      </c>
      <c r="AI201" s="244">
        <v>15</v>
      </c>
    </row>
    <row r="202">
      <c r="A202" s="211"/>
      <c r="B202" s="212" t="s">
        <v>166</v>
      </c>
      <c r="C202" s="235" t="s">
        <v>169</v>
      </c>
      <c r="D202" s="236">
        <v>916.64</v>
      </c>
      <c r="E202" s="247">
        <v>5</v>
      </c>
      <c r="F202" s="247">
        <v>3</v>
      </c>
      <c r="G202" s="247">
        <v>3</v>
      </c>
      <c r="H202" s="236">
        <v>2416.699999999997</v>
      </c>
      <c r="I202" s="236"/>
      <c r="J202" s="240">
        <f t="shared" si="280"/>
      </c>
      <c r="K202" s="240">
        <f t="shared" si="340"/>
      </c>
      <c r="L202" s="240">
        <f t="shared" si="159"/>
      </c>
      <c r="M202" s="241">
        <f t="shared" si="220"/>
      </c>
      <c r="N202" s="240">
        <f t="shared" si="69"/>
      </c>
      <c r="O202" s="240">
        <f t="shared" si="99"/>
      </c>
      <c r="P202" s="241">
        <f t="shared" si="370"/>
      </c>
      <c r="Q202" s="241">
        <f t="shared" si="8"/>
      </c>
      <c r="R202" s="241">
        <f t="shared" si="250"/>
      </c>
      <c r="S202" s="241">
        <f t="shared" si="310"/>
      </c>
      <c r="T202" s="242">
        <f t="shared" si="129"/>
      </c>
      <c r="U202" s="243">
        <v>0.0409</v>
      </c>
      <c r="V202" s="244">
        <v>51</v>
      </c>
      <c r="W202" s="240">
        <f t="shared" si="38"/>
      </c>
      <c r="X202" s="242">
        <v>6709</v>
      </c>
      <c r="Y202" s="242">
        <v>264</v>
      </c>
      <c r="Z202" s="242">
        <v>30</v>
      </c>
      <c r="AA202" s="242">
        <v>428</v>
      </c>
      <c r="AB202" s="242">
        <v>32</v>
      </c>
      <c r="AC202" s="242">
        <v>5</v>
      </c>
      <c r="AD202" s="242">
        <v>0</v>
      </c>
      <c r="AE202" s="244">
        <v>11</v>
      </c>
      <c r="AF202" s="240">
        <f t="shared" si="189"/>
      </c>
      <c r="AG202" s="222" t="s">
        <v>159</v>
      </c>
      <c r="AH202" s="223" t="s">
        <v>184</v>
      </c>
      <c r="AI202" s="244">
        <v>7</v>
      </c>
    </row>
    <row r="203">
      <c r="A203" s="211"/>
      <c r="B203" s="212" t="s">
        <v>166</v>
      </c>
      <c r="C203" s="248" t="s">
        <v>170</v>
      </c>
      <c r="D203" s="236">
        <v>821.29</v>
      </c>
      <c r="E203" s="238">
        <v>3</v>
      </c>
      <c r="F203" s="238">
        <v>3</v>
      </c>
      <c r="G203" s="238">
        <v>3</v>
      </c>
      <c r="H203" s="236">
        <v>1353</v>
      </c>
      <c r="I203" s="236"/>
      <c r="J203" s="240">
        <f t="shared" si="280"/>
      </c>
      <c r="K203" s="240">
        <f t="shared" si="340"/>
      </c>
      <c r="L203" s="240">
        <f t="shared" si="159"/>
      </c>
      <c r="M203" s="241">
        <f t="shared" si="220"/>
      </c>
      <c r="N203" s="240">
        <f t="shared" si="69"/>
      </c>
      <c r="O203" s="240">
        <f t="shared" si="99"/>
      </c>
      <c r="P203" s="241">
        <f t="shared" si="370"/>
      </c>
      <c r="Q203" s="241">
        <f t="shared" si="8"/>
      </c>
      <c r="R203" s="241">
        <f t="shared" si="250"/>
      </c>
      <c r="S203" s="241">
        <f t="shared" si="310"/>
      </c>
      <c r="T203" s="242">
        <f t="shared" si="129"/>
      </c>
      <c r="U203" s="243">
        <v>0.0523</v>
      </c>
      <c r="V203" s="244">
        <v>51</v>
      </c>
      <c r="W203" s="240">
        <f t="shared" si="38"/>
      </c>
      <c r="X203" s="242">
        <v>6070</v>
      </c>
      <c r="Y203" s="242">
        <v>206</v>
      </c>
      <c r="Z203" s="242">
        <v>34</v>
      </c>
      <c r="AA203" s="242">
        <v>383</v>
      </c>
      <c r="AB203" s="242">
        <v>25</v>
      </c>
      <c r="AC203" s="242">
        <v>4</v>
      </c>
      <c r="AD203" s="242">
        <v>0</v>
      </c>
      <c r="AE203" s="242">
        <v>10</v>
      </c>
      <c r="AF203" s="240">
        <f t="shared" si="189"/>
      </c>
      <c r="AG203" s="222" t="s">
        <v>159</v>
      </c>
      <c r="AH203" s="223" t="s">
        <v>184</v>
      </c>
      <c r="AI203" s="244">
        <v>16</v>
      </c>
    </row>
    <row r="204">
      <c r="A204" s="211"/>
      <c r="B204" s="249" t="s">
        <v>165</v>
      </c>
      <c r="C204" s="249"/>
      <c r="D204" s="250">
        <f>SUM(D200:D203)</f>
      </c>
      <c r="E204" s="251">
        <f>SUM(E200:E203)</f>
      </c>
      <c r="F204" s="251">
        <f>SUM(F200:F203)</f>
      </c>
      <c r="G204" s="251">
        <f>SUM(G200:G203)</f>
      </c>
      <c r="H204" s="250">
        <f>SUM(H200:H203)</f>
      </c>
      <c r="I204" s="250"/>
      <c r="J204" s="252">
        <f t="shared" si="280"/>
      </c>
      <c r="K204" s="252">
        <f t="shared" si="340"/>
      </c>
      <c r="L204" s="252">
        <f t="shared" si="159"/>
      </c>
      <c r="M204" s="253">
        <f t="shared" si="220"/>
      </c>
      <c r="N204" s="252">
        <f t="shared" si="69"/>
      </c>
      <c r="O204" s="252">
        <f t="shared" si="99"/>
      </c>
      <c r="P204" s="253">
        <f t="shared" si="370"/>
      </c>
      <c r="Q204" s="253">
        <f t="shared" si="8"/>
      </c>
      <c r="R204" s="253">
        <f t="shared" si="250"/>
      </c>
      <c r="S204" s="253">
        <f t="shared" si="310"/>
      </c>
      <c r="T204" s="254">
        <f t="shared" si="129"/>
      </c>
      <c r="U204" s="253">
        <f>AVERAGE(U200:U203)</f>
      </c>
      <c r="V204" s="250">
        <f>AVERAGE(V200:V203)</f>
      </c>
      <c r="W204" s="252">
        <f t="shared" si="38"/>
      </c>
      <c r="X204" s="254">
        <f>SUM(X200:X203)</f>
      </c>
      <c r="Y204" s="254">
        <f>SUM(Y200:Y203)</f>
      </c>
      <c r="Z204" s="254">
        <f>SUM(Z200:Z203)</f>
      </c>
      <c r="AA204" s="254">
        <f>SUM(AA200:AA203)</f>
      </c>
      <c r="AB204" s="254">
        <f>SUM(AB200:AB203)</f>
      </c>
      <c r="AC204" s="254">
        <f>SUM(AC200:AC203)</f>
      </c>
      <c r="AD204" s="254">
        <f>SUM(AD200:AD203)</f>
      </c>
      <c r="AE204" s="254">
        <f>SUM(AE200:AE203)</f>
      </c>
      <c r="AF204" s="255">
        <f t="shared" si="189"/>
      </c>
      <c r="AG204" s="256"/>
      <c r="AH204" s="256"/>
      <c r="AI204" s="257">
        <f>SUM(AI200:AI203)</f>
      </c>
    </row>
    <row r="205">
      <c r="A205" s="211"/>
      <c r="B205" s="212" t="s">
        <v>178</v>
      </c>
      <c r="C205" s="235" t="s">
        <v>172</v>
      </c>
      <c r="D205" s="212">
        <v>1142.8</v>
      </c>
      <c r="E205" s="215">
        <v>1</v>
      </c>
      <c r="F205" s="215">
        <v>1</v>
      </c>
      <c r="G205" s="215">
        <v>1</v>
      </c>
      <c r="H205" s="215">
        <v>451</v>
      </c>
      <c r="I205" s="215"/>
      <c r="J205" s="217">
        <f t="shared" si="280"/>
      </c>
      <c r="K205" s="217">
        <f t="shared" si="340"/>
      </c>
      <c r="L205" s="217">
        <f t="shared" si="159"/>
      </c>
      <c r="M205" s="218">
        <f t="shared" si="220"/>
      </c>
      <c r="N205" s="217">
        <f t="shared" si="69"/>
      </c>
      <c r="O205" s="217">
        <f t="shared" si="99"/>
      </c>
      <c r="P205" s="218">
        <f t="shared" si="370"/>
      </c>
      <c r="Q205" s="218">
        <f t="shared" si="8"/>
      </c>
      <c r="R205" s="218">
        <f t="shared" si="250"/>
      </c>
      <c r="S205" s="218">
        <f t="shared" si="310"/>
      </c>
      <c r="T205" s="219">
        <f t="shared" si="129"/>
      </c>
      <c r="U205" s="220">
        <v>0.0382</v>
      </c>
      <c r="V205" s="221">
        <v>51</v>
      </c>
      <c r="W205" s="217">
        <f t="shared" si="38"/>
      </c>
      <c r="X205" s="221">
        <v>8178</v>
      </c>
      <c r="Y205" s="221">
        <v>223</v>
      </c>
      <c r="Z205" s="219">
        <v>30</v>
      </c>
      <c r="AA205" s="219">
        <v>416</v>
      </c>
      <c r="AB205" s="219">
        <v>74</v>
      </c>
      <c r="AC205" s="219">
        <v>7</v>
      </c>
      <c r="AD205" s="221">
        <v>1</v>
      </c>
      <c r="AE205" s="221">
        <v>7</v>
      </c>
      <c r="AF205" s="217">
        <f t="shared" si="189"/>
      </c>
      <c r="AG205" s="222" t="s">
        <v>173</v>
      </c>
      <c r="AH205" s="223" t="s">
        <v>187</v>
      </c>
      <c r="AI205" s="221">
        <v>12</v>
      </c>
    </row>
    <row r="206">
      <c r="A206" s="211"/>
      <c r="B206" s="212" t="s">
        <v>178</v>
      </c>
      <c r="C206" s="245" t="s">
        <v>175</v>
      </c>
      <c r="D206" s="212">
        <v>594.9</v>
      </c>
      <c r="E206" s="215">
        <v>0</v>
      </c>
      <c r="F206" s="215">
        <v>0</v>
      </c>
      <c r="G206" s="215">
        <v>0</v>
      </c>
      <c r="H206" s="214">
        <v>0</v>
      </c>
      <c r="I206" s="214"/>
      <c r="J206" s="217">
        <f t="shared" si="280"/>
      </c>
      <c r="K206" s="217">
        <f t="shared" si="340"/>
      </c>
      <c r="L206" s="217">
        <f t="shared" si="159"/>
      </c>
      <c r="M206" s="218">
        <f t="shared" si="220"/>
      </c>
      <c r="N206" s="217">
        <f t="shared" si="69"/>
      </c>
      <c r="O206" s="217">
        <f t="shared" si="99"/>
      </c>
      <c r="P206" s="218">
        <f t="shared" si="370"/>
      </c>
      <c r="Q206" s="218">
        <f t="shared" si="8"/>
      </c>
      <c r="R206" s="218">
        <f t="shared" si="250"/>
      </c>
      <c r="S206" s="218">
        <f t="shared" si="310"/>
      </c>
      <c r="T206" s="219">
        <f t="shared" si="129"/>
      </c>
      <c r="U206" s="220">
        <v>0.0468</v>
      </c>
      <c r="V206" s="221">
        <v>49</v>
      </c>
      <c r="W206" s="217">
        <f t="shared" si="38"/>
      </c>
      <c r="X206" s="219">
        <v>5453</v>
      </c>
      <c r="Y206" s="219">
        <v>139</v>
      </c>
      <c r="Z206" s="219">
        <v>23</v>
      </c>
      <c r="AA206" s="219">
        <v>285</v>
      </c>
      <c r="AB206" s="219">
        <v>19</v>
      </c>
      <c r="AC206" s="219">
        <v>2</v>
      </c>
      <c r="AD206" s="219">
        <v>0</v>
      </c>
      <c r="AE206" s="221">
        <v>5</v>
      </c>
      <c r="AF206" s="217">
        <f t="shared" si="189"/>
      </c>
      <c r="AG206" s="222" t="s">
        <v>173</v>
      </c>
      <c r="AH206" s="223" t="s">
        <v>187</v>
      </c>
      <c r="AI206" s="221">
        <v>9</v>
      </c>
    </row>
    <row r="207">
      <c r="A207" s="211"/>
      <c r="B207" s="212" t="s">
        <v>178</v>
      </c>
      <c r="C207" s="235" t="s">
        <v>176</v>
      </c>
      <c r="D207" s="212">
        <v>727.74</v>
      </c>
      <c r="E207" s="215">
        <v>1</v>
      </c>
      <c r="F207" s="215">
        <v>1</v>
      </c>
      <c r="G207" s="215">
        <v>1</v>
      </c>
      <c r="H207" s="214">
        <v>451</v>
      </c>
      <c r="I207" s="214"/>
      <c r="J207" s="217">
        <f t="shared" si="280"/>
      </c>
      <c r="K207" s="217">
        <f t="shared" si="340"/>
      </c>
      <c r="L207" s="217">
        <f t="shared" si="159"/>
      </c>
      <c r="M207" s="218">
        <f t="shared" si="220"/>
      </c>
      <c r="N207" s="217">
        <f t="shared" si="69"/>
      </c>
      <c r="O207" s="217">
        <f t="shared" si="99"/>
      </c>
      <c r="P207" s="218">
        <f t="shared" si="370"/>
      </c>
      <c r="Q207" s="218">
        <f t="shared" si="8"/>
      </c>
      <c r="R207" s="218">
        <f t="shared" si="250"/>
      </c>
      <c r="S207" s="218">
        <f t="shared" si="310"/>
      </c>
      <c r="T207" s="219">
        <f t="shared" si="129"/>
      </c>
      <c r="U207" s="220">
        <v>0.0256</v>
      </c>
      <c r="V207" s="221">
        <v>31</v>
      </c>
      <c r="W207" s="217">
        <f t="shared" si="38"/>
      </c>
      <c r="X207" s="221">
        <v>4949</v>
      </c>
      <c r="Y207" s="221">
        <v>199</v>
      </c>
      <c r="Z207" s="221">
        <v>24</v>
      </c>
      <c r="AA207" s="221">
        <v>370</v>
      </c>
      <c r="AB207" s="221">
        <v>29</v>
      </c>
      <c r="AC207" s="221">
        <v>2</v>
      </c>
      <c r="AD207" s="221">
        <v>1</v>
      </c>
      <c r="AE207" s="221">
        <v>4</v>
      </c>
      <c r="AF207" s="217">
        <f t="shared" si="189"/>
      </c>
      <c r="AG207" s="222" t="s">
        <v>173</v>
      </c>
      <c r="AH207" s="223" t="s">
        <v>187</v>
      </c>
      <c r="AI207" s="221">
        <v>13</v>
      </c>
    </row>
    <row r="208">
      <c r="A208" s="211"/>
      <c r="B208" s="212" t="s">
        <v>178</v>
      </c>
      <c r="C208" s="235" t="s">
        <v>177</v>
      </c>
      <c r="D208" s="212">
        <v>562.19</v>
      </c>
      <c r="E208" s="215">
        <v>2</v>
      </c>
      <c r="F208" s="215">
        <v>2</v>
      </c>
      <c r="G208" s="215">
        <v>2</v>
      </c>
      <c r="H208" s="214">
        <v>1307.9000000000015</v>
      </c>
      <c r="I208" s="214"/>
      <c r="J208" s="217">
        <f t="shared" si="280"/>
      </c>
      <c r="K208" s="217">
        <f t="shared" si="340"/>
      </c>
      <c r="L208" s="217">
        <f t="shared" si="159"/>
      </c>
      <c r="M208" s="218">
        <f t="shared" si="220"/>
      </c>
      <c r="N208" s="217">
        <f t="shared" si="69"/>
      </c>
      <c r="O208" s="217">
        <f t="shared" si="99"/>
      </c>
      <c r="P208" s="218">
        <f t="shared" si="370"/>
      </c>
      <c r="Q208" s="218">
        <f t="shared" si="8"/>
      </c>
      <c r="R208" s="218">
        <f t="shared" si="250"/>
      </c>
      <c r="S208" s="218">
        <f t="shared" si="310"/>
      </c>
      <c r="T208" s="219">
        <f t="shared" si="129"/>
      </c>
      <c r="U208" s="220">
        <v>0.0326</v>
      </c>
      <c r="V208" s="221">
        <v>39</v>
      </c>
      <c r="W208" s="217">
        <f t="shared" si="38"/>
      </c>
      <c r="X208" s="221">
        <v>3848</v>
      </c>
      <c r="Y208" s="221">
        <v>213</v>
      </c>
      <c r="Z208" s="219">
        <v>27</v>
      </c>
      <c r="AA208" s="219">
        <v>378</v>
      </c>
      <c r="AB208" s="219">
        <v>18</v>
      </c>
      <c r="AC208" s="219">
        <v>6</v>
      </c>
      <c r="AD208" s="221">
        <v>1</v>
      </c>
      <c r="AE208" s="221">
        <v>5</v>
      </c>
      <c r="AF208" s="217">
        <f t="shared" si="189"/>
      </c>
      <c r="AG208" s="222" t="s">
        <v>173</v>
      </c>
      <c r="AH208" s="223" t="s">
        <v>187</v>
      </c>
      <c r="AI208" s="221">
        <v>17</v>
      </c>
    </row>
    <row r="209">
      <c r="A209" s="211"/>
      <c r="B209" s="227" t="s">
        <v>165</v>
      </c>
      <c r="C209" s="227"/>
      <c r="D209" s="259">
        <f>SUM(D205:D208)</f>
      </c>
      <c r="E209" s="260">
        <f>SUM(E205:E208)</f>
      </c>
      <c r="F209" s="260">
        <f>SUM(F205:F208)</f>
      </c>
      <c r="G209" s="260">
        <f>SUM(G205:G208)</f>
      </c>
      <c r="H209" s="259">
        <f>SUM(H205:H208)</f>
      </c>
      <c r="I209" s="259"/>
      <c r="J209" s="230">
        <f t="shared" si="280"/>
      </c>
      <c r="K209" s="230">
        <f t="shared" si="340"/>
      </c>
      <c r="L209" s="230">
        <f t="shared" si="159"/>
      </c>
      <c r="M209" s="231">
        <f t="shared" si="220"/>
      </c>
      <c r="N209" s="230">
        <f t="shared" si="69"/>
      </c>
      <c r="O209" s="230">
        <f t="shared" si="99"/>
      </c>
      <c r="P209" s="231">
        <f t="shared" si="370"/>
      </c>
      <c r="Q209" s="231">
        <f t="shared" si="8"/>
      </c>
      <c r="R209" s="231">
        <f t="shared" si="250"/>
      </c>
      <c r="S209" s="231">
        <f t="shared" si="310"/>
      </c>
      <c r="T209" s="229">
        <f t="shared" si="129"/>
      </c>
      <c r="U209" s="231">
        <f>AVERAGE(U205:U208)</f>
      </c>
      <c r="V209" s="228">
        <f>AVERAGE(V205:V208)</f>
      </c>
      <c r="W209" s="230">
        <f t="shared" si="38"/>
      </c>
      <c r="X209" s="229">
        <f>SUM(X205:X208)</f>
      </c>
      <c r="Y209" s="229">
        <f>SUM(Y205:Y208)</f>
      </c>
      <c r="Z209" s="229">
        <f>SUM(Z205:Z208)</f>
      </c>
      <c r="AA209" s="229">
        <f>SUM(AA205:AA208)</f>
      </c>
      <c r="AB209" s="229">
        <f>SUM(AB205:AB208)</f>
      </c>
      <c r="AC209" s="229">
        <f>SUM(AC205:AC208)</f>
      </c>
      <c r="AD209" s="229">
        <f>SUM(AD205:AD208)</f>
      </c>
      <c r="AE209" s="229">
        <f>SUM(AE205:AE208)</f>
      </c>
      <c r="AF209" s="232">
        <f t="shared" si="189"/>
      </c>
      <c r="AG209" s="233"/>
      <c r="AH209" s="233"/>
      <c r="AI209" s="229">
        <f>SUM(AI205:AI208)</f>
      </c>
    </row>
    <row r="210">
      <c r="A210" s="211"/>
      <c r="B210" s="212" t="s">
        <v>171</v>
      </c>
      <c r="C210" s="248" t="s">
        <v>179</v>
      </c>
      <c r="D210" s="261">
        <v>797.63</v>
      </c>
      <c r="E210" s="237">
        <v>5</v>
      </c>
      <c r="F210" s="237">
        <v>2</v>
      </c>
      <c r="G210" s="238">
        <v>2</v>
      </c>
      <c r="H210" s="239">
        <v>1192.9500000000007</v>
      </c>
      <c r="I210" s="239"/>
      <c r="J210" s="240">
        <f t="shared" si="280"/>
      </c>
      <c r="K210" s="240">
        <f t="shared" si="340"/>
      </c>
      <c r="L210" s="240">
        <f t="shared" si="159"/>
      </c>
      <c r="M210" s="241">
        <f t="shared" si="220"/>
      </c>
      <c r="N210" s="240">
        <f t="shared" si="69"/>
      </c>
      <c r="O210" s="240">
        <f t="shared" si="99"/>
      </c>
      <c r="P210" s="241">
        <f t="shared" si="370"/>
      </c>
      <c r="Q210" s="241">
        <f t="shared" si="8"/>
      </c>
      <c r="R210" s="241">
        <f t="shared" si="250"/>
      </c>
      <c r="S210" s="241">
        <f t="shared" si="310"/>
      </c>
      <c r="T210" s="242">
        <f t="shared" si="129"/>
      </c>
      <c r="U210" s="243">
        <v>0.0174</v>
      </c>
      <c r="V210" s="244">
        <v>41</v>
      </c>
      <c r="W210" s="240">
        <f t="shared" si="38"/>
      </c>
      <c r="X210" s="242">
        <v>5123</v>
      </c>
      <c r="Y210" s="242">
        <v>221</v>
      </c>
      <c r="Z210" s="242">
        <v>19</v>
      </c>
      <c r="AA210" s="242">
        <v>393</v>
      </c>
      <c r="AB210" s="242">
        <v>26</v>
      </c>
      <c r="AC210" s="242">
        <v>5</v>
      </c>
      <c r="AD210" s="242">
        <v>0</v>
      </c>
      <c r="AE210" s="242">
        <v>3</v>
      </c>
      <c r="AF210" s="240">
        <f t="shared" si="189"/>
      </c>
      <c r="AG210" s="222" t="s">
        <v>173</v>
      </c>
      <c r="AH210" s="223" t="s">
        <v>187</v>
      </c>
      <c r="AI210" s="244">
        <v>4</v>
      </c>
    </row>
    <row r="211">
      <c r="A211" s="211"/>
      <c r="B211" s="212" t="s">
        <v>171</v>
      </c>
      <c r="C211" s="248" t="s">
        <v>180</v>
      </c>
      <c r="D211" s="262">
        <v>1054.72</v>
      </c>
      <c r="E211" s="247">
        <v>5</v>
      </c>
      <c r="F211" s="247">
        <v>3</v>
      </c>
      <c r="G211" s="247">
        <v>3</v>
      </c>
      <c r="H211" s="263">
        <v>2164.7999999999993</v>
      </c>
      <c r="I211" s="263"/>
      <c r="J211" s="240">
        <f t="shared" si="280"/>
      </c>
      <c r="K211" s="240">
        <f t="shared" si="340"/>
      </c>
      <c r="L211" s="240">
        <f t="shared" si="159"/>
      </c>
      <c r="M211" s="241">
        <f t="shared" si="220"/>
      </c>
      <c r="N211" s="240">
        <f t="shared" si="69"/>
      </c>
      <c r="O211" s="240">
        <f t="shared" si="99"/>
      </c>
      <c r="P211" s="241">
        <f t="shared" si="370"/>
      </c>
      <c r="Q211" s="241">
        <f t="shared" si="8"/>
      </c>
      <c r="R211" s="241">
        <f t="shared" si="250"/>
      </c>
      <c r="S211" s="241">
        <f t="shared" si="310"/>
      </c>
      <c r="T211" s="242">
        <f t="shared" si="129"/>
      </c>
      <c r="U211" s="243">
        <v>0.0282</v>
      </c>
      <c r="V211" s="244">
        <v>45</v>
      </c>
      <c r="W211" s="240">
        <f t="shared" si="38"/>
      </c>
      <c r="X211" s="242">
        <v>6969</v>
      </c>
      <c r="Y211" s="242">
        <v>360</v>
      </c>
      <c r="Z211" s="242">
        <v>40</v>
      </c>
      <c r="AA211" s="242">
        <v>523</v>
      </c>
      <c r="AB211" s="242">
        <v>53</v>
      </c>
      <c r="AC211" s="242">
        <v>3</v>
      </c>
      <c r="AD211" s="242">
        <v>0</v>
      </c>
      <c r="AE211" s="242">
        <v>6</v>
      </c>
      <c r="AF211" s="240">
        <f t="shared" si="189"/>
      </c>
      <c r="AG211" s="222" t="s">
        <v>173</v>
      </c>
      <c r="AH211" s="223" t="s">
        <v>187</v>
      </c>
      <c r="AI211" s="244">
        <v>17</v>
      </c>
    </row>
    <row r="212">
      <c r="A212" s="211"/>
      <c r="B212" s="212" t="s">
        <v>171</v>
      </c>
      <c r="C212" s="248" t="s">
        <v>181</v>
      </c>
      <c r="D212" s="261">
        <v>1518.02</v>
      </c>
      <c r="E212" s="247">
        <v>2</v>
      </c>
      <c r="F212" s="247">
        <v>1</v>
      </c>
      <c r="G212" s="247">
        <v>1</v>
      </c>
      <c r="H212" s="236">
        <v>2094.4000000000015</v>
      </c>
      <c r="I212" s="236"/>
      <c r="J212" s="240">
        <f t="shared" si="280"/>
      </c>
      <c r="K212" s="240">
        <f t="shared" si="340"/>
      </c>
      <c r="L212" s="240">
        <f t="shared" si="159"/>
      </c>
      <c r="M212" s="241">
        <f t="shared" si="220"/>
      </c>
      <c r="N212" s="240">
        <f t="shared" si="69"/>
      </c>
      <c r="O212" s="240">
        <f t="shared" si="99"/>
      </c>
      <c r="P212" s="241">
        <f t="shared" si="370"/>
      </c>
      <c r="Q212" s="241">
        <f t="shared" si="8"/>
      </c>
      <c r="R212" s="241">
        <f t="shared" si="250"/>
      </c>
      <c r="S212" s="241">
        <f t="shared" si="310"/>
      </c>
      <c r="T212" s="242">
        <f t="shared" si="129"/>
      </c>
      <c r="U212" s="243">
        <v>0.0262</v>
      </c>
      <c r="V212" s="244">
        <v>45</v>
      </c>
      <c r="W212" s="240">
        <f t="shared" si="38"/>
      </c>
      <c r="X212" s="242">
        <v>10903</v>
      </c>
      <c r="Y212" s="242">
        <v>388</v>
      </c>
      <c r="Z212" s="242">
        <v>37</v>
      </c>
      <c r="AA212" s="242">
        <v>609</v>
      </c>
      <c r="AB212" s="242">
        <v>28</v>
      </c>
      <c r="AC212" s="242">
        <v>9</v>
      </c>
      <c r="AD212" s="242">
        <v>4</v>
      </c>
      <c r="AE212" s="242">
        <v>18</v>
      </c>
      <c r="AF212" s="240">
        <f t="shared" si="189"/>
      </c>
      <c r="AG212" s="222" t="s">
        <v>173</v>
      </c>
      <c r="AH212" s="223" t="s">
        <v>187</v>
      </c>
      <c r="AI212" s="244">
        <v>11</v>
      </c>
    </row>
    <row r="213">
      <c r="A213" s="211"/>
      <c r="B213" s="212" t="s">
        <v>171</v>
      </c>
      <c r="C213" s="248" t="s">
        <v>182</v>
      </c>
      <c r="D213" s="261">
        <v>533.12</v>
      </c>
      <c r="E213" s="238">
        <v>1</v>
      </c>
      <c r="F213" s="238">
        <v>1</v>
      </c>
      <c r="G213" s="238">
        <v>1</v>
      </c>
      <c r="H213" s="261">
        <v>451</v>
      </c>
      <c r="I213" s="261"/>
      <c r="J213" s="240">
        <f t="shared" si="280"/>
      </c>
      <c r="K213" s="240">
        <f t="shared" si="340"/>
      </c>
      <c r="L213" s="240">
        <f t="shared" si="159"/>
      </c>
      <c r="M213" s="241">
        <f t="shared" si="220"/>
      </c>
      <c r="N213" s="240">
        <f t="shared" si="69"/>
      </c>
      <c r="O213" s="240">
        <f t="shared" si="99"/>
      </c>
      <c r="P213" s="241">
        <f t="shared" si="370"/>
      </c>
      <c r="Q213" s="241">
        <f t="shared" si="8"/>
      </c>
      <c r="R213" s="241">
        <f t="shared" si="250"/>
      </c>
      <c r="S213" s="241">
        <f t="shared" si="310"/>
      </c>
      <c r="T213" s="242">
        <f t="shared" si="129"/>
      </c>
      <c r="U213" s="243">
        <v>0.0232</v>
      </c>
      <c r="V213" s="244">
        <v>47</v>
      </c>
      <c r="W213" s="240">
        <f t="shared" si="38"/>
      </c>
      <c r="X213" s="242">
        <v>4309</v>
      </c>
      <c r="Y213" s="242">
        <v>185</v>
      </c>
      <c r="Z213" s="242">
        <v>19</v>
      </c>
      <c r="AA213" s="242">
        <v>347</v>
      </c>
      <c r="AB213" s="242">
        <v>16</v>
      </c>
      <c r="AC213" s="242">
        <v>2</v>
      </c>
      <c r="AD213" s="242">
        <v>0</v>
      </c>
      <c r="AE213" s="244">
        <v>2</v>
      </c>
      <c r="AF213" s="240">
        <f t="shared" si="189"/>
      </c>
      <c r="AG213" s="222" t="s">
        <v>173</v>
      </c>
      <c r="AH213" s="223" t="s">
        <v>187</v>
      </c>
      <c r="AI213" s="244">
        <v>9</v>
      </c>
    </row>
    <row r="214">
      <c r="A214" s="211"/>
      <c r="B214" s="249" t="s">
        <v>165</v>
      </c>
      <c r="C214" s="249"/>
      <c r="D214" s="250">
        <f>SUM(D210:D213)</f>
      </c>
      <c r="E214" s="251">
        <f>SUM(E210:E213)</f>
      </c>
      <c r="F214" s="251">
        <f>SUM(F210:F213)</f>
      </c>
      <c r="G214" s="251">
        <f>SUM(G210:G213)</f>
      </c>
      <c r="H214" s="250">
        <f>SUM(H210:H213)</f>
      </c>
      <c r="I214" s="250"/>
      <c r="J214" s="252">
        <f t="shared" si="280"/>
      </c>
      <c r="K214" s="252">
        <f t="shared" si="340"/>
      </c>
      <c r="L214" s="252">
        <f t="shared" si="159"/>
      </c>
      <c r="M214" s="253">
        <f t="shared" si="220"/>
      </c>
      <c r="N214" s="252">
        <f t="shared" si="69"/>
      </c>
      <c r="O214" s="252">
        <f t="shared" si="99"/>
      </c>
      <c r="P214" s="253">
        <f t="shared" si="370"/>
      </c>
      <c r="Q214" s="253">
        <f t="shared" si="8"/>
      </c>
      <c r="R214" s="253">
        <f t="shared" si="250"/>
      </c>
      <c r="S214" s="253">
        <f t="shared" si="310"/>
      </c>
      <c r="T214" s="254">
        <f t="shared" si="129"/>
      </c>
      <c r="U214" s="253">
        <f>AVERAGE(U210:U213)</f>
      </c>
      <c r="V214" s="250">
        <f>AVERAGE(V210:V213)</f>
      </c>
      <c r="W214" s="252">
        <f t="shared" si="38"/>
      </c>
      <c r="X214" s="254">
        <f>SUM(X210:X213)</f>
      </c>
      <c r="Y214" s="254">
        <f>SUM(Y210:Y213)</f>
      </c>
      <c r="Z214" s="254">
        <f>SUM(Z210:Z213)</f>
      </c>
      <c r="AA214" s="254">
        <f>SUM(AA210:AA213)</f>
      </c>
      <c r="AB214" s="254">
        <f>SUM(AB210:AB213)</f>
      </c>
      <c r="AC214" s="254">
        <f>SUM(AC210:AC213)</f>
      </c>
      <c r="AD214" s="254">
        <f>SUM(AD210:AD213)</f>
      </c>
      <c r="AE214" s="254">
        <f>SUM(AE210:AE213)</f>
      </c>
      <c r="AF214" s="255">
        <f t="shared" si="189"/>
      </c>
      <c r="AG214" s="256"/>
      <c r="AH214" s="256"/>
      <c r="AI214" s="257">
        <f>SUM(AI210:AI213)</f>
      </c>
    </row>
    <row r="215">
      <c r="A215" s="211"/>
      <c r="B215" s="264" t="s">
        <v>183</v>
      </c>
      <c r="C215" s="264"/>
      <c r="D215" s="265">
        <f>D199+D204+D209+D214</f>
      </c>
      <c r="E215" s="265">
        <f>E199+E204+E209+E214</f>
      </c>
      <c r="F215" s="265">
        <f>F199+F204+F209+F214</f>
      </c>
      <c r="G215" s="265">
        <f>G199+G204+G209+G214</f>
      </c>
      <c r="H215" s="265">
        <f>H199+H204+H209+H214</f>
      </c>
      <c r="I215" s="265"/>
      <c r="J215" s="266">
        <f t="shared" si="280"/>
      </c>
      <c r="K215" s="267">
        <f t="shared" si="340"/>
      </c>
      <c r="L215" s="267">
        <f t="shared" si="159"/>
      </c>
      <c r="M215" s="268">
        <f t="shared" si="220"/>
      </c>
      <c r="N215" s="267">
        <f t="shared" si="69"/>
      </c>
      <c r="O215" s="267">
        <f t="shared" si="99"/>
      </c>
      <c r="P215" s="268">
        <f t="shared" si="370"/>
      </c>
      <c r="Q215" s="268">
        <f t="shared" si="8"/>
      </c>
      <c r="R215" s="268">
        <f t="shared" si="250"/>
      </c>
      <c r="S215" s="268">
        <f t="shared" si="310"/>
      </c>
      <c r="T215" s="269">
        <f t="shared" si="129"/>
      </c>
      <c r="U215" s="268">
        <f>(U199+U209+U204+U214)/4</f>
      </c>
      <c r="V215" s="267">
        <f>(V199+V209+V204+V214)/4</f>
      </c>
      <c r="W215" s="270">
        <f t="shared" si="38"/>
      </c>
      <c r="X215" s="269">
        <f>X199+X204+X209+X214</f>
      </c>
      <c r="Y215" s="269">
        <f>Y199+Y204+Y209+Y214</f>
      </c>
      <c r="Z215" s="269">
        <f>Z199+Z204+Z209+Z214</f>
      </c>
      <c r="AA215" s="269">
        <f>AA199+AA204+AA209+AA214</f>
      </c>
      <c r="AB215" s="269">
        <f>AB199+AB204+AB209+AB214</f>
      </c>
      <c r="AC215" s="269">
        <f>AC199+AC204+AC209+AC214</f>
      </c>
      <c r="AD215" s="269">
        <f>AD199+AD204+AD209+AD214</f>
      </c>
      <c r="AE215" s="269">
        <f>AE199+AE204+AE209+AE214</f>
      </c>
      <c r="AF215" s="267">
        <f>AF199</f>
      </c>
      <c r="AG215" s="264"/>
      <c r="AH215" s="264"/>
      <c r="AI215" s="269">
        <f>AI199+AI204+AI209+AI214</f>
      </c>
    </row>
    <row r="216">
      <c r="A216" s="193" t="s">
        <v>120</v>
      </c>
      <c r="B216" s="194" t="s">
        <v>121</v>
      </c>
      <c r="C216" s="194"/>
      <c r="D216" s="195" t="s">
        <v>122</v>
      </c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6" t="s">
        <v>123</v>
      </c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7"/>
    </row>
    <row r="217">
      <c r="A217" s="193"/>
      <c r="B217" s="194" t="s">
        <v>124</v>
      </c>
      <c r="C217" s="198" t="s">
        <v>125</v>
      </c>
      <c r="D217" s="199" t="s">
        <v>126</v>
      </c>
      <c r="E217" s="200" t="s">
        <v>127</v>
      </c>
      <c r="F217" s="201" t="s">
        <v>128</v>
      </c>
      <c r="G217" s="201" t="s">
        <v>129</v>
      </c>
      <c r="H217" s="199" t="s">
        <v>130</v>
      </c>
      <c r="I217" s="199"/>
      <c r="J217" s="202" t="s">
        <v>131</v>
      </c>
      <c r="K217" s="202" t="s">
        <v>132</v>
      </c>
      <c r="L217" s="202" t="s">
        <v>133</v>
      </c>
      <c r="M217" s="203" t="s">
        <v>134</v>
      </c>
      <c r="N217" s="202" t="s">
        <v>135</v>
      </c>
      <c r="O217" s="204" t="s">
        <v>136</v>
      </c>
      <c r="P217" s="205" t="s">
        <v>137</v>
      </c>
      <c r="Q217" s="205" t="s">
        <v>138</v>
      </c>
      <c r="R217" s="205" t="s">
        <v>139</v>
      </c>
      <c r="S217" s="205" t="s">
        <v>140</v>
      </c>
      <c r="T217" s="206" t="s">
        <v>141</v>
      </c>
      <c r="U217" s="207" t="s">
        <v>142</v>
      </c>
      <c r="V217" s="208" t="s">
        <v>143</v>
      </c>
      <c r="W217" s="196" t="s">
        <v>144</v>
      </c>
      <c r="X217" s="209" t="s">
        <v>145</v>
      </c>
      <c r="Y217" s="209" t="s">
        <v>146</v>
      </c>
      <c r="Z217" s="209" t="s">
        <v>147</v>
      </c>
      <c r="AA217" s="209" t="s">
        <v>148</v>
      </c>
      <c r="AB217" s="209" t="s">
        <v>149</v>
      </c>
      <c r="AC217" s="209" t="s">
        <v>150</v>
      </c>
      <c r="AD217" s="209" t="s">
        <v>151</v>
      </c>
      <c r="AE217" s="209" t="s">
        <v>152</v>
      </c>
      <c r="AF217" s="196" t="s">
        <v>153</v>
      </c>
      <c r="AG217" s="210" t="s">
        <v>154</v>
      </c>
      <c r="AH217" s="210" t="s">
        <v>155</v>
      </c>
      <c r="AI217" s="197" t="s">
        <v>156</v>
      </c>
    </row>
    <row r="218">
      <c r="A218" s="211">
        <v>46183</v>
      </c>
      <c r="B218" s="212" t="s">
        <v>166</v>
      </c>
      <c r="C218" s="213" t="s">
        <v>158</v>
      </c>
      <c r="D218" s="214">
        <v>1358.63</v>
      </c>
      <c r="E218" s="215">
        <v>1</v>
      </c>
      <c r="F218" s="215">
        <v>1</v>
      </c>
      <c r="G218" s="215">
        <v>1</v>
      </c>
      <c r="H218" s="214">
        <v>451</v>
      </c>
      <c r="I218" s="214"/>
      <c r="J218" s="216">
        <f t="shared" ref="J218:J239" si="281">H218/D218</f>
      </c>
      <c r="K218" s="217">
        <f t="shared" ref="K218:K239" si="341">D218/F218</f>
      </c>
      <c r="L218" s="217">
        <f t="shared" ref="L218:L239" si="160">D218/G218</f>
      </c>
      <c r="M218" s="218">
        <f t="shared" ref="M218:M239" si="221">F218/E218</f>
      </c>
      <c r="N218" s="217">
        <f t="shared" ref="N218:N239" si="70">H218/F218</f>
      </c>
      <c r="O218" s="217">
        <f t="shared" ref="O218:O239" si="100">D218/Y218</f>
      </c>
      <c r="P218" s="218">
        <f t="shared" ref="P218:P239" si="371">T218/X218*1</f>
      </c>
      <c r="Q218" s="218">
        <f t="shared" ref="Q218:Q239" si="9">Y218/X218</f>
      </c>
      <c r="R218" s="218">
        <f t="shared" ref="R218:R239" si="251">AA218/X218</f>
      </c>
      <c r="S218" s="218">
        <f t="shared" ref="S218:S239" si="311">AB218/AA218</f>
      </c>
      <c r="T218" s="219">
        <f t="shared" ref="T218:T239" si="130">Z218/U218</f>
      </c>
      <c r="U218" s="220">
        <v>0.0267</v>
      </c>
      <c r="V218" s="221">
        <v>22</v>
      </c>
      <c r="W218" s="217">
        <f t="shared" ref="W218:W239" si="39">(D218/X218)*1000</f>
      </c>
      <c r="X218" s="221">
        <v>9039</v>
      </c>
      <c r="Y218" s="221">
        <v>261</v>
      </c>
      <c r="Z218" s="219">
        <v>25</v>
      </c>
      <c r="AA218" s="219">
        <v>498</v>
      </c>
      <c r="AB218" s="219">
        <v>19</v>
      </c>
      <c r="AC218" s="219">
        <v>4</v>
      </c>
      <c r="AD218" s="221">
        <v>3</v>
      </c>
      <c r="AE218" s="221">
        <v>14</v>
      </c>
      <c r="AF218" s="217">
        <f t="shared" ref="AF218:AF238" si="190">AI218*1000/D218</f>
      </c>
      <c r="AG218" s="222" t="s">
        <v>159</v>
      </c>
      <c r="AH218" s="223" t="s">
        <v>184</v>
      </c>
      <c r="AI218" s="221">
        <v>13</v>
      </c>
    </row>
    <row r="219">
      <c r="A219" s="211"/>
      <c r="B219" s="212" t="s">
        <v>166</v>
      </c>
      <c r="C219" s="213" t="s">
        <v>161</v>
      </c>
      <c r="D219" s="214">
        <v>608.57</v>
      </c>
      <c r="E219" s="215">
        <v>0</v>
      </c>
      <c r="F219" s="215">
        <v>0</v>
      </c>
      <c r="G219" s="215">
        <v>0</v>
      </c>
      <c r="H219" s="214">
        <v>0</v>
      </c>
      <c r="I219" s="214"/>
      <c r="J219" s="216">
        <f t="shared" si="281"/>
      </c>
      <c r="K219" s="217">
        <f t="shared" si="341"/>
      </c>
      <c r="L219" s="217">
        <f t="shared" si="160"/>
      </c>
      <c r="M219" s="218">
        <f t="shared" si="221"/>
      </c>
      <c r="N219" s="217">
        <f t="shared" si="70"/>
      </c>
      <c r="O219" s="217">
        <f t="shared" si="100"/>
      </c>
      <c r="P219" s="218">
        <f t="shared" si="371"/>
      </c>
      <c r="Q219" s="218">
        <f t="shared" si="9"/>
      </c>
      <c r="R219" s="218">
        <f t="shared" si="251"/>
      </c>
      <c r="S219" s="218">
        <f t="shared" si="311"/>
      </c>
      <c r="T219" s="219">
        <f t="shared" si="130"/>
      </c>
      <c r="U219" s="220">
        <v>0.0506</v>
      </c>
      <c r="V219" s="221">
        <v>18</v>
      </c>
      <c r="W219" s="217">
        <f t="shared" si="39"/>
      </c>
      <c r="X219" s="221">
        <v>4955</v>
      </c>
      <c r="Y219" s="221">
        <v>293</v>
      </c>
      <c r="Z219" s="219">
        <v>20</v>
      </c>
      <c r="AA219" s="219">
        <v>466</v>
      </c>
      <c r="AB219" s="221">
        <v>5</v>
      </c>
      <c r="AC219" s="219">
        <v>0</v>
      </c>
      <c r="AD219" s="221">
        <v>1</v>
      </c>
      <c r="AE219" s="221">
        <v>0</v>
      </c>
      <c r="AF219" s="217">
        <f t="shared" si="190"/>
      </c>
      <c r="AG219" s="222" t="s">
        <v>159</v>
      </c>
      <c r="AH219" s="223" t="s">
        <v>184</v>
      </c>
      <c r="AI219" s="221">
        <v>4</v>
      </c>
    </row>
    <row r="220">
      <c r="A220" s="211"/>
      <c r="B220" s="212" t="s">
        <v>166</v>
      </c>
      <c r="C220" s="224" t="s">
        <v>162</v>
      </c>
      <c r="D220" s="214">
        <v>1075.26</v>
      </c>
      <c r="E220" s="215">
        <v>2</v>
      </c>
      <c r="F220" s="215">
        <v>1</v>
      </c>
      <c r="G220" s="215">
        <v>1</v>
      </c>
      <c r="H220" s="214">
        <v>781</v>
      </c>
      <c r="I220" s="214"/>
      <c r="J220" s="216">
        <f t="shared" si="281"/>
      </c>
      <c r="K220" s="217">
        <f t="shared" si="341"/>
      </c>
      <c r="L220" s="217">
        <f t="shared" si="160"/>
      </c>
      <c r="M220" s="218">
        <f t="shared" si="221"/>
      </c>
      <c r="N220" s="217">
        <f t="shared" si="70"/>
      </c>
      <c r="O220" s="217">
        <f t="shared" si="100"/>
      </c>
      <c r="P220" s="218">
        <f t="shared" si="371"/>
      </c>
      <c r="Q220" s="218">
        <f t="shared" si="9"/>
      </c>
      <c r="R220" s="218">
        <f t="shared" si="251"/>
      </c>
      <c r="S220" s="218">
        <f t="shared" si="311"/>
      </c>
      <c r="T220" s="219">
        <f t="shared" si="130"/>
      </c>
      <c r="U220" s="220">
        <v>0.0329</v>
      </c>
      <c r="V220" s="221">
        <v>29</v>
      </c>
      <c r="W220" s="217">
        <f t="shared" si="39"/>
      </c>
      <c r="X220" s="221">
        <v>6397</v>
      </c>
      <c r="Y220" s="221">
        <v>254</v>
      </c>
      <c r="Z220" s="219">
        <v>30</v>
      </c>
      <c r="AA220" s="219">
        <v>436</v>
      </c>
      <c r="AB220" s="221">
        <v>26</v>
      </c>
      <c r="AC220" s="219">
        <v>8</v>
      </c>
      <c r="AD220" s="221">
        <v>0</v>
      </c>
      <c r="AE220" s="221">
        <v>8</v>
      </c>
      <c r="AF220" s="217">
        <f t="shared" si="190"/>
      </c>
      <c r="AG220" s="222" t="s">
        <v>159</v>
      </c>
      <c r="AH220" s="223" t="s">
        <v>184</v>
      </c>
      <c r="AI220" s="221">
        <v>9</v>
      </c>
    </row>
    <row r="221">
      <c r="A221" s="211"/>
      <c r="B221" s="212" t="s">
        <v>166</v>
      </c>
      <c r="C221" s="213" t="s">
        <v>163</v>
      </c>
      <c r="D221" s="214">
        <v>1713.09</v>
      </c>
      <c r="E221" s="215">
        <v>8</v>
      </c>
      <c r="F221" s="215">
        <v>6</v>
      </c>
      <c r="G221" s="215">
        <v>6</v>
      </c>
      <c r="H221" s="214">
        <v>4804.8</v>
      </c>
      <c r="I221" s="214"/>
      <c r="J221" s="216">
        <f t="shared" si="281"/>
      </c>
      <c r="K221" s="217">
        <f t="shared" si="341"/>
      </c>
      <c r="L221" s="217">
        <f t="shared" si="160"/>
      </c>
      <c r="M221" s="218">
        <f t="shared" si="221"/>
      </c>
      <c r="N221" s="217">
        <f t="shared" si="70"/>
      </c>
      <c r="O221" s="217">
        <f t="shared" si="100"/>
      </c>
      <c r="P221" s="218">
        <f t="shared" si="371"/>
      </c>
      <c r="Q221" s="218">
        <f t="shared" si="9"/>
      </c>
      <c r="R221" s="218">
        <f t="shared" si="251"/>
      </c>
      <c r="S221" s="218">
        <f t="shared" si="311"/>
      </c>
      <c r="T221" s="219">
        <f t="shared" si="130"/>
      </c>
      <c r="U221" s="220">
        <v>0.0522</v>
      </c>
      <c r="V221" s="221">
        <v>38</v>
      </c>
      <c r="W221" s="217">
        <f t="shared" si="39"/>
      </c>
      <c r="X221" s="221">
        <v>10315</v>
      </c>
      <c r="Y221" s="221">
        <v>255</v>
      </c>
      <c r="Z221" s="221">
        <v>43</v>
      </c>
      <c r="AA221" s="221">
        <v>445</v>
      </c>
      <c r="AB221" s="221">
        <v>39</v>
      </c>
      <c r="AC221" s="221">
        <v>2</v>
      </c>
      <c r="AD221" s="221">
        <v>0</v>
      </c>
      <c r="AE221" s="221">
        <v>21</v>
      </c>
      <c r="AF221" s="217">
        <f t="shared" si="190"/>
      </c>
      <c r="AG221" s="222" t="s">
        <v>159</v>
      </c>
      <c r="AH221" s="223" t="s">
        <v>184</v>
      </c>
      <c r="AI221" s="221">
        <v>18</v>
      </c>
    </row>
    <row r="222">
      <c r="A222" s="211"/>
      <c r="B222" s="212" t="s">
        <v>166</v>
      </c>
      <c r="C222" s="212" t="s">
        <v>164</v>
      </c>
      <c r="D222" s="225">
        <v>2975.74</v>
      </c>
      <c r="E222" s="226">
        <v>9</v>
      </c>
      <c r="F222" s="226">
        <v>7</v>
      </c>
      <c r="G222" s="226">
        <v>7</v>
      </c>
      <c r="H222" s="225">
        <v>4374.7</v>
      </c>
      <c r="I222" s="225"/>
      <c r="J222" s="217">
        <f t="shared" si="281"/>
      </c>
      <c r="K222" s="217">
        <f t="shared" si="341"/>
      </c>
      <c r="L222" s="217">
        <f t="shared" si="160"/>
      </c>
      <c r="M222" s="218">
        <f t="shared" si="221"/>
      </c>
      <c r="N222" s="217">
        <f t="shared" si="70"/>
      </c>
      <c r="O222" s="217">
        <f t="shared" si="100"/>
      </c>
      <c r="P222" s="218">
        <f t="shared" si="371"/>
      </c>
      <c r="Q222" s="218">
        <f t="shared" si="9"/>
      </c>
      <c r="R222" s="218">
        <f t="shared" si="251"/>
      </c>
      <c r="S222" s="218">
        <f t="shared" si="311"/>
      </c>
      <c r="T222" s="219">
        <f t="shared" si="130"/>
      </c>
      <c r="U222" s="220">
        <v>0.0899</v>
      </c>
      <c r="V222" s="221">
        <v>50</v>
      </c>
      <c r="W222" s="217">
        <f t="shared" si="39"/>
      </c>
      <c r="X222" s="219">
        <v>26310</v>
      </c>
      <c r="Y222" s="219">
        <v>324</v>
      </c>
      <c r="Z222" s="219">
        <v>80</v>
      </c>
      <c r="AA222" s="219">
        <v>483</v>
      </c>
      <c r="AB222" s="219">
        <v>79</v>
      </c>
      <c r="AC222" s="219">
        <v>9</v>
      </c>
      <c r="AD222" s="219">
        <v>1</v>
      </c>
      <c r="AE222" s="221">
        <v>40</v>
      </c>
      <c r="AF222" s="217">
        <f t="shared" si="190"/>
      </c>
      <c r="AG222" s="222" t="s">
        <v>159</v>
      </c>
      <c r="AH222" s="223" t="s">
        <v>184</v>
      </c>
      <c r="AI222" s="221">
        <v>22</v>
      </c>
    </row>
    <row r="223">
      <c r="A223" s="211"/>
      <c r="B223" s="227" t="s">
        <v>165</v>
      </c>
      <c r="C223" s="227"/>
      <c r="D223" s="228">
        <f>SUM(D218:D222)</f>
      </c>
      <c r="E223" s="229">
        <f>SUM(E218:E222)</f>
      </c>
      <c r="F223" s="229">
        <f>SUM(F218:F222)</f>
      </c>
      <c r="G223" s="229">
        <f>SUM(G218:G222)</f>
      </c>
      <c r="H223" s="228">
        <f>SUM(H218:H222)</f>
      </c>
      <c r="I223" s="228"/>
      <c r="J223" s="230">
        <f t="shared" si="281"/>
      </c>
      <c r="K223" s="230">
        <f t="shared" si="341"/>
      </c>
      <c r="L223" s="230">
        <f t="shared" si="160"/>
      </c>
      <c r="M223" s="231">
        <f t="shared" si="221"/>
      </c>
      <c r="N223" s="230">
        <f t="shared" si="70"/>
      </c>
      <c r="O223" s="230">
        <f t="shared" si="100"/>
      </c>
      <c r="P223" s="231">
        <f t="shared" si="371"/>
      </c>
      <c r="Q223" s="231">
        <f t="shared" si="9"/>
      </c>
      <c r="R223" s="231">
        <f t="shared" si="251"/>
      </c>
      <c r="S223" s="231">
        <f t="shared" si="311"/>
      </c>
      <c r="T223" s="229">
        <f t="shared" si="130"/>
      </c>
      <c r="U223" s="231">
        <f>AVERAGE(U218:U222)</f>
      </c>
      <c r="V223" s="228">
        <f>AVERAGE(V218:V222)</f>
      </c>
      <c r="W223" s="230">
        <f t="shared" si="39"/>
      </c>
      <c r="X223" s="229">
        <f>SUM(X218:X222)</f>
      </c>
      <c r="Y223" s="229">
        <f>SUM(Y218:Y222)</f>
      </c>
      <c r="Z223" s="229">
        <f>SUM(Z218:Z222)</f>
      </c>
      <c r="AA223" s="229">
        <f>SUM(AA218:AA222)</f>
      </c>
      <c r="AB223" s="229">
        <f>SUM(AB218:AB222)</f>
      </c>
      <c r="AC223" s="229">
        <f>SUM(AC218:AC222)</f>
      </c>
      <c r="AD223" s="229">
        <f>SUM(AD218:AD222)</f>
      </c>
      <c r="AE223" s="229">
        <f>SUM(AE218:AE222)</f>
      </c>
      <c r="AF223" s="232">
        <f t="shared" si="190"/>
      </c>
      <c r="AG223" s="233"/>
      <c r="AH223" s="233"/>
      <c r="AI223" s="234">
        <f>SUM(AI218:AI222)</f>
      </c>
    </row>
    <row r="224">
      <c r="A224" s="211"/>
      <c r="B224" s="212" t="s">
        <v>178</v>
      </c>
      <c r="C224" s="235" t="s">
        <v>167</v>
      </c>
      <c r="D224" s="236">
        <v>3359.88</v>
      </c>
      <c r="E224" s="237">
        <v>7</v>
      </c>
      <c r="F224" s="237">
        <v>6</v>
      </c>
      <c r="G224" s="238">
        <v>4</v>
      </c>
      <c r="H224" s="239">
        <v>2683.4500000000007</v>
      </c>
      <c r="I224" s="239"/>
      <c r="J224" s="240">
        <f t="shared" si="281"/>
      </c>
      <c r="K224" s="240">
        <f t="shared" si="341"/>
      </c>
      <c r="L224" s="240">
        <f t="shared" si="160"/>
      </c>
      <c r="M224" s="241">
        <f t="shared" si="221"/>
      </c>
      <c r="N224" s="240">
        <f t="shared" si="70"/>
      </c>
      <c r="O224" s="240">
        <f t="shared" si="100"/>
      </c>
      <c r="P224" s="241">
        <f t="shared" si="371"/>
      </c>
      <c r="Q224" s="241">
        <f t="shared" si="9"/>
      </c>
      <c r="R224" s="241">
        <f t="shared" si="251"/>
      </c>
      <c r="S224" s="241">
        <f t="shared" si="311"/>
      </c>
      <c r="T224" s="242">
        <f t="shared" si="130"/>
      </c>
      <c r="U224" s="243">
        <v>0.0911</v>
      </c>
      <c r="V224" s="244">
        <v>58</v>
      </c>
      <c r="W224" s="240">
        <f t="shared" si="39"/>
      </c>
      <c r="X224" s="242">
        <v>30130</v>
      </c>
      <c r="Y224" s="242">
        <v>427</v>
      </c>
      <c r="Z224" s="242">
        <v>97</v>
      </c>
      <c r="AA224" s="242">
        <v>553</v>
      </c>
      <c r="AB224" s="242">
        <v>95</v>
      </c>
      <c r="AC224" s="242">
        <v>3</v>
      </c>
      <c r="AD224" s="242">
        <v>0</v>
      </c>
      <c r="AE224" s="242">
        <v>46</v>
      </c>
      <c r="AF224" s="240">
        <f t="shared" si="190"/>
      </c>
      <c r="AG224" s="222" t="s">
        <v>159</v>
      </c>
      <c r="AH224" s="223" t="s">
        <v>184</v>
      </c>
      <c r="AI224" s="244">
        <v>36</v>
      </c>
    </row>
    <row r="225">
      <c r="A225" s="211"/>
      <c r="B225" s="212" t="s">
        <v>178</v>
      </c>
      <c r="C225" s="245" t="s">
        <v>168</v>
      </c>
      <c r="D225" s="246">
        <v>5783.43</v>
      </c>
      <c r="E225" s="247">
        <v>14</v>
      </c>
      <c r="F225" s="247">
        <v>11</v>
      </c>
      <c r="G225" s="247">
        <v>10</v>
      </c>
      <c r="H225" s="239">
        <v>11614.899999999998</v>
      </c>
      <c r="I225" s="239"/>
      <c r="J225" s="240">
        <f t="shared" si="281"/>
      </c>
      <c r="K225" s="240">
        <f t="shared" si="341"/>
      </c>
      <c r="L225" s="240">
        <f t="shared" si="160"/>
      </c>
      <c r="M225" s="241">
        <f t="shared" si="221"/>
      </c>
      <c r="N225" s="240">
        <f t="shared" si="70"/>
      </c>
      <c r="O225" s="240">
        <f t="shared" si="100"/>
      </c>
      <c r="P225" s="241">
        <f t="shared" si="371"/>
      </c>
      <c r="Q225" s="241">
        <f t="shared" si="9"/>
      </c>
      <c r="R225" s="241">
        <f t="shared" si="251"/>
      </c>
      <c r="S225" s="241">
        <f t="shared" si="311"/>
      </c>
      <c r="T225" s="242">
        <f t="shared" si="130"/>
      </c>
      <c r="U225" s="243">
        <v>0.1082</v>
      </c>
      <c r="V225" s="244">
        <v>62</v>
      </c>
      <c r="W225" s="240">
        <f t="shared" si="39"/>
      </c>
      <c r="X225" s="242">
        <v>46034</v>
      </c>
      <c r="Y225" s="242">
        <v>612</v>
      </c>
      <c r="Z225" s="242">
        <v>141</v>
      </c>
      <c r="AA225" s="242">
        <v>812</v>
      </c>
      <c r="AB225" s="242">
        <v>105</v>
      </c>
      <c r="AC225" s="242">
        <v>14</v>
      </c>
      <c r="AD225" s="242">
        <v>2</v>
      </c>
      <c r="AE225" s="242">
        <v>75</v>
      </c>
      <c r="AF225" s="240">
        <f t="shared" si="190"/>
      </c>
      <c r="AG225" s="222" t="s">
        <v>159</v>
      </c>
      <c r="AH225" s="223" t="s">
        <v>184</v>
      </c>
      <c r="AI225" s="244">
        <v>43</v>
      </c>
    </row>
    <row r="226">
      <c r="A226" s="211"/>
      <c r="B226" s="212" t="s">
        <v>178</v>
      </c>
      <c r="C226" s="235" t="s">
        <v>169</v>
      </c>
      <c r="D226" s="236">
        <v>4794.48</v>
      </c>
      <c r="E226" s="247">
        <v>9</v>
      </c>
      <c r="F226" s="247">
        <v>7</v>
      </c>
      <c r="G226" s="247">
        <v>5</v>
      </c>
      <c r="H226" s="236">
        <v>3540.350000000002</v>
      </c>
      <c r="I226" s="236"/>
      <c r="J226" s="240">
        <f t="shared" si="281"/>
      </c>
      <c r="K226" s="240">
        <f t="shared" si="341"/>
      </c>
      <c r="L226" s="240">
        <f t="shared" si="160"/>
      </c>
      <c r="M226" s="241">
        <f t="shared" si="221"/>
      </c>
      <c r="N226" s="240">
        <f t="shared" si="70"/>
      </c>
      <c r="O226" s="240">
        <f t="shared" si="100"/>
      </c>
      <c r="P226" s="241">
        <f t="shared" si="371"/>
      </c>
      <c r="Q226" s="241">
        <f t="shared" si="9"/>
      </c>
      <c r="R226" s="241">
        <f t="shared" si="251"/>
      </c>
      <c r="S226" s="241">
        <f t="shared" si="311"/>
      </c>
      <c r="T226" s="242">
        <f t="shared" si="130"/>
      </c>
      <c r="U226" s="243">
        <v>0.1021</v>
      </c>
      <c r="V226" s="244">
        <v>68</v>
      </c>
      <c r="W226" s="240">
        <f t="shared" si="39"/>
      </c>
      <c r="X226" s="242">
        <v>46561</v>
      </c>
      <c r="Y226" s="242">
        <v>557</v>
      </c>
      <c r="Z226" s="242">
        <v>130</v>
      </c>
      <c r="AA226" s="242">
        <v>717</v>
      </c>
      <c r="AB226" s="242">
        <v>121</v>
      </c>
      <c r="AC226" s="242">
        <v>14</v>
      </c>
      <c r="AD226" s="242">
        <v>2</v>
      </c>
      <c r="AE226" s="244">
        <v>79</v>
      </c>
      <c r="AF226" s="240">
        <f t="shared" si="190"/>
      </c>
      <c r="AG226" s="222" t="s">
        <v>159</v>
      </c>
      <c r="AH226" s="223" t="s">
        <v>184</v>
      </c>
      <c r="AI226" s="244">
        <v>44</v>
      </c>
    </row>
    <row r="227">
      <c r="A227" s="211"/>
      <c r="B227" s="212" t="s">
        <v>178</v>
      </c>
      <c r="C227" s="248" t="s">
        <v>170</v>
      </c>
      <c r="D227" s="236">
        <v>3742.05</v>
      </c>
      <c r="E227" s="238">
        <v>7</v>
      </c>
      <c r="F227" s="238">
        <v>5</v>
      </c>
      <c r="G227" s="238">
        <v>4</v>
      </c>
      <c r="H227" s="236">
        <v>3265.350000000002</v>
      </c>
      <c r="I227" s="236"/>
      <c r="J227" s="240">
        <f t="shared" si="281"/>
      </c>
      <c r="K227" s="240">
        <f t="shared" si="341"/>
      </c>
      <c r="L227" s="240">
        <f t="shared" si="160"/>
      </c>
      <c r="M227" s="241">
        <f t="shared" si="221"/>
      </c>
      <c r="N227" s="240">
        <f t="shared" si="70"/>
      </c>
      <c r="O227" s="240">
        <f t="shared" si="100"/>
      </c>
      <c r="P227" s="241">
        <f t="shared" si="371"/>
      </c>
      <c r="Q227" s="241">
        <f t="shared" si="9"/>
      </c>
      <c r="R227" s="241">
        <f t="shared" si="251"/>
      </c>
      <c r="S227" s="241">
        <f t="shared" si="311"/>
      </c>
      <c r="T227" s="242">
        <f t="shared" si="130"/>
      </c>
      <c r="U227" s="243">
        <v>0.0876</v>
      </c>
      <c r="V227" s="244">
        <v>68</v>
      </c>
      <c r="W227" s="240">
        <f t="shared" si="39"/>
      </c>
      <c r="X227" s="242">
        <v>31559</v>
      </c>
      <c r="Y227" s="242">
        <v>395</v>
      </c>
      <c r="Z227" s="242">
        <v>100</v>
      </c>
      <c r="AA227" s="242">
        <v>516</v>
      </c>
      <c r="AB227" s="242">
        <v>82</v>
      </c>
      <c r="AC227" s="242">
        <v>4</v>
      </c>
      <c r="AD227" s="242">
        <v>0</v>
      </c>
      <c r="AE227" s="242">
        <v>39</v>
      </c>
      <c r="AF227" s="240">
        <f t="shared" si="190"/>
      </c>
      <c r="AG227" s="222" t="s">
        <v>159</v>
      </c>
      <c r="AH227" s="223" t="s">
        <v>184</v>
      </c>
      <c r="AI227" s="244">
        <v>45</v>
      </c>
    </row>
    <row r="228">
      <c r="A228" s="211"/>
      <c r="B228" s="249" t="s">
        <v>165</v>
      </c>
      <c r="C228" s="249"/>
      <c r="D228" s="250">
        <f>SUM(D224:D227)</f>
      </c>
      <c r="E228" s="251">
        <f>SUM(E224:E227)</f>
      </c>
      <c r="F228" s="251">
        <f>SUM(F224:F227)</f>
      </c>
      <c r="G228" s="251">
        <f>SUM(G224:G227)</f>
      </c>
      <c r="H228" s="250">
        <f>SUM(H224:H227)</f>
      </c>
      <c r="I228" s="250"/>
      <c r="J228" s="252">
        <f t="shared" si="281"/>
      </c>
      <c r="K228" s="252">
        <f t="shared" si="341"/>
      </c>
      <c r="L228" s="252">
        <f t="shared" si="160"/>
      </c>
      <c r="M228" s="253">
        <f t="shared" si="221"/>
      </c>
      <c r="N228" s="252">
        <f t="shared" si="70"/>
      </c>
      <c r="O228" s="252">
        <f t="shared" si="100"/>
      </c>
      <c r="P228" s="253">
        <f t="shared" si="371"/>
      </c>
      <c r="Q228" s="253">
        <f t="shared" si="9"/>
      </c>
      <c r="R228" s="253">
        <f t="shared" si="251"/>
      </c>
      <c r="S228" s="253">
        <f t="shared" si="311"/>
      </c>
      <c r="T228" s="254">
        <f t="shared" si="130"/>
      </c>
      <c r="U228" s="253">
        <f>AVERAGE(U224:U227)</f>
      </c>
      <c r="V228" s="250">
        <f>AVERAGE(V224:V227)</f>
      </c>
      <c r="W228" s="252">
        <f t="shared" si="39"/>
      </c>
      <c r="X228" s="254">
        <f>SUM(X224:X227)</f>
      </c>
      <c r="Y228" s="254">
        <f>SUM(Y224:Y227)</f>
      </c>
      <c r="Z228" s="254">
        <f>SUM(Z224:Z227)</f>
      </c>
      <c r="AA228" s="254">
        <f>SUM(AA224:AA227)</f>
      </c>
      <c r="AB228" s="254">
        <f>SUM(AB224:AB227)</f>
      </c>
      <c r="AC228" s="254">
        <f>SUM(AC224:AC227)</f>
      </c>
      <c r="AD228" s="254">
        <f>SUM(AD224:AD227)</f>
      </c>
      <c r="AE228" s="254">
        <f>SUM(AE224:AE227)</f>
      </c>
      <c r="AF228" s="255">
        <f t="shared" si="190"/>
      </c>
      <c r="AG228" s="256"/>
      <c r="AH228" s="256"/>
      <c r="AI228" s="257">
        <f>SUM(AI224:AI227)</f>
      </c>
    </row>
    <row r="229">
      <c r="A229" s="211"/>
      <c r="B229" s="212" t="s">
        <v>157</v>
      </c>
      <c r="C229" s="235" t="s">
        <v>172</v>
      </c>
      <c r="D229" s="212">
        <v>3507.99</v>
      </c>
      <c r="E229" s="215">
        <v>6</v>
      </c>
      <c r="F229" s="215">
        <v>6</v>
      </c>
      <c r="G229" s="215">
        <v>6</v>
      </c>
      <c r="H229" s="215">
        <v>3366</v>
      </c>
      <c r="I229" s="215"/>
      <c r="J229" s="217">
        <f t="shared" si="281"/>
      </c>
      <c r="K229" s="217">
        <f t="shared" si="341"/>
      </c>
      <c r="L229" s="217">
        <f t="shared" si="160"/>
      </c>
      <c r="M229" s="218">
        <f t="shared" si="221"/>
      </c>
      <c r="N229" s="217">
        <f t="shared" si="70"/>
      </c>
      <c r="O229" s="217">
        <f t="shared" si="100"/>
      </c>
      <c r="P229" s="218">
        <f t="shared" si="371"/>
      </c>
      <c r="Q229" s="218">
        <f t="shared" si="9"/>
      </c>
      <c r="R229" s="218">
        <f t="shared" si="251"/>
      </c>
      <c r="S229" s="218">
        <f t="shared" si="311"/>
      </c>
      <c r="T229" s="219">
        <f t="shared" si="130"/>
      </c>
      <c r="U229" s="220">
        <v>0.0758</v>
      </c>
      <c r="V229" s="221">
        <v>70</v>
      </c>
      <c r="W229" s="217">
        <f t="shared" si="39"/>
      </c>
      <c r="X229" s="221">
        <v>24630</v>
      </c>
      <c r="Y229" s="221">
        <v>350</v>
      </c>
      <c r="Z229" s="219">
        <v>90</v>
      </c>
      <c r="AA229" s="219">
        <v>468</v>
      </c>
      <c r="AB229" s="219">
        <v>77</v>
      </c>
      <c r="AC229" s="219">
        <v>5</v>
      </c>
      <c r="AD229" s="221">
        <v>1</v>
      </c>
      <c r="AE229" s="221">
        <v>43</v>
      </c>
      <c r="AF229" s="217">
        <f t="shared" si="190"/>
      </c>
      <c r="AG229" s="222" t="s">
        <v>173</v>
      </c>
      <c r="AH229" s="223" t="s">
        <v>187</v>
      </c>
      <c r="AI229" s="221">
        <v>26</v>
      </c>
    </row>
    <row r="230">
      <c r="A230" s="211"/>
      <c r="B230" s="212" t="s">
        <v>157</v>
      </c>
      <c r="C230" s="245" t="s">
        <v>175</v>
      </c>
      <c r="D230" s="212">
        <v>3026.76</v>
      </c>
      <c r="E230" s="215">
        <v>7</v>
      </c>
      <c r="F230" s="215">
        <v>4</v>
      </c>
      <c r="G230" s="215">
        <v>2</v>
      </c>
      <c r="H230" s="214">
        <v>1736.3499999999985</v>
      </c>
      <c r="I230" s="214"/>
      <c r="J230" s="217">
        <f t="shared" si="281"/>
      </c>
      <c r="K230" s="217">
        <f t="shared" si="341"/>
      </c>
      <c r="L230" s="217">
        <f t="shared" si="160"/>
      </c>
      <c r="M230" s="218">
        <f t="shared" si="221"/>
      </c>
      <c r="N230" s="217">
        <f t="shared" si="70"/>
      </c>
      <c r="O230" s="217">
        <f t="shared" si="100"/>
      </c>
      <c r="P230" s="218">
        <f t="shared" si="371"/>
      </c>
      <c r="Q230" s="218">
        <f t="shared" si="9"/>
      </c>
      <c r="R230" s="218">
        <f t="shared" si="251"/>
      </c>
      <c r="S230" s="218">
        <f t="shared" si="311"/>
      </c>
      <c r="T230" s="219">
        <f t="shared" si="130"/>
      </c>
      <c r="U230" s="220">
        <v>0.0726</v>
      </c>
      <c r="V230" s="221">
        <v>72</v>
      </c>
      <c r="W230" s="217">
        <f t="shared" si="39"/>
      </c>
      <c r="X230" s="219">
        <v>26009</v>
      </c>
      <c r="Y230" s="219">
        <v>311</v>
      </c>
      <c r="Z230" s="219">
        <v>81</v>
      </c>
      <c r="AA230" s="219">
        <v>408</v>
      </c>
      <c r="AB230" s="219">
        <v>74</v>
      </c>
      <c r="AC230" s="219">
        <v>7</v>
      </c>
      <c r="AD230" s="219">
        <v>1</v>
      </c>
      <c r="AE230" s="221">
        <v>53</v>
      </c>
      <c r="AF230" s="217">
        <f t="shared" si="190"/>
      </c>
      <c r="AG230" s="222" t="s">
        <v>173</v>
      </c>
      <c r="AH230" s="223" t="s">
        <v>187</v>
      </c>
      <c r="AI230" s="221">
        <v>30</v>
      </c>
    </row>
    <row r="231">
      <c r="A231" s="211"/>
      <c r="B231" s="212" t="s">
        <v>157</v>
      </c>
      <c r="C231" s="235" t="s">
        <v>176</v>
      </c>
      <c r="D231" s="212">
        <v>2167.69</v>
      </c>
      <c r="E231" s="215">
        <v>0</v>
      </c>
      <c r="F231" s="215">
        <v>0</v>
      </c>
      <c r="G231" s="215">
        <v>0</v>
      </c>
      <c r="H231" s="214">
        <v>0</v>
      </c>
      <c r="I231" s="214"/>
      <c r="J231" s="217">
        <f t="shared" si="281"/>
      </c>
      <c r="K231" s="217">
        <f t="shared" si="341"/>
      </c>
      <c r="L231" s="217">
        <f t="shared" si="160"/>
      </c>
      <c r="M231" s="218">
        <f t="shared" si="221"/>
      </c>
      <c r="N231" s="217">
        <f t="shared" si="70"/>
      </c>
      <c r="O231" s="217">
        <f t="shared" si="100"/>
      </c>
      <c r="P231" s="218">
        <f t="shared" si="371"/>
      </c>
      <c r="Q231" s="218">
        <f t="shared" si="9"/>
      </c>
      <c r="R231" s="218">
        <f t="shared" si="251"/>
      </c>
      <c r="S231" s="218">
        <f t="shared" si="311"/>
      </c>
      <c r="T231" s="219">
        <f t="shared" si="130"/>
      </c>
      <c r="U231" s="220">
        <v>0.0433</v>
      </c>
      <c r="V231" s="221">
        <v>73</v>
      </c>
      <c r="W231" s="217">
        <f t="shared" si="39"/>
      </c>
      <c r="X231" s="221">
        <v>17245</v>
      </c>
      <c r="Y231" s="221">
        <v>258</v>
      </c>
      <c r="Z231" s="221">
        <v>46</v>
      </c>
      <c r="AA231" s="221">
        <v>333</v>
      </c>
      <c r="AB231" s="221">
        <v>93</v>
      </c>
      <c r="AC231" s="221">
        <v>9</v>
      </c>
      <c r="AD231" s="221">
        <v>1</v>
      </c>
      <c r="AE231" s="221">
        <v>22</v>
      </c>
      <c r="AF231" s="217">
        <f t="shared" si="190"/>
      </c>
      <c r="AG231" s="222" t="s">
        <v>173</v>
      </c>
      <c r="AH231" s="223" t="s">
        <v>187</v>
      </c>
      <c r="AI231" s="221">
        <v>31</v>
      </c>
    </row>
    <row r="232">
      <c r="A232" s="211"/>
      <c r="B232" s="212" t="s">
        <v>157</v>
      </c>
      <c r="C232" s="235" t="s">
        <v>177</v>
      </c>
      <c r="D232" s="212">
        <v>1551.66</v>
      </c>
      <c r="E232" s="215">
        <v>3</v>
      </c>
      <c r="F232" s="215">
        <v>1</v>
      </c>
      <c r="G232" s="215">
        <v>1</v>
      </c>
      <c r="H232" s="214">
        <v>451</v>
      </c>
      <c r="I232" s="214"/>
      <c r="J232" s="217">
        <f t="shared" si="281"/>
      </c>
      <c r="K232" s="217">
        <f t="shared" si="341"/>
      </c>
      <c r="L232" s="217">
        <f t="shared" si="160"/>
      </c>
      <c r="M232" s="218">
        <f t="shared" si="221"/>
      </c>
      <c r="N232" s="217">
        <f t="shared" si="70"/>
      </c>
      <c r="O232" s="217">
        <f t="shared" si="100"/>
      </c>
      <c r="P232" s="218">
        <f t="shared" si="371"/>
      </c>
      <c r="Q232" s="218">
        <f t="shared" si="9"/>
      </c>
      <c r="R232" s="218">
        <f t="shared" si="251"/>
      </c>
      <c r="S232" s="218">
        <f t="shared" si="311"/>
      </c>
      <c r="T232" s="219">
        <f t="shared" si="130"/>
      </c>
      <c r="U232" s="220">
        <v>0.0393</v>
      </c>
      <c r="V232" s="221">
        <v>73</v>
      </c>
      <c r="W232" s="217">
        <f t="shared" si="39"/>
      </c>
      <c r="X232" s="221">
        <v>8776</v>
      </c>
      <c r="Y232" s="221">
        <v>262</v>
      </c>
      <c r="Z232" s="219">
        <v>42</v>
      </c>
      <c r="AA232" s="219">
        <v>383</v>
      </c>
      <c r="AB232" s="219">
        <v>73</v>
      </c>
      <c r="AC232" s="219">
        <v>4</v>
      </c>
      <c r="AD232" s="221">
        <v>0</v>
      </c>
      <c r="AE232" s="221">
        <v>11</v>
      </c>
      <c r="AF232" s="217">
        <f t="shared" si="190"/>
      </c>
      <c r="AG232" s="222" t="s">
        <v>173</v>
      </c>
      <c r="AH232" s="223" t="s">
        <v>187</v>
      </c>
      <c r="AI232" s="221">
        <v>16</v>
      </c>
    </row>
    <row r="233">
      <c r="A233" s="211"/>
      <c r="B233" s="227" t="s">
        <v>165</v>
      </c>
      <c r="C233" s="227"/>
      <c r="D233" s="259">
        <f>SUM(D229:D232)</f>
      </c>
      <c r="E233" s="260">
        <f>SUM(E229:E232)</f>
      </c>
      <c r="F233" s="260">
        <f>SUM(F229:F232)</f>
      </c>
      <c r="G233" s="260">
        <f>SUM(G229:G232)</f>
      </c>
      <c r="H233" s="259">
        <f>SUM(H229:H232)</f>
      </c>
      <c r="I233" s="259"/>
      <c r="J233" s="230">
        <f t="shared" si="281"/>
      </c>
      <c r="K233" s="230">
        <f t="shared" si="341"/>
      </c>
      <c r="L233" s="230">
        <f t="shared" si="160"/>
      </c>
      <c r="M233" s="231">
        <f t="shared" si="221"/>
      </c>
      <c r="N233" s="230">
        <f t="shared" si="70"/>
      </c>
      <c r="O233" s="230">
        <f t="shared" si="100"/>
      </c>
      <c r="P233" s="231">
        <f t="shared" si="371"/>
      </c>
      <c r="Q233" s="231">
        <f t="shared" si="9"/>
      </c>
      <c r="R233" s="231">
        <f t="shared" si="251"/>
      </c>
      <c r="S233" s="231">
        <f t="shared" si="311"/>
      </c>
      <c r="T233" s="229">
        <f t="shared" si="130"/>
      </c>
      <c r="U233" s="231">
        <f>AVERAGE(U229:U232)</f>
      </c>
      <c r="V233" s="228">
        <f>AVERAGE(V229:V232)</f>
      </c>
      <c r="W233" s="230">
        <f t="shared" si="39"/>
      </c>
      <c r="X233" s="229">
        <f>SUM(X229:X232)</f>
      </c>
      <c r="Y233" s="229">
        <f>SUM(Y229:Y232)</f>
      </c>
      <c r="Z233" s="229">
        <f>SUM(Z229:Z232)</f>
      </c>
      <c r="AA233" s="229">
        <f>SUM(AA229:AA232)</f>
      </c>
      <c r="AB233" s="229">
        <f>SUM(AB229:AB232)</f>
      </c>
      <c r="AC233" s="229">
        <f>SUM(AC229:AC232)</f>
      </c>
      <c r="AD233" s="229">
        <f>SUM(AD229:AD232)</f>
      </c>
      <c r="AE233" s="229">
        <f>SUM(AE229:AE232)</f>
      </c>
      <c r="AF233" s="232">
        <f t="shared" si="190"/>
      </c>
      <c r="AG233" s="233"/>
      <c r="AH233" s="233"/>
      <c r="AI233" s="229">
        <f>SUM(AI229:AI232)</f>
      </c>
    </row>
    <row r="234">
      <c r="A234" s="211"/>
      <c r="B234" s="248" t="s">
        <v>186</v>
      </c>
      <c r="C234" s="248" t="s">
        <v>179</v>
      </c>
      <c r="D234" s="261">
        <v>961.03</v>
      </c>
      <c r="E234" s="237">
        <v>1</v>
      </c>
      <c r="F234" s="237">
        <v>1</v>
      </c>
      <c r="G234" s="238">
        <v>1</v>
      </c>
      <c r="H234" s="239">
        <v>451</v>
      </c>
      <c r="I234" s="239"/>
      <c r="J234" s="240">
        <f t="shared" si="281"/>
      </c>
      <c r="K234" s="240">
        <f t="shared" si="341"/>
      </c>
      <c r="L234" s="240">
        <f t="shared" si="160"/>
      </c>
      <c r="M234" s="241">
        <f t="shared" si="221"/>
      </c>
      <c r="N234" s="240">
        <f t="shared" si="70"/>
      </c>
      <c r="O234" s="240">
        <f t="shared" si="100"/>
      </c>
      <c r="P234" s="241">
        <f t="shared" si="371"/>
      </c>
      <c r="Q234" s="241">
        <f t="shared" si="9"/>
      </c>
      <c r="R234" s="241">
        <f t="shared" si="251"/>
      </c>
      <c r="S234" s="241">
        <f t="shared" si="311"/>
      </c>
      <c r="T234" s="242">
        <f t="shared" si="130"/>
      </c>
      <c r="U234" s="243">
        <v>0.0307</v>
      </c>
      <c r="V234" s="244">
        <v>73</v>
      </c>
      <c r="W234" s="240">
        <f t="shared" si="39"/>
      </c>
      <c r="X234" s="242">
        <v>6102</v>
      </c>
      <c r="Y234" s="242">
        <v>273</v>
      </c>
      <c r="Z234" s="242">
        <v>32</v>
      </c>
      <c r="AA234" s="242">
        <v>373</v>
      </c>
      <c r="AB234" s="242">
        <v>47</v>
      </c>
      <c r="AC234" s="242">
        <v>7</v>
      </c>
      <c r="AD234" s="242">
        <v>0</v>
      </c>
      <c r="AE234" s="242">
        <v>8</v>
      </c>
      <c r="AF234" s="240">
        <f t="shared" si="190"/>
      </c>
      <c r="AG234" s="222" t="s">
        <v>173</v>
      </c>
      <c r="AH234" s="223" t="s">
        <v>187</v>
      </c>
      <c r="AI234" s="244">
        <v>18</v>
      </c>
    </row>
    <row r="235">
      <c r="A235" s="211"/>
      <c r="B235" s="248" t="s">
        <v>186</v>
      </c>
      <c r="C235" s="248" t="s">
        <v>180</v>
      </c>
      <c r="D235" s="262">
        <v>1012.77</v>
      </c>
      <c r="E235" s="247">
        <v>2</v>
      </c>
      <c r="F235" s="247">
        <v>2</v>
      </c>
      <c r="G235" s="247">
        <v>2</v>
      </c>
      <c r="H235" s="263">
        <v>902</v>
      </c>
      <c r="I235" s="263"/>
      <c r="J235" s="240">
        <f t="shared" si="281"/>
      </c>
      <c r="K235" s="240">
        <f t="shared" si="341"/>
      </c>
      <c r="L235" s="240">
        <f t="shared" si="160"/>
      </c>
      <c r="M235" s="241">
        <f t="shared" si="221"/>
      </c>
      <c r="N235" s="240">
        <f t="shared" si="70"/>
      </c>
      <c r="O235" s="240">
        <f t="shared" si="100"/>
      </c>
      <c r="P235" s="241">
        <f t="shared" si="371"/>
      </c>
      <c r="Q235" s="241">
        <f t="shared" si="9"/>
      </c>
      <c r="R235" s="241">
        <f t="shared" si="251"/>
      </c>
      <c r="S235" s="241">
        <f t="shared" si="311"/>
      </c>
      <c r="T235" s="242">
        <f t="shared" si="130"/>
      </c>
      <c r="U235" s="243">
        <v>0.047</v>
      </c>
      <c r="V235" s="244">
        <v>74</v>
      </c>
      <c r="W235" s="240">
        <f t="shared" si="39"/>
      </c>
      <c r="X235" s="242">
        <v>5910</v>
      </c>
      <c r="Y235" s="242">
        <v>321</v>
      </c>
      <c r="Z235" s="242">
        <v>46</v>
      </c>
      <c r="AA235" s="242">
        <v>429</v>
      </c>
      <c r="AB235" s="242">
        <v>66</v>
      </c>
      <c r="AC235" s="242">
        <v>8</v>
      </c>
      <c r="AD235" s="242">
        <v>0</v>
      </c>
      <c r="AE235" s="242">
        <v>2</v>
      </c>
      <c r="AF235" s="240">
        <f t="shared" si="190"/>
      </c>
      <c r="AG235" s="222" t="s">
        <v>173</v>
      </c>
      <c r="AH235" s="223" t="s">
        <v>187</v>
      </c>
      <c r="AI235" s="244">
        <v>23</v>
      </c>
    </row>
    <row r="236">
      <c r="A236" s="211"/>
      <c r="B236" s="248" t="s">
        <v>186</v>
      </c>
      <c r="C236" s="248" t="s">
        <v>181</v>
      </c>
      <c r="D236" s="261">
        <v>982.17</v>
      </c>
      <c r="E236" s="247">
        <v>0</v>
      </c>
      <c r="F236" s="247">
        <v>0</v>
      </c>
      <c r="G236" s="247">
        <v>0</v>
      </c>
      <c r="H236" s="236">
        <v>0</v>
      </c>
      <c r="I236" s="236"/>
      <c r="J236" s="240">
        <f t="shared" si="281"/>
      </c>
      <c r="K236" s="240">
        <f t="shared" si="341"/>
      </c>
      <c r="L236" s="240">
        <f t="shared" si="160"/>
      </c>
      <c r="M236" s="241">
        <f t="shared" si="221"/>
      </c>
      <c r="N236" s="240">
        <f t="shared" si="70"/>
      </c>
      <c r="O236" s="240">
        <f t="shared" si="100"/>
      </c>
      <c r="P236" s="241">
        <f t="shared" si="371"/>
      </c>
      <c r="Q236" s="241">
        <f t="shared" si="9"/>
      </c>
      <c r="R236" s="241">
        <f t="shared" si="251"/>
      </c>
      <c r="S236" s="241">
        <f t="shared" si="311"/>
      </c>
      <c r="T236" s="242">
        <f t="shared" si="130"/>
      </c>
      <c r="U236" s="243">
        <v>0.0358</v>
      </c>
      <c r="V236" s="244">
        <v>73</v>
      </c>
      <c r="W236" s="240">
        <f t="shared" si="39"/>
      </c>
      <c r="X236" s="242">
        <v>6066</v>
      </c>
      <c r="Y236" s="242">
        <v>272</v>
      </c>
      <c r="Z236" s="242">
        <v>33</v>
      </c>
      <c r="AA236" s="242">
        <v>388</v>
      </c>
      <c r="AB236" s="242">
        <v>38</v>
      </c>
      <c r="AC236" s="242">
        <v>2</v>
      </c>
      <c r="AD236" s="242">
        <v>1</v>
      </c>
      <c r="AE236" s="242">
        <v>8</v>
      </c>
      <c r="AF236" s="240">
        <f t="shared" si="190"/>
      </c>
      <c r="AG236" s="222" t="s">
        <v>173</v>
      </c>
      <c r="AH236" s="223" t="s">
        <v>187</v>
      </c>
      <c r="AI236" s="244">
        <v>10</v>
      </c>
    </row>
    <row r="237">
      <c r="A237" s="211"/>
      <c r="B237" s="248" t="s">
        <v>186</v>
      </c>
      <c r="C237" s="248" t="s">
        <v>182</v>
      </c>
      <c r="D237" s="261">
        <v>401.68</v>
      </c>
      <c r="E237" s="238">
        <v>1</v>
      </c>
      <c r="F237" s="238">
        <v>1</v>
      </c>
      <c r="G237" s="238">
        <v>1</v>
      </c>
      <c r="H237" s="261">
        <v>856.9000000000015</v>
      </c>
      <c r="I237" s="261"/>
      <c r="J237" s="240">
        <f t="shared" si="281"/>
      </c>
      <c r="K237" s="240">
        <f t="shared" si="341"/>
      </c>
      <c r="L237" s="240">
        <f t="shared" si="160"/>
      </c>
      <c r="M237" s="241">
        <f t="shared" si="221"/>
      </c>
      <c r="N237" s="240">
        <f t="shared" si="70"/>
      </c>
      <c r="O237" s="240">
        <f t="shared" si="100"/>
      </c>
      <c r="P237" s="241">
        <f t="shared" si="371"/>
      </c>
      <c r="Q237" s="241">
        <f t="shared" si="9"/>
      </c>
      <c r="R237" s="241">
        <f t="shared" si="251"/>
      </c>
      <c r="S237" s="241">
        <f t="shared" si="311"/>
      </c>
      <c r="T237" s="242">
        <f t="shared" si="130"/>
      </c>
      <c r="U237" s="243">
        <v>0.0328</v>
      </c>
      <c r="V237" s="244">
        <v>73</v>
      </c>
      <c r="W237" s="240">
        <f t="shared" si="39"/>
      </c>
      <c r="X237" s="242">
        <v>2999</v>
      </c>
      <c r="Y237" s="242">
        <v>155</v>
      </c>
      <c r="Z237" s="242">
        <v>15</v>
      </c>
      <c r="AA237" s="242">
        <v>234</v>
      </c>
      <c r="AB237" s="242">
        <v>32</v>
      </c>
      <c r="AC237" s="242">
        <v>3</v>
      </c>
      <c r="AD237" s="242">
        <v>0</v>
      </c>
      <c r="AE237" s="244">
        <v>4</v>
      </c>
      <c r="AF237" s="240">
        <f t="shared" si="190"/>
      </c>
      <c r="AG237" s="222" t="s">
        <v>173</v>
      </c>
      <c r="AH237" s="223" t="s">
        <v>187</v>
      </c>
      <c r="AI237" s="244">
        <v>9</v>
      </c>
    </row>
    <row r="238">
      <c r="A238" s="211"/>
      <c r="B238" s="249" t="s">
        <v>165</v>
      </c>
      <c r="C238" s="249"/>
      <c r="D238" s="250">
        <f>SUM(D234:D237)</f>
      </c>
      <c r="E238" s="251">
        <f>SUM(E234:E237)</f>
      </c>
      <c r="F238" s="251">
        <f>SUM(F234:F237)</f>
      </c>
      <c r="G238" s="251">
        <f>SUM(G234:G237)</f>
      </c>
      <c r="H238" s="250">
        <f>SUM(H234:H237)</f>
      </c>
      <c r="I238" s="250"/>
      <c r="J238" s="252">
        <f t="shared" si="281"/>
      </c>
      <c r="K238" s="252">
        <f t="shared" si="341"/>
      </c>
      <c r="L238" s="252">
        <f t="shared" si="160"/>
      </c>
      <c r="M238" s="253">
        <f t="shared" si="221"/>
      </c>
      <c r="N238" s="252">
        <f t="shared" si="70"/>
      </c>
      <c r="O238" s="252">
        <f t="shared" si="100"/>
      </c>
      <c r="P238" s="253">
        <f t="shared" si="371"/>
      </c>
      <c r="Q238" s="253">
        <f t="shared" si="9"/>
      </c>
      <c r="R238" s="253">
        <f t="shared" si="251"/>
      </c>
      <c r="S238" s="253">
        <f t="shared" si="311"/>
      </c>
      <c r="T238" s="254">
        <f t="shared" si="130"/>
      </c>
      <c r="U238" s="253">
        <f>AVERAGE(U234:U237)</f>
      </c>
      <c r="V238" s="250">
        <f>AVERAGE(V234:V237)</f>
      </c>
      <c r="W238" s="252">
        <f t="shared" si="39"/>
      </c>
      <c r="X238" s="254">
        <f>SUM(X234:X237)</f>
      </c>
      <c r="Y238" s="254">
        <f>SUM(Y234:Y237)</f>
      </c>
      <c r="Z238" s="254">
        <f>SUM(Z234:Z237)</f>
      </c>
      <c r="AA238" s="254">
        <f>SUM(AA234:AA237)</f>
      </c>
      <c r="AB238" s="254">
        <f>SUM(AB234:AB237)</f>
      </c>
      <c r="AC238" s="254">
        <f>SUM(AC234:AC237)</f>
      </c>
      <c r="AD238" s="254">
        <f>SUM(AD234:AD237)</f>
      </c>
      <c r="AE238" s="254">
        <f>SUM(AE234:AE237)</f>
      </c>
      <c r="AF238" s="255">
        <f t="shared" si="190"/>
      </c>
      <c r="AG238" s="256"/>
      <c r="AH238" s="256"/>
      <c r="AI238" s="257">
        <f>SUM(AI234:AI237)</f>
      </c>
    </row>
    <row r="239">
      <c r="A239" s="211"/>
      <c r="B239" s="264" t="s">
        <v>183</v>
      </c>
      <c r="C239" s="264"/>
      <c r="D239" s="265">
        <f>D223+D228+D233+D238</f>
      </c>
      <c r="E239" s="265">
        <f>E223+E228+E233+E238</f>
      </c>
      <c r="F239" s="265">
        <f>F223+F228+F233+F238</f>
      </c>
      <c r="G239" s="265">
        <f>G223+G228+G233+G238</f>
      </c>
      <c r="H239" s="265">
        <f>H223+H228+H233+H238</f>
      </c>
      <c r="I239" s="265"/>
      <c r="J239" s="266">
        <f t="shared" si="281"/>
      </c>
      <c r="K239" s="267">
        <f t="shared" si="341"/>
      </c>
      <c r="L239" s="267">
        <f t="shared" si="160"/>
      </c>
      <c r="M239" s="268">
        <f t="shared" si="221"/>
      </c>
      <c r="N239" s="267">
        <f t="shared" si="70"/>
      </c>
      <c r="O239" s="267">
        <f t="shared" si="100"/>
      </c>
      <c r="P239" s="268">
        <f t="shared" si="371"/>
      </c>
      <c r="Q239" s="268">
        <f t="shared" si="9"/>
      </c>
      <c r="R239" s="268">
        <f t="shared" si="251"/>
      </c>
      <c r="S239" s="268">
        <f t="shared" si="311"/>
      </c>
      <c r="T239" s="269">
        <f t="shared" si="130"/>
      </c>
      <c r="U239" s="268">
        <f>(U223+U233+U228+U238)/4</f>
      </c>
      <c r="V239" s="267">
        <f>(V223+V233+V228+V238)/4</f>
      </c>
      <c r="W239" s="270">
        <f t="shared" si="39"/>
      </c>
      <c r="X239" s="269">
        <f>X223+X228+X233+X238</f>
      </c>
      <c r="Y239" s="269">
        <f>Y223+Y228+Y233+Y238</f>
      </c>
      <c r="Z239" s="269">
        <f>Z223+Z228+Z233+Z238</f>
      </c>
      <c r="AA239" s="269">
        <f>AA223+AA228+AA233+AA238</f>
      </c>
      <c r="AB239" s="269">
        <f>AB223+AB228+AB233+AB238</f>
      </c>
      <c r="AC239" s="269">
        <f>AC223+AC228+AC233+AC238</f>
      </c>
      <c r="AD239" s="269">
        <f>AD223+AD228+AD233+AD238</f>
      </c>
      <c r="AE239" s="269">
        <f>AE223+AE228+AE233+AE238</f>
      </c>
      <c r="AF239" s="267">
        <f>AF223</f>
      </c>
      <c r="AG239" s="264"/>
      <c r="AH239" s="264"/>
      <c r="AI239" s="269">
        <f>AI223+AI228+AI233+AI238</f>
      </c>
    </row>
    <row r="240">
      <c r="A240" s="193" t="s">
        <v>120</v>
      </c>
      <c r="B240" s="194" t="s">
        <v>121</v>
      </c>
      <c r="C240" s="194"/>
      <c r="D240" s="195" t="s">
        <v>122</v>
      </c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6" t="s">
        <v>123</v>
      </c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7"/>
    </row>
    <row r="241">
      <c r="A241" s="193"/>
      <c r="B241" s="194" t="s">
        <v>124</v>
      </c>
      <c r="C241" s="198" t="s">
        <v>125</v>
      </c>
      <c r="D241" s="199" t="s">
        <v>126</v>
      </c>
      <c r="E241" s="200" t="s">
        <v>127</v>
      </c>
      <c r="F241" s="201" t="s">
        <v>128</v>
      </c>
      <c r="G241" s="201" t="s">
        <v>129</v>
      </c>
      <c r="H241" s="199" t="s">
        <v>130</v>
      </c>
      <c r="I241" s="199"/>
      <c r="J241" s="202" t="s">
        <v>131</v>
      </c>
      <c r="K241" s="202" t="s">
        <v>132</v>
      </c>
      <c r="L241" s="202" t="s">
        <v>133</v>
      </c>
      <c r="M241" s="203" t="s">
        <v>134</v>
      </c>
      <c r="N241" s="202" t="s">
        <v>135</v>
      </c>
      <c r="O241" s="204" t="s">
        <v>136</v>
      </c>
      <c r="P241" s="205" t="s">
        <v>137</v>
      </c>
      <c r="Q241" s="205" t="s">
        <v>138</v>
      </c>
      <c r="R241" s="205" t="s">
        <v>139</v>
      </c>
      <c r="S241" s="205" t="s">
        <v>140</v>
      </c>
      <c r="T241" s="206" t="s">
        <v>141</v>
      </c>
      <c r="U241" s="207" t="s">
        <v>142</v>
      </c>
      <c r="V241" s="208" t="s">
        <v>143</v>
      </c>
      <c r="W241" s="196" t="s">
        <v>144</v>
      </c>
      <c r="X241" s="209" t="s">
        <v>145</v>
      </c>
      <c r="Y241" s="209" t="s">
        <v>146</v>
      </c>
      <c r="Z241" s="209" t="s">
        <v>147</v>
      </c>
      <c r="AA241" s="209" t="s">
        <v>148</v>
      </c>
      <c r="AB241" s="209" t="s">
        <v>149</v>
      </c>
      <c r="AC241" s="209" t="s">
        <v>150</v>
      </c>
      <c r="AD241" s="209" t="s">
        <v>151</v>
      </c>
      <c r="AE241" s="209" t="s">
        <v>152</v>
      </c>
      <c r="AF241" s="196" t="s">
        <v>153</v>
      </c>
      <c r="AG241" s="210" t="s">
        <v>154</v>
      </c>
      <c r="AH241" s="210" t="s">
        <v>155</v>
      </c>
      <c r="AI241" s="197" t="s">
        <v>156</v>
      </c>
    </row>
    <row r="242">
      <c r="A242" s="211">
        <v>46184</v>
      </c>
      <c r="B242" s="212" t="s">
        <v>166</v>
      </c>
      <c r="C242" s="213" t="s">
        <v>158</v>
      </c>
      <c r="D242" s="214">
        <v>1840.09</v>
      </c>
      <c r="E242" s="215">
        <v>4</v>
      </c>
      <c r="F242" s="215">
        <v>2</v>
      </c>
      <c r="G242" s="215">
        <v>2</v>
      </c>
      <c r="H242" s="214">
        <v>902</v>
      </c>
      <c r="I242" s="214"/>
      <c r="J242" s="216">
        <f t="shared" ref="J242:J263" si="282">H242/D242</f>
      </c>
      <c r="K242" s="217">
        <f t="shared" ref="K242:K263" si="342">D242/F242</f>
      </c>
      <c r="L242" s="217">
        <f t="shared" ref="L242:L263" si="161">D242/G242</f>
      </c>
      <c r="M242" s="218">
        <f t="shared" ref="M242:M263" si="222">F242/E242</f>
      </c>
      <c r="N242" s="217">
        <f t="shared" ref="N242:N263" si="71">H242/F242</f>
      </c>
      <c r="O242" s="217">
        <f t="shared" ref="O242:O263" si="101">D242/Y242</f>
      </c>
      <c r="P242" s="218">
        <f t="shared" ref="P242:P263" si="372">T242/X242*1</f>
      </c>
      <c r="Q242" s="218">
        <f t="shared" ref="Q242:Q263" si="10">Y242/X242</f>
      </c>
      <c r="R242" s="218">
        <f t="shared" ref="R242:R263" si="252">AA242/X242</f>
      </c>
      <c r="S242" s="218">
        <f t="shared" ref="S242:S263" si="312">AB242/AA242</f>
      </c>
      <c r="T242" s="219">
        <f t="shared" ref="T242:T263" si="131">Z242/U242</f>
      </c>
      <c r="U242" s="220">
        <v>0.0416</v>
      </c>
      <c r="V242" s="221">
        <v>49</v>
      </c>
      <c r="W242" s="217">
        <f t="shared" ref="W242:W263" si="40">(D242/X242)*1000</f>
      </c>
      <c r="X242" s="221">
        <v>8971</v>
      </c>
      <c r="Y242" s="221">
        <v>266</v>
      </c>
      <c r="Z242" s="219">
        <v>48</v>
      </c>
      <c r="AA242" s="219">
        <v>463</v>
      </c>
      <c r="AB242" s="219">
        <v>27</v>
      </c>
      <c r="AC242" s="219">
        <v>3</v>
      </c>
      <c r="AD242" s="221">
        <v>2</v>
      </c>
      <c r="AE242" s="221">
        <v>8</v>
      </c>
      <c r="AF242" s="217">
        <f t="shared" ref="AF242:AF262" si="191">AI242*1000/D242</f>
      </c>
      <c r="AG242" s="222" t="s">
        <v>159</v>
      </c>
      <c r="AH242" s="223" t="s">
        <v>184</v>
      </c>
      <c r="AI242" s="221">
        <v>24</v>
      </c>
    </row>
    <row r="243">
      <c r="A243" s="211"/>
      <c r="B243" s="212" t="s">
        <v>166</v>
      </c>
      <c r="C243" s="213" t="s">
        <v>161</v>
      </c>
      <c r="D243" s="214">
        <v>2479.74</v>
      </c>
      <c r="E243" s="215">
        <v>10</v>
      </c>
      <c r="F243" s="215">
        <v>8</v>
      </c>
      <c r="G243" s="215">
        <v>8</v>
      </c>
      <c r="H243" s="214">
        <v>5630.9</v>
      </c>
      <c r="I243" s="214"/>
      <c r="J243" s="216">
        <f t="shared" si="282"/>
      </c>
      <c r="K243" s="217">
        <f t="shared" si="342"/>
      </c>
      <c r="L243" s="217">
        <f t="shared" si="161"/>
      </c>
      <c r="M243" s="218">
        <f t="shared" si="222"/>
      </c>
      <c r="N243" s="217">
        <f t="shared" si="71"/>
      </c>
      <c r="O243" s="217">
        <f t="shared" si="101"/>
      </c>
      <c r="P243" s="218">
        <f t="shared" si="372"/>
      </c>
      <c r="Q243" s="218">
        <f t="shared" si="10"/>
      </c>
      <c r="R243" s="218">
        <f t="shared" si="252"/>
      </c>
      <c r="S243" s="218">
        <f t="shared" si="312"/>
      </c>
      <c r="T243" s="219">
        <f t="shared" si="131"/>
      </c>
      <c r="U243" s="220">
        <v>0.0773</v>
      </c>
      <c r="V243" s="221">
        <v>56</v>
      </c>
      <c r="W243" s="217">
        <f t="shared" si="40"/>
      </c>
      <c r="X243" s="221">
        <v>13576</v>
      </c>
      <c r="Y243" s="221">
        <v>311</v>
      </c>
      <c r="Z243" s="219">
        <v>72</v>
      </c>
      <c r="AA243" s="219">
        <v>509</v>
      </c>
      <c r="AB243" s="221">
        <v>45</v>
      </c>
      <c r="AC243" s="219">
        <v>7</v>
      </c>
      <c r="AD243" s="221">
        <v>0</v>
      </c>
      <c r="AE243" s="221">
        <v>18</v>
      </c>
      <c r="AF243" s="217">
        <f t="shared" si="191"/>
      </c>
      <c r="AG243" s="222" t="s">
        <v>159</v>
      </c>
      <c r="AH243" s="223" t="s">
        <v>184</v>
      </c>
      <c r="AI243" s="221">
        <v>19</v>
      </c>
    </row>
    <row r="244">
      <c r="A244" s="211"/>
      <c r="B244" s="212" t="s">
        <v>166</v>
      </c>
      <c r="C244" s="224" t="s">
        <v>162</v>
      </c>
      <c r="D244" s="214">
        <v>3274.1</v>
      </c>
      <c r="E244" s="215">
        <v>9</v>
      </c>
      <c r="F244" s="215">
        <v>9</v>
      </c>
      <c r="G244" s="215">
        <v>8</v>
      </c>
      <c r="H244" s="214">
        <v>6202.9000000000015</v>
      </c>
      <c r="I244" s="214"/>
      <c r="J244" s="216">
        <f t="shared" si="282"/>
      </c>
      <c r="K244" s="217">
        <f t="shared" si="342"/>
      </c>
      <c r="L244" s="217">
        <f t="shared" si="161"/>
      </c>
      <c r="M244" s="218">
        <f t="shared" si="222"/>
      </c>
      <c r="N244" s="217">
        <f t="shared" si="71"/>
      </c>
      <c r="O244" s="217">
        <f t="shared" si="101"/>
      </c>
      <c r="P244" s="218">
        <f t="shared" si="372"/>
      </c>
      <c r="Q244" s="218">
        <f t="shared" si="10"/>
      </c>
      <c r="R244" s="218">
        <f t="shared" si="252"/>
      </c>
      <c r="S244" s="218">
        <f t="shared" si="312"/>
      </c>
      <c r="T244" s="219">
        <f t="shared" si="131"/>
      </c>
      <c r="U244" s="220">
        <v>0.0812</v>
      </c>
      <c r="V244" s="221">
        <v>64</v>
      </c>
      <c r="W244" s="217">
        <f t="shared" si="40"/>
      </c>
      <c r="X244" s="221">
        <v>25949</v>
      </c>
      <c r="Y244" s="221">
        <v>313</v>
      </c>
      <c r="Z244" s="219">
        <v>69</v>
      </c>
      <c r="AA244" s="219">
        <v>469</v>
      </c>
      <c r="AB244" s="221">
        <v>65</v>
      </c>
      <c r="AC244" s="219">
        <v>6</v>
      </c>
      <c r="AD244" s="221">
        <v>1</v>
      </c>
      <c r="AE244" s="221">
        <v>48</v>
      </c>
      <c r="AF244" s="217">
        <f t="shared" si="191"/>
      </c>
      <c r="AG244" s="222" t="s">
        <v>159</v>
      </c>
      <c r="AH244" s="223" t="s">
        <v>184</v>
      </c>
      <c r="AI244" s="221">
        <v>26</v>
      </c>
    </row>
    <row r="245">
      <c r="A245" s="211"/>
      <c r="B245" s="212" t="s">
        <v>166</v>
      </c>
      <c r="C245" s="213" t="s">
        <v>163</v>
      </c>
      <c r="D245" s="214">
        <v>2410.4</v>
      </c>
      <c r="E245" s="215">
        <v>4</v>
      </c>
      <c r="F245" s="215">
        <v>3</v>
      </c>
      <c r="G245" s="215">
        <v>3</v>
      </c>
      <c r="H245" s="214">
        <v>1683</v>
      </c>
      <c r="I245" s="214"/>
      <c r="J245" s="216">
        <f t="shared" si="282"/>
      </c>
      <c r="K245" s="217">
        <f t="shared" si="342"/>
      </c>
      <c r="L245" s="217">
        <f t="shared" si="161"/>
      </c>
      <c r="M245" s="218">
        <f t="shared" si="222"/>
      </c>
      <c r="N245" s="217">
        <f t="shared" si="71"/>
      </c>
      <c r="O245" s="217">
        <f t="shared" si="101"/>
      </c>
      <c r="P245" s="218">
        <f t="shared" si="372"/>
      </c>
      <c r="Q245" s="218">
        <f t="shared" si="10"/>
      </c>
      <c r="R245" s="218">
        <f t="shared" si="252"/>
      </c>
      <c r="S245" s="218">
        <f t="shared" si="312"/>
      </c>
      <c r="T245" s="219">
        <f t="shared" si="131"/>
      </c>
      <c r="U245" s="220">
        <v>0.0591</v>
      </c>
      <c r="V245" s="221">
        <v>66</v>
      </c>
      <c r="W245" s="217">
        <f t="shared" si="40"/>
      </c>
      <c r="X245" s="221">
        <v>22584</v>
      </c>
      <c r="Y245" s="221">
        <v>321</v>
      </c>
      <c r="Z245" s="221">
        <v>64</v>
      </c>
      <c r="AA245" s="221">
        <v>443</v>
      </c>
      <c r="AB245" s="221">
        <v>77</v>
      </c>
      <c r="AC245" s="221">
        <v>6</v>
      </c>
      <c r="AD245" s="221">
        <v>2</v>
      </c>
      <c r="AE245" s="221">
        <v>40</v>
      </c>
      <c r="AF245" s="217">
        <f t="shared" si="191"/>
      </c>
      <c r="AG245" s="222" t="s">
        <v>159</v>
      </c>
      <c r="AH245" s="223" t="s">
        <v>184</v>
      </c>
      <c r="AI245" s="221">
        <v>26</v>
      </c>
    </row>
    <row r="246">
      <c r="A246" s="211"/>
      <c r="B246" s="212" t="s">
        <v>166</v>
      </c>
      <c r="C246" s="212" t="s">
        <v>164</v>
      </c>
      <c r="D246" s="225">
        <v>2531.33</v>
      </c>
      <c r="E246" s="226">
        <v>11</v>
      </c>
      <c r="F246" s="226">
        <v>10</v>
      </c>
      <c r="G246" s="226">
        <v>7</v>
      </c>
      <c r="H246" s="225">
        <v>5553.35</v>
      </c>
      <c r="I246" s="225"/>
      <c r="J246" s="217">
        <f t="shared" si="282"/>
      </c>
      <c r="K246" s="217">
        <f t="shared" si="342"/>
      </c>
      <c r="L246" s="217">
        <f t="shared" si="161"/>
      </c>
      <c r="M246" s="218">
        <f t="shared" si="222"/>
      </c>
      <c r="N246" s="217">
        <f t="shared" si="71"/>
      </c>
      <c r="O246" s="217">
        <f t="shared" si="101"/>
      </c>
      <c r="P246" s="218">
        <f t="shared" si="372"/>
      </c>
      <c r="Q246" s="218">
        <f t="shared" si="10"/>
      </c>
      <c r="R246" s="218">
        <f t="shared" si="252"/>
      </c>
      <c r="S246" s="218">
        <f t="shared" si="312"/>
      </c>
      <c r="T246" s="219">
        <f t="shared" si="131"/>
      </c>
      <c r="U246" s="220">
        <v>0.0491</v>
      </c>
      <c r="V246" s="221">
        <v>69</v>
      </c>
      <c r="W246" s="217">
        <f t="shared" si="40"/>
      </c>
      <c r="X246" s="219">
        <v>17272</v>
      </c>
      <c r="Y246" s="219">
        <v>290</v>
      </c>
      <c r="Z246" s="219">
        <v>62</v>
      </c>
      <c r="AA246" s="219">
        <v>358</v>
      </c>
      <c r="AB246" s="219">
        <v>44</v>
      </c>
      <c r="AC246" s="219">
        <v>7</v>
      </c>
      <c r="AD246" s="219">
        <v>2</v>
      </c>
      <c r="AE246" s="221">
        <v>20</v>
      </c>
      <c r="AF246" s="217">
        <f t="shared" si="191"/>
      </c>
      <c r="AG246" s="222" t="s">
        <v>159</v>
      </c>
      <c r="AH246" s="223" t="s">
        <v>184</v>
      </c>
      <c r="AI246" s="221">
        <v>25</v>
      </c>
    </row>
    <row r="247">
      <c r="A247" s="211"/>
      <c r="B247" s="227" t="s">
        <v>165</v>
      </c>
      <c r="C247" s="227"/>
      <c r="D247" s="228">
        <f>SUM(D242:D246)</f>
      </c>
      <c r="E247" s="229">
        <f>SUM(E242:E246)</f>
      </c>
      <c r="F247" s="229">
        <f>SUM(F242:F246)</f>
      </c>
      <c r="G247" s="229">
        <f>SUM(G242:G246)</f>
      </c>
      <c r="H247" s="228">
        <f>SUM(H242:H246)</f>
      </c>
      <c r="I247" s="228"/>
      <c r="J247" s="230">
        <f t="shared" si="282"/>
      </c>
      <c r="K247" s="230">
        <f t="shared" si="342"/>
      </c>
      <c r="L247" s="230">
        <f t="shared" si="161"/>
      </c>
      <c r="M247" s="231">
        <f t="shared" si="222"/>
      </c>
      <c r="N247" s="230">
        <f t="shared" si="71"/>
      </c>
      <c r="O247" s="230">
        <f t="shared" si="101"/>
      </c>
      <c r="P247" s="231">
        <f t="shared" si="372"/>
      </c>
      <c r="Q247" s="231">
        <f t="shared" si="10"/>
      </c>
      <c r="R247" s="231">
        <f t="shared" si="252"/>
      </c>
      <c r="S247" s="231">
        <f t="shared" si="312"/>
      </c>
      <c r="T247" s="229">
        <f t="shared" si="131"/>
      </c>
      <c r="U247" s="231">
        <f>AVERAGE(U242:U246)</f>
      </c>
      <c r="V247" s="228">
        <f>AVERAGE(V242:V246)</f>
      </c>
      <c r="W247" s="230">
        <f t="shared" si="40"/>
      </c>
      <c r="X247" s="229">
        <f>SUM(X242:X246)</f>
      </c>
      <c r="Y247" s="229">
        <f>SUM(Y242:Y246)</f>
      </c>
      <c r="Z247" s="229">
        <f>SUM(Z242:Z246)</f>
      </c>
      <c r="AA247" s="229">
        <f>SUM(AA242:AA246)</f>
      </c>
      <c r="AB247" s="229">
        <f>SUM(AB242:AB246)</f>
      </c>
      <c r="AC247" s="229">
        <f>SUM(AC242:AC246)</f>
      </c>
      <c r="AD247" s="229">
        <f>SUM(AD242:AD246)</f>
      </c>
      <c r="AE247" s="229">
        <f>SUM(AE242:AE246)</f>
      </c>
      <c r="AF247" s="232">
        <f t="shared" si="191"/>
      </c>
      <c r="AG247" s="233"/>
      <c r="AH247" s="233"/>
      <c r="AI247" s="234">
        <f>SUM(AI242:AI246)</f>
      </c>
    </row>
    <row r="248">
      <c r="A248" s="211"/>
      <c r="B248" s="212" t="s">
        <v>178</v>
      </c>
      <c r="C248" s="235" t="s">
        <v>167</v>
      </c>
      <c r="D248" s="236">
        <v>2900.93</v>
      </c>
      <c r="E248" s="237">
        <v>6</v>
      </c>
      <c r="F248" s="237">
        <v>4</v>
      </c>
      <c r="G248" s="238">
        <v>4</v>
      </c>
      <c r="H248" s="239">
        <v>1804</v>
      </c>
      <c r="I248" s="239"/>
      <c r="J248" s="240">
        <f t="shared" si="282"/>
      </c>
      <c r="K248" s="240">
        <f t="shared" si="342"/>
      </c>
      <c r="L248" s="240">
        <f t="shared" si="161"/>
      </c>
      <c r="M248" s="241">
        <f t="shared" si="222"/>
      </c>
      <c r="N248" s="240">
        <f t="shared" si="71"/>
      </c>
      <c r="O248" s="240">
        <f t="shared" si="101"/>
      </c>
      <c r="P248" s="241">
        <f t="shared" si="372"/>
      </c>
      <c r="Q248" s="241">
        <f t="shared" si="10"/>
      </c>
      <c r="R248" s="241">
        <f t="shared" si="252"/>
      </c>
      <c r="S248" s="241">
        <f t="shared" si="312"/>
      </c>
      <c r="T248" s="242">
        <f t="shared" si="131"/>
      </c>
      <c r="U248" s="243">
        <v>0.0438</v>
      </c>
      <c r="V248" s="244">
        <v>70</v>
      </c>
      <c r="W248" s="240">
        <f t="shared" si="40"/>
      </c>
      <c r="X248" s="242">
        <v>22709</v>
      </c>
      <c r="Y248" s="242">
        <v>457</v>
      </c>
      <c r="Z248" s="242">
        <v>87</v>
      </c>
      <c r="AA248" s="242">
        <v>546</v>
      </c>
      <c r="AB248" s="242">
        <v>94</v>
      </c>
      <c r="AC248" s="242">
        <v>8</v>
      </c>
      <c r="AD248" s="242">
        <v>2</v>
      </c>
      <c r="AE248" s="242">
        <v>38</v>
      </c>
      <c r="AF248" s="240">
        <f t="shared" si="191"/>
      </c>
      <c r="AG248" s="222" t="s">
        <v>159</v>
      </c>
      <c r="AH248" s="223" t="s">
        <v>184</v>
      </c>
      <c r="AI248" s="244">
        <v>20</v>
      </c>
    </row>
    <row r="249">
      <c r="A249" s="211"/>
      <c r="B249" s="212" t="s">
        <v>178</v>
      </c>
      <c r="C249" s="245" t="s">
        <v>168</v>
      </c>
      <c r="D249" s="246">
        <v>2661.45</v>
      </c>
      <c r="E249" s="247">
        <v>4</v>
      </c>
      <c r="F249" s="247">
        <v>2</v>
      </c>
      <c r="G249" s="247">
        <v>1</v>
      </c>
      <c r="H249" s="239">
        <v>1307.9000000000015</v>
      </c>
      <c r="I249" s="239"/>
      <c r="J249" s="240">
        <f t="shared" si="282"/>
      </c>
      <c r="K249" s="240">
        <f t="shared" si="342"/>
      </c>
      <c r="L249" s="240">
        <f t="shared" si="161"/>
      </c>
      <c r="M249" s="241">
        <f t="shared" si="222"/>
      </c>
      <c r="N249" s="240">
        <f t="shared" si="71"/>
      </c>
      <c r="O249" s="240">
        <f t="shared" si="101"/>
      </c>
      <c r="P249" s="241">
        <f t="shared" si="372"/>
      </c>
      <c r="Q249" s="241">
        <f t="shared" si="10"/>
      </c>
      <c r="R249" s="241">
        <f t="shared" si="252"/>
      </c>
      <c r="S249" s="241">
        <f t="shared" si="312"/>
      </c>
      <c r="T249" s="242">
        <f t="shared" si="131"/>
      </c>
      <c r="U249" s="243">
        <v>0.0361</v>
      </c>
      <c r="V249" s="244">
        <v>81</v>
      </c>
      <c r="W249" s="240">
        <f t="shared" si="40"/>
      </c>
      <c r="X249" s="242">
        <v>21049</v>
      </c>
      <c r="Y249" s="242">
        <v>386</v>
      </c>
      <c r="Z249" s="242">
        <v>64</v>
      </c>
      <c r="AA249" s="242">
        <v>476</v>
      </c>
      <c r="AB249" s="242">
        <v>63</v>
      </c>
      <c r="AC249" s="242">
        <v>9</v>
      </c>
      <c r="AD249" s="242">
        <v>2</v>
      </c>
      <c r="AE249" s="242">
        <v>28</v>
      </c>
      <c r="AF249" s="240">
        <f t="shared" si="191"/>
      </c>
      <c r="AG249" s="222" t="s">
        <v>159</v>
      </c>
      <c r="AH249" s="223" t="s">
        <v>184</v>
      </c>
      <c r="AI249" s="244">
        <v>24</v>
      </c>
    </row>
    <row r="250">
      <c r="A250" s="211"/>
      <c r="B250" s="212" t="s">
        <v>178</v>
      </c>
      <c r="C250" s="235" t="s">
        <v>169</v>
      </c>
      <c r="D250" s="236">
        <v>1901.58</v>
      </c>
      <c r="E250" s="247">
        <v>5</v>
      </c>
      <c r="F250" s="247">
        <v>4</v>
      </c>
      <c r="G250" s="247">
        <v>4</v>
      </c>
      <c r="H250" s="236">
        <v>1803.9999999999964</v>
      </c>
      <c r="I250" s="236"/>
      <c r="J250" s="240">
        <f t="shared" si="282"/>
      </c>
      <c r="K250" s="240">
        <f t="shared" si="342"/>
      </c>
      <c r="L250" s="240">
        <f t="shared" si="161"/>
      </c>
      <c r="M250" s="241">
        <f t="shared" si="222"/>
      </c>
      <c r="N250" s="240">
        <f t="shared" si="71"/>
      </c>
      <c r="O250" s="240">
        <f t="shared" si="101"/>
      </c>
      <c r="P250" s="241">
        <f t="shared" si="372"/>
      </c>
      <c r="Q250" s="241">
        <f t="shared" si="10"/>
      </c>
      <c r="R250" s="241">
        <f t="shared" si="252"/>
      </c>
      <c r="S250" s="241">
        <f t="shared" si="312"/>
      </c>
      <c r="T250" s="242">
        <f t="shared" si="131"/>
      </c>
      <c r="U250" s="243">
        <v>0.05</v>
      </c>
      <c r="V250" s="244">
        <v>73</v>
      </c>
      <c r="W250" s="240">
        <f t="shared" si="40"/>
      </c>
      <c r="X250" s="242">
        <v>15546</v>
      </c>
      <c r="Y250" s="242">
        <v>341</v>
      </c>
      <c r="Z250" s="242">
        <v>54</v>
      </c>
      <c r="AA250" s="242">
        <v>432</v>
      </c>
      <c r="AB250" s="242">
        <v>49</v>
      </c>
      <c r="AC250" s="242">
        <v>2</v>
      </c>
      <c r="AD250" s="242">
        <v>3</v>
      </c>
      <c r="AE250" s="244">
        <v>24</v>
      </c>
      <c r="AF250" s="240">
        <f t="shared" si="191"/>
      </c>
      <c r="AG250" s="222" t="s">
        <v>159</v>
      </c>
      <c r="AH250" s="223" t="s">
        <v>184</v>
      </c>
      <c r="AI250" s="244">
        <v>20</v>
      </c>
    </row>
    <row r="251">
      <c r="A251" s="211"/>
      <c r="B251" s="212" t="s">
        <v>178</v>
      </c>
      <c r="C251" s="248" t="s">
        <v>170</v>
      </c>
      <c r="D251" s="236">
        <v>724</v>
      </c>
      <c r="E251" s="238">
        <v>1</v>
      </c>
      <c r="F251" s="238">
        <v>0</v>
      </c>
      <c r="G251" s="238">
        <v>0</v>
      </c>
      <c r="H251" s="236">
        <v>0</v>
      </c>
      <c r="I251" s="236"/>
      <c r="J251" s="240">
        <f t="shared" si="282"/>
      </c>
      <c r="K251" s="240">
        <f t="shared" si="342"/>
      </c>
      <c r="L251" s="240">
        <f t="shared" si="161"/>
      </c>
      <c r="M251" s="241">
        <f t="shared" si="222"/>
      </c>
      <c r="N251" s="240">
        <f t="shared" si="71"/>
      </c>
      <c r="O251" s="240">
        <f t="shared" si="101"/>
      </c>
      <c r="P251" s="241">
        <f t="shared" si="372"/>
      </c>
      <c r="Q251" s="241">
        <f t="shared" si="10"/>
      </c>
      <c r="R251" s="241">
        <f t="shared" si="252"/>
      </c>
      <c r="S251" s="241">
        <f t="shared" si="312"/>
      </c>
      <c r="T251" s="242">
        <f t="shared" si="131"/>
      </c>
      <c r="U251" s="243">
        <v>0.0159</v>
      </c>
      <c r="V251" s="244">
        <v>73</v>
      </c>
      <c r="W251" s="240">
        <f t="shared" si="40"/>
      </c>
      <c r="X251" s="242">
        <v>4717</v>
      </c>
      <c r="Y251" s="242">
        <v>155</v>
      </c>
      <c r="Z251" s="242">
        <v>15</v>
      </c>
      <c r="AA251" s="242">
        <v>230</v>
      </c>
      <c r="AB251" s="242">
        <v>25</v>
      </c>
      <c r="AC251" s="242">
        <v>1</v>
      </c>
      <c r="AD251" s="242">
        <v>1</v>
      </c>
      <c r="AE251" s="242">
        <v>6</v>
      </c>
      <c r="AF251" s="240">
        <f t="shared" si="191"/>
      </c>
      <c r="AG251" s="222" t="s">
        <v>159</v>
      </c>
      <c r="AH251" s="223" t="s">
        <v>184</v>
      </c>
      <c r="AI251" s="244">
        <v>13</v>
      </c>
    </row>
    <row r="252">
      <c r="A252" s="211"/>
      <c r="B252" s="249" t="s">
        <v>165</v>
      </c>
      <c r="C252" s="249"/>
      <c r="D252" s="250">
        <f>SUM(D248:D251)</f>
      </c>
      <c r="E252" s="251">
        <f>SUM(E248:E251)</f>
      </c>
      <c r="F252" s="251">
        <f>SUM(F248:F251)</f>
      </c>
      <c r="G252" s="251">
        <f>SUM(G248:G251)</f>
      </c>
      <c r="H252" s="250">
        <f>SUM(H248:H251)</f>
      </c>
      <c r="I252" s="250"/>
      <c r="J252" s="252">
        <f t="shared" si="282"/>
      </c>
      <c r="K252" s="252">
        <f t="shared" si="342"/>
      </c>
      <c r="L252" s="252">
        <f t="shared" si="161"/>
      </c>
      <c r="M252" s="253">
        <f t="shared" si="222"/>
      </c>
      <c r="N252" s="252">
        <f t="shared" si="71"/>
      </c>
      <c r="O252" s="252">
        <f t="shared" si="101"/>
      </c>
      <c r="P252" s="253">
        <f t="shared" si="372"/>
      </c>
      <c r="Q252" s="253">
        <f t="shared" si="10"/>
      </c>
      <c r="R252" s="253">
        <f t="shared" si="252"/>
      </c>
      <c r="S252" s="253">
        <f t="shared" si="312"/>
      </c>
      <c r="T252" s="254">
        <f t="shared" si="131"/>
      </c>
      <c r="U252" s="253">
        <f>AVERAGE(U248:U251)</f>
      </c>
      <c r="V252" s="250">
        <f>AVERAGE(V248:V251)</f>
      </c>
      <c r="W252" s="252">
        <f t="shared" si="40"/>
      </c>
      <c r="X252" s="254">
        <f>SUM(X248:X251)</f>
      </c>
      <c r="Y252" s="254">
        <f>SUM(Y248:Y251)</f>
      </c>
      <c r="Z252" s="254">
        <f>SUM(Z248:Z251)</f>
      </c>
      <c r="AA252" s="254">
        <f>SUM(AA248:AA251)</f>
      </c>
      <c r="AB252" s="254">
        <f>SUM(AB248:AB251)</f>
      </c>
      <c r="AC252" s="254">
        <f>SUM(AC248:AC251)</f>
      </c>
      <c r="AD252" s="254">
        <f>SUM(AD248:AD251)</f>
      </c>
      <c r="AE252" s="254">
        <f>SUM(AE248:AE251)</f>
      </c>
      <c r="AF252" s="255">
        <f t="shared" si="191"/>
      </c>
      <c r="AG252" s="256"/>
      <c r="AH252" s="256"/>
      <c r="AI252" s="257">
        <f>SUM(AI248:AI251)</f>
      </c>
    </row>
    <row r="253">
      <c r="A253" s="211"/>
      <c r="B253" s="212" t="s">
        <v>157</v>
      </c>
      <c r="C253" s="235" t="s">
        <v>172</v>
      </c>
      <c r="D253" s="212">
        <v>1700.87</v>
      </c>
      <c r="E253" s="215">
        <v>7</v>
      </c>
      <c r="F253" s="215">
        <v>6</v>
      </c>
      <c r="G253" s="215">
        <v>5</v>
      </c>
      <c r="H253" s="215">
        <v>3847.800000000003</v>
      </c>
      <c r="I253" s="215"/>
      <c r="J253" s="217">
        <f t="shared" si="282"/>
      </c>
      <c r="K253" s="217">
        <f t="shared" si="342"/>
      </c>
      <c r="L253" s="217">
        <f t="shared" si="161"/>
      </c>
      <c r="M253" s="218">
        <f t="shared" si="222"/>
      </c>
      <c r="N253" s="217">
        <f t="shared" si="71"/>
      </c>
      <c r="O253" s="217">
        <f t="shared" si="101"/>
      </c>
      <c r="P253" s="218">
        <f t="shared" si="372"/>
      </c>
      <c r="Q253" s="218">
        <f t="shared" si="10"/>
      </c>
      <c r="R253" s="218">
        <f t="shared" si="252"/>
      </c>
      <c r="S253" s="218">
        <f t="shared" si="312"/>
      </c>
      <c r="T253" s="219">
        <f t="shared" si="131"/>
      </c>
      <c r="U253" s="220">
        <v>0.0472</v>
      </c>
      <c r="V253" s="221">
        <v>72</v>
      </c>
      <c r="W253" s="217">
        <f t="shared" si="40"/>
      </c>
      <c r="X253" s="221">
        <v>9945</v>
      </c>
      <c r="Y253" s="221">
        <v>291</v>
      </c>
      <c r="Z253" s="219">
        <v>53</v>
      </c>
      <c r="AA253" s="219">
        <v>417</v>
      </c>
      <c r="AB253" s="219">
        <v>51</v>
      </c>
      <c r="AC253" s="219">
        <v>6</v>
      </c>
      <c r="AD253" s="221">
        <v>0</v>
      </c>
      <c r="AE253" s="221">
        <v>11</v>
      </c>
      <c r="AF253" s="217">
        <f t="shared" si="191"/>
      </c>
      <c r="AG253" s="222" t="s">
        <v>173</v>
      </c>
      <c r="AH253" s="223" t="s">
        <v>187</v>
      </c>
      <c r="AI253" s="221">
        <v>25</v>
      </c>
    </row>
    <row r="254">
      <c r="A254" s="211"/>
      <c r="B254" s="212" t="s">
        <v>157</v>
      </c>
      <c r="C254" s="245" t="s">
        <v>175</v>
      </c>
      <c r="D254" s="212">
        <v>2293.58</v>
      </c>
      <c r="E254" s="215">
        <v>6</v>
      </c>
      <c r="F254" s="215">
        <v>5</v>
      </c>
      <c r="G254" s="215">
        <v>5</v>
      </c>
      <c r="H254" s="214">
        <v>3066.7999999999993</v>
      </c>
      <c r="I254" s="214"/>
      <c r="J254" s="217">
        <f t="shared" si="282"/>
      </c>
      <c r="K254" s="217">
        <f t="shared" si="342"/>
      </c>
      <c r="L254" s="217">
        <f t="shared" si="161"/>
      </c>
      <c r="M254" s="218">
        <f t="shared" si="222"/>
      </c>
      <c r="N254" s="217">
        <f t="shared" si="71"/>
      </c>
      <c r="O254" s="217">
        <f t="shared" si="101"/>
      </c>
      <c r="P254" s="218">
        <f t="shared" si="372"/>
      </c>
      <c r="Q254" s="218">
        <f t="shared" si="10"/>
      </c>
      <c r="R254" s="218">
        <f t="shared" si="252"/>
      </c>
      <c r="S254" s="218">
        <f t="shared" si="312"/>
      </c>
      <c r="T254" s="219">
        <f t="shared" si="131"/>
      </c>
      <c r="U254" s="220">
        <v>0.0525</v>
      </c>
      <c r="V254" s="221">
        <v>70</v>
      </c>
      <c r="W254" s="217">
        <f t="shared" si="40"/>
      </c>
      <c r="X254" s="219">
        <v>14447</v>
      </c>
      <c r="Y254" s="219">
        <v>329</v>
      </c>
      <c r="Z254" s="219">
        <v>56</v>
      </c>
      <c r="AA254" s="219">
        <v>489</v>
      </c>
      <c r="AB254" s="219">
        <v>54</v>
      </c>
      <c r="AC254" s="219">
        <v>6</v>
      </c>
      <c r="AD254" s="219">
        <v>0</v>
      </c>
      <c r="AE254" s="221">
        <v>21</v>
      </c>
      <c r="AF254" s="217">
        <f t="shared" si="191"/>
      </c>
      <c r="AG254" s="222" t="s">
        <v>173</v>
      </c>
      <c r="AH254" s="223" t="s">
        <v>187</v>
      </c>
      <c r="AI254" s="221">
        <v>18</v>
      </c>
    </row>
    <row r="255">
      <c r="A255" s="211"/>
      <c r="B255" s="212" t="s">
        <v>157</v>
      </c>
      <c r="C255" s="235" t="s">
        <v>176</v>
      </c>
      <c r="D255" s="212">
        <v>2744.04</v>
      </c>
      <c r="E255" s="215">
        <v>7</v>
      </c>
      <c r="F255" s="215">
        <v>5</v>
      </c>
      <c r="G255" s="215">
        <v>2</v>
      </c>
      <c r="H255" s="214">
        <v>2660.9000000000015</v>
      </c>
      <c r="I255" s="214"/>
      <c r="J255" s="217">
        <f t="shared" si="282"/>
      </c>
      <c r="K255" s="217">
        <f t="shared" si="342"/>
      </c>
      <c r="L255" s="217">
        <f t="shared" si="161"/>
      </c>
      <c r="M255" s="218">
        <f t="shared" si="222"/>
      </c>
      <c r="N255" s="217">
        <f t="shared" si="71"/>
      </c>
      <c r="O255" s="217">
        <f t="shared" si="101"/>
      </c>
      <c r="P255" s="218">
        <f t="shared" si="372"/>
      </c>
      <c r="Q255" s="218">
        <f t="shared" si="10"/>
      </c>
      <c r="R255" s="218">
        <f t="shared" si="252"/>
      </c>
      <c r="S255" s="218">
        <f t="shared" si="312"/>
      </c>
      <c r="T255" s="219">
        <f t="shared" si="131"/>
      </c>
      <c r="U255" s="220">
        <v>0.0725</v>
      </c>
      <c r="V255" s="221">
        <v>70</v>
      </c>
      <c r="W255" s="217">
        <f t="shared" si="40"/>
      </c>
      <c r="X255" s="221">
        <v>21575</v>
      </c>
      <c r="Y255" s="221">
        <v>358</v>
      </c>
      <c r="Z255" s="221">
        <v>75</v>
      </c>
      <c r="AA255" s="221">
        <v>574</v>
      </c>
      <c r="AB255" s="221">
        <v>85</v>
      </c>
      <c r="AC255" s="221">
        <v>8</v>
      </c>
      <c r="AD255" s="221">
        <v>1</v>
      </c>
      <c r="AE255" s="221">
        <v>41</v>
      </c>
      <c r="AF255" s="217">
        <f t="shared" si="191"/>
      </c>
      <c r="AG255" s="222" t="s">
        <v>173</v>
      </c>
      <c r="AH255" s="223" t="s">
        <v>187</v>
      </c>
      <c r="AI255" s="221">
        <v>32</v>
      </c>
    </row>
    <row r="256">
      <c r="A256" s="211"/>
      <c r="B256" s="212" t="s">
        <v>157</v>
      </c>
      <c r="C256" s="235" t="s">
        <v>177</v>
      </c>
      <c r="D256" s="212">
        <v>2241.29</v>
      </c>
      <c r="E256" s="215">
        <v>7</v>
      </c>
      <c r="F256" s="215">
        <v>4</v>
      </c>
      <c r="G256" s="215">
        <v>3</v>
      </c>
      <c r="H256" s="214">
        <v>2187.3499999999985</v>
      </c>
      <c r="I256" s="214"/>
      <c r="J256" s="217">
        <f t="shared" si="282"/>
      </c>
      <c r="K256" s="217">
        <f t="shared" si="342"/>
      </c>
      <c r="L256" s="217">
        <f t="shared" si="161"/>
      </c>
      <c r="M256" s="218">
        <f t="shared" si="222"/>
      </c>
      <c r="N256" s="217">
        <f t="shared" si="71"/>
      </c>
      <c r="O256" s="217">
        <f t="shared" si="101"/>
      </c>
      <c r="P256" s="218">
        <f t="shared" si="372"/>
      </c>
      <c r="Q256" s="218">
        <f t="shared" si="10"/>
      </c>
      <c r="R256" s="218">
        <f t="shared" si="252"/>
      </c>
      <c r="S256" s="218">
        <f t="shared" si="312"/>
      </c>
      <c r="T256" s="219">
        <f t="shared" si="131"/>
      </c>
      <c r="U256" s="220">
        <v>0.0616</v>
      </c>
      <c r="V256" s="221">
        <v>69</v>
      </c>
      <c r="W256" s="217">
        <f t="shared" si="40"/>
      </c>
      <c r="X256" s="221">
        <v>16783</v>
      </c>
      <c r="Y256" s="221">
        <v>326</v>
      </c>
      <c r="Z256" s="219">
        <v>57</v>
      </c>
      <c r="AA256" s="219">
        <v>493</v>
      </c>
      <c r="AB256" s="219">
        <v>46</v>
      </c>
      <c r="AC256" s="219">
        <v>6</v>
      </c>
      <c r="AD256" s="221">
        <v>0</v>
      </c>
      <c r="AE256" s="221">
        <v>27</v>
      </c>
      <c r="AF256" s="217">
        <f t="shared" si="191"/>
      </c>
      <c r="AG256" s="222" t="s">
        <v>173</v>
      </c>
      <c r="AH256" s="223" t="s">
        <v>187</v>
      </c>
      <c r="AI256" s="221">
        <v>18</v>
      </c>
    </row>
    <row r="257">
      <c r="A257" s="211"/>
      <c r="B257" s="227" t="s">
        <v>165</v>
      </c>
      <c r="C257" s="227"/>
      <c r="D257" s="259">
        <f>SUM(D253:D256)</f>
      </c>
      <c r="E257" s="260">
        <f>SUM(E253:E256)</f>
      </c>
      <c r="F257" s="260">
        <f>SUM(F253:F256)</f>
      </c>
      <c r="G257" s="260">
        <f>SUM(G253:G256)</f>
      </c>
      <c r="H257" s="259">
        <f>SUM(H253:H256)</f>
      </c>
      <c r="I257" s="259"/>
      <c r="J257" s="230">
        <f t="shared" si="282"/>
      </c>
      <c r="K257" s="230">
        <f t="shared" si="342"/>
      </c>
      <c r="L257" s="230">
        <f t="shared" si="161"/>
      </c>
      <c r="M257" s="231">
        <f t="shared" si="222"/>
      </c>
      <c r="N257" s="230">
        <f t="shared" si="71"/>
      </c>
      <c r="O257" s="230">
        <f t="shared" si="101"/>
      </c>
      <c r="P257" s="231">
        <f t="shared" si="372"/>
      </c>
      <c r="Q257" s="231">
        <f t="shared" si="10"/>
      </c>
      <c r="R257" s="231">
        <f t="shared" si="252"/>
      </c>
      <c r="S257" s="231">
        <f t="shared" si="312"/>
      </c>
      <c r="T257" s="229">
        <f t="shared" si="131"/>
      </c>
      <c r="U257" s="231">
        <f>AVERAGE(U253:U256)</f>
      </c>
      <c r="V257" s="228">
        <f>AVERAGE(V253:V256)</f>
      </c>
      <c r="W257" s="230">
        <f t="shared" si="40"/>
      </c>
      <c r="X257" s="229">
        <f>SUM(X253:X256)</f>
      </c>
      <c r="Y257" s="229">
        <f>SUM(Y253:Y256)</f>
      </c>
      <c r="Z257" s="229">
        <f>SUM(Z253:Z256)</f>
      </c>
      <c r="AA257" s="229">
        <f>SUM(AA253:AA256)</f>
      </c>
      <c r="AB257" s="229">
        <f>SUM(AB253:AB256)</f>
      </c>
      <c r="AC257" s="229">
        <f>SUM(AC253:AC256)</f>
      </c>
      <c r="AD257" s="229">
        <f>SUM(AD253:AD256)</f>
      </c>
      <c r="AE257" s="229">
        <f>SUM(AE253:AE256)</f>
      </c>
      <c r="AF257" s="232">
        <f t="shared" si="191"/>
      </c>
      <c r="AG257" s="233"/>
      <c r="AH257" s="233"/>
      <c r="AI257" s="229">
        <f>SUM(AI253:AI256)</f>
      </c>
    </row>
    <row r="258">
      <c r="A258" s="211"/>
      <c r="B258" s="248" t="s">
        <v>186</v>
      </c>
      <c r="C258" s="248" t="s">
        <v>179</v>
      </c>
      <c r="D258" s="261">
        <v>4418.74</v>
      </c>
      <c r="E258" s="237">
        <v>5</v>
      </c>
      <c r="F258" s="237">
        <v>4</v>
      </c>
      <c r="G258" s="238">
        <v>4</v>
      </c>
      <c r="H258" s="239">
        <v>3306.5999999999985</v>
      </c>
      <c r="I258" s="239"/>
      <c r="J258" s="240">
        <f t="shared" si="282"/>
      </c>
      <c r="K258" s="240">
        <f t="shared" si="342"/>
      </c>
      <c r="L258" s="240">
        <f t="shared" si="161"/>
      </c>
      <c r="M258" s="241">
        <f t="shared" si="222"/>
      </c>
      <c r="N258" s="240">
        <f t="shared" si="71"/>
      </c>
      <c r="O258" s="240">
        <f t="shared" si="101"/>
      </c>
      <c r="P258" s="241">
        <f t="shared" si="372"/>
      </c>
      <c r="Q258" s="241">
        <f t="shared" si="10"/>
      </c>
      <c r="R258" s="241">
        <f t="shared" si="252"/>
      </c>
      <c r="S258" s="241">
        <f t="shared" si="312"/>
      </c>
      <c r="T258" s="242">
        <f t="shared" si="131"/>
      </c>
      <c r="U258" s="243">
        <v>0.0475</v>
      </c>
      <c r="V258" s="244">
        <v>78</v>
      </c>
      <c r="W258" s="240">
        <f t="shared" si="40"/>
      </c>
      <c r="X258" s="242">
        <v>35481</v>
      </c>
      <c r="Y258" s="242">
        <v>460</v>
      </c>
      <c r="Z258" s="242">
        <v>67</v>
      </c>
      <c r="AA258" s="242">
        <v>634</v>
      </c>
      <c r="AB258" s="242">
        <v>136</v>
      </c>
      <c r="AC258" s="242">
        <v>10</v>
      </c>
      <c r="AD258" s="242">
        <v>1</v>
      </c>
      <c r="AE258" s="242">
        <v>71</v>
      </c>
      <c r="AF258" s="240">
        <f t="shared" si="191"/>
      </c>
      <c r="AG258" s="222" t="s">
        <v>173</v>
      </c>
      <c r="AH258" s="223" t="s">
        <v>187</v>
      </c>
      <c r="AI258" s="244">
        <v>59</v>
      </c>
    </row>
    <row r="259">
      <c r="A259" s="211"/>
      <c r="B259" s="248" t="s">
        <v>186</v>
      </c>
      <c r="C259" s="248" t="s">
        <v>180</v>
      </c>
      <c r="D259" s="262">
        <v>4258.53</v>
      </c>
      <c r="E259" s="247">
        <v>12</v>
      </c>
      <c r="F259" s="247">
        <v>12</v>
      </c>
      <c r="G259" s="247">
        <v>10</v>
      </c>
      <c r="H259" s="263">
        <v>9769.100000000006</v>
      </c>
      <c r="I259" s="263"/>
      <c r="J259" s="240">
        <f t="shared" si="282"/>
      </c>
      <c r="K259" s="240">
        <f t="shared" si="342"/>
      </c>
      <c r="L259" s="240">
        <f t="shared" si="161"/>
      </c>
      <c r="M259" s="241">
        <f t="shared" si="222"/>
      </c>
      <c r="N259" s="240">
        <f t="shared" si="71"/>
      </c>
      <c r="O259" s="240">
        <f t="shared" si="101"/>
      </c>
      <c r="P259" s="241">
        <f t="shared" si="372"/>
      </c>
      <c r="Q259" s="241">
        <f t="shared" si="10"/>
      </c>
      <c r="R259" s="241">
        <f t="shared" si="252"/>
      </c>
      <c r="S259" s="241">
        <f t="shared" si="312"/>
      </c>
      <c r="T259" s="242">
        <f t="shared" si="131"/>
      </c>
      <c r="U259" s="243">
        <v>0.0395</v>
      </c>
      <c r="V259" s="244">
        <v>69</v>
      </c>
      <c r="W259" s="240">
        <f t="shared" si="40"/>
      </c>
      <c r="X259" s="242">
        <v>32589</v>
      </c>
      <c r="Y259" s="242">
        <v>795</v>
      </c>
      <c r="Z259" s="242">
        <v>110</v>
      </c>
      <c r="AA259" s="242">
        <v>995</v>
      </c>
      <c r="AB259" s="242">
        <v>123</v>
      </c>
      <c r="AC259" s="242">
        <v>13</v>
      </c>
      <c r="AD259" s="242">
        <v>0</v>
      </c>
      <c r="AE259" s="242">
        <v>48</v>
      </c>
      <c r="AF259" s="240">
        <f t="shared" si="191"/>
      </c>
      <c r="AG259" s="222" t="s">
        <v>173</v>
      </c>
      <c r="AH259" s="223" t="s">
        <v>187</v>
      </c>
      <c r="AI259" s="244">
        <v>46</v>
      </c>
    </row>
    <row r="260">
      <c r="A260" s="211"/>
      <c r="B260" s="248" t="s">
        <v>186</v>
      </c>
      <c r="C260" s="248" t="s">
        <v>181</v>
      </c>
      <c r="D260" s="261">
        <v>4378.61</v>
      </c>
      <c r="E260" s="247">
        <v>10</v>
      </c>
      <c r="F260" s="247">
        <v>9</v>
      </c>
      <c r="G260" s="247">
        <v>9</v>
      </c>
      <c r="H260" s="236">
        <v>5811.299999999996</v>
      </c>
      <c r="I260" s="236"/>
      <c r="J260" s="240">
        <f t="shared" si="282"/>
      </c>
      <c r="K260" s="240">
        <f t="shared" si="342"/>
      </c>
      <c r="L260" s="240">
        <f t="shared" si="161"/>
      </c>
      <c r="M260" s="241">
        <f t="shared" si="222"/>
      </c>
      <c r="N260" s="240">
        <f t="shared" si="71"/>
      </c>
      <c r="O260" s="240">
        <f t="shared" si="101"/>
      </c>
      <c r="P260" s="241">
        <f t="shared" si="372"/>
      </c>
      <c r="Q260" s="241">
        <f t="shared" si="10"/>
      </c>
      <c r="R260" s="241">
        <f t="shared" si="252"/>
      </c>
      <c r="S260" s="241">
        <f t="shared" si="312"/>
      </c>
      <c r="T260" s="242">
        <f t="shared" si="131"/>
      </c>
      <c r="U260" s="243">
        <v>0.0186</v>
      </c>
      <c r="V260" s="244">
        <v>67</v>
      </c>
      <c r="W260" s="240">
        <f t="shared" si="40"/>
      </c>
      <c r="X260" s="242">
        <v>35244</v>
      </c>
      <c r="Y260" s="242">
        <v>1152</v>
      </c>
      <c r="Z260" s="242">
        <v>110</v>
      </c>
      <c r="AA260" s="242">
        <v>1389</v>
      </c>
      <c r="AB260" s="242">
        <v>135</v>
      </c>
      <c r="AC260" s="242">
        <v>15</v>
      </c>
      <c r="AD260" s="242">
        <v>0</v>
      </c>
      <c r="AE260" s="242">
        <v>53</v>
      </c>
      <c r="AF260" s="240">
        <f t="shared" si="191"/>
      </c>
      <c r="AG260" s="222" t="s">
        <v>173</v>
      </c>
      <c r="AH260" s="223" t="s">
        <v>187</v>
      </c>
      <c r="AI260" s="244">
        <v>56</v>
      </c>
    </row>
    <row r="261">
      <c r="A261" s="211"/>
      <c r="B261" s="248" t="s">
        <v>186</v>
      </c>
      <c r="C261" s="248" t="s">
        <v>182</v>
      </c>
      <c r="D261" s="261">
        <v>2639.95</v>
      </c>
      <c r="E261" s="238">
        <v>9</v>
      </c>
      <c r="F261" s="238">
        <v>5</v>
      </c>
      <c r="G261" s="238">
        <v>4</v>
      </c>
      <c r="H261" s="261">
        <v>2915</v>
      </c>
      <c r="I261" s="261"/>
      <c r="J261" s="240">
        <f t="shared" si="282"/>
      </c>
      <c r="K261" s="240">
        <f t="shared" si="342"/>
      </c>
      <c r="L261" s="240">
        <f t="shared" si="161"/>
      </c>
      <c r="M261" s="241">
        <f t="shared" si="222"/>
      </c>
      <c r="N261" s="240">
        <f t="shared" si="71"/>
      </c>
      <c r="O261" s="240">
        <f t="shared" si="101"/>
      </c>
      <c r="P261" s="241">
        <f t="shared" si="372"/>
      </c>
      <c r="Q261" s="241">
        <f t="shared" si="10"/>
      </c>
      <c r="R261" s="241">
        <f t="shared" si="252"/>
      </c>
      <c r="S261" s="241">
        <f t="shared" si="312"/>
      </c>
      <c r="T261" s="242">
        <f t="shared" si="131"/>
      </c>
      <c r="U261" s="243">
        <v>0.0218</v>
      </c>
      <c r="V261" s="244">
        <v>74</v>
      </c>
      <c r="W261" s="240">
        <f t="shared" si="40"/>
      </c>
      <c r="X261" s="242">
        <v>27608</v>
      </c>
      <c r="Y261" s="242">
        <v>806</v>
      </c>
      <c r="Z261" s="242">
        <v>92</v>
      </c>
      <c r="AA261" s="242">
        <v>919</v>
      </c>
      <c r="AB261" s="242">
        <v>76</v>
      </c>
      <c r="AC261" s="242">
        <v>11</v>
      </c>
      <c r="AD261" s="242">
        <v>2</v>
      </c>
      <c r="AE261" s="244">
        <v>51</v>
      </c>
      <c r="AF261" s="240">
        <f t="shared" si="191"/>
      </c>
      <c r="AG261" s="222" t="s">
        <v>173</v>
      </c>
      <c r="AH261" s="223" t="s">
        <v>187</v>
      </c>
      <c r="AI261" s="244">
        <v>32</v>
      </c>
    </row>
    <row r="262">
      <c r="A262" s="211"/>
      <c r="B262" s="249" t="s">
        <v>165</v>
      </c>
      <c r="C262" s="249"/>
      <c r="D262" s="250">
        <f>SUM(D258:D261)</f>
      </c>
      <c r="E262" s="251">
        <f>SUM(E258:E261)</f>
      </c>
      <c r="F262" s="251">
        <f>SUM(F258:F261)</f>
      </c>
      <c r="G262" s="251">
        <f>SUM(G258:G261)</f>
      </c>
      <c r="H262" s="250">
        <f>SUM(H258:H261)</f>
      </c>
      <c r="I262" s="250"/>
      <c r="J262" s="252">
        <f t="shared" si="282"/>
      </c>
      <c r="K262" s="252">
        <f t="shared" si="342"/>
      </c>
      <c r="L262" s="252">
        <f t="shared" si="161"/>
      </c>
      <c r="M262" s="253">
        <f t="shared" si="222"/>
      </c>
      <c r="N262" s="252">
        <f t="shared" si="71"/>
      </c>
      <c r="O262" s="252">
        <f t="shared" si="101"/>
      </c>
      <c r="P262" s="253">
        <f t="shared" si="372"/>
      </c>
      <c r="Q262" s="253">
        <f t="shared" si="10"/>
      </c>
      <c r="R262" s="253">
        <f t="shared" si="252"/>
      </c>
      <c r="S262" s="253">
        <f t="shared" si="312"/>
      </c>
      <c r="T262" s="254">
        <f t="shared" si="131"/>
      </c>
      <c r="U262" s="253">
        <f>AVERAGE(U258:U261)</f>
      </c>
      <c r="V262" s="250">
        <f>AVERAGE(V258:V261)</f>
      </c>
      <c r="W262" s="252">
        <f t="shared" si="40"/>
      </c>
      <c r="X262" s="254">
        <f>SUM(X258:X261)</f>
      </c>
      <c r="Y262" s="254">
        <f>SUM(Y258:Y261)</f>
      </c>
      <c r="Z262" s="254">
        <f>SUM(Z258:Z261)</f>
      </c>
      <c r="AA262" s="254">
        <f>SUM(AA258:AA261)</f>
      </c>
      <c r="AB262" s="254">
        <f>SUM(AB258:AB261)</f>
      </c>
      <c r="AC262" s="254">
        <f>SUM(AC258:AC261)</f>
      </c>
      <c r="AD262" s="254">
        <f>SUM(AD258:AD261)</f>
      </c>
      <c r="AE262" s="254">
        <f>SUM(AE258:AE261)</f>
      </c>
      <c r="AF262" s="255">
        <f t="shared" si="191"/>
      </c>
      <c r="AG262" s="256"/>
      <c r="AH262" s="256"/>
      <c r="AI262" s="257">
        <f>SUM(AI258:AI261)</f>
      </c>
    </row>
    <row r="263">
      <c r="A263" s="211"/>
      <c r="B263" s="264" t="s">
        <v>183</v>
      </c>
      <c r="C263" s="264"/>
      <c r="D263" s="265">
        <f>D247+D252+D257+D262</f>
      </c>
      <c r="E263" s="265">
        <f>E247+E252+E257+E262</f>
      </c>
      <c r="F263" s="265">
        <f>F247+F252+F257+F262</f>
      </c>
      <c r="G263" s="265">
        <f>G247+G252+G257+G262</f>
      </c>
      <c r="H263" s="265">
        <f>H247+H252+H257+H262</f>
      </c>
      <c r="I263" s="265"/>
      <c r="J263" s="266">
        <f t="shared" si="282"/>
      </c>
      <c r="K263" s="267">
        <f t="shared" si="342"/>
      </c>
      <c r="L263" s="267">
        <f t="shared" si="161"/>
      </c>
      <c r="M263" s="268">
        <f t="shared" si="222"/>
      </c>
      <c r="N263" s="267">
        <f t="shared" si="71"/>
      </c>
      <c r="O263" s="267">
        <f t="shared" si="101"/>
      </c>
      <c r="P263" s="268">
        <f t="shared" si="372"/>
      </c>
      <c r="Q263" s="268">
        <f t="shared" si="10"/>
      </c>
      <c r="R263" s="268">
        <f t="shared" si="252"/>
      </c>
      <c r="S263" s="268">
        <f t="shared" si="312"/>
      </c>
      <c r="T263" s="269">
        <f t="shared" si="131"/>
      </c>
      <c r="U263" s="268">
        <f>(U247+U257+U252+U262)/4</f>
      </c>
      <c r="V263" s="267">
        <f>(V247+V257+V252+V262)/4</f>
      </c>
      <c r="W263" s="270">
        <f t="shared" si="40"/>
      </c>
      <c r="X263" s="269">
        <f>X247+X252+X257+X262</f>
      </c>
      <c r="Y263" s="269">
        <f>Y247+Y252+Y257+Y262</f>
      </c>
      <c r="Z263" s="269">
        <f>Z247+Z252+Z257+Z262</f>
      </c>
      <c r="AA263" s="269">
        <f>AA247+AA252+AA257+AA262</f>
      </c>
      <c r="AB263" s="269">
        <f>AB247+AB252+AB257+AB262</f>
      </c>
      <c r="AC263" s="269">
        <f>AC247+AC252+AC257+AC262</f>
      </c>
      <c r="AD263" s="269">
        <f>AD247+AD252+AD257+AD262</f>
      </c>
      <c r="AE263" s="269">
        <f>AE247+AE252+AE257+AE262</f>
      </c>
      <c r="AF263" s="267">
        <f>AF247</f>
      </c>
      <c r="AG263" s="264"/>
      <c r="AH263" s="264"/>
      <c r="AI263" s="269">
        <f>AI247+AI252+AI257+AI262</f>
      </c>
    </row>
    <row r="264">
      <c r="A264" s="193" t="s">
        <v>120</v>
      </c>
      <c r="B264" s="194" t="s">
        <v>121</v>
      </c>
      <c r="C264" s="194"/>
      <c r="D264" s="195" t="s">
        <v>122</v>
      </c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6" t="s">
        <v>123</v>
      </c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7"/>
    </row>
    <row r="265">
      <c r="A265" s="193"/>
      <c r="B265" s="194" t="s">
        <v>124</v>
      </c>
      <c r="C265" s="198" t="s">
        <v>125</v>
      </c>
      <c r="D265" s="199" t="s">
        <v>126</v>
      </c>
      <c r="E265" s="200" t="s">
        <v>127</v>
      </c>
      <c r="F265" s="201" t="s">
        <v>128</v>
      </c>
      <c r="G265" s="201" t="s">
        <v>129</v>
      </c>
      <c r="H265" s="199" t="s">
        <v>130</v>
      </c>
      <c r="I265" s="271" t="s">
        <v>189</v>
      </c>
      <c r="J265" s="202" t="s">
        <v>131</v>
      </c>
      <c r="K265" s="202" t="s">
        <v>132</v>
      </c>
      <c r="L265" s="202" t="s">
        <v>133</v>
      </c>
      <c r="M265" s="203" t="s">
        <v>134</v>
      </c>
      <c r="N265" s="202" t="s">
        <v>135</v>
      </c>
      <c r="O265" s="204" t="s">
        <v>136</v>
      </c>
      <c r="P265" s="205" t="s">
        <v>137</v>
      </c>
      <c r="Q265" s="205" t="s">
        <v>138</v>
      </c>
      <c r="R265" s="205" t="s">
        <v>139</v>
      </c>
      <c r="S265" s="205" t="s">
        <v>140</v>
      </c>
      <c r="T265" s="206" t="s">
        <v>141</v>
      </c>
      <c r="U265" s="207" t="s">
        <v>142</v>
      </c>
      <c r="V265" s="208" t="s">
        <v>143</v>
      </c>
      <c r="W265" s="196" t="s">
        <v>144</v>
      </c>
      <c r="X265" s="209" t="s">
        <v>145</v>
      </c>
      <c r="Y265" s="209" t="s">
        <v>146</v>
      </c>
      <c r="Z265" s="209" t="s">
        <v>147</v>
      </c>
      <c r="AA265" s="209" t="s">
        <v>148</v>
      </c>
      <c r="AB265" s="209" t="s">
        <v>149</v>
      </c>
      <c r="AC265" s="209" t="s">
        <v>150</v>
      </c>
      <c r="AD265" s="209" t="s">
        <v>151</v>
      </c>
      <c r="AE265" s="209" t="s">
        <v>152</v>
      </c>
      <c r="AF265" s="196" t="s">
        <v>153</v>
      </c>
      <c r="AG265" s="210" t="s">
        <v>154</v>
      </c>
      <c r="AH265" s="210" t="s">
        <v>155</v>
      </c>
      <c r="AI265" s="197" t="s">
        <v>156</v>
      </c>
    </row>
    <row r="266">
      <c r="A266" s="211">
        <v>46185</v>
      </c>
      <c r="B266" s="212" t="s">
        <v>166</v>
      </c>
      <c r="C266" s="213" t="s">
        <v>158</v>
      </c>
      <c r="D266" s="214">
        <v>2517.19</v>
      </c>
      <c r="E266" s="215">
        <v>6</v>
      </c>
      <c r="F266" s="215">
        <v>5</v>
      </c>
      <c r="G266" s="215">
        <v>5</v>
      </c>
      <c r="H266" s="214">
        <v>3287.9</v>
      </c>
      <c r="I266" s="215">
        <v>1</v>
      </c>
      <c r="J266" s="216">
        <f t="shared" ref="J266:J287" si="283">H266/D266</f>
      </c>
      <c r="K266" s="217">
        <f t="shared" ref="K266:K287" si="343">D266/F266</f>
      </c>
      <c r="L266" s="217">
        <f t="shared" ref="L266:L287" si="162">D266/G266</f>
      </c>
      <c r="M266" s="218">
        <f t="shared" ref="M266:M287" si="223">F266/E266</f>
      </c>
      <c r="N266" s="217">
        <f t="shared" ref="N266:N287" si="72">H266/F266</f>
      </c>
      <c r="O266" s="217">
        <f t="shared" ref="O266:O287" si="102">D266/Y266</f>
      </c>
      <c r="P266" s="218">
        <f t="shared" ref="P266:P287" si="373">T266/X266*1</f>
      </c>
      <c r="Q266" s="218">
        <f t="shared" ref="Q266:Q287" si="11">Y266/X266</f>
      </c>
      <c r="R266" s="218">
        <f t="shared" ref="R266:R287" si="253">AA266/X266</f>
      </c>
      <c r="S266" s="218">
        <f t="shared" ref="S266:S287" si="313">AB266/AA266</f>
      </c>
      <c r="T266" s="219">
        <f t="shared" ref="T266:T287" si="132">Z266/U266</f>
      </c>
      <c r="U266" s="220">
        <v>0.0311</v>
      </c>
      <c r="V266" s="221">
        <v>50</v>
      </c>
      <c r="W266" s="217">
        <f t="shared" ref="W266:W287" si="41">(D266/X266)*1000</f>
      </c>
      <c r="X266" s="221">
        <v>16915</v>
      </c>
      <c r="Y266" s="221">
        <v>490</v>
      </c>
      <c r="Z266" s="219">
        <v>76</v>
      </c>
      <c r="AA266" s="219">
        <v>720</v>
      </c>
      <c r="AB266" s="219">
        <v>50</v>
      </c>
      <c r="AC266" s="219">
        <v>6</v>
      </c>
      <c r="AD266" s="221">
        <v>0</v>
      </c>
      <c r="AE266" s="221">
        <v>20</v>
      </c>
      <c r="AF266" s="217">
        <f t="shared" ref="AF266:AF286" si="192">AI266*1000/D266</f>
      </c>
      <c r="AG266" s="222" t="s">
        <v>159</v>
      </c>
      <c r="AH266" s="223" t="s">
        <v>184</v>
      </c>
      <c r="AI266" s="221">
        <v>27</v>
      </c>
    </row>
    <row r="267">
      <c r="A267" s="211"/>
      <c r="B267" s="212" t="s">
        <v>166</v>
      </c>
      <c r="C267" s="213" t="s">
        <v>161</v>
      </c>
      <c r="D267" s="214">
        <v>2583.41</v>
      </c>
      <c r="E267" s="215">
        <v>5</v>
      </c>
      <c r="F267" s="215">
        <v>4</v>
      </c>
      <c r="G267" s="215">
        <v>4</v>
      </c>
      <c r="H267" s="214">
        <v>1803.9999999999995</v>
      </c>
      <c r="I267" s="215">
        <v>0</v>
      </c>
      <c r="J267" s="216">
        <f t="shared" si="283"/>
      </c>
      <c r="K267" s="217">
        <f t="shared" si="343"/>
      </c>
      <c r="L267" s="217">
        <f t="shared" si="162"/>
      </c>
      <c r="M267" s="218">
        <f t="shared" si="223"/>
      </c>
      <c r="N267" s="217">
        <f t="shared" si="72"/>
      </c>
      <c r="O267" s="217">
        <f t="shared" si="102"/>
      </c>
      <c r="P267" s="218">
        <f t="shared" si="373"/>
      </c>
      <c r="Q267" s="218">
        <f t="shared" si="11"/>
      </c>
      <c r="R267" s="218">
        <f t="shared" si="253"/>
      </c>
      <c r="S267" s="218">
        <f t="shared" si="313"/>
      </c>
      <c r="T267" s="219">
        <f t="shared" si="132"/>
      </c>
      <c r="U267" s="220">
        <v>0.045</v>
      </c>
      <c r="V267" s="221">
        <v>49</v>
      </c>
      <c r="W267" s="217">
        <f t="shared" si="41"/>
      </c>
      <c r="X267" s="221">
        <v>15481</v>
      </c>
      <c r="Y267" s="221">
        <v>463</v>
      </c>
      <c r="Z267" s="219">
        <v>86</v>
      </c>
      <c r="AA267" s="219">
        <v>603</v>
      </c>
      <c r="AB267" s="221">
        <v>82</v>
      </c>
      <c r="AC267" s="219">
        <v>7</v>
      </c>
      <c r="AD267" s="221">
        <v>0</v>
      </c>
      <c r="AE267" s="221">
        <v>14</v>
      </c>
      <c r="AF267" s="217">
        <f t="shared" si="192"/>
      </c>
      <c r="AG267" s="222" t="s">
        <v>159</v>
      </c>
      <c r="AH267" s="223" t="s">
        <v>184</v>
      </c>
      <c r="AI267" s="221">
        <v>30</v>
      </c>
    </row>
    <row r="268">
      <c r="A268" s="211"/>
      <c r="B268" s="212" t="s">
        <v>166</v>
      </c>
      <c r="C268" s="224" t="s">
        <v>162</v>
      </c>
      <c r="D268" s="214">
        <v>2591.08</v>
      </c>
      <c r="E268" s="215">
        <v>5</v>
      </c>
      <c r="F268" s="215">
        <v>5</v>
      </c>
      <c r="G268" s="215">
        <v>3</v>
      </c>
      <c r="H268" s="214">
        <v>2209.9000000000005</v>
      </c>
      <c r="I268" s="215">
        <v>0</v>
      </c>
      <c r="J268" s="216">
        <f t="shared" si="283"/>
      </c>
      <c r="K268" s="217">
        <f t="shared" si="343"/>
      </c>
      <c r="L268" s="217">
        <f t="shared" si="162"/>
      </c>
      <c r="M268" s="218">
        <f t="shared" si="223"/>
      </c>
      <c r="N268" s="217">
        <f t="shared" si="72"/>
      </c>
      <c r="O268" s="217">
        <f t="shared" si="102"/>
      </c>
      <c r="P268" s="218">
        <f t="shared" si="373"/>
      </c>
      <c r="Q268" s="218">
        <f t="shared" si="11"/>
      </c>
      <c r="R268" s="218">
        <f t="shared" si="253"/>
      </c>
      <c r="S268" s="218">
        <f t="shared" si="313"/>
      </c>
      <c r="T268" s="219">
        <f t="shared" si="132"/>
      </c>
      <c r="U268" s="220">
        <v>0.0303</v>
      </c>
      <c r="V268" s="221">
        <v>49</v>
      </c>
      <c r="W268" s="217">
        <f t="shared" si="41"/>
      </c>
      <c r="X268" s="221">
        <v>18215</v>
      </c>
      <c r="Y268" s="221">
        <v>446</v>
      </c>
      <c r="Z268" s="219">
        <v>59</v>
      </c>
      <c r="AA268" s="219">
        <v>580</v>
      </c>
      <c r="AB268" s="221">
        <v>61</v>
      </c>
      <c r="AC268" s="219">
        <v>5</v>
      </c>
      <c r="AD268" s="221">
        <v>3</v>
      </c>
      <c r="AE268" s="221">
        <v>26</v>
      </c>
      <c r="AF268" s="217">
        <f t="shared" si="192"/>
      </c>
      <c r="AG268" s="222" t="s">
        <v>159</v>
      </c>
      <c r="AH268" s="223" t="s">
        <v>184</v>
      </c>
      <c r="AI268" s="221">
        <v>25</v>
      </c>
    </row>
    <row r="269">
      <c r="A269" s="211"/>
      <c r="B269" s="212" t="s">
        <v>166</v>
      </c>
      <c r="C269" s="213" t="s">
        <v>163</v>
      </c>
      <c r="D269" s="214">
        <v>1191.7</v>
      </c>
      <c r="E269" s="215">
        <v>0</v>
      </c>
      <c r="F269" s="215">
        <v>0</v>
      </c>
      <c r="G269" s="215">
        <v>0</v>
      </c>
      <c r="H269" s="214">
        <v>0</v>
      </c>
      <c r="I269" s="215">
        <v>0</v>
      </c>
      <c r="J269" s="216">
        <f t="shared" si="283"/>
      </c>
      <c r="K269" s="217">
        <f t="shared" si="343"/>
      </c>
      <c r="L269" s="217">
        <f t="shared" si="162"/>
      </c>
      <c r="M269" s="218">
        <f t="shared" si="223"/>
      </c>
      <c r="N269" s="217">
        <f t="shared" si="72"/>
      </c>
      <c r="O269" s="217">
        <f t="shared" si="102"/>
      </c>
      <c r="P269" s="218">
        <f t="shared" si="373"/>
      </c>
      <c r="Q269" s="218">
        <f t="shared" si="11"/>
      </c>
      <c r="R269" s="218">
        <f t="shared" si="253"/>
      </c>
      <c r="S269" s="218">
        <f t="shared" si="313"/>
      </c>
      <c r="T269" s="219">
        <f t="shared" si="132"/>
      </c>
      <c r="U269" s="220">
        <v>0.0313</v>
      </c>
      <c r="V269" s="221">
        <v>56</v>
      </c>
      <c r="W269" s="217">
        <f t="shared" si="41"/>
      </c>
      <c r="X269" s="221">
        <v>6688</v>
      </c>
      <c r="Y269" s="221">
        <v>247</v>
      </c>
      <c r="Z269" s="221">
        <v>45</v>
      </c>
      <c r="AA269" s="221">
        <v>322</v>
      </c>
      <c r="AB269" s="221">
        <v>17</v>
      </c>
      <c r="AC269" s="221">
        <v>3</v>
      </c>
      <c r="AD269" s="221">
        <v>1</v>
      </c>
      <c r="AE269" s="221">
        <v>7</v>
      </c>
      <c r="AF269" s="217">
        <f t="shared" si="192"/>
      </c>
      <c r="AG269" s="222" t="s">
        <v>159</v>
      </c>
      <c r="AH269" s="223" t="s">
        <v>184</v>
      </c>
      <c r="AI269" s="221">
        <v>9</v>
      </c>
    </row>
    <row r="270">
      <c r="A270" s="211"/>
      <c r="B270" s="212" t="s">
        <v>166</v>
      </c>
      <c r="C270" s="212" t="s">
        <v>164</v>
      </c>
      <c r="D270" s="225">
        <v>1642.08</v>
      </c>
      <c r="E270" s="226">
        <v>3</v>
      </c>
      <c r="F270" s="226">
        <v>1</v>
      </c>
      <c r="G270" s="226">
        <v>1</v>
      </c>
      <c r="H270" s="225">
        <v>450.9999999999991</v>
      </c>
      <c r="I270" s="226">
        <v>0</v>
      </c>
      <c r="J270" s="217">
        <f t="shared" si="283"/>
      </c>
      <c r="K270" s="217">
        <f t="shared" si="343"/>
      </c>
      <c r="L270" s="217">
        <f t="shared" si="162"/>
      </c>
      <c r="M270" s="218">
        <f t="shared" si="223"/>
      </c>
      <c r="N270" s="217">
        <f t="shared" si="72"/>
      </c>
      <c r="O270" s="217">
        <f t="shared" si="102"/>
      </c>
      <c r="P270" s="218">
        <f t="shared" si="373"/>
      </c>
      <c r="Q270" s="218">
        <f t="shared" si="11"/>
      </c>
      <c r="R270" s="218">
        <f t="shared" si="253"/>
      </c>
      <c r="S270" s="218">
        <f t="shared" si="313"/>
      </c>
      <c r="T270" s="219">
        <f t="shared" si="132"/>
      </c>
      <c r="U270" s="220">
        <v>0.0545</v>
      </c>
      <c r="V270" s="221">
        <v>55</v>
      </c>
      <c r="W270" s="217">
        <f t="shared" si="41"/>
      </c>
      <c r="X270" s="219">
        <v>9266</v>
      </c>
      <c r="Y270" s="219">
        <v>298</v>
      </c>
      <c r="Z270" s="219">
        <v>55</v>
      </c>
      <c r="AA270" s="219">
        <v>370</v>
      </c>
      <c r="AB270" s="219">
        <v>37</v>
      </c>
      <c r="AC270" s="219">
        <v>4</v>
      </c>
      <c r="AD270" s="219">
        <v>1</v>
      </c>
      <c r="AE270" s="221">
        <v>14</v>
      </c>
      <c r="AF270" s="217">
        <f t="shared" si="192"/>
      </c>
      <c r="AG270" s="222" t="s">
        <v>159</v>
      </c>
      <c r="AH270" s="223" t="s">
        <v>184</v>
      </c>
      <c r="AI270" s="221">
        <v>18</v>
      </c>
    </row>
    <row r="271">
      <c r="A271" s="211"/>
      <c r="B271" s="227" t="s">
        <v>165</v>
      </c>
      <c r="C271" s="227"/>
      <c r="D271" s="228">
        <f>SUM(D266:D270)</f>
      </c>
      <c r="E271" s="229">
        <f>SUM(E266:E270)</f>
      </c>
      <c r="F271" s="229">
        <f>SUM(F266:F270)</f>
      </c>
      <c r="G271" s="229">
        <f>SUM(G266:G270)</f>
      </c>
      <c r="H271" s="228">
        <f>SUM(H266:H270)</f>
      </c>
      <c r="I271" s="272">
        <f>SUM(I266:I270)</f>
      </c>
      <c r="J271" s="230">
        <f t="shared" si="283"/>
      </c>
      <c r="K271" s="230">
        <f t="shared" si="343"/>
      </c>
      <c r="L271" s="230">
        <f t="shared" si="162"/>
      </c>
      <c r="M271" s="231">
        <f t="shared" si="223"/>
      </c>
      <c r="N271" s="230">
        <f t="shared" si="72"/>
      </c>
      <c r="O271" s="230">
        <f t="shared" si="102"/>
      </c>
      <c r="P271" s="231">
        <f t="shared" si="373"/>
      </c>
      <c r="Q271" s="231">
        <f t="shared" si="11"/>
      </c>
      <c r="R271" s="231">
        <f t="shared" si="253"/>
      </c>
      <c r="S271" s="231">
        <f t="shared" si="313"/>
      </c>
      <c r="T271" s="229">
        <f t="shared" si="132"/>
      </c>
      <c r="U271" s="231">
        <f>AVERAGE(U266:U270)</f>
      </c>
      <c r="V271" s="228">
        <f>AVERAGE(V266:V270)</f>
      </c>
      <c r="W271" s="230">
        <f t="shared" si="41"/>
      </c>
      <c r="X271" s="229">
        <f>SUM(X266:X270)</f>
      </c>
      <c r="Y271" s="229">
        <f>SUM(Y266:Y270)</f>
      </c>
      <c r="Z271" s="229">
        <f>SUM(Z266:Z270)</f>
      </c>
      <c r="AA271" s="229">
        <f>SUM(AA266:AA270)</f>
      </c>
      <c r="AB271" s="229">
        <f>SUM(AB266:AB270)</f>
      </c>
      <c r="AC271" s="229">
        <f>SUM(AC266:AC270)</f>
      </c>
      <c r="AD271" s="229">
        <f>SUM(AD266:AD270)</f>
      </c>
      <c r="AE271" s="229">
        <f>SUM(AE266:AE270)</f>
      </c>
      <c r="AF271" s="232">
        <f t="shared" si="192"/>
      </c>
      <c r="AG271" s="233"/>
      <c r="AH271" s="233"/>
      <c r="AI271" s="234">
        <f>SUM(AI266:AI270)</f>
      </c>
    </row>
    <row r="272">
      <c r="A272" s="211"/>
      <c r="B272" s="212" t="s">
        <v>178</v>
      </c>
      <c r="C272" s="235" t="s">
        <v>167</v>
      </c>
      <c r="D272" s="236">
        <v>1597.74</v>
      </c>
      <c r="E272" s="237">
        <v>3</v>
      </c>
      <c r="F272" s="237">
        <v>2</v>
      </c>
      <c r="G272" s="238">
        <v>2</v>
      </c>
      <c r="H272" s="239">
        <v>1307.9000000000015</v>
      </c>
      <c r="I272" s="273">
        <v>1</v>
      </c>
      <c r="J272" s="240">
        <f t="shared" si="283"/>
      </c>
      <c r="K272" s="240">
        <f t="shared" si="343"/>
      </c>
      <c r="L272" s="240">
        <f t="shared" si="162"/>
      </c>
      <c r="M272" s="241">
        <f t="shared" si="223"/>
      </c>
      <c r="N272" s="240">
        <f t="shared" si="72"/>
      </c>
      <c r="O272" s="240">
        <f t="shared" si="102"/>
      </c>
      <c r="P272" s="241">
        <f t="shared" si="373"/>
      </c>
      <c r="Q272" s="241">
        <f t="shared" si="11"/>
      </c>
      <c r="R272" s="241">
        <f t="shared" si="253"/>
      </c>
      <c r="S272" s="241">
        <f t="shared" si="313"/>
      </c>
      <c r="T272" s="242">
        <f t="shared" si="132"/>
      </c>
      <c r="U272" s="243">
        <v>0.0348</v>
      </c>
      <c r="V272" s="244">
        <v>53</v>
      </c>
      <c r="W272" s="240">
        <f t="shared" si="41"/>
      </c>
      <c r="X272" s="242">
        <v>10082</v>
      </c>
      <c r="Y272" s="242">
        <v>433</v>
      </c>
      <c r="Z272" s="242">
        <v>59</v>
      </c>
      <c r="AA272" s="242">
        <v>567</v>
      </c>
      <c r="AB272" s="242">
        <v>47</v>
      </c>
      <c r="AC272" s="242">
        <v>5</v>
      </c>
      <c r="AD272" s="242">
        <v>0</v>
      </c>
      <c r="AE272" s="242">
        <v>10</v>
      </c>
      <c r="AF272" s="240">
        <f t="shared" si="192"/>
      </c>
      <c r="AG272" s="222" t="s">
        <v>159</v>
      </c>
      <c r="AH272" s="223" t="s">
        <v>184</v>
      </c>
      <c r="AI272" s="244">
        <v>20</v>
      </c>
    </row>
    <row r="273">
      <c r="A273" s="211"/>
      <c r="B273" s="212" t="s">
        <v>178</v>
      </c>
      <c r="C273" s="245" t="s">
        <v>168</v>
      </c>
      <c r="D273" s="246">
        <v>904.34</v>
      </c>
      <c r="E273" s="247">
        <v>2</v>
      </c>
      <c r="F273" s="247">
        <v>1</v>
      </c>
      <c r="G273" s="247">
        <v>1</v>
      </c>
      <c r="H273" s="239">
        <v>451</v>
      </c>
      <c r="I273" s="273">
        <v>0</v>
      </c>
      <c r="J273" s="240">
        <f t="shared" si="283"/>
      </c>
      <c r="K273" s="240">
        <f t="shared" si="343"/>
      </c>
      <c r="L273" s="240">
        <f t="shared" si="162"/>
      </c>
      <c r="M273" s="241">
        <f t="shared" si="223"/>
      </c>
      <c r="N273" s="240">
        <f t="shared" si="72"/>
      </c>
      <c r="O273" s="240">
        <f t="shared" si="102"/>
      </c>
      <c r="P273" s="241">
        <f t="shared" si="373"/>
      </c>
      <c r="Q273" s="241">
        <f t="shared" si="11"/>
      </c>
      <c r="R273" s="241">
        <f t="shared" si="253"/>
      </c>
      <c r="S273" s="241">
        <f t="shared" si="313"/>
      </c>
      <c r="T273" s="242">
        <f t="shared" si="132"/>
      </c>
      <c r="U273" s="243">
        <v>0.0271</v>
      </c>
      <c r="V273" s="244">
        <v>52</v>
      </c>
      <c r="W273" s="240">
        <f t="shared" si="41"/>
      </c>
      <c r="X273" s="242">
        <v>5415</v>
      </c>
      <c r="Y273" s="242">
        <v>300</v>
      </c>
      <c r="Z273" s="242">
        <v>31</v>
      </c>
      <c r="AA273" s="242">
        <v>389</v>
      </c>
      <c r="AB273" s="242">
        <v>32</v>
      </c>
      <c r="AC273" s="242">
        <v>2</v>
      </c>
      <c r="AD273" s="242">
        <v>0</v>
      </c>
      <c r="AE273" s="242">
        <v>5</v>
      </c>
      <c r="AF273" s="240">
        <f t="shared" si="192"/>
      </c>
      <c r="AG273" s="222" t="s">
        <v>159</v>
      </c>
      <c r="AH273" s="223" t="s">
        <v>184</v>
      </c>
      <c r="AI273" s="244">
        <v>14</v>
      </c>
    </row>
    <row r="274">
      <c r="A274" s="211"/>
      <c r="B274" s="212" t="s">
        <v>178</v>
      </c>
      <c r="C274" s="235" t="s">
        <v>169</v>
      </c>
      <c r="D274" s="236">
        <v>648.81</v>
      </c>
      <c r="E274" s="247">
        <v>5</v>
      </c>
      <c r="F274" s="247">
        <v>4</v>
      </c>
      <c r="G274" s="247">
        <v>4</v>
      </c>
      <c r="H274" s="236">
        <v>4808.0999999999985</v>
      </c>
      <c r="I274" s="238">
        <v>2</v>
      </c>
      <c r="J274" s="240">
        <f t="shared" si="283"/>
      </c>
      <c r="K274" s="240">
        <f t="shared" si="343"/>
      </c>
      <c r="L274" s="240">
        <f t="shared" si="162"/>
      </c>
      <c r="M274" s="241">
        <f t="shared" si="223"/>
      </c>
      <c r="N274" s="240">
        <f t="shared" si="72"/>
      </c>
      <c r="O274" s="240">
        <f t="shared" si="102"/>
      </c>
      <c r="P274" s="241">
        <f t="shared" si="373"/>
      </c>
      <c r="Q274" s="241">
        <f t="shared" si="11"/>
      </c>
      <c r="R274" s="241">
        <f t="shared" si="253"/>
      </c>
      <c r="S274" s="241">
        <f t="shared" si="313"/>
      </c>
      <c r="T274" s="242">
        <f t="shared" si="132"/>
      </c>
      <c r="U274" s="243">
        <v>0.0216</v>
      </c>
      <c r="V274" s="244">
        <v>52</v>
      </c>
      <c r="W274" s="240">
        <f t="shared" si="41"/>
      </c>
      <c r="X274" s="242">
        <v>3627</v>
      </c>
      <c r="Y274" s="242">
        <v>261</v>
      </c>
      <c r="Z274" s="242">
        <v>21</v>
      </c>
      <c r="AA274" s="242">
        <v>357</v>
      </c>
      <c r="AB274" s="242">
        <v>39</v>
      </c>
      <c r="AC274" s="242">
        <v>0</v>
      </c>
      <c r="AD274" s="242">
        <v>0</v>
      </c>
      <c r="AE274" s="244">
        <v>2</v>
      </c>
      <c r="AF274" s="240">
        <f t="shared" si="192"/>
      </c>
      <c r="AG274" s="222" t="s">
        <v>159</v>
      </c>
      <c r="AH274" s="223" t="s">
        <v>184</v>
      </c>
      <c r="AI274" s="244">
        <v>12</v>
      </c>
    </row>
    <row r="275">
      <c r="A275" s="211"/>
      <c r="B275" s="212" t="s">
        <v>178</v>
      </c>
      <c r="C275" s="248" t="s">
        <v>170</v>
      </c>
      <c r="D275" s="236">
        <v>1122.91</v>
      </c>
      <c r="E275" s="238">
        <v>2</v>
      </c>
      <c r="F275" s="238">
        <v>1</v>
      </c>
      <c r="G275" s="238">
        <v>1</v>
      </c>
      <c r="H275" s="236">
        <v>451</v>
      </c>
      <c r="I275" s="238">
        <v>0</v>
      </c>
      <c r="J275" s="240">
        <f t="shared" si="283"/>
      </c>
      <c r="K275" s="240">
        <f t="shared" si="343"/>
      </c>
      <c r="L275" s="240">
        <f t="shared" si="162"/>
      </c>
      <c r="M275" s="241">
        <f t="shared" si="223"/>
      </c>
      <c r="N275" s="240">
        <f t="shared" si="72"/>
      </c>
      <c r="O275" s="240">
        <f t="shared" si="102"/>
      </c>
      <c r="P275" s="241">
        <f t="shared" si="373"/>
      </c>
      <c r="Q275" s="241">
        <f t="shared" si="11"/>
      </c>
      <c r="R275" s="241">
        <f t="shared" si="253"/>
      </c>
      <c r="S275" s="241">
        <f t="shared" si="313"/>
      </c>
      <c r="T275" s="242">
        <f t="shared" si="132"/>
      </c>
      <c r="U275" s="243">
        <v>0.0266</v>
      </c>
      <c r="V275" s="244">
        <v>50</v>
      </c>
      <c r="W275" s="240">
        <f t="shared" si="41"/>
      </c>
      <c r="X275" s="242">
        <v>5165</v>
      </c>
      <c r="Y275" s="242">
        <v>269</v>
      </c>
      <c r="Z275" s="242">
        <v>32</v>
      </c>
      <c r="AA275" s="242">
        <v>375</v>
      </c>
      <c r="AB275" s="242">
        <v>26</v>
      </c>
      <c r="AC275" s="242">
        <v>3</v>
      </c>
      <c r="AD275" s="242">
        <v>0</v>
      </c>
      <c r="AE275" s="242">
        <v>3</v>
      </c>
      <c r="AF275" s="240">
        <f t="shared" si="192"/>
      </c>
      <c r="AG275" s="222" t="s">
        <v>159</v>
      </c>
      <c r="AH275" s="223" t="s">
        <v>184</v>
      </c>
      <c r="AI275" s="244">
        <v>14</v>
      </c>
    </row>
    <row r="276">
      <c r="A276" s="211"/>
      <c r="B276" s="249" t="s">
        <v>165</v>
      </c>
      <c r="C276" s="249"/>
      <c r="D276" s="250">
        <f>SUM(D272:D275)</f>
      </c>
      <c r="E276" s="251">
        <f>SUM(E272:E275)</f>
      </c>
      <c r="F276" s="251">
        <f>SUM(F272:F275)</f>
      </c>
      <c r="G276" s="251">
        <f>SUM(G272:G275)</f>
      </c>
      <c r="H276" s="250">
        <f>SUM(H272:H275)</f>
      </c>
      <c r="I276" s="272">
        <f>SUM(I272:I275)</f>
      </c>
      <c r="J276" s="252">
        <f t="shared" si="283"/>
      </c>
      <c r="K276" s="252">
        <f t="shared" si="343"/>
      </c>
      <c r="L276" s="252">
        <f t="shared" si="162"/>
      </c>
      <c r="M276" s="253">
        <f t="shared" si="223"/>
      </c>
      <c r="N276" s="252">
        <f t="shared" si="72"/>
      </c>
      <c r="O276" s="252">
        <f t="shared" si="102"/>
      </c>
      <c r="P276" s="253">
        <f t="shared" si="373"/>
      </c>
      <c r="Q276" s="253">
        <f t="shared" si="11"/>
      </c>
      <c r="R276" s="253">
        <f t="shared" si="253"/>
      </c>
      <c r="S276" s="253">
        <f t="shared" si="313"/>
      </c>
      <c r="T276" s="254">
        <f t="shared" si="132"/>
      </c>
      <c r="U276" s="253">
        <f>AVERAGE(U272:U275)</f>
      </c>
      <c r="V276" s="250">
        <f>AVERAGE(V272:V275)</f>
      </c>
      <c r="W276" s="252">
        <f t="shared" si="41"/>
      </c>
      <c r="X276" s="254">
        <f>SUM(X272:X275)</f>
      </c>
      <c r="Y276" s="254">
        <f>SUM(Y272:Y275)</f>
      </c>
      <c r="Z276" s="254">
        <f>SUM(Z272:Z275)</f>
      </c>
      <c r="AA276" s="254">
        <f>SUM(AA272:AA275)</f>
      </c>
      <c r="AB276" s="254">
        <f>SUM(AB272:AB275)</f>
      </c>
      <c r="AC276" s="254">
        <f>SUM(AC272:AC275)</f>
      </c>
      <c r="AD276" s="254">
        <f>SUM(AD272:AD275)</f>
      </c>
      <c r="AE276" s="254">
        <f>SUM(AE272:AE275)</f>
      </c>
      <c r="AF276" s="255">
        <f t="shared" si="192"/>
      </c>
      <c r="AG276" s="256"/>
      <c r="AH276" s="256"/>
      <c r="AI276" s="257">
        <f>SUM(AI272:AI275)</f>
      </c>
    </row>
    <row r="277">
      <c r="A277" s="211"/>
      <c r="B277" s="248" t="s">
        <v>186</v>
      </c>
      <c r="C277" s="235" t="s">
        <v>172</v>
      </c>
      <c r="D277" s="212">
        <v>1424.28</v>
      </c>
      <c r="E277" s="215">
        <v>2</v>
      </c>
      <c r="F277" s="215">
        <v>2</v>
      </c>
      <c r="G277" s="215">
        <v>1</v>
      </c>
      <c r="H277" s="215">
        <v>1307.8999999999996</v>
      </c>
      <c r="I277" s="215">
        <v>1</v>
      </c>
      <c r="J277" s="217">
        <f t="shared" si="283"/>
      </c>
      <c r="K277" s="217">
        <f t="shared" si="343"/>
      </c>
      <c r="L277" s="217">
        <f t="shared" si="162"/>
      </c>
      <c r="M277" s="218">
        <f t="shared" si="223"/>
      </c>
      <c r="N277" s="217">
        <f t="shared" si="72"/>
      </c>
      <c r="O277" s="217">
        <f t="shared" si="102"/>
      </c>
      <c r="P277" s="218">
        <f t="shared" si="373"/>
      </c>
      <c r="Q277" s="218">
        <f t="shared" si="11"/>
      </c>
      <c r="R277" s="218">
        <f t="shared" si="253"/>
      </c>
      <c r="S277" s="218">
        <f t="shared" si="313"/>
      </c>
      <c r="T277" s="219">
        <f t="shared" si="132"/>
      </c>
      <c r="U277" s="220">
        <v>0.0417</v>
      </c>
      <c r="V277" s="221">
        <v>50</v>
      </c>
      <c r="W277" s="217">
        <f t="shared" si="41"/>
      </c>
      <c r="X277" s="221">
        <v>7354</v>
      </c>
      <c r="Y277" s="221">
        <v>265</v>
      </c>
      <c r="Z277" s="219">
        <v>47</v>
      </c>
      <c r="AA277" s="219">
        <v>333</v>
      </c>
      <c r="AB277" s="219">
        <v>19</v>
      </c>
      <c r="AC277" s="219">
        <v>2</v>
      </c>
      <c r="AD277" s="221">
        <v>1</v>
      </c>
      <c r="AE277" s="221">
        <v>12</v>
      </c>
      <c r="AF277" s="217">
        <f t="shared" si="192"/>
      </c>
      <c r="AG277" s="222" t="s">
        <v>173</v>
      </c>
      <c r="AH277" s="223" t="s">
        <v>187</v>
      </c>
      <c r="AI277" s="221">
        <v>16</v>
      </c>
    </row>
    <row r="278">
      <c r="A278" s="211"/>
      <c r="B278" s="248" t="s">
        <v>186</v>
      </c>
      <c r="C278" s="245" t="s">
        <v>175</v>
      </c>
      <c r="D278" s="212">
        <v>747.18</v>
      </c>
      <c r="E278" s="215">
        <v>1</v>
      </c>
      <c r="F278" s="215">
        <v>1</v>
      </c>
      <c r="G278" s="215">
        <v>1</v>
      </c>
      <c r="H278" s="214">
        <v>451.0000000000018</v>
      </c>
      <c r="I278" s="215">
        <v>0</v>
      </c>
      <c r="J278" s="217">
        <f t="shared" si="283"/>
      </c>
      <c r="K278" s="217">
        <f t="shared" si="343"/>
      </c>
      <c r="L278" s="217">
        <f t="shared" si="162"/>
      </c>
      <c r="M278" s="218">
        <f t="shared" si="223"/>
      </c>
      <c r="N278" s="217">
        <f t="shared" si="72"/>
      </c>
      <c r="O278" s="217">
        <f t="shared" si="102"/>
      </c>
      <c r="P278" s="218">
        <f t="shared" si="373"/>
      </c>
      <c r="Q278" s="218">
        <f t="shared" si="11"/>
      </c>
      <c r="R278" s="218">
        <f t="shared" si="253"/>
      </c>
      <c r="S278" s="218">
        <f t="shared" si="313"/>
      </c>
      <c r="T278" s="219">
        <f t="shared" si="132"/>
      </c>
      <c r="U278" s="220">
        <v>0.0272</v>
      </c>
      <c r="V278" s="221">
        <v>50</v>
      </c>
      <c r="W278" s="217">
        <f t="shared" si="41"/>
      </c>
      <c r="X278" s="219">
        <v>4376</v>
      </c>
      <c r="Y278" s="219">
        <v>207</v>
      </c>
      <c r="Z278" s="219">
        <v>25</v>
      </c>
      <c r="AA278" s="219">
        <v>290</v>
      </c>
      <c r="AB278" s="219">
        <v>19</v>
      </c>
      <c r="AC278" s="219">
        <v>4</v>
      </c>
      <c r="AD278" s="219">
        <v>1</v>
      </c>
      <c r="AE278" s="221">
        <v>3</v>
      </c>
      <c r="AF278" s="217">
        <f t="shared" si="192"/>
      </c>
      <c r="AG278" s="222" t="s">
        <v>173</v>
      </c>
      <c r="AH278" s="223" t="s">
        <v>187</v>
      </c>
      <c r="AI278" s="221">
        <v>15</v>
      </c>
    </row>
    <row r="279">
      <c r="A279" s="211"/>
      <c r="B279" s="248" t="s">
        <v>186</v>
      </c>
      <c r="C279" s="235" t="s">
        <v>176</v>
      </c>
      <c r="D279" s="212">
        <v>856.33</v>
      </c>
      <c r="E279" s="215">
        <v>6</v>
      </c>
      <c r="F279" s="215">
        <v>3</v>
      </c>
      <c r="G279" s="215">
        <v>2</v>
      </c>
      <c r="H279" s="214">
        <v>3924.7999999999993</v>
      </c>
      <c r="I279" s="215">
        <v>1</v>
      </c>
      <c r="J279" s="217">
        <f t="shared" si="283"/>
      </c>
      <c r="K279" s="217">
        <f t="shared" si="343"/>
      </c>
      <c r="L279" s="217">
        <f t="shared" si="162"/>
      </c>
      <c r="M279" s="218">
        <f t="shared" si="223"/>
      </c>
      <c r="N279" s="217">
        <f t="shared" si="72"/>
      </c>
      <c r="O279" s="217">
        <f t="shared" si="102"/>
      </c>
      <c r="P279" s="218">
        <f t="shared" si="373"/>
      </c>
      <c r="Q279" s="218">
        <f t="shared" si="11"/>
      </c>
      <c r="R279" s="218">
        <f t="shared" si="253"/>
      </c>
      <c r="S279" s="218">
        <f t="shared" si="313"/>
      </c>
      <c r="T279" s="219">
        <f t="shared" si="132"/>
      </c>
      <c r="U279" s="220">
        <v>0.0201</v>
      </c>
      <c r="V279" s="221">
        <v>51</v>
      </c>
      <c r="W279" s="217">
        <f t="shared" si="41"/>
      </c>
      <c r="X279" s="221">
        <v>4729</v>
      </c>
      <c r="Y279" s="221">
        <v>314</v>
      </c>
      <c r="Z279" s="221">
        <v>30</v>
      </c>
      <c r="AA279" s="221">
        <v>414</v>
      </c>
      <c r="AB279" s="221">
        <v>19</v>
      </c>
      <c r="AC279" s="221">
        <v>2</v>
      </c>
      <c r="AD279" s="221">
        <v>0</v>
      </c>
      <c r="AE279" s="221">
        <v>7</v>
      </c>
      <c r="AF279" s="217">
        <f t="shared" si="192"/>
      </c>
      <c r="AG279" s="222" t="s">
        <v>173</v>
      </c>
      <c r="AH279" s="223" t="s">
        <v>187</v>
      </c>
      <c r="AI279" s="221">
        <v>11</v>
      </c>
    </row>
    <row r="280">
      <c r="A280" s="211"/>
      <c r="B280" s="248" t="s">
        <v>186</v>
      </c>
      <c r="C280" s="235" t="s">
        <v>177</v>
      </c>
      <c r="D280" s="212">
        <v>1303.19</v>
      </c>
      <c r="E280" s="215">
        <v>2</v>
      </c>
      <c r="F280" s="215">
        <v>1</v>
      </c>
      <c r="G280" s="215">
        <v>1</v>
      </c>
      <c r="H280" s="214">
        <v>451</v>
      </c>
      <c r="I280" s="215">
        <v>0</v>
      </c>
      <c r="J280" s="217">
        <f t="shared" si="283"/>
      </c>
      <c r="K280" s="217">
        <f t="shared" si="343"/>
      </c>
      <c r="L280" s="217">
        <f t="shared" si="162"/>
      </c>
      <c r="M280" s="218">
        <f t="shared" si="223"/>
      </c>
      <c r="N280" s="217">
        <f t="shared" si="72"/>
      </c>
      <c r="O280" s="217">
        <f t="shared" si="102"/>
      </c>
      <c r="P280" s="218">
        <f t="shared" si="373"/>
      </c>
      <c r="Q280" s="218">
        <f t="shared" si="11"/>
      </c>
      <c r="R280" s="218">
        <f t="shared" si="253"/>
      </c>
      <c r="S280" s="218">
        <f t="shared" si="313"/>
      </c>
      <c r="T280" s="219">
        <f t="shared" si="132"/>
      </c>
      <c r="U280" s="220">
        <v>0.0111</v>
      </c>
      <c r="V280" s="221">
        <v>50</v>
      </c>
      <c r="W280" s="217">
        <f t="shared" si="41"/>
      </c>
      <c r="X280" s="221">
        <v>6840</v>
      </c>
      <c r="Y280" s="221">
        <v>448</v>
      </c>
      <c r="Z280" s="219">
        <v>22</v>
      </c>
      <c r="AA280" s="219">
        <v>591</v>
      </c>
      <c r="AB280" s="219">
        <v>38</v>
      </c>
      <c r="AC280" s="219">
        <v>4</v>
      </c>
      <c r="AD280" s="221">
        <v>2</v>
      </c>
      <c r="AE280" s="221">
        <v>11</v>
      </c>
      <c r="AF280" s="217">
        <f t="shared" si="192"/>
      </c>
      <c r="AG280" s="222" t="s">
        <v>173</v>
      </c>
      <c r="AH280" s="223" t="s">
        <v>187</v>
      </c>
      <c r="AI280" s="221">
        <v>16</v>
      </c>
    </row>
    <row r="281">
      <c r="A281" s="211"/>
      <c r="B281" s="227" t="s">
        <v>165</v>
      </c>
      <c r="C281" s="227"/>
      <c r="D281" s="259">
        <f>SUM(D277:D280)</f>
      </c>
      <c r="E281" s="260">
        <f>SUM(E277:E280)</f>
      </c>
      <c r="F281" s="260">
        <f>SUM(F277:F280)</f>
      </c>
      <c r="G281" s="260">
        <f>SUM(G277:G280)</f>
      </c>
      <c r="H281" s="259">
        <f>SUM(H277:H280)</f>
      </c>
      <c r="I281" s="272">
        <f>SUM(I277:I280)</f>
      </c>
      <c r="J281" s="230">
        <f t="shared" si="283"/>
      </c>
      <c r="K281" s="230">
        <f t="shared" si="343"/>
      </c>
      <c r="L281" s="230">
        <f t="shared" si="162"/>
      </c>
      <c r="M281" s="231">
        <f t="shared" si="223"/>
      </c>
      <c r="N281" s="230">
        <f t="shared" si="72"/>
      </c>
      <c r="O281" s="230">
        <f t="shared" si="102"/>
      </c>
      <c r="P281" s="231">
        <f t="shared" si="373"/>
      </c>
      <c r="Q281" s="231">
        <f t="shared" si="11"/>
      </c>
      <c r="R281" s="231">
        <f t="shared" si="253"/>
      </c>
      <c r="S281" s="231">
        <f t="shared" si="313"/>
      </c>
      <c r="T281" s="229">
        <f t="shared" si="132"/>
      </c>
      <c r="U281" s="231">
        <f>AVERAGE(U277:U280)</f>
      </c>
      <c r="V281" s="228">
        <f>AVERAGE(V277:V280)</f>
      </c>
      <c r="W281" s="230">
        <f t="shared" si="41"/>
      </c>
      <c r="X281" s="229">
        <f>SUM(X277:X280)</f>
      </c>
      <c r="Y281" s="229">
        <f>SUM(Y277:Y280)</f>
      </c>
      <c r="Z281" s="229">
        <f>SUM(Z277:Z280)</f>
      </c>
      <c r="AA281" s="229">
        <f>SUM(AA277:AA280)</f>
      </c>
      <c r="AB281" s="229">
        <f>SUM(AB277:AB280)</f>
      </c>
      <c r="AC281" s="229">
        <f>SUM(AC277:AC280)</f>
      </c>
      <c r="AD281" s="229">
        <f>SUM(AD277:AD280)</f>
      </c>
      <c r="AE281" s="229">
        <f>SUM(AE277:AE280)</f>
      </c>
      <c r="AF281" s="232">
        <f t="shared" si="192"/>
      </c>
      <c r="AG281" s="233"/>
      <c r="AH281" s="233"/>
      <c r="AI281" s="229">
        <f>SUM(AI277:AI280)</f>
      </c>
    </row>
    <row r="282">
      <c r="A282" s="211"/>
      <c r="B282" s="248" t="s">
        <v>171</v>
      </c>
      <c r="C282" s="248" t="s">
        <v>179</v>
      </c>
      <c r="D282" s="261">
        <v>1392.8</v>
      </c>
      <c r="E282" s="237">
        <v>5</v>
      </c>
      <c r="F282" s="237">
        <v>3</v>
      </c>
      <c r="G282" s="238">
        <v>3</v>
      </c>
      <c r="H282" s="239">
        <v>1353</v>
      </c>
      <c r="I282" s="273">
        <v>0</v>
      </c>
      <c r="J282" s="240">
        <f t="shared" si="283"/>
      </c>
      <c r="K282" s="240">
        <f t="shared" si="343"/>
      </c>
      <c r="L282" s="240">
        <f t="shared" si="162"/>
      </c>
      <c r="M282" s="241">
        <f t="shared" si="223"/>
      </c>
      <c r="N282" s="240">
        <f t="shared" si="72"/>
      </c>
      <c r="O282" s="240">
        <f t="shared" si="102"/>
      </c>
      <c r="P282" s="241">
        <f t="shared" si="373"/>
      </c>
      <c r="Q282" s="241">
        <f t="shared" si="11"/>
      </c>
      <c r="R282" s="241">
        <f t="shared" si="253"/>
      </c>
      <c r="S282" s="241">
        <f t="shared" si="313"/>
      </c>
      <c r="T282" s="242">
        <f t="shared" si="132"/>
      </c>
      <c r="U282" s="243">
        <v>0.0161</v>
      </c>
      <c r="V282" s="244">
        <v>48</v>
      </c>
      <c r="W282" s="240">
        <f t="shared" si="41"/>
      </c>
      <c r="X282" s="242">
        <v>7603</v>
      </c>
      <c r="Y282" s="242">
        <v>603</v>
      </c>
      <c r="Z282" s="242">
        <v>49</v>
      </c>
      <c r="AA282" s="242">
        <v>777</v>
      </c>
      <c r="AB282" s="242">
        <v>55</v>
      </c>
      <c r="AC282" s="242">
        <v>4</v>
      </c>
      <c r="AD282" s="242">
        <v>0</v>
      </c>
      <c r="AE282" s="242">
        <v>3</v>
      </c>
      <c r="AF282" s="240">
        <f t="shared" si="192"/>
      </c>
      <c r="AG282" s="222" t="s">
        <v>173</v>
      </c>
      <c r="AH282" s="223" t="s">
        <v>187</v>
      </c>
      <c r="AI282" s="244">
        <v>17</v>
      </c>
    </row>
    <row r="283">
      <c r="A283" s="211"/>
      <c r="B283" s="248" t="s">
        <v>171</v>
      </c>
      <c r="C283" s="248" t="s">
        <v>180</v>
      </c>
      <c r="D283" s="262">
        <v>1440.79</v>
      </c>
      <c r="E283" s="247">
        <v>3</v>
      </c>
      <c r="F283" s="247">
        <v>3</v>
      </c>
      <c r="G283" s="247">
        <v>2</v>
      </c>
      <c r="H283" s="263">
        <v>3594.7999999999993</v>
      </c>
      <c r="I283" s="273">
        <v>1</v>
      </c>
      <c r="J283" s="240">
        <f t="shared" si="283"/>
      </c>
      <c r="K283" s="240">
        <f t="shared" si="343"/>
      </c>
      <c r="L283" s="240">
        <f t="shared" si="162"/>
      </c>
      <c r="M283" s="241">
        <f t="shared" si="223"/>
      </c>
      <c r="N283" s="240">
        <f t="shared" si="72"/>
      </c>
      <c r="O283" s="240">
        <f t="shared" si="102"/>
      </c>
      <c r="P283" s="241">
        <f t="shared" si="373"/>
      </c>
      <c r="Q283" s="241">
        <f t="shared" si="11"/>
      </c>
      <c r="R283" s="241">
        <f t="shared" si="253"/>
      </c>
      <c r="S283" s="241">
        <f t="shared" si="313"/>
      </c>
      <c r="T283" s="242">
        <f t="shared" si="132"/>
      </c>
      <c r="U283" s="243">
        <v>0.0107</v>
      </c>
      <c r="V283" s="244">
        <v>47</v>
      </c>
      <c r="W283" s="240">
        <f t="shared" si="41"/>
      </c>
      <c r="X283" s="242">
        <v>7935</v>
      </c>
      <c r="Y283" s="242">
        <v>783</v>
      </c>
      <c r="Z283" s="242">
        <v>37</v>
      </c>
      <c r="AA283" s="242">
        <v>946</v>
      </c>
      <c r="AB283" s="242">
        <v>49</v>
      </c>
      <c r="AC283" s="242">
        <v>8</v>
      </c>
      <c r="AD283" s="242">
        <v>1</v>
      </c>
      <c r="AE283" s="242">
        <v>1</v>
      </c>
      <c r="AF283" s="240">
        <f t="shared" si="192"/>
      </c>
      <c r="AG283" s="222" t="s">
        <v>173</v>
      </c>
      <c r="AH283" s="223" t="s">
        <v>187</v>
      </c>
      <c r="AI283" s="244">
        <v>22</v>
      </c>
    </row>
    <row r="284">
      <c r="A284" s="211"/>
      <c r="B284" s="248" t="s">
        <v>171</v>
      </c>
      <c r="C284" s="248" t="s">
        <v>181</v>
      </c>
      <c r="D284" s="261">
        <v>1234.63</v>
      </c>
      <c r="E284" s="247">
        <v>0</v>
      </c>
      <c r="F284" s="247">
        <v>0</v>
      </c>
      <c r="G284" s="247">
        <v>0</v>
      </c>
      <c r="H284" s="236">
        <v>0</v>
      </c>
      <c r="I284" s="238">
        <v>0</v>
      </c>
      <c r="J284" s="240">
        <f t="shared" si="283"/>
      </c>
      <c r="K284" s="240">
        <f t="shared" si="343"/>
      </c>
      <c r="L284" s="240">
        <f t="shared" si="162"/>
      </c>
      <c r="M284" s="241">
        <f t="shared" si="223"/>
      </c>
      <c r="N284" s="240">
        <f t="shared" si="72"/>
      </c>
      <c r="O284" s="240">
        <f t="shared" si="102"/>
      </c>
      <c r="P284" s="241">
        <f t="shared" si="373"/>
      </c>
      <c r="Q284" s="241">
        <f t="shared" si="11"/>
      </c>
      <c r="R284" s="241">
        <f t="shared" si="253"/>
      </c>
      <c r="S284" s="241">
        <f t="shared" si="313"/>
      </c>
      <c r="T284" s="242">
        <f t="shared" si="132"/>
      </c>
      <c r="U284" s="243">
        <v>0.0164</v>
      </c>
      <c r="V284" s="244">
        <v>47</v>
      </c>
      <c r="W284" s="240">
        <f t="shared" si="41"/>
      </c>
      <c r="X284" s="242">
        <v>6789</v>
      </c>
      <c r="Y284" s="242">
        <v>697</v>
      </c>
      <c r="Z284" s="242">
        <v>43</v>
      </c>
      <c r="AA284" s="242">
        <v>874</v>
      </c>
      <c r="AB284" s="242">
        <v>58</v>
      </c>
      <c r="AC284" s="242">
        <v>8</v>
      </c>
      <c r="AD284" s="242">
        <v>6</v>
      </c>
      <c r="AE284" s="242">
        <v>2</v>
      </c>
      <c r="AF284" s="240">
        <f t="shared" si="192"/>
      </c>
      <c r="AG284" s="222" t="s">
        <v>173</v>
      </c>
      <c r="AH284" s="223" t="s">
        <v>187</v>
      </c>
      <c r="AI284" s="244">
        <v>23</v>
      </c>
    </row>
    <row r="285">
      <c r="A285" s="211"/>
      <c r="B285" s="248" t="s">
        <v>171</v>
      </c>
      <c r="C285" s="248" t="s">
        <v>182</v>
      </c>
      <c r="D285" s="261">
        <v>460.8</v>
      </c>
      <c r="E285" s="238">
        <v>3</v>
      </c>
      <c r="F285" s="238">
        <v>3</v>
      </c>
      <c r="G285" s="238">
        <v>3</v>
      </c>
      <c r="H285" s="261">
        <v>2164.7999999999993</v>
      </c>
      <c r="I285" s="238">
        <v>2</v>
      </c>
      <c r="J285" s="240">
        <f t="shared" si="283"/>
      </c>
      <c r="K285" s="240">
        <f t="shared" si="343"/>
      </c>
      <c r="L285" s="240">
        <f t="shared" si="162"/>
      </c>
      <c r="M285" s="241">
        <f t="shared" si="223"/>
      </c>
      <c r="N285" s="240">
        <f t="shared" si="72"/>
      </c>
      <c r="O285" s="240">
        <f t="shared" si="102"/>
      </c>
      <c r="P285" s="241">
        <f t="shared" si="373"/>
      </c>
      <c r="Q285" s="241">
        <f t="shared" si="11"/>
      </c>
      <c r="R285" s="241">
        <f t="shared" si="253"/>
      </c>
      <c r="S285" s="241">
        <f t="shared" si="313"/>
      </c>
      <c r="T285" s="242">
        <f t="shared" si="132"/>
      </c>
      <c r="U285" s="243">
        <v>0.0311</v>
      </c>
      <c r="V285" s="244">
        <v>47</v>
      </c>
      <c r="W285" s="240">
        <f t="shared" si="41"/>
      </c>
      <c r="X285" s="242">
        <v>3059</v>
      </c>
      <c r="Y285" s="242">
        <v>241</v>
      </c>
      <c r="Z285" s="242">
        <v>29</v>
      </c>
      <c r="AA285" s="242">
        <v>355</v>
      </c>
      <c r="AB285" s="242">
        <v>39</v>
      </c>
      <c r="AC285" s="242">
        <v>2</v>
      </c>
      <c r="AD285" s="242">
        <v>1</v>
      </c>
      <c r="AE285" s="244">
        <v>2</v>
      </c>
      <c r="AF285" s="240">
        <f t="shared" si="192"/>
      </c>
      <c r="AG285" s="222" t="s">
        <v>173</v>
      </c>
      <c r="AH285" s="223" t="s">
        <v>187</v>
      </c>
      <c r="AI285" s="244">
        <v>24</v>
      </c>
    </row>
    <row r="286">
      <c r="A286" s="211"/>
      <c r="B286" s="249" t="s">
        <v>165</v>
      </c>
      <c r="C286" s="249"/>
      <c r="D286" s="250">
        <f>SUM(D282:D285)</f>
      </c>
      <c r="E286" s="251">
        <f>SUM(E282:E285)</f>
      </c>
      <c r="F286" s="251">
        <f>SUM(F282:F285)</f>
      </c>
      <c r="G286" s="251">
        <f>SUM(G282:G285)</f>
      </c>
      <c r="H286" s="250">
        <f>SUM(H282:H285)</f>
      </c>
      <c r="I286" s="272">
        <f>SUM(I282:I285)</f>
      </c>
      <c r="J286" s="252">
        <f t="shared" si="283"/>
      </c>
      <c r="K286" s="252">
        <f t="shared" si="343"/>
      </c>
      <c r="L286" s="252">
        <f t="shared" si="162"/>
      </c>
      <c r="M286" s="253">
        <f t="shared" si="223"/>
      </c>
      <c r="N286" s="252">
        <f t="shared" si="72"/>
      </c>
      <c r="O286" s="252">
        <f t="shared" si="102"/>
      </c>
      <c r="P286" s="253">
        <f t="shared" si="373"/>
      </c>
      <c r="Q286" s="253">
        <f t="shared" si="11"/>
      </c>
      <c r="R286" s="253">
        <f t="shared" si="253"/>
      </c>
      <c r="S286" s="253">
        <f t="shared" si="313"/>
      </c>
      <c r="T286" s="254">
        <f t="shared" si="132"/>
      </c>
      <c r="U286" s="253">
        <f>AVERAGE(U282:U285)</f>
      </c>
      <c r="V286" s="250">
        <f>AVERAGE(V282:V285)</f>
      </c>
      <c r="W286" s="252">
        <f t="shared" si="41"/>
      </c>
      <c r="X286" s="254">
        <f>SUM(X282:X285)</f>
      </c>
      <c r="Y286" s="254">
        <f>SUM(Y282:Y285)</f>
      </c>
      <c r="Z286" s="254">
        <f>SUM(Z282:Z285)</f>
      </c>
      <c r="AA286" s="254">
        <f>SUM(AA282:AA285)</f>
      </c>
      <c r="AB286" s="254">
        <f>SUM(AB282:AB285)</f>
      </c>
      <c r="AC286" s="254">
        <f>SUM(AC282:AC285)</f>
      </c>
      <c r="AD286" s="254">
        <f>SUM(AD282:AD285)</f>
      </c>
      <c r="AE286" s="254">
        <f>SUM(AE282:AE285)</f>
      </c>
      <c r="AF286" s="255">
        <f t="shared" si="192"/>
      </c>
      <c r="AG286" s="256"/>
      <c r="AH286" s="256"/>
      <c r="AI286" s="257">
        <f>SUM(AI282:AI285)</f>
      </c>
    </row>
    <row r="287">
      <c r="A287" s="211"/>
      <c r="B287" s="264" t="s">
        <v>183</v>
      </c>
      <c r="C287" s="264"/>
      <c r="D287" s="265">
        <f>D271+D276+D281+D286</f>
      </c>
      <c r="E287" s="265">
        <f>E271+E276+E281+E286</f>
      </c>
      <c r="F287" s="265">
        <f>F271+F276+F281+F286</f>
      </c>
      <c r="G287" s="265">
        <f>G271+G276+G281+G286</f>
      </c>
      <c r="H287" s="265">
        <f>H271+H276+H281+H286</f>
      </c>
      <c r="I287" s="274">
        <f>I271+I276+I281+I286</f>
      </c>
      <c r="J287" s="266">
        <f t="shared" si="283"/>
      </c>
      <c r="K287" s="267">
        <f t="shared" si="343"/>
      </c>
      <c r="L287" s="267">
        <f t="shared" si="162"/>
      </c>
      <c r="M287" s="268">
        <f t="shared" si="223"/>
      </c>
      <c r="N287" s="267">
        <f t="shared" si="72"/>
      </c>
      <c r="O287" s="267">
        <f t="shared" si="102"/>
      </c>
      <c r="P287" s="268">
        <f t="shared" si="373"/>
      </c>
      <c r="Q287" s="268">
        <f t="shared" si="11"/>
      </c>
      <c r="R287" s="268">
        <f t="shared" si="253"/>
      </c>
      <c r="S287" s="268">
        <f t="shared" si="313"/>
      </c>
      <c r="T287" s="269">
        <f t="shared" si="132"/>
      </c>
      <c r="U287" s="268">
        <f>(U271+U281+U276+U286)/4</f>
      </c>
      <c r="V287" s="267">
        <f>(V271+V281+V276+V286)/4</f>
      </c>
      <c r="W287" s="270">
        <f t="shared" si="41"/>
      </c>
      <c r="X287" s="269">
        <f>X271+X276+X281+X286</f>
      </c>
      <c r="Y287" s="269">
        <f>Y271+Y276+Y281+Y286</f>
      </c>
      <c r="Z287" s="269">
        <f>Z271+Z276+Z281+Z286</f>
      </c>
      <c r="AA287" s="269">
        <f>AA271+AA276+AA281+AA286</f>
      </c>
      <c r="AB287" s="269">
        <f>AB271+AB276+AB281+AB286</f>
      </c>
      <c r="AC287" s="269">
        <f>AC271+AC276+AC281+AC286</f>
      </c>
      <c r="AD287" s="269">
        <f>AD271+AD276+AD281+AD286</f>
      </c>
      <c r="AE287" s="269">
        <f>AE271+AE276+AE281+AE286</f>
      </c>
      <c r="AF287" s="267">
        <f>AF271</f>
      </c>
      <c r="AG287" s="264"/>
      <c r="AH287" s="264"/>
      <c r="AI287" s="269">
        <f>AI271+AI276+AI281+AI286</f>
      </c>
    </row>
    <row r="288">
      <c r="A288" s="193" t="s">
        <v>120</v>
      </c>
      <c r="B288" s="194" t="s">
        <v>121</v>
      </c>
      <c r="C288" s="194"/>
      <c r="D288" s="195" t="s">
        <v>122</v>
      </c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6" t="s">
        <v>123</v>
      </c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7"/>
    </row>
    <row r="289">
      <c r="A289" s="193"/>
      <c r="B289" s="194" t="s">
        <v>124</v>
      </c>
      <c r="C289" s="198" t="s">
        <v>125</v>
      </c>
      <c r="D289" s="199" t="s">
        <v>126</v>
      </c>
      <c r="E289" s="200" t="s">
        <v>127</v>
      </c>
      <c r="F289" s="201" t="s">
        <v>128</v>
      </c>
      <c r="G289" s="201" t="s">
        <v>129</v>
      </c>
      <c r="H289" s="199" t="s">
        <v>130</v>
      </c>
      <c r="I289" s="271" t="s">
        <v>189</v>
      </c>
      <c r="J289" s="202" t="s">
        <v>131</v>
      </c>
      <c r="K289" s="202" t="s">
        <v>132</v>
      </c>
      <c r="L289" s="202" t="s">
        <v>133</v>
      </c>
      <c r="M289" s="203" t="s">
        <v>134</v>
      </c>
      <c r="N289" s="202" t="s">
        <v>135</v>
      </c>
      <c r="O289" s="204" t="s">
        <v>136</v>
      </c>
      <c r="P289" s="205" t="s">
        <v>137</v>
      </c>
      <c r="Q289" s="205" t="s">
        <v>138</v>
      </c>
      <c r="R289" s="205" t="s">
        <v>139</v>
      </c>
      <c r="S289" s="205" t="s">
        <v>140</v>
      </c>
      <c r="T289" s="206" t="s">
        <v>141</v>
      </c>
      <c r="U289" s="207" t="s">
        <v>142</v>
      </c>
      <c r="V289" s="208" t="s">
        <v>143</v>
      </c>
      <c r="W289" s="196" t="s">
        <v>144</v>
      </c>
      <c r="X289" s="209" t="s">
        <v>145</v>
      </c>
      <c r="Y289" s="209" t="s">
        <v>146</v>
      </c>
      <c r="Z289" s="209" t="s">
        <v>147</v>
      </c>
      <c r="AA289" s="209" t="s">
        <v>148</v>
      </c>
      <c r="AB289" s="209" t="s">
        <v>149</v>
      </c>
      <c r="AC289" s="209" t="s">
        <v>150</v>
      </c>
      <c r="AD289" s="209" t="s">
        <v>151</v>
      </c>
      <c r="AE289" s="209" t="s">
        <v>152</v>
      </c>
      <c r="AF289" s="196" t="s">
        <v>153</v>
      </c>
      <c r="AG289" s="210" t="s">
        <v>154</v>
      </c>
      <c r="AH289" s="210" t="s">
        <v>155</v>
      </c>
      <c r="AI289" s="197" t="s">
        <v>156</v>
      </c>
    </row>
    <row r="290">
      <c r="A290" s="211">
        <v>46186</v>
      </c>
      <c r="B290" s="212" t="s">
        <v>166</v>
      </c>
      <c r="C290" s="213" t="s">
        <v>158</v>
      </c>
      <c r="D290" s="214">
        <v>2510.34</v>
      </c>
      <c r="E290" s="215">
        <v>2</v>
      </c>
      <c r="F290" s="215">
        <v>1</v>
      </c>
      <c r="G290" s="215">
        <v>1</v>
      </c>
      <c r="H290" s="214">
        <v>451</v>
      </c>
      <c r="I290" s="215">
        <v>0</v>
      </c>
      <c r="J290" s="216">
        <f t="shared" ref="J290:J311" si="284">H290/D290</f>
      </c>
      <c r="K290" s="217">
        <f t="shared" ref="K290:K311" si="344">D290/F290</f>
      </c>
      <c r="L290" s="217">
        <f t="shared" ref="L290:L311" si="163">D290/G290</f>
      </c>
      <c r="M290" s="218">
        <f t="shared" ref="M290:M311" si="224">F290/E290</f>
      </c>
      <c r="N290" s="217">
        <f t="shared" ref="N290:N311" si="73">H290/F290</f>
      </c>
      <c r="O290" s="217">
        <f t="shared" ref="O290:O311" si="103">D290/Y290</f>
      </c>
      <c r="P290" s="218">
        <f t="shared" ref="P290:P311" si="374">T290/X290*1</f>
      </c>
      <c r="Q290" s="218">
        <f t="shared" ref="Q290:Q311" si="12">Y290/X290</f>
      </c>
      <c r="R290" s="218">
        <f t="shared" ref="R290:R311" si="254">AA290/X290</f>
      </c>
      <c r="S290" s="218">
        <f t="shared" ref="S290:S311" si="314">AB290/AA290</f>
      </c>
      <c r="T290" s="219">
        <f t="shared" ref="T290:T311" si="133">Z290/U290</f>
      </c>
      <c r="U290" s="220">
        <v>0.0345</v>
      </c>
      <c r="V290" s="221">
        <v>35</v>
      </c>
      <c r="W290" s="217">
        <f t="shared" ref="W290:W311" si="42">(D290/X290)*1000</f>
      </c>
      <c r="X290" s="221">
        <v>15519</v>
      </c>
      <c r="Y290" s="221">
        <v>639</v>
      </c>
      <c r="Z290" s="219">
        <v>72</v>
      </c>
      <c r="AA290" s="219">
        <v>954</v>
      </c>
      <c r="AB290" s="219">
        <v>44</v>
      </c>
      <c r="AC290" s="219">
        <v>8</v>
      </c>
      <c r="AD290" s="221">
        <v>4</v>
      </c>
      <c r="AE290" s="221">
        <v>19</v>
      </c>
      <c r="AF290" s="217">
        <f t="shared" ref="AF290:AF310" si="193">AI290*1000/D290</f>
      </c>
      <c r="AG290" s="222" t="s">
        <v>159</v>
      </c>
      <c r="AH290" s="223" t="s">
        <v>160</v>
      </c>
      <c r="AI290" s="221">
        <v>21</v>
      </c>
    </row>
    <row r="291">
      <c r="A291" s="211"/>
      <c r="B291" s="212" t="s">
        <v>166</v>
      </c>
      <c r="C291" s="213" t="s">
        <v>161</v>
      </c>
      <c r="D291" s="214">
        <v>1210.8</v>
      </c>
      <c r="E291" s="215">
        <v>5</v>
      </c>
      <c r="F291" s="215">
        <v>5</v>
      </c>
      <c r="G291" s="215">
        <v>4</v>
      </c>
      <c r="H291" s="214">
        <v>3314.85</v>
      </c>
      <c r="I291" s="215">
        <v>1</v>
      </c>
      <c r="J291" s="216">
        <f t="shared" si="284"/>
      </c>
      <c r="K291" s="217">
        <f t="shared" si="344"/>
      </c>
      <c r="L291" s="217">
        <f t="shared" si="163"/>
      </c>
      <c r="M291" s="218">
        <f t="shared" si="224"/>
      </c>
      <c r="N291" s="217">
        <f t="shared" si="73"/>
      </c>
      <c r="O291" s="217">
        <f t="shared" si="103"/>
      </c>
      <c r="P291" s="218">
        <f t="shared" si="374"/>
      </c>
      <c r="Q291" s="218">
        <f t="shared" si="12"/>
      </c>
      <c r="R291" s="218">
        <f t="shared" si="254"/>
      </c>
      <c r="S291" s="218">
        <f t="shared" si="314"/>
      </c>
      <c r="T291" s="219">
        <f t="shared" si="133"/>
      </c>
      <c r="U291" s="220">
        <v>0.0267</v>
      </c>
      <c r="V291" s="221">
        <v>39</v>
      </c>
      <c r="W291" s="217">
        <f t="shared" si="42"/>
      </c>
      <c r="X291" s="221">
        <v>9236</v>
      </c>
      <c r="Y291" s="221">
        <v>265</v>
      </c>
      <c r="Z291" s="219">
        <v>32</v>
      </c>
      <c r="AA291" s="219">
        <v>366</v>
      </c>
      <c r="AB291" s="221">
        <v>26</v>
      </c>
      <c r="AC291" s="219">
        <v>2</v>
      </c>
      <c r="AD291" s="221">
        <v>1</v>
      </c>
      <c r="AE291" s="221">
        <v>14</v>
      </c>
      <c r="AF291" s="217">
        <f t="shared" si="193"/>
      </c>
      <c r="AG291" s="222" t="s">
        <v>159</v>
      </c>
      <c r="AH291" s="223" t="s">
        <v>160</v>
      </c>
      <c r="AI291" s="221">
        <v>13</v>
      </c>
    </row>
    <row r="292">
      <c r="A292" s="211"/>
      <c r="B292" s="212" t="s">
        <v>166</v>
      </c>
      <c r="C292" s="224" t="s">
        <v>162</v>
      </c>
      <c r="D292" s="214">
        <v>2524.8</v>
      </c>
      <c r="E292" s="215">
        <v>5</v>
      </c>
      <c r="F292" s="215">
        <v>5</v>
      </c>
      <c r="G292" s="215">
        <v>5</v>
      </c>
      <c r="H292" s="214">
        <v>4147</v>
      </c>
      <c r="I292" s="215">
        <v>3</v>
      </c>
      <c r="J292" s="216">
        <f t="shared" si="284"/>
      </c>
      <c r="K292" s="217">
        <f t="shared" si="344"/>
      </c>
      <c r="L292" s="217">
        <f t="shared" si="163"/>
      </c>
      <c r="M292" s="218">
        <f t="shared" si="224"/>
      </c>
      <c r="N292" s="217">
        <f t="shared" si="73"/>
      </c>
      <c r="O292" s="217">
        <f t="shared" si="103"/>
      </c>
      <c r="P292" s="218">
        <f t="shared" si="374"/>
      </c>
      <c r="Q292" s="218">
        <f t="shared" si="12"/>
      </c>
      <c r="R292" s="218">
        <f t="shared" si="254"/>
      </c>
      <c r="S292" s="218">
        <f t="shared" si="314"/>
      </c>
      <c r="T292" s="219">
        <f t="shared" si="133"/>
      </c>
      <c r="U292" s="220">
        <v>0.0666</v>
      </c>
      <c r="V292" s="221">
        <v>41</v>
      </c>
      <c r="W292" s="217">
        <f t="shared" si="42"/>
      </c>
      <c r="X292" s="221">
        <v>21533</v>
      </c>
      <c r="Y292" s="221">
        <v>528</v>
      </c>
      <c r="Z292" s="219">
        <v>72</v>
      </c>
      <c r="AA292" s="219">
        <v>677</v>
      </c>
      <c r="AB292" s="221">
        <v>34</v>
      </c>
      <c r="AC292" s="219">
        <v>11</v>
      </c>
      <c r="AD292" s="221">
        <v>1</v>
      </c>
      <c r="AE292" s="221">
        <v>34</v>
      </c>
      <c r="AF292" s="217">
        <f t="shared" si="193"/>
      </c>
      <c r="AG292" s="222" t="s">
        <v>159</v>
      </c>
      <c r="AH292" s="223" t="s">
        <v>160</v>
      </c>
      <c r="AI292" s="221">
        <v>16</v>
      </c>
    </row>
    <row r="293">
      <c r="A293" s="211"/>
      <c r="B293" s="212" t="s">
        <v>166</v>
      </c>
      <c r="C293" s="213" t="s">
        <v>163</v>
      </c>
      <c r="D293" s="214">
        <v>3047.71</v>
      </c>
      <c r="E293" s="215">
        <v>5</v>
      </c>
      <c r="F293" s="215">
        <v>5</v>
      </c>
      <c r="G293" s="215">
        <v>3</v>
      </c>
      <c r="H293" s="214">
        <v>2875.949999999999</v>
      </c>
      <c r="I293" s="215">
        <v>0</v>
      </c>
      <c r="J293" s="216">
        <f t="shared" si="284"/>
      </c>
      <c r="K293" s="217">
        <f t="shared" si="344"/>
      </c>
      <c r="L293" s="217">
        <f t="shared" si="163"/>
      </c>
      <c r="M293" s="218">
        <f t="shared" si="224"/>
      </c>
      <c r="N293" s="217">
        <f t="shared" si="73"/>
      </c>
      <c r="O293" s="217">
        <f t="shared" si="103"/>
      </c>
      <c r="P293" s="218">
        <f t="shared" si="374"/>
      </c>
      <c r="Q293" s="218">
        <f t="shared" si="12"/>
      </c>
      <c r="R293" s="218">
        <f t="shared" si="254"/>
      </c>
      <c r="S293" s="218">
        <f t="shared" si="314"/>
      </c>
      <c r="T293" s="219">
        <f t="shared" si="133"/>
      </c>
      <c r="U293" s="220">
        <v>0.0777</v>
      </c>
      <c r="V293" s="221">
        <v>45</v>
      </c>
      <c r="W293" s="217">
        <f t="shared" si="42"/>
      </c>
      <c r="X293" s="221">
        <v>22683</v>
      </c>
      <c r="Y293" s="221">
        <v>468</v>
      </c>
      <c r="Z293" s="221">
        <v>86</v>
      </c>
      <c r="AA293" s="221">
        <v>605</v>
      </c>
      <c r="AB293" s="221">
        <v>48</v>
      </c>
      <c r="AC293" s="221">
        <v>8</v>
      </c>
      <c r="AD293" s="221">
        <v>2</v>
      </c>
      <c r="AE293" s="221">
        <v>30</v>
      </c>
      <c r="AF293" s="217">
        <f t="shared" si="193"/>
      </c>
      <c r="AG293" s="222" t="s">
        <v>159</v>
      </c>
      <c r="AH293" s="223" t="s">
        <v>160</v>
      </c>
      <c r="AI293" s="221">
        <v>28</v>
      </c>
    </row>
    <row r="294">
      <c r="A294" s="211"/>
      <c r="B294" s="212" t="s">
        <v>166</v>
      </c>
      <c r="C294" s="212" t="s">
        <v>164</v>
      </c>
      <c r="D294" s="225">
        <v>2408.88</v>
      </c>
      <c r="E294" s="226">
        <v>7</v>
      </c>
      <c r="F294" s="226">
        <v>4</v>
      </c>
      <c r="G294" s="226">
        <v>3</v>
      </c>
      <c r="H294" s="225">
        <v>1804</v>
      </c>
      <c r="I294" s="226">
        <v>0</v>
      </c>
      <c r="J294" s="217">
        <f t="shared" si="284"/>
      </c>
      <c r="K294" s="217">
        <f t="shared" si="344"/>
      </c>
      <c r="L294" s="217">
        <f t="shared" si="163"/>
      </c>
      <c r="M294" s="218">
        <f t="shared" si="224"/>
      </c>
      <c r="N294" s="217">
        <f t="shared" si="73"/>
      </c>
      <c r="O294" s="217">
        <f t="shared" si="103"/>
      </c>
      <c r="P294" s="218">
        <f t="shared" si="374"/>
      </c>
      <c r="Q294" s="218">
        <f t="shared" si="12"/>
      </c>
      <c r="R294" s="218">
        <f t="shared" si="254"/>
      </c>
      <c r="S294" s="218">
        <f t="shared" si="314"/>
      </c>
      <c r="T294" s="219">
        <f t="shared" si="133"/>
      </c>
      <c r="U294" s="220">
        <v>0.0477</v>
      </c>
      <c r="V294" s="221">
        <v>45</v>
      </c>
      <c r="W294" s="217">
        <f t="shared" si="42"/>
      </c>
      <c r="X294" s="219">
        <v>17489</v>
      </c>
      <c r="Y294" s="219">
        <v>522</v>
      </c>
      <c r="Z294" s="219">
        <v>61</v>
      </c>
      <c r="AA294" s="219">
        <v>686</v>
      </c>
      <c r="AB294" s="219">
        <v>50</v>
      </c>
      <c r="AC294" s="219">
        <v>4</v>
      </c>
      <c r="AD294" s="219">
        <v>1</v>
      </c>
      <c r="AE294" s="221">
        <v>20</v>
      </c>
      <c r="AF294" s="217">
        <f t="shared" si="193"/>
      </c>
      <c r="AG294" s="222" t="s">
        <v>159</v>
      </c>
      <c r="AH294" s="223" t="s">
        <v>160</v>
      </c>
      <c r="AI294" s="221">
        <v>21</v>
      </c>
    </row>
    <row r="295">
      <c r="A295" s="211"/>
      <c r="B295" s="227" t="s">
        <v>165</v>
      </c>
      <c r="C295" s="227"/>
      <c r="D295" s="228">
        <f>SUM(D290:D294)</f>
      </c>
      <c r="E295" s="229">
        <f>SUM(E290:E294)</f>
      </c>
      <c r="F295" s="229">
        <f>SUM(F290:F294)</f>
      </c>
      <c r="G295" s="229">
        <f>SUM(G290:G294)</f>
      </c>
      <c r="H295" s="228">
        <f>SUM(H290:H294)</f>
      </c>
      <c r="I295" s="272">
        <f>SUM(I290:I294)</f>
      </c>
      <c r="J295" s="230">
        <f t="shared" si="284"/>
      </c>
      <c r="K295" s="230">
        <f t="shared" si="344"/>
      </c>
      <c r="L295" s="230">
        <f t="shared" si="163"/>
      </c>
      <c r="M295" s="231">
        <f t="shared" si="224"/>
      </c>
      <c r="N295" s="230">
        <f t="shared" si="73"/>
      </c>
      <c r="O295" s="230">
        <f t="shared" si="103"/>
      </c>
      <c r="P295" s="231">
        <f t="shared" si="374"/>
      </c>
      <c r="Q295" s="231">
        <f t="shared" si="12"/>
      </c>
      <c r="R295" s="231">
        <f t="shared" si="254"/>
      </c>
      <c r="S295" s="231">
        <f t="shared" si="314"/>
      </c>
      <c r="T295" s="229">
        <f t="shared" si="133"/>
      </c>
      <c r="U295" s="231">
        <f>AVERAGE(U290:U294)</f>
      </c>
      <c r="V295" s="228">
        <f>AVERAGE(V290:V294)</f>
      </c>
      <c r="W295" s="230">
        <f t="shared" si="42"/>
      </c>
      <c r="X295" s="229">
        <f>SUM(X290:X294)</f>
      </c>
      <c r="Y295" s="229">
        <f>SUM(Y290:Y294)</f>
      </c>
      <c r="Z295" s="229">
        <f>SUM(Z290:Z294)</f>
      </c>
      <c r="AA295" s="229">
        <f>SUM(AA290:AA294)</f>
      </c>
      <c r="AB295" s="229">
        <f>SUM(AB290:AB294)</f>
      </c>
      <c r="AC295" s="229">
        <f>SUM(AC290:AC294)</f>
      </c>
      <c r="AD295" s="229">
        <f>SUM(AD290:AD294)</f>
      </c>
      <c r="AE295" s="229">
        <f>SUM(AE290:AE294)</f>
      </c>
      <c r="AF295" s="232">
        <f t="shared" si="193"/>
      </c>
      <c r="AG295" s="233"/>
      <c r="AH295" s="233"/>
      <c r="AI295" s="234">
        <f>SUM(AI290:AI294)</f>
      </c>
    </row>
    <row r="296">
      <c r="A296" s="211"/>
      <c r="B296" s="212" t="s">
        <v>157</v>
      </c>
      <c r="C296" s="235" t="s">
        <v>167</v>
      </c>
      <c r="D296" s="236">
        <v>2226.13</v>
      </c>
      <c r="E296" s="237">
        <v>4</v>
      </c>
      <c r="F296" s="237">
        <v>3</v>
      </c>
      <c r="G296" s="238">
        <v>2</v>
      </c>
      <c r="H296" s="239">
        <v>2072.4000000000015</v>
      </c>
      <c r="I296" s="273">
        <v>1</v>
      </c>
      <c r="J296" s="240">
        <f t="shared" si="284"/>
      </c>
      <c r="K296" s="240">
        <f t="shared" si="344"/>
      </c>
      <c r="L296" s="240">
        <f t="shared" si="163"/>
      </c>
      <c r="M296" s="241">
        <f t="shared" si="224"/>
      </c>
      <c r="N296" s="240">
        <f t="shared" si="73"/>
      </c>
      <c r="O296" s="240">
        <f t="shared" si="103"/>
      </c>
      <c r="P296" s="241">
        <f t="shared" si="374"/>
      </c>
      <c r="Q296" s="241">
        <f t="shared" si="12"/>
      </c>
      <c r="R296" s="241">
        <f t="shared" si="254"/>
      </c>
      <c r="S296" s="241">
        <f t="shared" si="314"/>
      </c>
      <c r="T296" s="242">
        <f t="shared" si="133"/>
      </c>
      <c r="U296" s="243">
        <v>0.0507</v>
      </c>
      <c r="V296" s="244">
        <v>47</v>
      </c>
      <c r="W296" s="240">
        <f t="shared" si="42"/>
      </c>
      <c r="X296" s="242">
        <v>20060</v>
      </c>
      <c r="Y296" s="242">
        <v>551</v>
      </c>
      <c r="Z296" s="242">
        <v>71</v>
      </c>
      <c r="AA296" s="242">
        <v>719</v>
      </c>
      <c r="AB296" s="242">
        <v>65</v>
      </c>
      <c r="AC296" s="242">
        <v>9</v>
      </c>
      <c r="AD296" s="242">
        <v>3</v>
      </c>
      <c r="AE296" s="242">
        <v>29</v>
      </c>
      <c r="AF296" s="240">
        <f t="shared" si="193"/>
      </c>
      <c r="AG296" s="222" t="s">
        <v>159</v>
      </c>
      <c r="AH296" s="223" t="s">
        <v>160</v>
      </c>
      <c r="AI296" s="244">
        <v>22</v>
      </c>
    </row>
    <row r="297">
      <c r="A297" s="211"/>
      <c r="B297" s="212" t="s">
        <v>157</v>
      </c>
      <c r="C297" s="245" t="s">
        <v>168</v>
      </c>
      <c r="D297" s="246">
        <v>3349.17</v>
      </c>
      <c r="E297" s="247">
        <v>6</v>
      </c>
      <c r="F297" s="247">
        <v>6</v>
      </c>
      <c r="G297" s="247">
        <v>6</v>
      </c>
      <c r="H297" s="239">
        <v>2706</v>
      </c>
      <c r="I297" s="273">
        <v>0</v>
      </c>
      <c r="J297" s="240">
        <f t="shared" si="284"/>
      </c>
      <c r="K297" s="240">
        <f t="shared" si="344"/>
      </c>
      <c r="L297" s="240">
        <f t="shared" si="163"/>
      </c>
      <c r="M297" s="241">
        <f t="shared" si="224"/>
      </c>
      <c r="N297" s="240">
        <f t="shared" si="73"/>
      </c>
      <c r="O297" s="240">
        <f t="shared" si="103"/>
      </c>
      <c r="P297" s="241">
        <f t="shared" si="374"/>
      </c>
      <c r="Q297" s="241">
        <f t="shared" si="12"/>
      </c>
      <c r="R297" s="241">
        <f t="shared" si="254"/>
      </c>
      <c r="S297" s="241">
        <f t="shared" si="314"/>
      </c>
      <c r="T297" s="242">
        <f t="shared" si="133"/>
      </c>
      <c r="U297" s="243">
        <v>0.0675</v>
      </c>
      <c r="V297" s="244">
        <v>47</v>
      </c>
      <c r="W297" s="240">
        <f t="shared" si="42"/>
      </c>
      <c r="X297" s="242">
        <v>28394</v>
      </c>
      <c r="Y297" s="242">
        <v>591</v>
      </c>
      <c r="Z297" s="242">
        <v>91</v>
      </c>
      <c r="AA297" s="242">
        <v>736</v>
      </c>
      <c r="AB297" s="242">
        <v>49</v>
      </c>
      <c r="AC297" s="242">
        <v>6</v>
      </c>
      <c r="AD297" s="242">
        <v>0</v>
      </c>
      <c r="AE297" s="242">
        <v>41</v>
      </c>
      <c r="AF297" s="240">
        <f t="shared" si="193"/>
      </c>
      <c r="AG297" s="222" t="s">
        <v>159</v>
      </c>
      <c r="AH297" s="223" t="s">
        <v>160</v>
      </c>
      <c r="AI297" s="244">
        <v>20</v>
      </c>
    </row>
    <row r="298">
      <c r="A298" s="211"/>
      <c r="B298" s="212" t="s">
        <v>157</v>
      </c>
      <c r="C298" s="235" t="s">
        <v>169</v>
      </c>
      <c r="D298" s="236">
        <v>2965.26</v>
      </c>
      <c r="E298" s="247">
        <v>5</v>
      </c>
      <c r="F298" s="247">
        <v>5</v>
      </c>
      <c r="G298" s="247">
        <v>5</v>
      </c>
      <c r="H298" s="236">
        <v>5263.5</v>
      </c>
      <c r="I298" s="238">
        <v>2</v>
      </c>
      <c r="J298" s="240">
        <f t="shared" si="284"/>
      </c>
      <c r="K298" s="240">
        <f t="shared" si="344"/>
      </c>
      <c r="L298" s="240">
        <f t="shared" si="163"/>
      </c>
      <c r="M298" s="241">
        <f t="shared" si="224"/>
      </c>
      <c r="N298" s="240">
        <f t="shared" si="73"/>
      </c>
      <c r="O298" s="240">
        <f t="shared" si="103"/>
      </c>
      <c r="P298" s="241">
        <f t="shared" si="374"/>
      </c>
      <c r="Q298" s="241">
        <f t="shared" si="12"/>
      </c>
      <c r="R298" s="241">
        <f t="shared" si="254"/>
      </c>
      <c r="S298" s="241">
        <f t="shared" si="314"/>
      </c>
      <c r="T298" s="242">
        <f t="shared" si="133"/>
      </c>
      <c r="U298" s="243">
        <v>0.0705</v>
      </c>
      <c r="V298" s="244">
        <v>48</v>
      </c>
      <c r="W298" s="240">
        <f t="shared" si="42"/>
      </c>
      <c r="X298" s="242">
        <v>29477</v>
      </c>
      <c r="Y298" s="242">
        <v>499</v>
      </c>
      <c r="Z298" s="242">
        <v>86</v>
      </c>
      <c r="AA298" s="242">
        <v>622</v>
      </c>
      <c r="AB298" s="242">
        <v>58</v>
      </c>
      <c r="AC298" s="242">
        <v>8</v>
      </c>
      <c r="AD298" s="242">
        <v>1</v>
      </c>
      <c r="AE298" s="244">
        <v>46</v>
      </c>
      <c r="AF298" s="240">
        <f t="shared" si="193"/>
      </c>
      <c r="AG298" s="222" t="s">
        <v>159</v>
      </c>
      <c r="AH298" s="223" t="s">
        <v>160</v>
      </c>
      <c r="AI298" s="244">
        <v>29</v>
      </c>
    </row>
    <row r="299">
      <c r="A299" s="211"/>
      <c r="B299" s="212" t="s">
        <v>157</v>
      </c>
      <c r="C299" s="248" t="s">
        <v>170</v>
      </c>
      <c r="D299" s="236">
        <v>2813.22</v>
      </c>
      <c r="E299" s="238">
        <v>3</v>
      </c>
      <c r="F299" s="238">
        <v>2</v>
      </c>
      <c r="G299" s="238">
        <v>2</v>
      </c>
      <c r="H299" s="236">
        <v>901.9999999999964</v>
      </c>
      <c r="I299" s="238">
        <v>0</v>
      </c>
      <c r="J299" s="240">
        <f t="shared" si="284"/>
      </c>
      <c r="K299" s="240">
        <f t="shared" si="344"/>
      </c>
      <c r="L299" s="240">
        <f t="shared" si="163"/>
      </c>
      <c r="M299" s="241">
        <f t="shared" si="224"/>
      </c>
      <c r="N299" s="240">
        <f t="shared" si="73"/>
      </c>
      <c r="O299" s="240">
        <f t="shared" si="103"/>
      </c>
      <c r="P299" s="241">
        <f t="shared" si="374"/>
      </c>
      <c r="Q299" s="241">
        <f t="shared" si="12"/>
      </c>
      <c r="R299" s="241">
        <f t="shared" si="254"/>
      </c>
      <c r="S299" s="241">
        <f t="shared" si="314"/>
      </c>
      <c r="T299" s="242">
        <f t="shared" si="133"/>
      </c>
      <c r="U299" s="243">
        <v>0.0572</v>
      </c>
      <c r="V299" s="244">
        <v>51</v>
      </c>
      <c r="W299" s="240">
        <f t="shared" si="42"/>
      </c>
      <c r="X299" s="242">
        <v>23940</v>
      </c>
      <c r="Y299" s="242">
        <v>338</v>
      </c>
      <c r="Z299" s="242">
        <v>67</v>
      </c>
      <c r="AA299" s="242">
        <v>405</v>
      </c>
      <c r="AB299" s="242">
        <v>58</v>
      </c>
      <c r="AC299" s="242">
        <v>9</v>
      </c>
      <c r="AD299" s="242">
        <v>0</v>
      </c>
      <c r="AE299" s="242">
        <v>45</v>
      </c>
      <c r="AF299" s="240">
        <f t="shared" si="193"/>
      </c>
      <c r="AG299" s="222" t="s">
        <v>159</v>
      </c>
      <c r="AH299" s="223" t="s">
        <v>160</v>
      </c>
      <c r="AI299" s="244">
        <v>25</v>
      </c>
    </row>
    <row r="300">
      <c r="A300" s="211"/>
      <c r="B300" s="249" t="s">
        <v>165</v>
      </c>
      <c r="C300" s="249"/>
      <c r="D300" s="250">
        <f>SUM(D296:D299)</f>
      </c>
      <c r="E300" s="251">
        <f>SUM(E296:E299)</f>
      </c>
      <c r="F300" s="251">
        <f>SUM(F296:F299)</f>
      </c>
      <c r="G300" s="251">
        <f>SUM(G296:G299)</f>
      </c>
      <c r="H300" s="250">
        <f>SUM(H296:H299)</f>
      </c>
      <c r="I300" s="272">
        <f>SUM(I296:I299)</f>
      </c>
      <c r="J300" s="252">
        <f t="shared" si="284"/>
      </c>
      <c r="K300" s="252">
        <f t="shared" si="344"/>
      </c>
      <c r="L300" s="252">
        <f t="shared" si="163"/>
      </c>
      <c r="M300" s="253">
        <f t="shared" si="224"/>
      </c>
      <c r="N300" s="252">
        <f t="shared" si="73"/>
      </c>
      <c r="O300" s="252">
        <f t="shared" si="103"/>
      </c>
      <c r="P300" s="253">
        <f t="shared" si="374"/>
      </c>
      <c r="Q300" s="253">
        <f t="shared" si="12"/>
      </c>
      <c r="R300" s="253">
        <f t="shared" si="254"/>
      </c>
      <c r="S300" s="253">
        <f t="shared" si="314"/>
      </c>
      <c r="T300" s="254">
        <f t="shared" si="133"/>
      </c>
      <c r="U300" s="253">
        <f>AVERAGE(U296:U299)</f>
      </c>
      <c r="V300" s="250">
        <f>AVERAGE(V296:V299)</f>
      </c>
      <c r="W300" s="252">
        <f t="shared" si="42"/>
      </c>
      <c r="X300" s="254">
        <f>SUM(X296:X299)</f>
      </c>
      <c r="Y300" s="254">
        <f>SUM(Y296:Y299)</f>
      </c>
      <c r="Z300" s="254">
        <f>SUM(Z296:Z299)</f>
      </c>
      <c r="AA300" s="254">
        <f>SUM(AA296:AA299)</f>
      </c>
      <c r="AB300" s="254">
        <f>SUM(AB296:AB299)</f>
      </c>
      <c r="AC300" s="254">
        <f>SUM(AC296:AC299)</f>
      </c>
      <c r="AD300" s="254">
        <f>SUM(AD296:AD299)</f>
      </c>
      <c r="AE300" s="254">
        <f>SUM(AE296:AE299)</f>
      </c>
      <c r="AF300" s="255">
        <f t="shared" si="193"/>
      </c>
      <c r="AG300" s="256"/>
      <c r="AH300" s="256"/>
      <c r="AI300" s="257">
        <f>SUM(AI296:AI299)</f>
      </c>
    </row>
    <row r="301">
      <c r="A301" s="211"/>
      <c r="B301" s="248" t="s">
        <v>186</v>
      </c>
      <c r="C301" s="235" t="s">
        <v>172</v>
      </c>
      <c r="D301" s="212">
        <v>1917.64</v>
      </c>
      <c r="E301" s="215">
        <v>1</v>
      </c>
      <c r="F301" s="215">
        <v>1</v>
      </c>
      <c r="G301" s="215">
        <v>1</v>
      </c>
      <c r="H301" s="215">
        <v>451</v>
      </c>
      <c r="I301" s="215">
        <v>0</v>
      </c>
      <c r="J301" s="217">
        <f t="shared" si="284"/>
      </c>
      <c r="K301" s="217">
        <f t="shared" si="344"/>
      </c>
      <c r="L301" s="217">
        <f t="shared" si="163"/>
      </c>
      <c r="M301" s="218">
        <f t="shared" si="224"/>
      </c>
      <c r="N301" s="217">
        <f t="shared" si="73"/>
      </c>
      <c r="O301" s="217">
        <f t="shared" si="103"/>
      </c>
      <c r="P301" s="218">
        <f t="shared" si="374"/>
      </c>
      <c r="Q301" s="218">
        <f t="shared" si="12"/>
      </c>
      <c r="R301" s="218">
        <f t="shared" si="254"/>
      </c>
      <c r="S301" s="218">
        <f t="shared" si="314"/>
      </c>
      <c r="T301" s="219">
        <f t="shared" si="133"/>
      </c>
      <c r="U301" s="220">
        <v>0.0497</v>
      </c>
      <c r="V301" s="221">
        <v>51</v>
      </c>
      <c r="W301" s="217">
        <f t="shared" si="42"/>
      </c>
      <c r="X301" s="221">
        <v>15366</v>
      </c>
      <c r="Y301" s="221">
        <v>330</v>
      </c>
      <c r="Z301" s="219">
        <v>62</v>
      </c>
      <c r="AA301" s="219">
        <v>416</v>
      </c>
      <c r="AB301" s="219">
        <v>20</v>
      </c>
      <c r="AC301" s="219">
        <v>4</v>
      </c>
      <c r="AD301" s="221">
        <v>1</v>
      </c>
      <c r="AE301" s="221">
        <v>15</v>
      </c>
      <c r="AF301" s="217">
        <f t="shared" si="193"/>
      </c>
      <c r="AG301" s="222" t="s">
        <v>173</v>
      </c>
      <c r="AH301" s="223" t="s">
        <v>187</v>
      </c>
      <c r="AI301" s="221">
        <v>53</v>
      </c>
    </row>
    <row r="302">
      <c r="A302" s="211"/>
      <c r="B302" s="248" t="s">
        <v>186</v>
      </c>
      <c r="C302" s="245" t="s">
        <v>175</v>
      </c>
      <c r="D302" s="212">
        <v>1406.7</v>
      </c>
      <c r="E302" s="215">
        <v>3</v>
      </c>
      <c r="F302" s="215">
        <v>2</v>
      </c>
      <c r="G302" s="215">
        <v>2</v>
      </c>
      <c r="H302" s="214">
        <v>902</v>
      </c>
      <c r="I302" s="215">
        <v>0</v>
      </c>
      <c r="J302" s="217">
        <f t="shared" si="284"/>
      </c>
      <c r="K302" s="217">
        <f t="shared" si="344"/>
      </c>
      <c r="L302" s="217">
        <f t="shared" si="163"/>
      </c>
      <c r="M302" s="218">
        <f t="shared" si="224"/>
      </c>
      <c r="N302" s="217">
        <f t="shared" si="73"/>
      </c>
      <c r="O302" s="217">
        <f t="shared" si="103"/>
      </c>
      <c r="P302" s="218">
        <f t="shared" si="374"/>
      </c>
      <c r="Q302" s="218">
        <f t="shared" si="12"/>
      </c>
      <c r="R302" s="218">
        <f t="shared" si="254"/>
      </c>
      <c r="S302" s="218">
        <f t="shared" si="314"/>
      </c>
      <c r="T302" s="219">
        <f t="shared" si="133"/>
      </c>
      <c r="U302" s="220">
        <v>0.0432</v>
      </c>
      <c r="V302" s="221">
        <v>52</v>
      </c>
      <c r="W302" s="217">
        <f t="shared" si="42"/>
      </c>
      <c r="X302" s="219">
        <v>10773</v>
      </c>
      <c r="Y302" s="219">
        <v>331</v>
      </c>
      <c r="Z302" s="219">
        <v>49</v>
      </c>
      <c r="AA302" s="219">
        <v>428</v>
      </c>
      <c r="AB302" s="219">
        <v>53</v>
      </c>
      <c r="AC302" s="219">
        <v>2</v>
      </c>
      <c r="AD302" s="219">
        <v>0</v>
      </c>
      <c r="AE302" s="221">
        <v>9</v>
      </c>
      <c r="AF302" s="217">
        <f t="shared" si="193"/>
      </c>
      <c r="AG302" s="222" t="s">
        <v>173</v>
      </c>
      <c r="AH302" s="223" t="s">
        <v>187</v>
      </c>
      <c r="AI302" s="221">
        <v>17</v>
      </c>
    </row>
    <row r="303">
      <c r="A303" s="211"/>
      <c r="B303" s="248" t="s">
        <v>186</v>
      </c>
      <c r="C303" s="235" t="s">
        <v>176</v>
      </c>
      <c r="D303" s="212">
        <v>1446.98</v>
      </c>
      <c r="E303" s="215">
        <v>8</v>
      </c>
      <c r="F303" s="215">
        <v>5</v>
      </c>
      <c r="G303" s="215">
        <v>4</v>
      </c>
      <c r="H303" s="214">
        <v>3615.7000000000007</v>
      </c>
      <c r="I303" s="215">
        <v>2</v>
      </c>
      <c r="J303" s="217">
        <f t="shared" si="284"/>
      </c>
      <c r="K303" s="217">
        <f t="shared" si="344"/>
      </c>
      <c r="L303" s="217">
        <f t="shared" si="163"/>
      </c>
      <c r="M303" s="218">
        <f t="shared" si="224"/>
      </c>
      <c r="N303" s="217">
        <f t="shared" si="73"/>
      </c>
      <c r="O303" s="217">
        <f t="shared" si="103"/>
      </c>
      <c r="P303" s="218">
        <f t="shared" si="374"/>
      </c>
      <c r="Q303" s="218">
        <f t="shared" si="12"/>
      </c>
      <c r="R303" s="218">
        <f t="shared" si="254"/>
      </c>
      <c r="S303" s="218">
        <f t="shared" si="314"/>
      </c>
      <c r="T303" s="219">
        <f t="shared" si="133"/>
      </c>
      <c r="U303" s="220">
        <v>0.0479</v>
      </c>
      <c r="V303" s="221">
        <v>53</v>
      </c>
      <c r="W303" s="217">
        <f t="shared" si="42"/>
      </c>
      <c r="X303" s="221">
        <v>12410</v>
      </c>
      <c r="Y303" s="221">
        <v>299</v>
      </c>
      <c r="Z303" s="221">
        <v>43</v>
      </c>
      <c r="AA303" s="221">
        <v>409</v>
      </c>
      <c r="AB303" s="221">
        <v>51</v>
      </c>
      <c r="AC303" s="221">
        <v>4</v>
      </c>
      <c r="AD303" s="221">
        <v>1</v>
      </c>
      <c r="AE303" s="221">
        <v>17</v>
      </c>
      <c r="AF303" s="217">
        <f t="shared" si="193"/>
      </c>
      <c r="AG303" s="222" t="s">
        <v>173</v>
      </c>
      <c r="AH303" s="223" t="s">
        <v>187</v>
      </c>
      <c r="AI303" s="221">
        <v>19</v>
      </c>
    </row>
    <row r="304">
      <c r="A304" s="211"/>
      <c r="B304" s="248" t="s">
        <v>186</v>
      </c>
      <c r="C304" s="235" t="s">
        <v>177</v>
      </c>
      <c r="D304" s="212">
        <v>1654.44</v>
      </c>
      <c r="E304" s="215">
        <v>1</v>
      </c>
      <c r="F304" s="215">
        <v>1</v>
      </c>
      <c r="G304" s="215">
        <v>1</v>
      </c>
      <c r="H304" s="214">
        <v>451</v>
      </c>
      <c r="I304" s="215">
        <v>0</v>
      </c>
      <c r="J304" s="217">
        <f t="shared" si="284"/>
      </c>
      <c r="K304" s="217">
        <f t="shared" si="344"/>
      </c>
      <c r="L304" s="217">
        <f t="shared" si="163"/>
      </c>
      <c r="M304" s="218">
        <f t="shared" si="224"/>
      </c>
      <c r="N304" s="217">
        <f t="shared" si="73"/>
      </c>
      <c r="O304" s="217">
        <f t="shared" si="103"/>
      </c>
      <c r="P304" s="218">
        <f t="shared" si="374"/>
      </c>
      <c r="Q304" s="218">
        <f t="shared" si="12"/>
      </c>
      <c r="R304" s="218">
        <f t="shared" si="254"/>
      </c>
      <c r="S304" s="218">
        <f t="shared" si="314"/>
      </c>
      <c r="T304" s="219">
        <f t="shared" si="133"/>
      </c>
      <c r="U304" s="220">
        <v>0.0541</v>
      </c>
      <c r="V304" s="221">
        <v>52</v>
      </c>
      <c r="W304" s="217">
        <f t="shared" si="42"/>
      </c>
      <c r="X304" s="221">
        <v>13240</v>
      </c>
      <c r="Y304" s="221">
        <v>315</v>
      </c>
      <c r="Z304" s="219">
        <v>47</v>
      </c>
      <c r="AA304" s="219">
        <v>418</v>
      </c>
      <c r="AB304" s="219">
        <v>46</v>
      </c>
      <c r="AC304" s="219">
        <v>4</v>
      </c>
      <c r="AD304" s="221">
        <v>4</v>
      </c>
      <c r="AE304" s="221">
        <v>11</v>
      </c>
      <c r="AF304" s="217">
        <f t="shared" si="193"/>
      </c>
      <c r="AG304" s="222" t="s">
        <v>173</v>
      </c>
      <c r="AH304" s="223" t="s">
        <v>187</v>
      </c>
      <c r="AI304" s="221">
        <v>15</v>
      </c>
    </row>
    <row r="305">
      <c r="A305" s="211"/>
      <c r="B305" s="227" t="s">
        <v>165</v>
      </c>
      <c r="C305" s="227"/>
      <c r="D305" s="259">
        <f>SUM(D301:D304)</f>
      </c>
      <c r="E305" s="260">
        <f>SUM(E301:E304)</f>
      </c>
      <c r="F305" s="260">
        <f>SUM(F301:F304)</f>
      </c>
      <c r="G305" s="260">
        <f>SUM(G301:G304)</f>
      </c>
      <c r="H305" s="259">
        <f>SUM(H301:H304)</f>
      </c>
      <c r="I305" s="272">
        <f>SUM(I301:I304)</f>
      </c>
      <c r="J305" s="230">
        <f t="shared" si="284"/>
      </c>
      <c r="K305" s="230">
        <f t="shared" si="344"/>
      </c>
      <c r="L305" s="230">
        <f t="shared" si="163"/>
      </c>
      <c r="M305" s="231">
        <f t="shared" si="224"/>
      </c>
      <c r="N305" s="230">
        <f t="shared" si="73"/>
      </c>
      <c r="O305" s="230">
        <f t="shared" si="103"/>
      </c>
      <c r="P305" s="231">
        <f t="shared" si="374"/>
      </c>
      <c r="Q305" s="231">
        <f t="shared" si="12"/>
      </c>
      <c r="R305" s="231">
        <f t="shared" si="254"/>
      </c>
      <c r="S305" s="231">
        <f t="shared" si="314"/>
      </c>
      <c r="T305" s="229">
        <f t="shared" si="133"/>
      </c>
      <c r="U305" s="231">
        <f>AVERAGE(U301:U304)</f>
      </c>
      <c r="V305" s="228">
        <f>AVERAGE(V301:V304)</f>
      </c>
      <c r="W305" s="230">
        <f t="shared" si="42"/>
      </c>
      <c r="X305" s="229">
        <f>SUM(X301:X304)</f>
      </c>
      <c r="Y305" s="229">
        <f>SUM(Y301:Y304)</f>
      </c>
      <c r="Z305" s="229">
        <f>SUM(Z301:Z304)</f>
      </c>
      <c r="AA305" s="229">
        <f>SUM(AA301:AA304)</f>
      </c>
      <c r="AB305" s="229">
        <f>SUM(AB301:AB304)</f>
      </c>
      <c r="AC305" s="229">
        <f>SUM(AC301:AC304)</f>
      </c>
      <c r="AD305" s="229">
        <f>SUM(AD301:AD304)</f>
      </c>
      <c r="AE305" s="229">
        <f>SUM(AE301:AE304)</f>
      </c>
      <c r="AF305" s="232">
        <f t="shared" si="193"/>
      </c>
      <c r="AG305" s="233"/>
      <c r="AH305" s="233"/>
      <c r="AI305" s="229">
        <f>SUM(AI301:AI304)</f>
      </c>
    </row>
    <row r="306">
      <c r="A306" s="211"/>
      <c r="B306" s="212" t="s">
        <v>178</v>
      </c>
      <c r="C306" s="248" t="s">
        <v>179</v>
      </c>
      <c r="D306" s="261">
        <v>1204.04</v>
      </c>
      <c r="E306" s="237">
        <v>3</v>
      </c>
      <c r="F306" s="237">
        <v>1</v>
      </c>
      <c r="G306" s="238">
        <v>1</v>
      </c>
      <c r="H306" s="239">
        <v>1170.4000000000015</v>
      </c>
      <c r="I306" s="273">
        <v>1</v>
      </c>
      <c r="J306" s="240">
        <f t="shared" si="284"/>
      </c>
      <c r="K306" s="240">
        <f t="shared" si="344"/>
      </c>
      <c r="L306" s="240">
        <f t="shared" si="163"/>
      </c>
      <c r="M306" s="241">
        <f t="shared" si="224"/>
      </c>
      <c r="N306" s="240">
        <f t="shared" si="73"/>
      </c>
      <c r="O306" s="240">
        <f t="shared" si="103"/>
      </c>
      <c r="P306" s="241">
        <f t="shared" si="374"/>
      </c>
      <c r="Q306" s="241">
        <f t="shared" si="12"/>
      </c>
      <c r="R306" s="241">
        <f t="shared" si="254"/>
      </c>
      <c r="S306" s="241">
        <f t="shared" si="314"/>
      </c>
      <c r="T306" s="242">
        <f t="shared" si="133"/>
      </c>
      <c r="U306" s="243">
        <v>0.0528</v>
      </c>
      <c r="V306" s="244">
        <v>52</v>
      </c>
      <c r="W306" s="240">
        <f t="shared" si="42"/>
      </c>
      <c r="X306" s="242">
        <v>9501</v>
      </c>
      <c r="Y306" s="242">
        <v>353</v>
      </c>
      <c r="Z306" s="242">
        <v>53</v>
      </c>
      <c r="AA306" s="242">
        <v>478</v>
      </c>
      <c r="AB306" s="242">
        <v>38</v>
      </c>
      <c r="AC306" s="242">
        <v>3</v>
      </c>
      <c r="AD306" s="242">
        <v>1</v>
      </c>
      <c r="AE306" s="242">
        <v>6</v>
      </c>
      <c r="AF306" s="240">
        <f t="shared" si="193"/>
      </c>
      <c r="AG306" s="222" t="s">
        <v>173</v>
      </c>
      <c r="AH306" s="223" t="s">
        <v>187</v>
      </c>
      <c r="AI306" s="244">
        <v>20</v>
      </c>
    </row>
    <row r="307">
      <c r="A307" s="211"/>
      <c r="B307" s="212" t="s">
        <v>178</v>
      </c>
      <c r="C307" s="248" t="s">
        <v>180</v>
      </c>
      <c r="D307" s="262">
        <v>1327.02</v>
      </c>
      <c r="E307" s="247">
        <v>5</v>
      </c>
      <c r="F307" s="247">
        <v>1</v>
      </c>
      <c r="G307" s="247">
        <v>1</v>
      </c>
      <c r="H307" s="263">
        <v>781</v>
      </c>
      <c r="I307" s="273">
        <v>0</v>
      </c>
      <c r="J307" s="240">
        <f t="shared" si="284"/>
      </c>
      <c r="K307" s="240">
        <f t="shared" si="344"/>
      </c>
      <c r="L307" s="240">
        <f t="shared" si="163"/>
      </c>
      <c r="M307" s="241">
        <f t="shared" si="224"/>
      </c>
      <c r="N307" s="240">
        <f t="shared" si="73"/>
      </c>
      <c r="O307" s="240">
        <f t="shared" si="103"/>
      </c>
      <c r="P307" s="241">
        <f t="shared" si="374"/>
      </c>
      <c r="Q307" s="241">
        <f t="shared" si="12"/>
      </c>
      <c r="R307" s="241">
        <f t="shared" si="254"/>
      </c>
      <c r="S307" s="241">
        <f t="shared" si="314"/>
      </c>
      <c r="T307" s="242">
        <f t="shared" si="133"/>
      </c>
      <c r="U307" s="243">
        <v>0.0471</v>
      </c>
      <c r="V307" s="244">
        <v>52</v>
      </c>
      <c r="W307" s="240">
        <f t="shared" si="42"/>
      </c>
      <c r="X307" s="242">
        <v>9145</v>
      </c>
      <c r="Y307" s="242">
        <v>372</v>
      </c>
      <c r="Z307" s="242">
        <v>57</v>
      </c>
      <c r="AA307" s="242">
        <v>497</v>
      </c>
      <c r="AB307" s="242">
        <v>61</v>
      </c>
      <c r="AC307" s="242">
        <v>5</v>
      </c>
      <c r="AD307" s="242">
        <v>5</v>
      </c>
      <c r="AE307" s="242">
        <v>15</v>
      </c>
      <c r="AF307" s="240">
        <f t="shared" si="193"/>
      </c>
      <c r="AG307" s="222" t="s">
        <v>173</v>
      </c>
      <c r="AH307" s="223" t="s">
        <v>187</v>
      </c>
      <c r="AI307" s="244">
        <v>20</v>
      </c>
    </row>
    <row r="308">
      <c r="A308" s="211"/>
      <c r="B308" s="212" t="s">
        <v>178</v>
      </c>
      <c r="C308" s="248" t="s">
        <v>181</v>
      </c>
      <c r="D308" s="261">
        <v>1547.61</v>
      </c>
      <c r="E308" s="247">
        <v>4</v>
      </c>
      <c r="F308" s="247">
        <v>2</v>
      </c>
      <c r="G308" s="247">
        <v>2</v>
      </c>
      <c r="H308" s="236">
        <v>902</v>
      </c>
      <c r="I308" s="238">
        <v>0</v>
      </c>
      <c r="J308" s="240">
        <f t="shared" si="284"/>
      </c>
      <c r="K308" s="240">
        <f t="shared" si="344"/>
      </c>
      <c r="L308" s="240">
        <f t="shared" si="163"/>
      </c>
      <c r="M308" s="241">
        <f t="shared" si="224"/>
      </c>
      <c r="N308" s="240">
        <f t="shared" si="73"/>
      </c>
      <c r="O308" s="240">
        <f t="shared" si="103"/>
      </c>
      <c r="P308" s="241">
        <f t="shared" si="374"/>
      </c>
      <c r="Q308" s="241">
        <f t="shared" si="12"/>
      </c>
      <c r="R308" s="241">
        <f t="shared" si="254"/>
      </c>
      <c r="S308" s="241">
        <f t="shared" si="314"/>
      </c>
      <c r="T308" s="242">
        <f t="shared" si="133"/>
      </c>
      <c r="U308" s="243">
        <v>0.0272</v>
      </c>
      <c r="V308" s="244">
        <v>52</v>
      </c>
      <c r="W308" s="240">
        <f t="shared" si="42"/>
      </c>
      <c r="X308" s="242">
        <v>10992</v>
      </c>
      <c r="Y308" s="242">
        <v>501</v>
      </c>
      <c r="Z308" s="242">
        <v>39</v>
      </c>
      <c r="AA308" s="242">
        <v>631</v>
      </c>
      <c r="AB308" s="242">
        <v>49</v>
      </c>
      <c r="AC308" s="242">
        <v>5</v>
      </c>
      <c r="AD308" s="242">
        <v>2</v>
      </c>
      <c r="AE308" s="242">
        <v>12</v>
      </c>
      <c r="AF308" s="240">
        <f t="shared" si="193"/>
      </c>
      <c r="AG308" s="222" t="s">
        <v>173</v>
      </c>
      <c r="AH308" s="223" t="s">
        <v>187</v>
      </c>
      <c r="AI308" s="244">
        <v>12</v>
      </c>
    </row>
    <row r="309">
      <c r="A309" s="211"/>
      <c r="B309" s="212" t="s">
        <v>178</v>
      </c>
      <c r="C309" s="248" t="s">
        <v>182</v>
      </c>
      <c r="D309" s="261">
        <v>736.57</v>
      </c>
      <c r="E309" s="238">
        <v>3</v>
      </c>
      <c r="F309" s="238">
        <v>2</v>
      </c>
      <c r="G309" s="238">
        <v>2</v>
      </c>
      <c r="H309" s="261">
        <v>1307.8999999999978</v>
      </c>
      <c r="I309" s="238">
        <v>1</v>
      </c>
      <c r="J309" s="240">
        <f t="shared" si="284"/>
      </c>
      <c r="K309" s="240">
        <f t="shared" si="344"/>
      </c>
      <c r="L309" s="240">
        <f t="shared" si="163"/>
      </c>
      <c r="M309" s="241">
        <f t="shared" si="224"/>
      </c>
      <c r="N309" s="240">
        <f t="shared" si="73"/>
      </c>
      <c r="O309" s="240">
        <f t="shared" si="103"/>
      </c>
      <c r="P309" s="241">
        <f t="shared" si="374"/>
      </c>
      <c r="Q309" s="241">
        <f t="shared" si="12"/>
      </c>
      <c r="R309" s="241">
        <f t="shared" si="254"/>
      </c>
      <c r="S309" s="241">
        <f t="shared" si="314"/>
      </c>
      <c r="T309" s="242">
        <f t="shared" si="133"/>
      </c>
      <c r="U309" s="243">
        <v>0.0308</v>
      </c>
      <c r="V309" s="244">
        <v>52</v>
      </c>
      <c r="W309" s="240">
        <f t="shared" si="42"/>
      </c>
      <c r="X309" s="242">
        <v>5398</v>
      </c>
      <c r="Y309" s="242">
        <v>289</v>
      </c>
      <c r="Z309" s="242">
        <v>26</v>
      </c>
      <c r="AA309" s="242">
        <v>393</v>
      </c>
      <c r="AB309" s="242">
        <v>28</v>
      </c>
      <c r="AC309" s="242">
        <v>0</v>
      </c>
      <c r="AD309" s="242">
        <v>0</v>
      </c>
      <c r="AE309" s="244">
        <v>6</v>
      </c>
      <c r="AF309" s="240">
        <f t="shared" si="193"/>
      </c>
      <c r="AG309" s="222" t="s">
        <v>173</v>
      </c>
      <c r="AH309" s="223" t="s">
        <v>187</v>
      </c>
      <c r="AI309" s="244">
        <v>13</v>
      </c>
    </row>
    <row r="310">
      <c r="A310" s="211"/>
      <c r="B310" s="249" t="s">
        <v>165</v>
      </c>
      <c r="C310" s="249"/>
      <c r="D310" s="250">
        <f>SUM(D306:D309)</f>
      </c>
      <c r="E310" s="251">
        <f>SUM(E306:E309)</f>
      </c>
      <c r="F310" s="251">
        <f>SUM(F306:F309)</f>
      </c>
      <c r="G310" s="251">
        <f>SUM(G306:G309)</f>
      </c>
      <c r="H310" s="250">
        <f>SUM(H306:H309)</f>
      </c>
      <c r="I310" s="272">
        <f>SUM(I306:I309)</f>
      </c>
      <c r="J310" s="252">
        <f t="shared" si="284"/>
      </c>
      <c r="K310" s="252">
        <f t="shared" si="344"/>
      </c>
      <c r="L310" s="252">
        <f t="shared" si="163"/>
      </c>
      <c r="M310" s="253">
        <f t="shared" si="224"/>
      </c>
      <c r="N310" s="252">
        <f t="shared" si="73"/>
      </c>
      <c r="O310" s="252">
        <f t="shared" si="103"/>
      </c>
      <c r="P310" s="253">
        <f t="shared" si="374"/>
      </c>
      <c r="Q310" s="253">
        <f t="shared" si="12"/>
      </c>
      <c r="R310" s="253">
        <f t="shared" si="254"/>
      </c>
      <c r="S310" s="253">
        <f t="shared" si="314"/>
      </c>
      <c r="T310" s="254">
        <f t="shared" si="133"/>
      </c>
      <c r="U310" s="253">
        <f>AVERAGE(U306:U309)</f>
      </c>
      <c r="V310" s="250">
        <f>AVERAGE(V306:V309)</f>
      </c>
      <c r="W310" s="252">
        <f t="shared" si="42"/>
      </c>
      <c r="X310" s="254">
        <f>SUM(X306:X309)</f>
      </c>
      <c r="Y310" s="254">
        <f>SUM(Y306:Y309)</f>
      </c>
      <c r="Z310" s="254">
        <f>SUM(Z306:Z309)</f>
      </c>
      <c r="AA310" s="254">
        <f>SUM(AA306:AA309)</f>
      </c>
      <c r="AB310" s="254">
        <f>SUM(AB306:AB309)</f>
      </c>
      <c r="AC310" s="254">
        <f>SUM(AC306:AC309)</f>
      </c>
      <c r="AD310" s="254">
        <f>SUM(AD306:AD309)</f>
      </c>
      <c r="AE310" s="254">
        <f>SUM(AE306:AE309)</f>
      </c>
      <c r="AF310" s="255">
        <f t="shared" si="193"/>
      </c>
      <c r="AG310" s="256"/>
      <c r="AH310" s="256"/>
      <c r="AI310" s="257">
        <f>SUM(AI306:AI309)</f>
      </c>
    </row>
    <row r="311">
      <c r="A311" s="211"/>
      <c r="B311" s="264" t="s">
        <v>183</v>
      </c>
      <c r="C311" s="264"/>
      <c r="D311" s="265">
        <f>D295+D300+D305+D310</f>
      </c>
      <c r="E311" s="265">
        <f>E295+E300+E305+E310</f>
      </c>
      <c r="F311" s="265">
        <f>F295+F300+F305+F310</f>
      </c>
      <c r="G311" s="265">
        <f>G295+G300+G305+G310</f>
      </c>
      <c r="H311" s="265">
        <f>H295+H300+H305+H310</f>
      </c>
      <c r="I311" s="274">
        <f>I295+I300+I305+I310</f>
      </c>
      <c r="J311" s="266">
        <f t="shared" si="284"/>
      </c>
      <c r="K311" s="267">
        <f t="shared" si="344"/>
      </c>
      <c r="L311" s="267">
        <f t="shared" si="163"/>
      </c>
      <c r="M311" s="268">
        <f t="shared" si="224"/>
      </c>
      <c r="N311" s="267">
        <f t="shared" si="73"/>
      </c>
      <c r="O311" s="267">
        <f t="shared" si="103"/>
      </c>
      <c r="P311" s="268">
        <f t="shared" si="374"/>
      </c>
      <c r="Q311" s="268">
        <f t="shared" si="12"/>
      </c>
      <c r="R311" s="268">
        <f t="shared" si="254"/>
      </c>
      <c r="S311" s="268">
        <f t="shared" si="314"/>
      </c>
      <c r="T311" s="269">
        <f t="shared" si="133"/>
      </c>
      <c r="U311" s="268">
        <f>(U295+U305+U300+U310)/4</f>
      </c>
      <c r="V311" s="267">
        <f>(V295+V305+V300+V310)/4</f>
      </c>
      <c r="W311" s="270">
        <f t="shared" si="42"/>
      </c>
      <c r="X311" s="269">
        <f>X295+X300+X305+X310</f>
      </c>
      <c r="Y311" s="269">
        <f>Y295+Y300+Y305+Y310</f>
      </c>
      <c r="Z311" s="269">
        <f>Z295+Z300+Z305+Z310</f>
      </c>
      <c r="AA311" s="269">
        <f>AA295+AA300+AA305+AA310</f>
      </c>
      <c r="AB311" s="269">
        <f>AB295+AB300+AB305+AB310</f>
      </c>
      <c r="AC311" s="269">
        <f>AC295+AC300+AC305+AC310</f>
      </c>
      <c r="AD311" s="269">
        <f>AD295+AD300+AD305+AD310</f>
      </c>
      <c r="AE311" s="269">
        <f>AE295+AE300+AE305+AE310</f>
      </c>
      <c r="AF311" s="267">
        <f>AF295</f>
      </c>
      <c r="AG311" s="264"/>
      <c r="AH311" s="264"/>
      <c r="AI311" s="269">
        <f>AI295+AI300+AI305+AI310</f>
      </c>
    </row>
    <row r="312">
      <c r="A312" s="193" t="s">
        <v>120</v>
      </c>
      <c r="B312" s="194" t="s">
        <v>121</v>
      </c>
      <c r="C312" s="194"/>
      <c r="D312" s="195" t="s">
        <v>122</v>
      </c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6" t="s">
        <v>123</v>
      </c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7"/>
    </row>
    <row r="313">
      <c r="A313" s="193"/>
      <c r="B313" s="194" t="s">
        <v>124</v>
      </c>
      <c r="C313" s="198" t="s">
        <v>125</v>
      </c>
      <c r="D313" s="199" t="s">
        <v>126</v>
      </c>
      <c r="E313" s="200" t="s">
        <v>127</v>
      </c>
      <c r="F313" s="201" t="s">
        <v>128</v>
      </c>
      <c r="G313" s="201" t="s">
        <v>129</v>
      </c>
      <c r="H313" s="199" t="s">
        <v>130</v>
      </c>
      <c r="I313" s="271" t="s">
        <v>189</v>
      </c>
      <c r="J313" s="202" t="s">
        <v>131</v>
      </c>
      <c r="K313" s="202" t="s">
        <v>132</v>
      </c>
      <c r="L313" s="202" t="s">
        <v>133</v>
      </c>
      <c r="M313" s="203" t="s">
        <v>134</v>
      </c>
      <c r="N313" s="202" t="s">
        <v>135</v>
      </c>
      <c r="O313" s="204" t="s">
        <v>136</v>
      </c>
      <c r="P313" s="205" t="s">
        <v>137</v>
      </c>
      <c r="Q313" s="205" t="s">
        <v>138</v>
      </c>
      <c r="R313" s="205" t="s">
        <v>139</v>
      </c>
      <c r="S313" s="205" t="s">
        <v>140</v>
      </c>
      <c r="T313" s="206" t="s">
        <v>141</v>
      </c>
      <c r="U313" s="207" t="s">
        <v>142</v>
      </c>
      <c r="V313" s="208" t="s">
        <v>143</v>
      </c>
      <c r="W313" s="196" t="s">
        <v>144</v>
      </c>
      <c r="X313" s="209" t="s">
        <v>145</v>
      </c>
      <c r="Y313" s="209" t="s">
        <v>146</v>
      </c>
      <c r="Z313" s="209" t="s">
        <v>147</v>
      </c>
      <c r="AA313" s="209" t="s">
        <v>148</v>
      </c>
      <c r="AB313" s="209" t="s">
        <v>149</v>
      </c>
      <c r="AC313" s="209" t="s">
        <v>150</v>
      </c>
      <c r="AD313" s="209" t="s">
        <v>151</v>
      </c>
      <c r="AE313" s="209" t="s">
        <v>152</v>
      </c>
      <c r="AF313" s="196" t="s">
        <v>153</v>
      </c>
      <c r="AG313" s="210" t="s">
        <v>154</v>
      </c>
      <c r="AH313" s="210" t="s">
        <v>155</v>
      </c>
      <c r="AI313" s="197" t="s">
        <v>156</v>
      </c>
    </row>
    <row r="314">
      <c r="A314" s="211">
        <v>46187</v>
      </c>
      <c r="B314" s="212" t="s">
        <v>166</v>
      </c>
      <c r="C314" s="213" t="s">
        <v>158</v>
      </c>
      <c r="D314" s="214">
        <v>1933.71</v>
      </c>
      <c r="E314" s="215">
        <v>4</v>
      </c>
      <c r="F314" s="215">
        <v>3</v>
      </c>
      <c r="G314" s="215">
        <v>2</v>
      </c>
      <c r="H314" s="214">
        <v>1330.45</v>
      </c>
      <c r="I314" s="215">
        <v>0</v>
      </c>
      <c r="J314" s="216">
        <f t="shared" ref="J314:J335" si="285">H314/D314</f>
      </c>
      <c r="K314" s="217">
        <f t="shared" ref="K314:K335" si="345">D314/F314</f>
      </c>
      <c r="L314" s="217">
        <f t="shared" ref="L314:L335" si="164">D314/G314</f>
      </c>
      <c r="M314" s="218">
        <f t="shared" ref="M314:M335" si="225">F314/E314</f>
      </c>
      <c r="N314" s="217">
        <f t="shared" ref="N314:N335" si="74">H314/F314</f>
      </c>
      <c r="O314" s="217">
        <f t="shared" ref="O314:O335" si="104">D314/Y314</f>
      </c>
      <c r="P314" s="218">
        <f t="shared" ref="P314:P335" si="375">T314/X314*1</f>
      </c>
      <c r="Q314" s="218">
        <f t="shared" ref="Q314:Q335" si="13">Y314/X314</f>
      </c>
      <c r="R314" s="218">
        <f t="shared" ref="R314:R335" si="255">AA314/X314</f>
      </c>
      <c r="S314" s="218">
        <f t="shared" ref="S314:S335" si="315">AB314/AA314</f>
      </c>
      <c r="T314" s="219">
        <f t="shared" ref="T314:T335" si="134">Z314/U314</f>
      </c>
      <c r="U314" s="220">
        <v>0.029</v>
      </c>
      <c r="V314" s="221">
        <v>38</v>
      </c>
      <c r="W314" s="217">
        <f t="shared" ref="W314:W335" si="43">(D314/X314)*1000</f>
      </c>
      <c r="X314" s="221">
        <v>14120</v>
      </c>
      <c r="Y314" s="221">
        <v>560</v>
      </c>
      <c r="Z314" s="219">
        <v>58</v>
      </c>
      <c r="AA314" s="219">
        <v>810</v>
      </c>
      <c r="AB314" s="219">
        <v>67</v>
      </c>
      <c r="AC314" s="219">
        <v>9</v>
      </c>
      <c r="AD314" s="221">
        <v>1</v>
      </c>
      <c r="AE314" s="221">
        <v>19</v>
      </c>
      <c r="AF314" s="217">
        <f t="shared" ref="AF314:AF334" si="194">AI314*1000/D314</f>
      </c>
      <c r="AG314" s="222" t="s">
        <v>159</v>
      </c>
      <c r="AH314" s="223" t="s">
        <v>160</v>
      </c>
      <c r="AI314" s="221">
        <v>26</v>
      </c>
    </row>
    <row r="315">
      <c r="A315" s="211"/>
      <c r="B315" s="212" t="s">
        <v>166</v>
      </c>
      <c r="C315" s="213" t="s">
        <v>161</v>
      </c>
      <c r="D315" s="214">
        <v>896.06</v>
      </c>
      <c r="E315" s="215">
        <v>3</v>
      </c>
      <c r="F315" s="215">
        <v>3</v>
      </c>
      <c r="G315" s="215">
        <v>2</v>
      </c>
      <c r="H315" s="214">
        <v>2478.3</v>
      </c>
      <c r="I315" s="215">
        <v>2</v>
      </c>
      <c r="J315" s="216">
        <f t="shared" si="285"/>
      </c>
      <c r="K315" s="217">
        <f t="shared" si="345"/>
      </c>
      <c r="L315" s="217">
        <f t="shared" si="164"/>
      </c>
      <c r="M315" s="218">
        <f t="shared" si="225"/>
      </c>
      <c r="N315" s="217">
        <f t="shared" si="74"/>
      </c>
      <c r="O315" s="217">
        <f t="shared" si="104"/>
      </c>
      <c r="P315" s="218">
        <f t="shared" si="375"/>
      </c>
      <c r="Q315" s="218">
        <f t="shared" si="13"/>
      </c>
      <c r="R315" s="218">
        <f t="shared" si="255"/>
      </c>
      <c r="S315" s="218">
        <f t="shared" si="315"/>
      </c>
      <c r="T315" s="219">
        <f t="shared" si="134"/>
      </c>
      <c r="U315" s="220">
        <v>0.019</v>
      </c>
      <c r="V315" s="221">
        <v>42</v>
      </c>
      <c r="W315" s="217">
        <f t="shared" si="43"/>
      </c>
      <c r="X315" s="221">
        <v>6664</v>
      </c>
      <c r="Y315" s="221">
        <v>257</v>
      </c>
      <c r="Z315" s="219">
        <v>28</v>
      </c>
      <c r="AA315" s="219">
        <v>389</v>
      </c>
      <c r="AB315" s="221">
        <v>37</v>
      </c>
      <c r="AC315" s="219">
        <v>2</v>
      </c>
      <c r="AD315" s="221">
        <v>1</v>
      </c>
      <c r="AE315" s="221">
        <v>5</v>
      </c>
      <c r="AF315" s="217">
        <f t="shared" si="194"/>
      </c>
      <c r="AG315" s="222" t="s">
        <v>159</v>
      </c>
      <c r="AH315" s="223" t="s">
        <v>160</v>
      </c>
      <c r="AI315" s="221">
        <v>10</v>
      </c>
    </row>
    <row r="316">
      <c r="A316" s="211"/>
      <c r="B316" s="212" t="s">
        <v>166</v>
      </c>
      <c r="C316" s="224" t="s">
        <v>162</v>
      </c>
      <c r="D316" s="214">
        <v>1894.19</v>
      </c>
      <c r="E316" s="215">
        <v>3</v>
      </c>
      <c r="F316" s="215">
        <v>3</v>
      </c>
      <c r="G316" s="215">
        <v>3</v>
      </c>
      <c r="H316" s="214">
        <v>1758.8999999999996</v>
      </c>
      <c r="I316" s="215">
        <v>1</v>
      </c>
      <c r="J316" s="216">
        <f t="shared" si="285"/>
      </c>
      <c r="K316" s="217">
        <f t="shared" si="345"/>
      </c>
      <c r="L316" s="217">
        <f t="shared" si="164"/>
      </c>
      <c r="M316" s="218">
        <f t="shared" si="225"/>
      </c>
      <c r="N316" s="217">
        <f t="shared" si="74"/>
      </c>
      <c r="O316" s="217">
        <f t="shared" si="104"/>
      </c>
      <c r="P316" s="218">
        <f t="shared" si="375"/>
      </c>
      <c r="Q316" s="218">
        <f t="shared" si="13"/>
      </c>
      <c r="R316" s="218">
        <f t="shared" si="255"/>
      </c>
      <c r="S316" s="218">
        <f t="shared" si="315"/>
      </c>
      <c r="T316" s="219">
        <f t="shared" si="134"/>
      </c>
      <c r="U316" s="220">
        <v>0.03</v>
      </c>
      <c r="V316" s="221">
        <v>43</v>
      </c>
      <c r="W316" s="217">
        <f t="shared" si="43"/>
      </c>
      <c r="X316" s="221">
        <v>12334</v>
      </c>
      <c r="Y316" s="221">
        <v>335</v>
      </c>
      <c r="Z316" s="219">
        <v>39</v>
      </c>
      <c r="AA316" s="219">
        <v>500</v>
      </c>
      <c r="AB316" s="221">
        <v>34</v>
      </c>
      <c r="AC316" s="219">
        <v>7</v>
      </c>
      <c r="AD316" s="221">
        <v>0</v>
      </c>
      <c r="AE316" s="221">
        <v>21</v>
      </c>
      <c r="AF316" s="217">
        <f t="shared" si="194"/>
      </c>
      <c r="AG316" s="222" t="s">
        <v>159</v>
      </c>
      <c r="AH316" s="223" t="s">
        <v>160</v>
      </c>
      <c r="AI316" s="221">
        <v>13</v>
      </c>
    </row>
    <row r="317">
      <c r="A317" s="211"/>
      <c r="B317" s="212" t="s">
        <v>166</v>
      </c>
      <c r="C317" s="213" t="s">
        <v>163</v>
      </c>
      <c r="D317" s="214">
        <v>1910.4</v>
      </c>
      <c r="E317" s="215">
        <v>5</v>
      </c>
      <c r="F317" s="215">
        <v>5</v>
      </c>
      <c r="G317" s="215">
        <v>4</v>
      </c>
      <c r="H317" s="214">
        <v>3242.800000000001</v>
      </c>
      <c r="I317" s="215">
        <v>1</v>
      </c>
      <c r="J317" s="216">
        <f t="shared" si="285"/>
      </c>
      <c r="K317" s="217">
        <f t="shared" si="345"/>
      </c>
      <c r="L317" s="217">
        <f t="shared" si="164"/>
      </c>
      <c r="M317" s="218">
        <f t="shared" si="225"/>
      </c>
      <c r="N317" s="217">
        <f t="shared" si="74"/>
      </c>
      <c r="O317" s="217">
        <f t="shared" si="104"/>
      </c>
      <c r="P317" s="218">
        <f t="shared" si="375"/>
      </c>
      <c r="Q317" s="218">
        <f t="shared" si="13"/>
      </c>
      <c r="R317" s="218">
        <f t="shared" si="255"/>
      </c>
      <c r="S317" s="218">
        <f t="shared" si="315"/>
      </c>
      <c r="T317" s="219">
        <f t="shared" si="134"/>
      </c>
      <c r="U317" s="220">
        <v>0.0372</v>
      </c>
      <c r="V317" s="221">
        <v>44</v>
      </c>
      <c r="W317" s="217">
        <f t="shared" si="43"/>
      </c>
      <c r="X317" s="221">
        <v>11362</v>
      </c>
      <c r="Y317" s="221">
        <v>350</v>
      </c>
      <c r="Z317" s="221">
        <v>46</v>
      </c>
      <c r="AA317" s="221">
        <v>506</v>
      </c>
      <c r="AB317" s="221">
        <v>37</v>
      </c>
      <c r="AC317" s="221">
        <v>8</v>
      </c>
      <c r="AD317" s="221">
        <v>0</v>
      </c>
      <c r="AE317" s="221">
        <v>25</v>
      </c>
      <c r="AF317" s="217">
        <f t="shared" si="194"/>
      </c>
      <c r="AG317" s="222" t="s">
        <v>159</v>
      </c>
      <c r="AH317" s="223" t="s">
        <v>160</v>
      </c>
      <c r="AI317" s="221">
        <v>13</v>
      </c>
    </row>
    <row r="318">
      <c r="A318" s="211"/>
      <c r="B318" s="212" t="s">
        <v>166</v>
      </c>
      <c r="C318" s="212" t="s">
        <v>164</v>
      </c>
      <c r="D318" s="225">
        <v>1674.29</v>
      </c>
      <c r="E318" s="226">
        <v>6</v>
      </c>
      <c r="F318" s="226">
        <v>5</v>
      </c>
      <c r="G318" s="226">
        <v>4</v>
      </c>
      <c r="H318" s="225">
        <v>2593.25</v>
      </c>
      <c r="I318" s="226">
        <v>1</v>
      </c>
      <c r="J318" s="217">
        <f t="shared" si="285"/>
      </c>
      <c r="K318" s="217">
        <f t="shared" si="345"/>
      </c>
      <c r="L318" s="217">
        <f t="shared" si="164"/>
      </c>
      <c r="M318" s="218">
        <f t="shared" si="225"/>
      </c>
      <c r="N318" s="217">
        <f t="shared" si="74"/>
      </c>
      <c r="O318" s="217">
        <f t="shared" si="104"/>
      </c>
      <c r="P318" s="218">
        <f t="shared" si="375"/>
      </c>
      <c r="Q318" s="218">
        <f t="shared" si="13"/>
      </c>
      <c r="R318" s="218">
        <f t="shared" si="255"/>
      </c>
      <c r="S318" s="218">
        <f t="shared" si="315"/>
      </c>
      <c r="T318" s="219">
        <f t="shared" si="134"/>
      </c>
      <c r="U318" s="220">
        <v>0.0335</v>
      </c>
      <c r="V318" s="221">
        <v>47</v>
      </c>
      <c r="W318" s="217">
        <f t="shared" si="43"/>
      </c>
      <c r="X318" s="219">
        <v>11152</v>
      </c>
      <c r="Y318" s="219">
        <v>323</v>
      </c>
      <c r="Z318" s="219">
        <v>35</v>
      </c>
      <c r="AA318" s="219">
        <v>494</v>
      </c>
      <c r="AB318" s="219">
        <v>19</v>
      </c>
      <c r="AC318" s="219">
        <v>5</v>
      </c>
      <c r="AD318" s="219">
        <v>6</v>
      </c>
      <c r="AE318" s="221">
        <v>17</v>
      </c>
      <c r="AF318" s="217">
        <f t="shared" si="194"/>
      </c>
      <c r="AG318" s="222" t="s">
        <v>159</v>
      </c>
      <c r="AH318" s="223" t="s">
        <v>160</v>
      </c>
      <c r="AI318" s="221">
        <v>9</v>
      </c>
    </row>
    <row r="319">
      <c r="A319" s="211"/>
      <c r="B319" s="227" t="s">
        <v>165</v>
      </c>
      <c r="C319" s="227"/>
      <c r="D319" s="228">
        <f>SUM(D314:D318)</f>
      </c>
      <c r="E319" s="229">
        <f>SUM(E314:E318)</f>
      </c>
      <c r="F319" s="229">
        <f>SUM(F314:F318)</f>
      </c>
      <c r="G319" s="229">
        <f>SUM(G314:G318)</f>
      </c>
      <c r="H319" s="228">
        <f>SUM(H314:H318)</f>
      </c>
      <c r="I319" s="272">
        <f>SUM(I314:I318)</f>
      </c>
      <c r="J319" s="230">
        <f t="shared" si="285"/>
      </c>
      <c r="K319" s="230">
        <f t="shared" si="345"/>
      </c>
      <c r="L319" s="230">
        <f t="shared" si="164"/>
      </c>
      <c r="M319" s="231">
        <f t="shared" si="225"/>
      </c>
      <c r="N319" s="230">
        <f t="shared" si="74"/>
      </c>
      <c r="O319" s="230">
        <f t="shared" si="104"/>
      </c>
      <c r="P319" s="231">
        <f t="shared" si="375"/>
      </c>
      <c r="Q319" s="231">
        <f t="shared" si="13"/>
      </c>
      <c r="R319" s="231">
        <f t="shared" si="255"/>
      </c>
      <c r="S319" s="231">
        <f t="shared" si="315"/>
      </c>
      <c r="T319" s="229">
        <f t="shared" si="134"/>
      </c>
      <c r="U319" s="231">
        <f>AVERAGE(U314:U318)</f>
      </c>
      <c r="V319" s="228">
        <f>AVERAGE(V314:V318)</f>
      </c>
      <c r="W319" s="230">
        <f t="shared" si="43"/>
      </c>
      <c r="X319" s="229">
        <f>SUM(X314:X318)</f>
      </c>
      <c r="Y319" s="229">
        <f>SUM(Y314:Y318)</f>
      </c>
      <c r="Z319" s="229">
        <f>SUM(Z314:Z318)</f>
      </c>
      <c r="AA319" s="229">
        <f>SUM(AA314:AA318)</f>
      </c>
      <c r="AB319" s="229">
        <f>SUM(AB314:AB318)</f>
      </c>
      <c r="AC319" s="229">
        <f>SUM(AC314:AC318)</f>
      </c>
      <c r="AD319" s="229">
        <f>SUM(AD314:AD318)</f>
      </c>
      <c r="AE319" s="229">
        <f>SUM(AE314:AE318)</f>
      </c>
      <c r="AF319" s="232">
        <f t="shared" si="194"/>
      </c>
      <c r="AG319" s="233"/>
      <c r="AH319" s="233"/>
      <c r="AI319" s="234">
        <f>SUM(AI314:AI318)</f>
      </c>
    </row>
    <row r="320">
      <c r="A320" s="211"/>
      <c r="B320" s="212" t="s">
        <v>157</v>
      </c>
      <c r="C320" s="235" t="s">
        <v>167</v>
      </c>
      <c r="D320" s="236">
        <v>1556.83</v>
      </c>
      <c r="E320" s="237">
        <v>2</v>
      </c>
      <c r="F320" s="237">
        <v>2</v>
      </c>
      <c r="G320" s="238">
        <v>2</v>
      </c>
      <c r="H320" s="239">
        <v>1668.699999999999</v>
      </c>
      <c r="I320" s="273">
        <v>1</v>
      </c>
      <c r="J320" s="240">
        <f t="shared" si="285"/>
      </c>
      <c r="K320" s="240">
        <f t="shared" si="345"/>
      </c>
      <c r="L320" s="240">
        <f t="shared" si="164"/>
      </c>
      <c r="M320" s="241">
        <f t="shared" si="225"/>
      </c>
      <c r="N320" s="240">
        <f t="shared" si="74"/>
      </c>
      <c r="O320" s="240">
        <f t="shared" si="104"/>
      </c>
      <c r="P320" s="241">
        <f t="shared" si="375"/>
      </c>
      <c r="Q320" s="241">
        <f t="shared" si="13"/>
      </c>
      <c r="R320" s="241">
        <f t="shared" si="255"/>
      </c>
      <c r="S320" s="241">
        <f t="shared" si="315"/>
      </c>
      <c r="T320" s="242">
        <f t="shared" si="134"/>
      </c>
      <c r="U320" s="243">
        <v>0.0467</v>
      </c>
      <c r="V320" s="244">
        <v>47</v>
      </c>
      <c r="W320" s="240">
        <f t="shared" si="43"/>
      </c>
      <c r="X320" s="242">
        <v>11189</v>
      </c>
      <c r="Y320" s="242">
        <v>340</v>
      </c>
      <c r="Z320" s="242">
        <v>47</v>
      </c>
      <c r="AA320" s="242">
        <v>525</v>
      </c>
      <c r="AB320" s="242">
        <v>24</v>
      </c>
      <c r="AC320" s="242">
        <v>2</v>
      </c>
      <c r="AD320" s="242">
        <v>1</v>
      </c>
      <c r="AE320" s="242">
        <v>25</v>
      </c>
      <c r="AF320" s="240">
        <f t="shared" si="194"/>
      </c>
      <c r="AG320" s="222" t="s">
        <v>159</v>
      </c>
      <c r="AH320" s="223" t="s">
        <v>160</v>
      </c>
      <c r="AI320" s="244">
        <v>12</v>
      </c>
    </row>
    <row r="321">
      <c r="A321" s="211"/>
      <c r="B321" s="212" t="s">
        <v>157</v>
      </c>
      <c r="C321" s="245" t="s">
        <v>168</v>
      </c>
      <c r="D321" s="246">
        <v>1561.24</v>
      </c>
      <c r="E321" s="247">
        <v>4</v>
      </c>
      <c r="F321" s="247">
        <v>3</v>
      </c>
      <c r="G321" s="247">
        <v>2</v>
      </c>
      <c r="H321" s="239">
        <v>4338.949999999999</v>
      </c>
      <c r="I321" s="273">
        <v>2</v>
      </c>
      <c r="J321" s="240">
        <f t="shared" si="285"/>
      </c>
      <c r="K321" s="240">
        <f t="shared" si="345"/>
      </c>
      <c r="L321" s="240">
        <f t="shared" si="164"/>
      </c>
      <c r="M321" s="241">
        <f t="shared" si="225"/>
      </c>
      <c r="N321" s="240">
        <f t="shared" si="74"/>
      </c>
      <c r="O321" s="240">
        <f t="shared" si="104"/>
      </c>
      <c r="P321" s="241">
        <f t="shared" si="375"/>
      </c>
      <c r="Q321" s="241">
        <f t="shared" si="13"/>
      </c>
      <c r="R321" s="241">
        <f t="shared" si="255"/>
      </c>
      <c r="S321" s="241">
        <f t="shared" si="315"/>
      </c>
      <c r="T321" s="242">
        <f t="shared" si="134"/>
      </c>
      <c r="U321" s="243">
        <v>0.0345</v>
      </c>
      <c r="V321" s="244">
        <v>47</v>
      </c>
      <c r="W321" s="240">
        <f t="shared" si="43"/>
      </c>
      <c r="X321" s="242">
        <v>10521</v>
      </c>
      <c r="Y321" s="242">
        <v>383</v>
      </c>
      <c r="Z321" s="242">
        <v>37</v>
      </c>
      <c r="AA321" s="242">
        <v>524</v>
      </c>
      <c r="AB321" s="242">
        <v>31</v>
      </c>
      <c r="AC321" s="242">
        <v>8</v>
      </c>
      <c r="AD321" s="242">
        <v>1</v>
      </c>
      <c r="AE321" s="242">
        <v>20</v>
      </c>
      <c r="AF321" s="240">
        <f t="shared" si="194"/>
      </c>
      <c r="AG321" s="222" t="s">
        <v>159</v>
      </c>
      <c r="AH321" s="223" t="s">
        <v>160</v>
      </c>
      <c r="AI321" s="244">
        <v>15</v>
      </c>
    </row>
    <row r="322">
      <c r="A322" s="211"/>
      <c r="B322" s="212" t="s">
        <v>157</v>
      </c>
      <c r="C322" s="235" t="s">
        <v>169</v>
      </c>
      <c r="D322" s="236">
        <v>1828.62</v>
      </c>
      <c r="E322" s="247">
        <v>6</v>
      </c>
      <c r="F322" s="247">
        <v>5</v>
      </c>
      <c r="G322" s="247">
        <v>3</v>
      </c>
      <c r="H322" s="236">
        <v>2480.5</v>
      </c>
      <c r="I322" s="238">
        <v>1</v>
      </c>
      <c r="J322" s="240">
        <f t="shared" si="285"/>
      </c>
      <c r="K322" s="240">
        <f t="shared" si="345"/>
      </c>
      <c r="L322" s="240">
        <f t="shared" si="164"/>
      </c>
      <c r="M322" s="241">
        <f t="shared" si="225"/>
      </c>
      <c r="N322" s="240">
        <f t="shared" si="74"/>
      </c>
      <c r="O322" s="240">
        <f t="shared" si="104"/>
      </c>
      <c r="P322" s="241">
        <f t="shared" si="375"/>
      </c>
      <c r="Q322" s="241">
        <f t="shared" si="13"/>
      </c>
      <c r="R322" s="241">
        <f t="shared" si="255"/>
      </c>
      <c r="S322" s="241">
        <f t="shared" si="315"/>
      </c>
      <c r="T322" s="242">
        <f t="shared" si="134"/>
      </c>
      <c r="U322" s="243">
        <v>0.0404</v>
      </c>
      <c r="V322" s="244">
        <v>47</v>
      </c>
      <c r="W322" s="240">
        <f t="shared" si="43"/>
      </c>
      <c r="X322" s="242">
        <v>11504</v>
      </c>
      <c r="Y322" s="242">
        <v>365</v>
      </c>
      <c r="Z322" s="242">
        <v>42</v>
      </c>
      <c r="AA322" s="242">
        <v>534</v>
      </c>
      <c r="AB322" s="242">
        <v>17</v>
      </c>
      <c r="AC322" s="242">
        <v>3</v>
      </c>
      <c r="AD322" s="242">
        <v>0</v>
      </c>
      <c r="AE322" s="244">
        <v>19</v>
      </c>
      <c r="AF322" s="240">
        <f t="shared" si="194"/>
      </c>
      <c r="AG322" s="222" t="s">
        <v>159</v>
      </c>
      <c r="AH322" s="223" t="s">
        <v>160</v>
      </c>
      <c r="AI322" s="244">
        <v>8</v>
      </c>
    </row>
    <row r="323">
      <c r="A323" s="211"/>
      <c r="B323" s="212" t="s">
        <v>157</v>
      </c>
      <c r="C323" s="248" t="s">
        <v>170</v>
      </c>
      <c r="D323" s="236">
        <v>2137.36</v>
      </c>
      <c r="E323" s="238">
        <v>2</v>
      </c>
      <c r="F323" s="238">
        <v>1</v>
      </c>
      <c r="G323" s="238">
        <v>1</v>
      </c>
      <c r="H323" s="236">
        <v>1170.4000000000015</v>
      </c>
      <c r="I323" s="238">
        <v>1</v>
      </c>
      <c r="J323" s="240">
        <f t="shared" si="285"/>
      </c>
      <c r="K323" s="240">
        <f t="shared" si="345"/>
      </c>
      <c r="L323" s="240">
        <f t="shared" si="164"/>
      </c>
      <c r="M323" s="241">
        <f t="shared" si="225"/>
      </c>
      <c r="N323" s="240">
        <f t="shared" si="74"/>
      </c>
      <c r="O323" s="240">
        <f t="shared" si="104"/>
      </c>
      <c r="P323" s="241">
        <f t="shared" si="375"/>
      </c>
      <c r="Q323" s="241">
        <f t="shared" si="13"/>
      </c>
      <c r="R323" s="241">
        <f t="shared" si="255"/>
      </c>
      <c r="S323" s="241">
        <f t="shared" si="315"/>
      </c>
      <c r="T323" s="242">
        <f t="shared" si="134"/>
      </c>
      <c r="U323" s="243">
        <v>0.0569</v>
      </c>
      <c r="V323" s="244">
        <v>46</v>
      </c>
      <c r="W323" s="240">
        <f t="shared" si="43"/>
      </c>
      <c r="X323" s="242">
        <v>13460</v>
      </c>
      <c r="Y323" s="242">
        <v>458</v>
      </c>
      <c r="Z323" s="242">
        <v>74</v>
      </c>
      <c r="AA323" s="242">
        <v>682</v>
      </c>
      <c r="AB323" s="242">
        <v>56</v>
      </c>
      <c r="AC323" s="242">
        <v>6</v>
      </c>
      <c r="AD323" s="242">
        <v>4</v>
      </c>
      <c r="AE323" s="242">
        <v>22</v>
      </c>
      <c r="AF323" s="240">
        <f t="shared" si="194"/>
      </c>
      <c r="AG323" s="222" t="s">
        <v>159</v>
      </c>
      <c r="AH323" s="223" t="s">
        <v>160</v>
      </c>
      <c r="AI323" s="244">
        <v>22</v>
      </c>
    </row>
    <row r="324">
      <c r="A324" s="211"/>
      <c r="B324" s="249" t="s">
        <v>165</v>
      </c>
      <c r="C324" s="249"/>
      <c r="D324" s="250">
        <f>SUM(D320:D323)</f>
      </c>
      <c r="E324" s="251">
        <f>SUM(E320:E323)</f>
      </c>
      <c r="F324" s="251">
        <f>SUM(F320:F323)</f>
      </c>
      <c r="G324" s="251">
        <f>SUM(G320:G323)</f>
      </c>
      <c r="H324" s="250">
        <f>SUM(H320:H323)</f>
      </c>
      <c r="I324" s="272">
        <f>SUM(I320:I323)</f>
      </c>
      <c r="J324" s="252">
        <f t="shared" si="285"/>
      </c>
      <c r="K324" s="252">
        <f t="shared" si="345"/>
      </c>
      <c r="L324" s="252">
        <f t="shared" si="164"/>
      </c>
      <c r="M324" s="253">
        <f t="shared" si="225"/>
      </c>
      <c r="N324" s="252">
        <f t="shared" si="74"/>
      </c>
      <c r="O324" s="252">
        <f t="shared" si="104"/>
      </c>
      <c r="P324" s="253">
        <f t="shared" si="375"/>
      </c>
      <c r="Q324" s="253">
        <f t="shared" si="13"/>
      </c>
      <c r="R324" s="253">
        <f t="shared" si="255"/>
      </c>
      <c r="S324" s="253">
        <f t="shared" si="315"/>
      </c>
      <c r="T324" s="254">
        <f t="shared" si="134"/>
      </c>
      <c r="U324" s="253">
        <f>AVERAGE(U320:U323)</f>
      </c>
      <c r="V324" s="250">
        <f>AVERAGE(V320:V323)</f>
      </c>
      <c r="W324" s="252">
        <f t="shared" si="43"/>
      </c>
      <c r="X324" s="254">
        <f>SUM(X320:X323)</f>
      </c>
      <c r="Y324" s="254">
        <f>SUM(Y320:Y323)</f>
      </c>
      <c r="Z324" s="254">
        <f>SUM(Z320:Z323)</f>
      </c>
      <c r="AA324" s="254">
        <f>SUM(AA320:AA323)</f>
      </c>
      <c r="AB324" s="254">
        <f>SUM(AB320:AB323)</f>
      </c>
      <c r="AC324" s="254">
        <f>SUM(AC320:AC323)</f>
      </c>
      <c r="AD324" s="254">
        <f>SUM(AD320:AD323)</f>
      </c>
      <c r="AE324" s="254">
        <f>SUM(AE320:AE323)</f>
      </c>
      <c r="AF324" s="255">
        <f t="shared" si="194"/>
      </c>
      <c r="AG324" s="256"/>
      <c r="AH324" s="256"/>
      <c r="AI324" s="257">
        <f>SUM(AI320:AI323)</f>
      </c>
    </row>
    <row r="325">
      <c r="A325" s="211"/>
      <c r="B325" s="248" t="s">
        <v>171</v>
      </c>
      <c r="C325" s="235" t="s">
        <v>172</v>
      </c>
      <c r="D325" s="212">
        <v>1661.17</v>
      </c>
      <c r="E325" s="215">
        <v>2</v>
      </c>
      <c r="F325" s="215">
        <v>1</v>
      </c>
      <c r="G325" s="215">
        <v>1</v>
      </c>
      <c r="H325" s="275">
        <v>856.9000000000015</v>
      </c>
      <c r="I325" s="215">
        <v>1</v>
      </c>
      <c r="J325" s="217">
        <f t="shared" si="285"/>
      </c>
      <c r="K325" s="217">
        <f t="shared" si="345"/>
      </c>
      <c r="L325" s="217">
        <f t="shared" si="164"/>
      </c>
      <c r="M325" s="218">
        <f t="shared" si="225"/>
      </c>
      <c r="N325" s="217">
        <f t="shared" si="74"/>
      </c>
      <c r="O325" s="217">
        <f t="shared" si="104"/>
      </c>
      <c r="P325" s="218">
        <f t="shared" si="375"/>
      </c>
      <c r="Q325" s="218">
        <f t="shared" si="13"/>
      </c>
      <c r="R325" s="218">
        <f t="shared" si="255"/>
      </c>
      <c r="S325" s="218">
        <f t="shared" si="315"/>
      </c>
      <c r="T325" s="219">
        <f t="shared" si="134"/>
      </c>
      <c r="U325" s="220">
        <v>0.0569</v>
      </c>
      <c r="V325" s="221">
        <v>46</v>
      </c>
      <c r="W325" s="217">
        <f t="shared" si="43"/>
      </c>
      <c r="X325" s="221">
        <v>12494</v>
      </c>
      <c r="Y325" s="221">
        <v>391</v>
      </c>
      <c r="Z325" s="219">
        <v>53</v>
      </c>
      <c r="AA325" s="219">
        <v>531</v>
      </c>
      <c r="AB325" s="219">
        <v>39</v>
      </c>
      <c r="AC325" s="219">
        <v>7</v>
      </c>
      <c r="AD325" s="221">
        <v>1</v>
      </c>
      <c r="AE325" s="221">
        <v>12</v>
      </c>
      <c r="AF325" s="217">
        <f t="shared" si="194"/>
      </c>
      <c r="AG325" s="222" t="s">
        <v>173</v>
      </c>
      <c r="AH325" s="223" t="s">
        <v>185</v>
      </c>
      <c r="AI325" s="221">
        <v>18</v>
      </c>
    </row>
    <row r="326">
      <c r="A326" s="211"/>
      <c r="B326" s="248" t="s">
        <v>171</v>
      </c>
      <c r="C326" s="245" t="s">
        <v>175</v>
      </c>
      <c r="D326" s="212">
        <v>1287.72</v>
      </c>
      <c r="E326" s="215">
        <v>0</v>
      </c>
      <c r="F326" s="215">
        <v>0</v>
      </c>
      <c r="G326" s="215">
        <v>0</v>
      </c>
      <c r="H326" s="275">
        <v>0</v>
      </c>
      <c r="I326" s="215">
        <v>0</v>
      </c>
      <c r="J326" s="217">
        <f t="shared" si="285"/>
      </c>
      <c r="K326" s="217">
        <f t="shared" si="345"/>
      </c>
      <c r="L326" s="217">
        <f t="shared" si="164"/>
      </c>
      <c r="M326" s="218">
        <f t="shared" si="225"/>
      </c>
      <c r="N326" s="217">
        <f t="shared" si="74"/>
      </c>
      <c r="O326" s="217">
        <f t="shared" si="104"/>
      </c>
      <c r="P326" s="218">
        <f t="shared" si="375"/>
      </c>
      <c r="Q326" s="218">
        <f t="shared" si="13"/>
      </c>
      <c r="R326" s="218">
        <f t="shared" si="255"/>
      </c>
      <c r="S326" s="218">
        <f t="shared" si="315"/>
      </c>
      <c r="T326" s="219">
        <f t="shared" si="134"/>
      </c>
      <c r="U326" s="220">
        <v>0.0392</v>
      </c>
      <c r="V326" s="221">
        <v>46</v>
      </c>
      <c r="W326" s="217">
        <f t="shared" si="43"/>
      </c>
      <c r="X326" s="219">
        <v>8871</v>
      </c>
      <c r="Y326" s="219">
        <v>237</v>
      </c>
      <c r="Z326" s="219">
        <v>30</v>
      </c>
      <c r="AA326" s="219">
        <v>398</v>
      </c>
      <c r="AB326" s="219">
        <v>28</v>
      </c>
      <c r="AC326" s="219">
        <v>4</v>
      </c>
      <c r="AD326" s="219">
        <v>0</v>
      </c>
      <c r="AE326" s="221">
        <v>5</v>
      </c>
      <c r="AF326" s="217">
        <f t="shared" si="194"/>
      </c>
      <c r="AG326" s="222" t="s">
        <v>173</v>
      </c>
      <c r="AH326" s="223" t="s">
        <v>185</v>
      </c>
      <c r="AI326" s="221">
        <v>9</v>
      </c>
    </row>
    <row r="327">
      <c r="A327" s="211"/>
      <c r="B327" s="248" t="s">
        <v>171</v>
      </c>
      <c r="C327" s="235" t="s">
        <v>176</v>
      </c>
      <c r="D327" s="212">
        <v>1136.43</v>
      </c>
      <c r="E327" s="215">
        <v>1</v>
      </c>
      <c r="F327" s="215">
        <v>1</v>
      </c>
      <c r="G327" s="215">
        <v>1</v>
      </c>
      <c r="H327" s="275">
        <v>451</v>
      </c>
      <c r="I327" s="215">
        <v>0</v>
      </c>
      <c r="J327" s="217">
        <f t="shared" si="285"/>
      </c>
      <c r="K327" s="217">
        <f t="shared" si="345"/>
      </c>
      <c r="L327" s="217">
        <f t="shared" si="164"/>
      </c>
      <c r="M327" s="218">
        <f t="shared" si="225"/>
      </c>
      <c r="N327" s="217">
        <f t="shared" si="74"/>
      </c>
      <c r="O327" s="217">
        <f t="shared" si="104"/>
      </c>
      <c r="P327" s="218">
        <f t="shared" si="375"/>
      </c>
      <c r="Q327" s="218">
        <f t="shared" si="13"/>
      </c>
      <c r="R327" s="218">
        <f t="shared" si="255"/>
      </c>
      <c r="S327" s="218">
        <f t="shared" si="315"/>
      </c>
      <c r="T327" s="219">
        <f t="shared" si="134"/>
      </c>
      <c r="U327" s="220">
        <v>0.0518</v>
      </c>
      <c r="V327" s="221">
        <v>46</v>
      </c>
      <c r="W327" s="217">
        <f t="shared" si="43"/>
      </c>
      <c r="X327" s="221">
        <v>10567</v>
      </c>
      <c r="Y327" s="221">
        <v>205</v>
      </c>
      <c r="Z327" s="221">
        <v>38</v>
      </c>
      <c r="AA327" s="221">
        <v>333</v>
      </c>
      <c r="AB327" s="221">
        <v>26</v>
      </c>
      <c r="AC327" s="221">
        <v>4</v>
      </c>
      <c r="AD327" s="221">
        <v>2</v>
      </c>
      <c r="AE327" s="221">
        <v>8</v>
      </c>
      <c r="AF327" s="217">
        <f t="shared" si="194"/>
      </c>
      <c r="AG327" s="222" t="s">
        <v>173</v>
      </c>
      <c r="AH327" s="223" t="s">
        <v>185</v>
      </c>
      <c r="AI327" s="221">
        <v>16</v>
      </c>
    </row>
    <row r="328">
      <c r="A328" s="211"/>
      <c r="B328" s="248" t="s">
        <v>171</v>
      </c>
      <c r="C328" s="235" t="s">
        <v>177</v>
      </c>
      <c r="D328" s="212">
        <v>1205.57</v>
      </c>
      <c r="E328" s="215">
        <v>5</v>
      </c>
      <c r="F328" s="215">
        <v>5</v>
      </c>
      <c r="G328" s="215">
        <v>5</v>
      </c>
      <c r="H328" s="275">
        <v>4650.799999999999</v>
      </c>
      <c r="I328" s="215">
        <v>2</v>
      </c>
      <c r="J328" s="217">
        <f t="shared" si="285"/>
      </c>
      <c r="K328" s="217">
        <f t="shared" si="345"/>
      </c>
      <c r="L328" s="217">
        <f t="shared" si="164"/>
      </c>
      <c r="M328" s="218">
        <f t="shared" si="225"/>
      </c>
      <c r="N328" s="217">
        <f t="shared" si="74"/>
      </c>
      <c r="O328" s="217">
        <f t="shared" si="104"/>
      </c>
      <c r="P328" s="218">
        <f t="shared" si="375"/>
      </c>
      <c r="Q328" s="218">
        <f t="shared" si="13"/>
      </c>
      <c r="R328" s="218">
        <f t="shared" si="255"/>
      </c>
      <c r="S328" s="218">
        <f t="shared" si="315"/>
      </c>
      <c r="T328" s="219">
        <f t="shared" si="134"/>
      </c>
      <c r="U328" s="220">
        <v>0.0472</v>
      </c>
      <c r="V328" s="221">
        <v>46</v>
      </c>
      <c r="W328" s="217">
        <f t="shared" si="43"/>
      </c>
      <c r="X328" s="221">
        <v>10762</v>
      </c>
      <c r="Y328" s="221">
        <v>239</v>
      </c>
      <c r="Z328" s="219">
        <v>37</v>
      </c>
      <c r="AA328" s="219">
        <v>356</v>
      </c>
      <c r="AB328" s="219">
        <v>35</v>
      </c>
      <c r="AC328" s="219">
        <v>3</v>
      </c>
      <c r="AD328" s="221">
        <v>2</v>
      </c>
      <c r="AE328" s="221">
        <v>18</v>
      </c>
      <c r="AF328" s="217">
        <f t="shared" si="194"/>
      </c>
      <c r="AG328" s="222" t="s">
        <v>173</v>
      </c>
      <c r="AH328" s="223" t="s">
        <v>185</v>
      </c>
      <c r="AI328" s="221">
        <v>17</v>
      </c>
    </row>
    <row r="329">
      <c r="A329" s="211"/>
      <c r="B329" s="227" t="s">
        <v>165</v>
      </c>
      <c r="C329" s="227"/>
      <c r="D329" s="259">
        <f>SUM(D325:D328)</f>
      </c>
      <c r="E329" s="260">
        <f>SUM(E325:E328)</f>
      </c>
      <c r="F329" s="260">
        <f>SUM(F325:F328)</f>
      </c>
      <c r="G329" s="260">
        <f>SUM(G325:G328)</f>
      </c>
      <c r="H329" s="259">
        <f>SUM(H325:H328)</f>
      </c>
      <c r="I329" s="272">
        <f>SUM(I325:I328)</f>
      </c>
      <c r="J329" s="230">
        <f t="shared" si="285"/>
      </c>
      <c r="K329" s="230">
        <f t="shared" si="345"/>
      </c>
      <c r="L329" s="230">
        <f t="shared" si="164"/>
      </c>
      <c r="M329" s="231">
        <f t="shared" si="225"/>
      </c>
      <c r="N329" s="230">
        <f t="shared" si="74"/>
      </c>
      <c r="O329" s="230">
        <f t="shared" si="104"/>
      </c>
      <c r="P329" s="231">
        <f t="shared" si="375"/>
      </c>
      <c r="Q329" s="231">
        <f t="shared" si="13"/>
      </c>
      <c r="R329" s="231">
        <f t="shared" si="255"/>
      </c>
      <c r="S329" s="231">
        <f t="shared" si="315"/>
      </c>
      <c r="T329" s="229">
        <f t="shared" si="134"/>
      </c>
      <c r="U329" s="231">
        <f>AVERAGE(U325:U328)</f>
      </c>
      <c r="V329" s="228">
        <f>AVERAGE(V325:V328)</f>
      </c>
      <c r="W329" s="230">
        <f t="shared" si="43"/>
      </c>
      <c r="X329" s="229">
        <f>SUM(X325:X328)</f>
      </c>
      <c r="Y329" s="229">
        <f>SUM(Y325:Y328)</f>
      </c>
      <c r="Z329" s="229">
        <f>SUM(Z325:Z328)</f>
      </c>
      <c r="AA329" s="229">
        <f>SUM(AA325:AA328)</f>
      </c>
      <c r="AB329" s="229">
        <f>SUM(AB325:AB328)</f>
      </c>
      <c r="AC329" s="229">
        <f>SUM(AC325:AC328)</f>
      </c>
      <c r="AD329" s="229">
        <f>SUM(AD325:AD328)</f>
      </c>
      <c r="AE329" s="229">
        <f>SUM(AE325:AE328)</f>
      </c>
      <c r="AF329" s="232">
        <f t="shared" si="194"/>
      </c>
      <c r="AG329" s="233"/>
      <c r="AH329" s="233"/>
      <c r="AI329" s="229">
        <f>SUM(AI325:AI328)</f>
      </c>
    </row>
    <row r="330">
      <c r="A330" s="211"/>
      <c r="B330" s="212" t="s">
        <v>178</v>
      </c>
      <c r="C330" s="248" t="s">
        <v>179</v>
      </c>
      <c r="D330" s="261">
        <v>1954.98</v>
      </c>
      <c r="E330" s="237">
        <v>4</v>
      </c>
      <c r="F330" s="237">
        <v>4</v>
      </c>
      <c r="G330" s="238">
        <v>4</v>
      </c>
      <c r="H330" s="239">
        <v>3306.5999999999985</v>
      </c>
      <c r="I330" s="273">
        <v>2</v>
      </c>
      <c r="J330" s="240">
        <f t="shared" si="285"/>
      </c>
      <c r="K330" s="240">
        <f t="shared" si="345"/>
      </c>
      <c r="L330" s="240">
        <f t="shared" si="164"/>
      </c>
      <c r="M330" s="241">
        <f t="shared" si="225"/>
      </c>
      <c r="N330" s="240">
        <f t="shared" si="74"/>
      </c>
      <c r="O330" s="240">
        <f t="shared" si="104"/>
      </c>
      <c r="P330" s="241">
        <f t="shared" si="375"/>
      </c>
      <c r="Q330" s="241">
        <f t="shared" si="13"/>
      </c>
      <c r="R330" s="241">
        <f t="shared" si="255"/>
      </c>
      <c r="S330" s="241">
        <f t="shared" si="315"/>
      </c>
      <c r="T330" s="242">
        <f t="shared" si="134"/>
      </c>
      <c r="U330" s="243">
        <v>0.0427</v>
      </c>
      <c r="V330" s="244">
        <v>46</v>
      </c>
      <c r="W330" s="240">
        <f t="shared" si="43"/>
      </c>
      <c r="X330" s="242">
        <v>18875</v>
      </c>
      <c r="Y330" s="242">
        <v>337</v>
      </c>
      <c r="Z330" s="242">
        <v>41</v>
      </c>
      <c r="AA330" s="242">
        <v>478</v>
      </c>
      <c r="AB330" s="242">
        <v>45</v>
      </c>
      <c r="AC330" s="242">
        <v>2</v>
      </c>
      <c r="AD330" s="242">
        <v>2</v>
      </c>
      <c r="AE330" s="242">
        <v>23</v>
      </c>
      <c r="AF330" s="240">
        <f t="shared" si="194"/>
      </c>
      <c r="AG330" s="222" t="s">
        <v>173</v>
      </c>
      <c r="AH330" s="223" t="s">
        <v>185</v>
      </c>
      <c r="AI330" s="244">
        <v>14</v>
      </c>
    </row>
    <row r="331">
      <c r="A331" s="211"/>
      <c r="B331" s="212" t="s">
        <v>178</v>
      </c>
      <c r="C331" s="248" t="s">
        <v>180</v>
      </c>
      <c r="D331" s="262">
        <v>2827.28</v>
      </c>
      <c r="E331" s="247">
        <v>3</v>
      </c>
      <c r="F331" s="247">
        <v>3</v>
      </c>
      <c r="G331" s="247">
        <v>2</v>
      </c>
      <c r="H331" s="263">
        <v>1353</v>
      </c>
      <c r="I331" s="273">
        <v>0</v>
      </c>
      <c r="J331" s="240">
        <f t="shared" si="285"/>
      </c>
      <c r="K331" s="240">
        <f t="shared" si="345"/>
      </c>
      <c r="L331" s="240">
        <f t="shared" si="164"/>
      </c>
      <c r="M331" s="241">
        <f t="shared" si="225"/>
      </c>
      <c r="N331" s="240">
        <f t="shared" si="74"/>
      </c>
      <c r="O331" s="240">
        <f t="shared" si="104"/>
      </c>
      <c r="P331" s="241">
        <f t="shared" si="375"/>
      </c>
      <c r="Q331" s="241">
        <f t="shared" si="13"/>
      </c>
      <c r="R331" s="241">
        <f t="shared" si="255"/>
      </c>
      <c r="S331" s="241">
        <f t="shared" si="315"/>
      </c>
      <c r="T331" s="242">
        <f t="shared" si="134"/>
      </c>
      <c r="U331" s="243">
        <v>0.0395</v>
      </c>
      <c r="V331" s="244">
        <v>46</v>
      </c>
      <c r="W331" s="240">
        <f t="shared" si="43"/>
      </c>
      <c r="X331" s="242">
        <v>25077</v>
      </c>
      <c r="Y331" s="242">
        <v>485</v>
      </c>
      <c r="Z331" s="242">
        <v>55</v>
      </c>
      <c r="AA331" s="242">
        <v>637</v>
      </c>
      <c r="AB331" s="242">
        <v>61</v>
      </c>
      <c r="AC331" s="242">
        <v>5</v>
      </c>
      <c r="AD331" s="242">
        <v>2</v>
      </c>
      <c r="AE331" s="242">
        <v>35</v>
      </c>
      <c r="AF331" s="240">
        <f t="shared" si="194"/>
      </c>
      <c r="AG331" s="222" t="s">
        <v>173</v>
      </c>
      <c r="AH331" s="223" t="s">
        <v>185</v>
      </c>
      <c r="AI331" s="244">
        <v>21</v>
      </c>
    </row>
    <row r="332">
      <c r="A332" s="211"/>
      <c r="B332" s="212" t="s">
        <v>178</v>
      </c>
      <c r="C332" s="248" t="s">
        <v>181</v>
      </c>
      <c r="D332" s="261">
        <v>3342.15</v>
      </c>
      <c r="E332" s="247">
        <v>7</v>
      </c>
      <c r="F332" s="247">
        <v>5</v>
      </c>
      <c r="G332" s="247">
        <v>4</v>
      </c>
      <c r="H332" s="236">
        <v>4228.399999999998</v>
      </c>
      <c r="I332" s="238">
        <v>1</v>
      </c>
      <c r="J332" s="240">
        <f t="shared" si="285"/>
      </c>
      <c r="K332" s="240">
        <f t="shared" si="345"/>
      </c>
      <c r="L332" s="240">
        <f t="shared" si="164"/>
      </c>
      <c r="M332" s="241">
        <f t="shared" si="225"/>
      </c>
      <c r="N332" s="240">
        <f t="shared" si="74"/>
      </c>
      <c r="O332" s="240">
        <f t="shared" si="104"/>
      </c>
      <c r="P332" s="241">
        <f t="shared" si="375"/>
      </c>
      <c r="Q332" s="241">
        <f t="shared" si="13"/>
      </c>
      <c r="R332" s="241">
        <f t="shared" si="255"/>
      </c>
      <c r="S332" s="241">
        <f t="shared" si="315"/>
      </c>
      <c r="T332" s="242">
        <f t="shared" si="134"/>
      </c>
      <c r="U332" s="243">
        <v>0.0473</v>
      </c>
      <c r="V332" s="244">
        <v>47</v>
      </c>
      <c r="W332" s="240">
        <f t="shared" si="43"/>
      </c>
      <c r="X332" s="242">
        <v>31911</v>
      </c>
      <c r="Y332" s="242">
        <v>486</v>
      </c>
      <c r="Z332" s="242">
        <v>75</v>
      </c>
      <c r="AA332" s="242">
        <v>742</v>
      </c>
      <c r="AB332" s="242">
        <v>103</v>
      </c>
      <c r="AC332" s="242">
        <v>14</v>
      </c>
      <c r="AD332" s="242">
        <v>3</v>
      </c>
      <c r="AE332" s="242">
        <v>42</v>
      </c>
      <c r="AF332" s="240">
        <f t="shared" si="194"/>
      </c>
      <c r="AG332" s="222" t="s">
        <v>173</v>
      </c>
      <c r="AH332" s="223" t="s">
        <v>185</v>
      </c>
      <c r="AI332" s="244">
        <v>25</v>
      </c>
    </row>
    <row r="333">
      <c r="A333" s="211"/>
      <c r="B333" s="212" t="s">
        <v>178</v>
      </c>
      <c r="C333" s="248" t="s">
        <v>182</v>
      </c>
      <c r="D333" s="261">
        <v>1547.41</v>
      </c>
      <c r="E333" s="238">
        <v>3</v>
      </c>
      <c r="F333" s="238">
        <v>3</v>
      </c>
      <c r="G333" s="238">
        <v>2</v>
      </c>
      <c r="H333" s="261">
        <v>2385.9000000000015</v>
      </c>
      <c r="I333" s="238">
        <v>1</v>
      </c>
      <c r="J333" s="240">
        <f t="shared" si="285"/>
      </c>
      <c r="K333" s="240">
        <f t="shared" si="345"/>
      </c>
      <c r="L333" s="240">
        <f t="shared" si="164"/>
      </c>
      <c r="M333" s="241">
        <f t="shared" si="225"/>
      </c>
      <c r="N333" s="240">
        <f t="shared" si="74"/>
      </c>
      <c r="O333" s="240">
        <f t="shared" si="104"/>
      </c>
      <c r="P333" s="241">
        <f t="shared" si="375"/>
      </c>
      <c r="Q333" s="241">
        <f t="shared" si="13"/>
      </c>
      <c r="R333" s="241">
        <f t="shared" si="255"/>
      </c>
      <c r="S333" s="241">
        <f t="shared" si="315"/>
      </c>
      <c r="T333" s="242">
        <f t="shared" si="134"/>
      </c>
      <c r="U333" s="243">
        <v>0.0699</v>
      </c>
      <c r="V333" s="244">
        <v>48</v>
      </c>
      <c r="W333" s="240">
        <f t="shared" si="43"/>
      </c>
      <c r="X333" s="242">
        <v>18147</v>
      </c>
      <c r="Y333" s="242">
        <v>284</v>
      </c>
      <c r="Z333" s="242">
        <v>51</v>
      </c>
      <c r="AA333" s="242">
        <v>455</v>
      </c>
      <c r="AB333" s="242">
        <v>48</v>
      </c>
      <c r="AC333" s="242">
        <v>3</v>
      </c>
      <c r="AD333" s="242">
        <v>0</v>
      </c>
      <c r="AE333" s="244">
        <v>23</v>
      </c>
      <c r="AF333" s="240">
        <f t="shared" si="194"/>
      </c>
      <c r="AG333" s="222" t="s">
        <v>173</v>
      </c>
      <c r="AH333" s="223" t="s">
        <v>185</v>
      </c>
      <c r="AI333" s="244">
        <v>19</v>
      </c>
    </row>
    <row r="334">
      <c r="A334" s="211"/>
      <c r="B334" s="249" t="s">
        <v>165</v>
      </c>
      <c r="C334" s="249"/>
      <c r="D334" s="250">
        <f>SUM(D330:D333)</f>
      </c>
      <c r="E334" s="251">
        <f>SUM(E330:E333)</f>
      </c>
      <c r="F334" s="251">
        <f>SUM(F330:F333)</f>
      </c>
      <c r="G334" s="251">
        <f>SUM(G330:G333)</f>
      </c>
      <c r="H334" s="250">
        <f>SUM(H330:H333)</f>
      </c>
      <c r="I334" s="272">
        <f>SUM(I330:I333)</f>
      </c>
      <c r="J334" s="252">
        <f t="shared" si="285"/>
      </c>
      <c r="K334" s="252">
        <f t="shared" si="345"/>
      </c>
      <c r="L334" s="252">
        <f t="shared" si="164"/>
      </c>
      <c r="M334" s="253">
        <f t="shared" si="225"/>
      </c>
      <c r="N334" s="252">
        <f t="shared" si="74"/>
      </c>
      <c r="O334" s="252">
        <f t="shared" si="104"/>
      </c>
      <c r="P334" s="253">
        <f t="shared" si="375"/>
      </c>
      <c r="Q334" s="253">
        <f t="shared" si="13"/>
      </c>
      <c r="R334" s="253">
        <f t="shared" si="255"/>
      </c>
      <c r="S334" s="253">
        <f t="shared" si="315"/>
      </c>
      <c r="T334" s="254">
        <f t="shared" si="134"/>
      </c>
      <c r="U334" s="253">
        <f>AVERAGE(U330:U333)</f>
      </c>
      <c r="V334" s="250">
        <f>AVERAGE(V330:V333)</f>
      </c>
      <c r="W334" s="252">
        <f t="shared" si="43"/>
      </c>
      <c r="X334" s="254">
        <f>SUM(X330:X333)</f>
      </c>
      <c r="Y334" s="254">
        <f>SUM(Y330:Y333)</f>
      </c>
      <c r="Z334" s="254">
        <f>SUM(Z330:Z333)</f>
      </c>
      <c r="AA334" s="254">
        <f>SUM(AA330:AA333)</f>
      </c>
      <c r="AB334" s="254">
        <f>SUM(AB330:AB333)</f>
      </c>
      <c r="AC334" s="254">
        <f>SUM(AC330:AC333)</f>
      </c>
      <c r="AD334" s="254">
        <f>SUM(AD330:AD333)</f>
      </c>
      <c r="AE334" s="254">
        <f>SUM(AE330:AE333)</f>
      </c>
      <c r="AF334" s="255">
        <f t="shared" si="194"/>
      </c>
      <c r="AG334" s="256"/>
      <c r="AH334" s="256"/>
      <c r="AI334" s="257">
        <f>SUM(AI330:AI333)</f>
      </c>
    </row>
    <row r="335">
      <c r="A335" s="211"/>
      <c r="B335" s="264" t="s">
        <v>183</v>
      </c>
      <c r="C335" s="264"/>
      <c r="D335" s="265">
        <f>D319+D324+D329+D334</f>
      </c>
      <c r="E335" s="265">
        <f>E319+E324+E329+E334</f>
      </c>
      <c r="F335" s="265">
        <f>F319+F324+F329+F334</f>
      </c>
      <c r="G335" s="265">
        <f>G319+G324+G329+G334</f>
      </c>
      <c r="H335" s="265">
        <f>H319+H324+H329+H334</f>
      </c>
      <c r="I335" s="274">
        <f>I319+I324+I329+I334</f>
      </c>
      <c r="J335" s="266">
        <f t="shared" si="285"/>
      </c>
      <c r="K335" s="267">
        <f t="shared" si="345"/>
      </c>
      <c r="L335" s="267">
        <f t="shared" si="164"/>
      </c>
      <c r="M335" s="268">
        <f t="shared" si="225"/>
      </c>
      <c r="N335" s="267">
        <f t="shared" si="74"/>
      </c>
      <c r="O335" s="267">
        <f t="shared" si="104"/>
      </c>
      <c r="P335" s="268">
        <f t="shared" si="375"/>
      </c>
      <c r="Q335" s="268">
        <f t="shared" si="13"/>
      </c>
      <c r="R335" s="268">
        <f t="shared" si="255"/>
      </c>
      <c r="S335" s="268">
        <f t="shared" si="315"/>
      </c>
      <c r="T335" s="269">
        <f t="shared" si="134"/>
      </c>
      <c r="U335" s="268">
        <f>(U319+U329+U324+U334)/4</f>
      </c>
      <c r="V335" s="267">
        <f>(V319+V329+V324+V334)/4</f>
      </c>
      <c r="W335" s="270">
        <f t="shared" si="43"/>
      </c>
      <c r="X335" s="269">
        <f>X319+X324+X329+X334</f>
      </c>
      <c r="Y335" s="269">
        <f>Y319+Y324+Y329+Y334</f>
      </c>
      <c r="Z335" s="269">
        <f>Z319+Z324+Z329+Z334</f>
      </c>
      <c r="AA335" s="269">
        <f>AA319+AA324+AA329+AA334</f>
      </c>
      <c r="AB335" s="269">
        <f>AB319+AB324+AB329+AB334</f>
      </c>
      <c r="AC335" s="269">
        <f>AC319+AC324+AC329+AC334</f>
      </c>
      <c r="AD335" s="269">
        <f>AD319+AD324+AD329+AD334</f>
      </c>
      <c r="AE335" s="269">
        <f>AE319+AE324+AE329+AE334</f>
      </c>
      <c r="AF335" s="267">
        <f>AF319</f>
      </c>
      <c r="AG335" s="264"/>
      <c r="AH335" s="264"/>
      <c r="AI335" s="269">
        <f>AI319+AI324+AI329+AI334</f>
      </c>
    </row>
    <row r="336">
      <c r="A336" s="193" t="s">
        <v>120</v>
      </c>
      <c r="B336" s="194" t="s">
        <v>121</v>
      </c>
      <c r="C336" s="194"/>
      <c r="D336" s="195" t="s">
        <v>122</v>
      </c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6" t="s">
        <v>123</v>
      </c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7"/>
    </row>
    <row r="337">
      <c r="A337" s="193"/>
      <c r="B337" s="194" t="s">
        <v>124</v>
      </c>
      <c r="C337" s="198" t="s">
        <v>125</v>
      </c>
      <c r="D337" s="199" t="s">
        <v>126</v>
      </c>
      <c r="E337" s="200" t="s">
        <v>127</v>
      </c>
      <c r="F337" s="201" t="s">
        <v>128</v>
      </c>
      <c r="G337" s="201" t="s">
        <v>129</v>
      </c>
      <c r="H337" s="199" t="s">
        <v>130</v>
      </c>
      <c r="I337" s="271" t="s">
        <v>189</v>
      </c>
      <c r="J337" s="202" t="s">
        <v>131</v>
      </c>
      <c r="K337" s="202" t="s">
        <v>132</v>
      </c>
      <c r="L337" s="202" t="s">
        <v>133</v>
      </c>
      <c r="M337" s="203" t="s">
        <v>134</v>
      </c>
      <c r="N337" s="202" t="s">
        <v>135</v>
      </c>
      <c r="O337" s="204" t="s">
        <v>136</v>
      </c>
      <c r="P337" s="205" t="s">
        <v>137</v>
      </c>
      <c r="Q337" s="205" t="s">
        <v>138</v>
      </c>
      <c r="R337" s="205" t="s">
        <v>139</v>
      </c>
      <c r="S337" s="205" t="s">
        <v>140</v>
      </c>
      <c r="T337" s="206" t="s">
        <v>141</v>
      </c>
      <c r="U337" s="207" t="s">
        <v>142</v>
      </c>
      <c r="V337" s="208" t="s">
        <v>143</v>
      </c>
      <c r="W337" s="196" t="s">
        <v>144</v>
      </c>
      <c r="X337" s="209" t="s">
        <v>145</v>
      </c>
      <c r="Y337" s="209" t="s">
        <v>146</v>
      </c>
      <c r="Z337" s="209" t="s">
        <v>147</v>
      </c>
      <c r="AA337" s="209" t="s">
        <v>148</v>
      </c>
      <c r="AB337" s="209" t="s">
        <v>149</v>
      </c>
      <c r="AC337" s="209" t="s">
        <v>150</v>
      </c>
      <c r="AD337" s="209" t="s">
        <v>151</v>
      </c>
      <c r="AE337" s="209" t="s">
        <v>152</v>
      </c>
      <c r="AF337" s="196" t="s">
        <v>153</v>
      </c>
      <c r="AG337" s="210" t="s">
        <v>154</v>
      </c>
      <c r="AH337" s="210" t="s">
        <v>155</v>
      </c>
      <c r="AI337" s="197" t="s">
        <v>156</v>
      </c>
    </row>
    <row r="338">
      <c r="A338" s="211">
        <v>46188</v>
      </c>
      <c r="B338" s="212" t="s">
        <v>157</v>
      </c>
      <c r="C338" s="213" t="s">
        <v>158</v>
      </c>
      <c r="D338" s="214">
        <v>1622.31</v>
      </c>
      <c r="E338" s="215">
        <v>2</v>
      </c>
      <c r="F338" s="215">
        <v>0</v>
      </c>
      <c r="G338" s="215">
        <v>0</v>
      </c>
      <c r="H338" s="214">
        <v>0</v>
      </c>
      <c r="I338" s="215">
        <v>0</v>
      </c>
      <c r="J338" s="216">
        <f t="shared" ref="J338:J359" si="286">H338/D338</f>
      </c>
      <c r="K338" s="217">
        <f t="shared" ref="K338:K359" si="346">D338/F338</f>
      </c>
      <c r="L338" s="217">
        <f t="shared" ref="L338:L359" si="165">D338/G338</f>
      </c>
      <c r="M338" s="218">
        <f t="shared" ref="M338:M359" si="226">F338/E338</f>
      </c>
      <c r="N338" s="217">
        <f t="shared" ref="N338:N359" si="75">H338/F338</f>
      </c>
      <c r="O338" s="217">
        <f t="shared" ref="O338:O359" si="105">D338/Y338</f>
      </c>
      <c r="P338" s="218">
        <f t="shared" ref="P338:P359" si="376">T338/X338*1</f>
      </c>
      <c r="Q338" s="218">
        <f t="shared" ref="Q338:Q359" si="14">Y338/X338</f>
      </c>
      <c r="R338" s="218">
        <f t="shared" ref="R338:R359" si="256">AA338/X338</f>
      </c>
      <c r="S338" s="218">
        <f t="shared" ref="S338:S359" si="316">AB338/AA338</f>
      </c>
      <c r="T338" s="219">
        <f t="shared" ref="T338:T359" si="135">Z338/U338</f>
      </c>
      <c r="U338" s="220">
        <v>0.0272</v>
      </c>
      <c r="V338" s="221">
        <v>36</v>
      </c>
      <c r="W338" s="217">
        <f t="shared" ref="W338:W359" si="44">(D338/X338)*1000</f>
      </c>
      <c r="X338" s="221">
        <v>12336</v>
      </c>
      <c r="Y338" s="221">
        <v>299</v>
      </c>
      <c r="Z338" s="219">
        <v>42</v>
      </c>
      <c r="AA338" s="219">
        <v>494</v>
      </c>
      <c r="AB338" s="219">
        <v>28</v>
      </c>
      <c r="AC338" s="219">
        <v>6</v>
      </c>
      <c r="AD338" s="221">
        <v>0</v>
      </c>
      <c r="AE338" s="221">
        <v>17</v>
      </c>
      <c r="AF338" s="217">
        <f t="shared" ref="AF338:AF358" si="195">AI338*1000/D338</f>
      </c>
      <c r="AG338" s="222" t="s">
        <v>159</v>
      </c>
      <c r="AH338" s="223" t="s">
        <v>160</v>
      </c>
      <c r="AI338" s="221">
        <v>19</v>
      </c>
    </row>
    <row r="339">
      <c r="A339" s="211"/>
      <c r="B339" s="212" t="s">
        <v>157</v>
      </c>
      <c r="C339" s="213" t="s">
        <v>161</v>
      </c>
      <c r="D339" s="214">
        <v>1107.11</v>
      </c>
      <c r="E339" s="215">
        <v>4</v>
      </c>
      <c r="F339" s="215">
        <v>4</v>
      </c>
      <c r="G339" s="215">
        <v>3</v>
      </c>
      <c r="H339" s="214">
        <v>2836.9</v>
      </c>
      <c r="I339" s="215">
        <v>1</v>
      </c>
      <c r="J339" s="216">
        <f t="shared" si="286"/>
      </c>
      <c r="K339" s="217">
        <f t="shared" si="346"/>
      </c>
      <c r="L339" s="217">
        <f t="shared" si="165"/>
      </c>
      <c r="M339" s="218">
        <f t="shared" si="226"/>
      </c>
      <c r="N339" s="217">
        <f t="shared" si="75"/>
      </c>
      <c r="O339" s="217">
        <f t="shared" si="105"/>
      </c>
      <c r="P339" s="218">
        <f t="shared" si="376"/>
      </c>
      <c r="Q339" s="218">
        <f t="shared" si="14"/>
      </c>
      <c r="R339" s="218">
        <f t="shared" si="256"/>
      </c>
      <c r="S339" s="218">
        <f t="shared" si="316"/>
      </c>
      <c r="T339" s="219">
        <f t="shared" si="135"/>
      </c>
      <c r="U339" s="220">
        <v>0.0236</v>
      </c>
      <c r="V339" s="221">
        <v>38</v>
      </c>
      <c r="W339" s="217">
        <f t="shared" si="44"/>
      </c>
      <c r="X339" s="221">
        <v>6394</v>
      </c>
      <c r="Y339" s="221">
        <v>246</v>
      </c>
      <c r="Z339" s="219">
        <v>22</v>
      </c>
      <c r="AA339" s="219">
        <v>401</v>
      </c>
      <c r="AB339" s="221">
        <v>29</v>
      </c>
      <c r="AC339" s="219">
        <v>1</v>
      </c>
      <c r="AD339" s="221">
        <v>3</v>
      </c>
      <c r="AE339" s="221">
        <v>6</v>
      </c>
      <c r="AF339" s="217">
        <f t="shared" si="195"/>
      </c>
      <c r="AG339" s="222" t="s">
        <v>159</v>
      </c>
      <c r="AH339" s="223" t="s">
        <v>160</v>
      </c>
      <c r="AI339" s="221">
        <v>12</v>
      </c>
    </row>
    <row r="340">
      <c r="A340" s="211"/>
      <c r="B340" s="212" t="s">
        <v>157</v>
      </c>
      <c r="C340" s="224" t="s">
        <v>162</v>
      </c>
      <c r="D340" s="214">
        <v>740.74</v>
      </c>
      <c r="E340" s="215">
        <v>5</v>
      </c>
      <c r="F340" s="215">
        <v>3</v>
      </c>
      <c r="G340" s="215">
        <v>1</v>
      </c>
      <c r="H340" s="214">
        <v>1990.4499999999994</v>
      </c>
      <c r="I340" s="215">
        <v>0</v>
      </c>
      <c r="J340" s="216">
        <f t="shared" si="286"/>
      </c>
      <c r="K340" s="217">
        <f t="shared" si="346"/>
      </c>
      <c r="L340" s="217">
        <f t="shared" si="165"/>
      </c>
      <c r="M340" s="218">
        <f t="shared" si="226"/>
      </c>
      <c r="N340" s="217">
        <f t="shared" si="75"/>
      </c>
      <c r="O340" s="217">
        <f t="shared" si="105"/>
      </c>
      <c r="P340" s="218">
        <f t="shared" si="376"/>
      </c>
      <c r="Q340" s="218">
        <f t="shared" si="14"/>
      </c>
      <c r="R340" s="218">
        <f t="shared" si="256"/>
      </c>
      <c r="S340" s="218">
        <f t="shared" si="316"/>
      </c>
      <c r="T340" s="219">
        <f t="shared" si="135"/>
      </c>
      <c r="U340" s="220">
        <v>0.0352</v>
      </c>
      <c r="V340" s="221">
        <v>41</v>
      </c>
      <c r="W340" s="217">
        <f t="shared" si="44"/>
      </c>
      <c r="X340" s="221">
        <v>3831</v>
      </c>
      <c r="Y340" s="221">
        <v>182</v>
      </c>
      <c r="Z340" s="219">
        <v>27</v>
      </c>
      <c r="AA340" s="219">
        <v>287</v>
      </c>
      <c r="AB340" s="221">
        <v>13</v>
      </c>
      <c r="AC340" s="219">
        <v>2</v>
      </c>
      <c r="AD340" s="221">
        <v>0</v>
      </c>
      <c r="AE340" s="221">
        <v>1</v>
      </c>
      <c r="AF340" s="217">
        <f t="shared" si="195"/>
      </c>
      <c r="AG340" s="222" t="s">
        <v>159</v>
      </c>
      <c r="AH340" s="223" t="s">
        <v>184</v>
      </c>
      <c r="AI340" s="221">
        <v>11</v>
      </c>
    </row>
    <row r="341">
      <c r="A341" s="211"/>
      <c r="B341" s="212" t="s">
        <v>157</v>
      </c>
      <c r="C341" s="213" t="s">
        <v>163</v>
      </c>
      <c r="D341" s="214">
        <v>1053.46</v>
      </c>
      <c r="E341" s="215">
        <v>6</v>
      </c>
      <c r="F341" s="215">
        <v>5</v>
      </c>
      <c r="G341" s="215">
        <v>4</v>
      </c>
      <c r="H341" s="214">
        <v>5400.999999999999</v>
      </c>
      <c r="I341" s="215">
        <v>2</v>
      </c>
      <c r="J341" s="216">
        <f t="shared" si="286"/>
      </c>
      <c r="K341" s="217">
        <f t="shared" si="346"/>
      </c>
      <c r="L341" s="217">
        <f t="shared" si="165"/>
      </c>
      <c r="M341" s="218">
        <f t="shared" si="226"/>
      </c>
      <c r="N341" s="217">
        <f t="shared" si="75"/>
      </c>
      <c r="O341" s="217">
        <f t="shared" si="105"/>
      </c>
      <c r="P341" s="218">
        <f t="shared" si="376"/>
      </c>
      <c r="Q341" s="218">
        <f t="shared" si="14"/>
      </c>
      <c r="R341" s="218">
        <f t="shared" si="256"/>
      </c>
      <c r="S341" s="218">
        <f t="shared" si="316"/>
      </c>
      <c r="T341" s="219">
        <f t="shared" si="135"/>
      </c>
      <c r="U341" s="220">
        <v>0.0344</v>
      </c>
      <c r="V341" s="221">
        <v>44</v>
      </c>
      <c r="W341" s="217">
        <f t="shared" si="44"/>
      </c>
      <c r="X341" s="221">
        <v>5539</v>
      </c>
      <c r="Y341" s="221">
        <v>175</v>
      </c>
      <c r="Z341" s="221">
        <v>27</v>
      </c>
      <c r="AA341" s="221">
        <v>310</v>
      </c>
      <c r="AB341" s="221">
        <v>26</v>
      </c>
      <c r="AC341" s="221">
        <v>0</v>
      </c>
      <c r="AD341" s="221">
        <v>1</v>
      </c>
      <c r="AE341" s="221">
        <v>6</v>
      </c>
      <c r="AF341" s="217">
        <f t="shared" si="195"/>
      </c>
      <c r="AG341" s="222" t="s">
        <v>159</v>
      </c>
      <c r="AH341" s="223" t="s">
        <v>184</v>
      </c>
      <c r="AI341" s="221">
        <v>10</v>
      </c>
    </row>
    <row r="342">
      <c r="A342" s="211"/>
      <c r="B342" s="212" t="s">
        <v>157</v>
      </c>
      <c r="C342" s="212" t="s">
        <v>164</v>
      </c>
      <c r="D342" s="225">
        <v>1295.84</v>
      </c>
      <c r="E342" s="226">
        <v>5</v>
      </c>
      <c r="F342" s="226">
        <v>4</v>
      </c>
      <c r="G342" s="226">
        <v>3</v>
      </c>
      <c r="H342" s="225">
        <v>2209.8999999999996</v>
      </c>
      <c r="I342" s="226">
        <v>0</v>
      </c>
      <c r="J342" s="217">
        <f t="shared" si="286"/>
      </c>
      <c r="K342" s="217">
        <f t="shared" si="346"/>
      </c>
      <c r="L342" s="217">
        <f t="shared" si="165"/>
      </c>
      <c r="M342" s="218">
        <f t="shared" si="226"/>
      </c>
      <c r="N342" s="217">
        <f t="shared" si="75"/>
      </c>
      <c r="O342" s="217">
        <f t="shared" si="105"/>
      </c>
      <c r="P342" s="218">
        <f t="shared" si="376"/>
      </c>
      <c r="Q342" s="218">
        <f t="shared" si="14"/>
      </c>
      <c r="R342" s="218">
        <f t="shared" si="256"/>
      </c>
      <c r="S342" s="218">
        <f t="shared" si="316"/>
      </c>
      <c r="T342" s="219">
        <f t="shared" si="135"/>
      </c>
      <c r="U342" s="220">
        <v>0.0538</v>
      </c>
      <c r="V342" s="221">
        <v>50</v>
      </c>
      <c r="W342" s="217">
        <f t="shared" si="44"/>
      </c>
      <c r="X342" s="219">
        <v>7897</v>
      </c>
      <c r="Y342" s="219">
        <v>249</v>
      </c>
      <c r="Z342" s="219">
        <v>41</v>
      </c>
      <c r="AA342" s="219">
        <v>374</v>
      </c>
      <c r="AB342" s="219">
        <v>45</v>
      </c>
      <c r="AC342" s="219">
        <v>3</v>
      </c>
      <c r="AD342" s="219">
        <v>0</v>
      </c>
      <c r="AE342" s="221">
        <v>11</v>
      </c>
      <c r="AF342" s="217">
        <f t="shared" si="195"/>
      </c>
      <c r="AG342" s="222" t="s">
        <v>159</v>
      </c>
      <c r="AH342" s="223" t="s">
        <v>184</v>
      </c>
      <c r="AI342" s="221">
        <v>10</v>
      </c>
    </row>
    <row r="343">
      <c r="A343" s="211"/>
      <c r="B343" s="227" t="s">
        <v>165</v>
      </c>
      <c r="C343" s="227"/>
      <c r="D343" s="228">
        <f>SUM(D338:D342)</f>
      </c>
      <c r="E343" s="229">
        <f>SUM(E338:E342)</f>
      </c>
      <c r="F343" s="229">
        <f>SUM(F338:F342)</f>
      </c>
      <c r="G343" s="229">
        <f>SUM(G338:G342)</f>
      </c>
      <c r="H343" s="228">
        <f>SUM(H338:H342)</f>
      </c>
      <c r="I343" s="272">
        <f>SUM(I338:I342)</f>
      </c>
      <c r="J343" s="230">
        <f t="shared" si="286"/>
      </c>
      <c r="K343" s="230">
        <f t="shared" si="346"/>
      </c>
      <c r="L343" s="230">
        <f t="shared" si="165"/>
      </c>
      <c r="M343" s="231">
        <f t="shared" si="226"/>
      </c>
      <c r="N343" s="230">
        <f t="shared" si="75"/>
      </c>
      <c r="O343" s="230">
        <f t="shared" si="105"/>
      </c>
      <c r="P343" s="231">
        <f t="shared" si="376"/>
      </c>
      <c r="Q343" s="231">
        <f t="shared" si="14"/>
      </c>
      <c r="R343" s="231">
        <f t="shared" si="256"/>
      </c>
      <c r="S343" s="231">
        <f t="shared" si="316"/>
      </c>
      <c r="T343" s="229">
        <f t="shared" si="135"/>
      </c>
      <c r="U343" s="231">
        <f>AVERAGE(U338:U342)</f>
      </c>
      <c r="V343" s="228">
        <f>AVERAGE(V338:V342)</f>
      </c>
      <c r="W343" s="230">
        <f t="shared" si="44"/>
      </c>
      <c r="X343" s="229">
        <f>SUM(X338:X342)</f>
      </c>
      <c r="Y343" s="229">
        <f>SUM(Y338:Y342)</f>
      </c>
      <c r="Z343" s="229">
        <f>SUM(Z338:Z342)</f>
      </c>
      <c r="AA343" s="229">
        <f>SUM(AA338:AA342)</f>
      </c>
      <c r="AB343" s="229">
        <f>SUM(AB338:AB342)</f>
      </c>
      <c r="AC343" s="229">
        <f>SUM(AC338:AC342)</f>
      </c>
      <c r="AD343" s="229">
        <f>SUM(AD338:AD342)</f>
      </c>
      <c r="AE343" s="229">
        <f>SUM(AE338:AE342)</f>
      </c>
      <c r="AF343" s="232">
        <f t="shared" si="195"/>
      </c>
      <c r="AG343" s="233"/>
      <c r="AH343" s="233"/>
      <c r="AI343" s="234">
        <f>SUM(AI338:AI342)</f>
      </c>
    </row>
    <row r="344">
      <c r="A344" s="211"/>
      <c r="B344" s="212" t="s">
        <v>178</v>
      </c>
      <c r="C344" s="235" t="s">
        <v>167</v>
      </c>
      <c r="D344" s="236">
        <v>2609.73</v>
      </c>
      <c r="E344" s="237">
        <v>7</v>
      </c>
      <c r="F344" s="237">
        <v>4</v>
      </c>
      <c r="G344" s="238">
        <v>3</v>
      </c>
      <c r="H344" s="239">
        <v>2976.600000000002</v>
      </c>
      <c r="I344" s="273">
        <v>0</v>
      </c>
      <c r="J344" s="240">
        <f t="shared" si="286"/>
      </c>
      <c r="K344" s="240">
        <f t="shared" si="346"/>
      </c>
      <c r="L344" s="240">
        <f t="shared" si="165"/>
      </c>
      <c r="M344" s="241">
        <f t="shared" si="226"/>
      </c>
      <c r="N344" s="240">
        <f t="shared" si="75"/>
      </c>
      <c r="O344" s="240">
        <f t="shared" si="105"/>
      </c>
      <c r="P344" s="241">
        <f t="shared" si="376"/>
      </c>
      <c r="Q344" s="241">
        <f t="shared" si="14"/>
      </c>
      <c r="R344" s="241">
        <f t="shared" si="256"/>
      </c>
      <c r="S344" s="241">
        <f t="shared" si="316"/>
      </c>
      <c r="T344" s="242">
        <f t="shared" si="135"/>
      </c>
      <c r="U344" s="243">
        <v>0.0628</v>
      </c>
      <c r="V344" s="244">
        <v>51</v>
      </c>
      <c r="W344" s="240">
        <f t="shared" si="44"/>
      </c>
      <c r="X344" s="242">
        <v>20089</v>
      </c>
      <c r="Y344" s="242">
        <v>349</v>
      </c>
      <c r="Z344" s="242">
        <v>56</v>
      </c>
      <c r="AA344" s="242">
        <v>483</v>
      </c>
      <c r="AB344" s="242">
        <v>59</v>
      </c>
      <c r="AC344" s="242">
        <v>3</v>
      </c>
      <c r="AD344" s="242">
        <v>1</v>
      </c>
      <c r="AE344" s="242">
        <v>19</v>
      </c>
      <c r="AF344" s="240">
        <f t="shared" si="195"/>
      </c>
      <c r="AG344" s="222" t="s">
        <v>159</v>
      </c>
      <c r="AH344" s="223" t="s">
        <v>184</v>
      </c>
      <c r="AI344" s="244">
        <v>17</v>
      </c>
    </row>
    <row r="345">
      <c r="A345" s="211"/>
      <c r="B345" s="212" t="s">
        <v>178</v>
      </c>
      <c r="C345" s="245" t="s">
        <v>168</v>
      </c>
      <c r="D345" s="246">
        <v>1624.44</v>
      </c>
      <c r="E345" s="247">
        <v>4</v>
      </c>
      <c r="F345" s="247">
        <v>3</v>
      </c>
      <c r="G345" s="247">
        <v>1</v>
      </c>
      <c r="H345" s="239">
        <v>1330.4499999999953</v>
      </c>
      <c r="I345" s="273">
        <v>0</v>
      </c>
      <c r="J345" s="240">
        <f t="shared" si="286"/>
      </c>
      <c r="K345" s="240">
        <f t="shared" si="346"/>
      </c>
      <c r="L345" s="240">
        <f t="shared" si="165"/>
      </c>
      <c r="M345" s="241">
        <f t="shared" si="226"/>
      </c>
      <c r="N345" s="240">
        <f t="shared" si="75"/>
      </c>
      <c r="O345" s="240">
        <f t="shared" si="105"/>
      </c>
      <c r="P345" s="241">
        <f t="shared" si="376"/>
      </c>
      <c r="Q345" s="241">
        <f t="shared" si="14"/>
      </c>
      <c r="R345" s="241">
        <f t="shared" si="256"/>
      </c>
      <c r="S345" s="241">
        <f t="shared" si="316"/>
      </c>
      <c r="T345" s="242">
        <f t="shared" si="135"/>
      </c>
      <c r="U345" s="243">
        <v>0.0538</v>
      </c>
      <c r="V345" s="244">
        <v>51</v>
      </c>
      <c r="W345" s="240">
        <f t="shared" si="44"/>
      </c>
      <c r="X345" s="242">
        <v>10522</v>
      </c>
      <c r="Y345" s="242">
        <v>317</v>
      </c>
      <c r="Z345" s="242">
        <v>43</v>
      </c>
      <c r="AA345" s="242">
        <v>459</v>
      </c>
      <c r="AB345" s="242">
        <v>39</v>
      </c>
      <c r="AC345" s="242">
        <v>7</v>
      </c>
      <c r="AD345" s="242">
        <v>0</v>
      </c>
      <c r="AE345" s="242">
        <v>17</v>
      </c>
      <c r="AF345" s="240">
        <f t="shared" si="195"/>
      </c>
      <c r="AG345" s="222" t="s">
        <v>159</v>
      </c>
      <c r="AH345" s="223" t="s">
        <v>184</v>
      </c>
      <c r="AI345" s="244">
        <v>17</v>
      </c>
    </row>
    <row r="346">
      <c r="A346" s="211"/>
      <c r="B346" s="212" t="s">
        <v>178</v>
      </c>
      <c r="C346" s="235" t="s">
        <v>169</v>
      </c>
      <c r="D346" s="236">
        <v>1130.89</v>
      </c>
      <c r="E346" s="247">
        <v>3</v>
      </c>
      <c r="F346" s="247">
        <v>2</v>
      </c>
      <c r="G346" s="247">
        <v>2</v>
      </c>
      <c r="H346" s="236">
        <v>2262.7000000000044</v>
      </c>
      <c r="I346" s="238">
        <v>1</v>
      </c>
      <c r="J346" s="240">
        <f t="shared" si="286"/>
      </c>
      <c r="K346" s="240">
        <f t="shared" si="346"/>
      </c>
      <c r="L346" s="240">
        <f t="shared" si="165"/>
      </c>
      <c r="M346" s="241">
        <f t="shared" si="226"/>
      </c>
      <c r="N346" s="240">
        <f t="shared" si="75"/>
      </c>
      <c r="O346" s="240">
        <f t="shared" si="105"/>
      </c>
      <c r="P346" s="241">
        <f t="shared" si="376"/>
      </c>
      <c r="Q346" s="241">
        <f t="shared" si="14"/>
      </c>
      <c r="R346" s="241">
        <f t="shared" si="256"/>
      </c>
      <c r="S346" s="241">
        <f t="shared" si="316"/>
      </c>
      <c r="T346" s="242">
        <f t="shared" si="135"/>
      </c>
      <c r="U346" s="243">
        <v>0.0493</v>
      </c>
      <c r="V346" s="244">
        <v>50</v>
      </c>
      <c r="W346" s="240">
        <f t="shared" si="44"/>
      </c>
      <c r="X346" s="242">
        <v>6891</v>
      </c>
      <c r="Y346" s="242">
        <v>220</v>
      </c>
      <c r="Z346" s="242">
        <v>34</v>
      </c>
      <c r="AA346" s="242">
        <v>373</v>
      </c>
      <c r="AB346" s="242">
        <v>40</v>
      </c>
      <c r="AC346" s="242">
        <v>2</v>
      </c>
      <c r="AD346" s="242">
        <v>0</v>
      </c>
      <c r="AE346" s="244">
        <v>8</v>
      </c>
      <c r="AF346" s="240">
        <f t="shared" si="195"/>
      </c>
      <c r="AG346" s="222" t="s">
        <v>159</v>
      </c>
      <c r="AH346" s="223" t="s">
        <v>184</v>
      </c>
      <c r="AI346" s="244">
        <v>10</v>
      </c>
    </row>
    <row r="347">
      <c r="A347" s="211"/>
      <c r="B347" s="212" t="s">
        <v>178</v>
      </c>
      <c r="C347" s="248" t="s">
        <v>170</v>
      </c>
      <c r="D347" s="236">
        <v>862.54</v>
      </c>
      <c r="E347" s="238">
        <v>1</v>
      </c>
      <c r="F347" s="238">
        <v>1</v>
      </c>
      <c r="G347" s="238">
        <v>0</v>
      </c>
      <c r="H347" s="236">
        <v>856.9000000000015</v>
      </c>
      <c r="I347" s="238">
        <v>1</v>
      </c>
      <c r="J347" s="240">
        <f t="shared" si="286"/>
      </c>
      <c r="K347" s="240">
        <f t="shared" si="346"/>
      </c>
      <c r="L347" s="240">
        <f t="shared" si="165"/>
      </c>
      <c r="M347" s="241">
        <f t="shared" si="226"/>
      </c>
      <c r="N347" s="240">
        <f t="shared" si="75"/>
      </c>
      <c r="O347" s="240">
        <f t="shared" si="105"/>
      </c>
      <c r="P347" s="241">
        <f t="shared" si="376"/>
      </c>
      <c r="Q347" s="241">
        <f t="shared" si="14"/>
      </c>
      <c r="R347" s="241">
        <f t="shared" si="256"/>
      </c>
      <c r="S347" s="241">
        <f t="shared" si="316"/>
      </c>
      <c r="T347" s="242">
        <f t="shared" si="135"/>
      </c>
      <c r="U347" s="243">
        <v>0.0385</v>
      </c>
      <c r="V347" s="244">
        <v>50</v>
      </c>
      <c r="W347" s="240">
        <f t="shared" si="44"/>
      </c>
      <c r="X347" s="242">
        <v>4666</v>
      </c>
      <c r="Y347" s="242">
        <v>188</v>
      </c>
      <c r="Z347" s="242">
        <v>23</v>
      </c>
      <c r="AA347" s="242">
        <v>282</v>
      </c>
      <c r="AB347" s="242">
        <v>32</v>
      </c>
      <c r="AC347" s="242">
        <v>3</v>
      </c>
      <c r="AD347" s="242">
        <v>0</v>
      </c>
      <c r="AE347" s="242">
        <v>7</v>
      </c>
      <c r="AF347" s="240">
        <f t="shared" si="195"/>
      </c>
      <c r="AG347" s="222" t="s">
        <v>159</v>
      </c>
      <c r="AH347" s="223" t="s">
        <v>184</v>
      </c>
      <c r="AI347" s="244">
        <v>10</v>
      </c>
    </row>
    <row r="348">
      <c r="A348" s="211"/>
      <c r="B348" s="249" t="s">
        <v>165</v>
      </c>
      <c r="C348" s="249"/>
      <c r="D348" s="250">
        <f>SUM(D344:D347)</f>
      </c>
      <c r="E348" s="251">
        <f>SUM(E344:E347)</f>
      </c>
      <c r="F348" s="251">
        <f>SUM(F344:F347)</f>
      </c>
      <c r="G348" s="251">
        <f>SUM(G344:G347)</f>
      </c>
      <c r="H348" s="250">
        <f>SUM(H344:H347)</f>
      </c>
      <c r="I348" s="272">
        <f>SUM(I344:I347)</f>
      </c>
      <c r="J348" s="252">
        <f t="shared" si="286"/>
      </c>
      <c r="K348" s="252">
        <f t="shared" si="346"/>
      </c>
      <c r="L348" s="252">
        <f t="shared" si="165"/>
      </c>
      <c r="M348" s="253">
        <f t="shared" si="226"/>
      </c>
      <c r="N348" s="252">
        <f t="shared" si="75"/>
      </c>
      <c r="O348" s="252">
        <f t="shared" si="105"/>
      </c>
      <c r="P348" s="253">
        <f t="shared" si="376"/>
      </c>
      <c r="Q348" s="253">
        <f t="shared" si="14"/>
      </c>
      <c r="R348" s="253">
        <f t="shared" si="256"/>
      </c>
      <c r="S348" s="253">
        <f t="shared" si="316"/>
      </c>
      <c r="T348" s="254">
        <f t="shared" si="135"/>
      </c>
      <c r="U348" s="253">
        <f>AVERAGE(U344:U347)</f>
      </c>
      <c r="V348" s="250">
        <f>AVERAGE(V344:V347)</f>
      </c>
      <c r="W348" s="252">
        <f t="shared" si="44"/>
      </c>
      <c r="X348" s="254">
        <f>SUM(X344:X347)</f>
      </c>
      <c r="Y348" s="254">
        <f>SUM(Y344:Y347)</f>
      </c>
      <c r="Z348" s="254">
        <f>SUM(Z344:Z347)</f>
      </c>
      <c r="AA348" s="254">
        <f>SUM(AA344:AA347)</f>
      </c>
      <c r="AB348" s="254">
        <f>SUM(AB344:AB347)</f>
      </c>
      <c r="AC348" s="254">
        <f>SUM(AC344:AC347)</f>
      </c>
      <c r="AD348" s="254">
        <f>SUM(AD344:AD347)</f>
      </c>
      <c r="AE348" s="254">
        <f>SUM(AE344:AE347)</f>
      </c>
      <c r="AF348" s="255">
        <f t="shared" si="195"/>
      </c>
      <c r="AG348" s="256"/>
      <c r="AH348" s="256"/>
      <c r="AI348" s="257">
        <f>SUM(AI344:AI347)</f>
      </c>
    </row>
    <row r="349">
      <c r="A349" s="211"/>
      <c r="B349" s="248" t="s">
        <v>171</v>
      </c>
      <c r="C349" s="235" t="s">
        <v>172</v>
      </c>
      <c r="D349" s="212">
        <v>1112.04</v>
      </c>
      <c r="E349" s="215">
        <v>3</v>
      </c>
      <c r="F349" s="215">
        <v>2</v>
      </c>
      <c r="G349" s="215">
        <v>2</v>
      </c>
      <c r="H349" s="275">
        <v>902</v>
      </c>
      <c r="I349" s="215">
        <v>0</v>
      </c>
      <c r="J349" s="217">
        <f t="shared" si="286"/>
      </c>
      <c r="K349" s="217">
        <f t="shared" si="346"/>
      </c>
      <c r="L349" s="217">
        <f t="shared" si="165"/>
      </c>
      <c r="M349" s="218">
        <f t="shared" si="226"/>
      </c>
      <c r="N349" s="217">
        <f t="shared" si="75"/>
      </c>
      <c r="O349" s="217">
        <f t="shared" si="105"/>
      </c>
      <c r="P349" s="218">
        <f t="shared" si="376"/>
      </c>
      <c r="Q349" s="218">
        <f t="shared" si="14"/>
      </c>
      <c r="R349" s="218">
        <f t="shared" si="256"/>
      </c>
      <c r="S349" s="218">
        <f t="shared" si="316"/>
      </c>
      <c r="T349" s="219">
        <f t="shared" si="135"/>
      </c>
      <c r="U349" s="220">
        <v>0.0346</v>
      </c>
      <c r="V349" s="221">
        <v>50</v>
      </c>
      <c r="W349" s="217">
        <f t="shared" si="44"/>
      </c>
      <c r="X349" s="221">
        <v>5750</v>
      </c>
      <c r="Y349" s="221">
        <v>238</v>
      </c>
      <c r="Z349" s="219">
        <v>32</v>
      </c>
      <c r="AA349" s="219">
        <v>317</v>
      </c>
      <c r="AB349" s="219">
        <v>34</v>
      </c>
      <c r="AC349" s="219">
        <v>4</v>
      </c>
      <c r="AD349" s="221">
        <v>0</v>
      </c>
      <c r="AE349" s="221">
        <v>6</v>
      </c>
      <c r="AF349" s="217">
        <f t="shared" si="195"/>
      </c>
      <c r="AG349" s="222" t="s">
        <v>173</v>
      </c>
      <c r="AH349" s="223" t="s">
        <v>187</v>
      </c>
      <c r="AI349" s="221">
        <v>14</v>
      </c>
    </row>
    <row r="350">
      <c r="A350" s="211"/>
      <c r="B350" s="248" t="s">
        <v>171</v>
      </c>
      <c r="C350" s="245" t="s">
        <v>175</v>
      </c>
      <c r="D350" s="212">
        <v>762.5</v>
      </c>
      <c r="E350" s="215">
        <v>2</v>
      </c>
      <c r="F350" s="215">
        <v>1</v>
      </c>
      <c r="G350" s="215">
        <v>0</v>
      </c>
      <c r="H350" s="275">
        <v>428.4499999999971</v>
      </c>
      <c r="I350" s="215">
        <v>0</v>
      </c>
      <c r="J350" s="217">
        <f t="shared" si="286"/>
      </c>
      <c r="K350" s="217">
        <f t="shared" si="346"/>
      </c>
      <c r="L350" s="217">
        <f t="shared" si="165"/>
      </c>
      <c r="M350" s="218">
        <f t="shared" si="226"/>
      </c>
      <c r="N350" s="217">
        <f t="shared" si="75"/>
      </c>
      <c r="O350" s="217">
        <f t="shared" si="105"/>
      </c>
      <c r="P350" s="218">
        <f t="shared" si="376"/>
      </c>
      <c r="Q350" s="218">
        <f t="shared" si="14"/>
      </c>
      <c r="R350" s="218">
        <f t="shared" si="256"/>
      </c>
      <c r="S350" s="218">
        <f t="shared" si="316"/>
      </c>
      <c r="T350" s="219">
        <f t="shared" si="135"/>
      </c>
      <c r="U350" s="220">
        <v>0.0398</v>
      </c>
      <c r="V350" s="221">
        <v>50</v>
      </c>
      <c r="W350" s="217">
        <f t="shared" si="44"/>
      </c>
      <c r="X350" s="219">
        <v>4819</v>
      </c>
      <c r="Y350" s="219">
        <v>158</v>
      </c>
      <c r="Z350" s="219">
        <v>27</v>
      </c>
      <c r="AA350" s="219">
        <v>221</v>
      </c>
      <c r="AB350" s="219">
        <v>27</v>
      </c>
      <c r="AC350" s="219">
        <v>2</v>
      </c>
      <c r="AD350" s="219">
        <v>0</v>
      </c>
      <c r="AE350" s="221">
        <v>6</v>
      </c>
      <c r="AF350" s="217">
        <f t="shared" si="195"/>
      </c>
      <c r="AG350" s="222" t="s">
        <v>173</v>
      </c>
      <c r="AH350" s="223" t="s">
        <v>187</v>
      </c>
      <c r="AI350" s="221">
        <v>11</v>
      </c>
    </row>
    <row r="351">
      <c r="A351" s="211"/>
      <c r="B351" s="248" t="s">
        <v>171</v>
      </c>
      <c r="C351" s="235" t="s">
        <v>176</v>
      </c>
      <c r="D351" s="212">
        <v>242.79</v>
      </c>
      <c r="E351" s="215">
        <v>2</v>
      </c>
      <c r="F351" s="215">
        <v>2</v>
      </c>
      <c r="G351" s="215">
        <v>1</v>
      </c>
      <c r="H351" s="275">
        <v>1307.9000000000015</v>
      </c>
      <c r="I351" s="215">
        <v>1</v>
      </c>
      <c r="J351" s="217">
        <f t="shared" si="286"/>
      </c>
      <c r="K351" s="217">
        <f t="shared" si="346"/>
      </c>
      <c r="L351" s="217">
        <f t="shared" si="165"/>
      </c>
      <c r="M351" s="218">
        <f t="shared" si="226"/>
      </c>
      <c r="N351" s="217">
        <f t="shared" si="75"/>
      </c>
      <c r="O351" s="217">
        <f t="shared" si="105"/>
      </c>
      <c r="P351" s="218">
        <f t="shared" si="376"/>
      </c>
      <c r="Q351" s="218">
        <f t="shared" si="14"/>
      </c>
      <c r="R351" s="218">
        <f t="shared" si="256"/>
      </c>
      <c r="S351" s="218">
        <f t="shared" si="316"/>
      </c>
      <c r="T351" s="219">
        <f t="shared" si="135"/>
      </c>
      <c r="U351" s="220">
        <v>0.0134</v>
      </c>
      <c r="V351" s="221">
        <v>50</v>
      </c>
      <c r="W351" s="217">
        <f t="shared" si="44"/>
      </c>
      <c r="X351" s="221">
        <v>1721</v>
      </c>
      <c r="Y351" s="221">
        <v>110</v>
      </c>
      <c r="Z351" s="221">
        <v>7</v>
      </c>
      <c r="AA351" s="221">
        <v>156</v>
      </c>
      <c r="AB351" s="221">
        <v>1</v>
      </c>
      <c r="AC351" s="221">
        <v>3</v>
      </c>
      <c r="AD351" s="221">
        <v>0</v>
      </c>
      <c r="AE351" s="221">
        <v>1</v>
      </c>
      <c r="AF351" s="217">
        <f t="shared" si="195"/>
      </c>
      <c r="AG351" s="222" t="s">
        <v>173</v>
      </c>
      <c r="AH351" s="223" t="s">
        <v>187</v>
      </c>
      <c r="AI351" s="221">
        <v>2</v>
      </c>
    </row>
    <row r="352">
      <c r="A352" s="211"/>
      <c r="B352" s="248" t="s">
        <v>171</v>
      </c>
      <c r="C352" s="235" t="s">
        <v>177</v>
      </c>
      <c r="D352" s="212">
        <v>646.46</v>
      </c>
      <c r="E352" s="215">
        <v>1</v>
      </c>
      <c r="F352" s="215">
        <v>1</v>
      </c>
      <c r="G352" s="215">
        <v>1</v>
      </c>
      <c r="H352" s="275">
        <v>451</v>
      </c>
      <c r="I352" s="215">
        <v>0</v>
      </c>
      <c r="J352" s="217">
        <f t="shared" si="286"/>
      </c>
      <c r="K352" s="217">
        <f t="shared" si="346"/>
      </c>
      <c r="L352" s="217">
        <f t="shared" si="165"/>
      </c>
      <c r="M352" s="218">
        <f t="shared" si="226"/>
      </c>
      <c r="N352" s="217">
        <f t="shared" si="75"/>
      </c>
      <c r="O352" s="217">
        <f t="shared" si="105"/>
      </c>
      <c r="P352" s="218">
        <f t="shared" si="376"/>
      </c>
      <c r="Q352" s="218">
        <f t="shared" si="14"/>
      </c>
      <c r="R352" s="218">
        <f t="shared" si="256"/>
      </c>
      <c r="S352" s="218">
        <f t="shared" si="316"/>
      </c>
      <c r="T352" s="219">
        <f t="shared" si="135"/>
      </c>
      <c r="U352" s="220">
        <v>0.0237</v>
      </c>
      <c r="V352" s="221">
        <v>50</v>
      </c>
      <c r="W352" s="217">
        <f t="shared" si="44"/>
      </c>
      <c r="X352" s="221">
        <v>3135</v>
      </c>
      <c r="Y352" s="221">
        <v>130</v>
      </c>
      <c r="Z352" s="219">
        <v>13</v>
      </c>
      <c r="AA352" s="219">
        <v>203</v>
      </c>
      <c r="AB352" s="219">
        <v>11</v>
      </c>
      <c r="AC352" s="219">
        <v>6</v>
      </c>
      <c r="AD352" s="221">
        <v>0</v>
      </c>
      <c r="AE352" s="221">
        <v>1</v>
      </c>
      <c r="AF352" s="217">
        <f t="shared" si="195"/>
      </c>
      <c r="AG352" s="222" t="s">
        <v>173</v>
      </c>
      <c r="AH352" s="223" t="s">
        <v>187</v>
      </c>
      <c r="AI352" s="221">
        <v>5</v>
      </c>
    </row>
    <row r="353">
      <c r="A353" s="211"/>
      <c r="B353" s="227" t="s">
        <v>165</v>
      </c>
      <c r="C353" s="227"/>
      <c r="D353" s="259">
        <f>SUM(D349:D352)</f>
      </c>
      <c r="E353" s="260">
        <f>SUM(E349:E352)</f>
      </c>
      <c r="F353" s="260">
        <f>SUM(F349:F352)</f>
      </c>
      <c r="G353" s="260">
        <f>SUM(G349:G352)</f>
      </c>
      <c r="H353" s="259">
        <f>SUM(H349:H352)</f>
      </c>
      <c r="I353" s="272">
        <f>SUM(I349:I352)</f>
      </c>
      <c r="J353" s="230">
        <f t="shared" si="286"/>
      </c>
      <c r="K353" s="230">
        <f t="shared" si="346"/>
      </c>
      <c r="L353" s="230">
        <f t="shared" si="165"/>
      </c>
      <c r="M353" s="231">
        <f t="shared" si="226"/>
      </c>
      <c r="N353" s="230">
        <f t="shared" si="75"/>
      </c>
      <c r="O353" s="230">
        <f t="shared" si="105"/>
      </c>
      <c r="P353" s="231">
        <f t="shared" si="376"/>
      </c>
      <c r="Q353" s="231">
        <f t="shared" si="14"/>
      </c>
      <c r="R353" s="231">
        <f t="shared" si="256"/>
      </c>
      <c r="S353" s="231">
        <f t="shared" si="316"/>
      </c>
      <c r="T353" s="229">
        <f t="shared" si="135"/>
      </c>
      <c r="U353" s="231">
        <f>AVERAGE(U349:U352)</f>
      </c>
      <c r="V353" s="228">
        <f>AVERAGE(V349:V352)</f>
      </c>
      <c r="W353" s="230">
        <f t="shared" si="44"/>
      </c>
      <c r="X353" s="229">
        <f>SUM(X349:X352)</f>
      </c>
      <c r="Y353" s="229">
        <f>SUM(Y349:Y352)</f>
      </c>
      <c r="Z353" s="229">
        <f>SUM(Z349:Z352)</f>
      </c>
      <c r="AA353" s="229">
        <f>SUM(AA349:AA352)</f>
      </c>
      <c r="AB353" s="229">
        <f>SUM(AB349:AB352)</f>
      </c>
      <c r="AC353" s="229">
        <f>SUM(AC349:AC352)</f>
      </c>
      <c r="AD353" s="229">
        <f>SUM(AD349:AD352)</f>
      </c>
      <c r="AE353" s="229">
        <f>SUM(AE349:AE352)</f>
      </c>
      <c r="AF353" s="232">
        <f t="shared" si="195"/>
      </c>
      <c r="AG353" s="233"/>
      <c r="AH353" s="233"/>
      <c r="AI353" s="229">
        <f>SUM(AI349:AI352)</f>
      </c>
    </row>
    <row r="354">
      <c r="A354" s="211"/>
      <c r="B354" s="212" t="s">
        <v>186</v>
      </c>
      <c r="C354" s="248" t="s">
        <v>179</v>
      </c>
      <c r="D354" s="261">
        <v>1428.83</v>
      </c>
      <c r="E354" s="237">
        <v>4</v>
      </c>
      <c r="F354" s="237">
        <v>4</v>
      </c>
      <c r="G354" s="238">
        <v>4</v>
      </c>
      <c r="H354" s="239">
        <v>2134</v>
      </c>
      <c r="I354" s="273">
        <v>0</v>
      </c>
      <c r="J354" s="240">
        <f t="shared" si="286"/>
      </c>
      <c r="K354" s="240">
        <f t="shared" si="346"/>
      </c>
      <c r="L354" s="240">
        <f t="shared" si="165"/>
      </c>
      <c r="M354" s="241">
        <f t="shared" si="226"/>
      </c>
      <c r="N354" s="240">
        <f t="shared" si="75"/>
      </c>
      <c r="O354" s="240">
        <f t="shared" si="105"/>
      </c>
      <c r="P354" s="241">
        <f t="shared" si="376"/>
      </c>
      <c r="Q354" s="241">
        <f t="shared" si="14"/>
      </c>
      <c r="R354" s="241">
        <f t="shared" si="256"/>
      </c>
      <c r="S354" s="241">
        <f t="shared" si="316"/>
      </c>
      <c r="T354" s="242">
        <f t="shared" si="135"/>
      </c>
      <c r="U354" s="243">
        <v>0.0593</v>
      </c>
      <c r="V354" s="244">
        <v>52</v>
      </c>
      <c r="W354" s="240">
        <f t="shared" si="44"/>
      </c>
      <c r="X354" s="242">
        <v>7126</v>
      </c>
      <c r="Y354" s="242">
        <v>224</v>
      </c>
      <c r="Z354" s="242">
        <v>38</v>
      </c>
      <c r="AA354" s="242">
        <v>284</v>
      </c>
      <c r="AB354" s="242">
        <v>37</v>
      </c>
      <c r="AC354" s="242">
        <v>2</v>
      </c>
      <c r="AD354" s="242">
        <v>0</v>
      </c>
      <c r="AE354" s="242">
        <v>9</v>
      </c>
      <c r="AF354" s="240">
        <f t="shared" si="195"/>
      </c>
      <c r="AG354" s="222" t="s">
        <v>173</v>
      </c>
      <c r="AH354" s="223" t="s">
        <v>187</v>
      </c>
      <c r="AI354" s="244">
        <v>10</v>
      </c>
    </row>
    <row r="355">
      <c r="A355" s="211"/>
      <c r="B355" s="212" t="s">
        <v>186</v>
      </c>
      <c r="C355" s="248" t="s">
        <v>180</v>
      </c>
      <c r="D355" s="262">
        <v>1642.38</v>
      </c>
      <c r="E355" s="247">
        <v>3</v>
      </c>
      <c r="F355" s="247">
        <v>3</v>
      </c>
      <c r="G355" s="247">
        <v>2</v>
      </c>
      <c r="H355" s="263">
        <v>1307.9000000000015</v>
      </c>
      <c r="I355" s="273">
        <v>1</v>
      </c>
      <c r="J355" s="240">
        <f t="shared" si="286"/>
      </c>
      <c r="K355" s="240">
        <f t="shared" si="346"/>
      </c>
      <c r="L355" s="240">
        <f t="shared" si="165"/>
      </c>
      <c r="M355" s="241">
        <f t="shared" si="226"/>
      </c>
      <c r="N355" s="240">
        <f t="shared" si="75"/>
      </c>
      <c r="O355" s="240">
        <f t="shared" si="105"/>
      </c>
      <c r="P355" s="241">
        <f t="shared" si="376"/>
      </c>
      <c r="Q355" s="241">
        <f t="shared" si="14"/>
      </c>
      <c r="R355" s="241">
        <f t="shared" si="256"/>
      </c>
      <c r="S355" s="241">
        <f t="shared" si="316"/>
      </c>
      <c r="T355" s="242">
        <f t="shared" si="135"/>
      </c>
      <c r="U355" s="243">
        <v>0.0746</v>
      </c>
      <c r="V355" s="244">
        <v>54</v>
      </c>
      <c r="W355" s="240">
        <f t="shared" si="44"/>
      </c>
      <c r="X355" s="242">
        <v>7373</v>
      </c>
      <c r="Y355" s="242">
        <v>312</v>
      </c>
      <c r="Z355" s="242">
        <v>56</v>
      </c>
      <c r="AA355" s="242">
        <v>371</v>
      </c>
      <c r="AB355" s="242">
        <v>28</v>
      </c>
      <c r="AC355" s="242">
        <v>4</v>
      </c>
      <c r="AD355" s="242">
        <v>1</v>
      </c>
      <c r="AE355" s="242">
        <v>7</v>
      </c>
      <c r="AF355" s="240">
        <f t="shared" si="195"/>
      </c>
      <c r="AG355" s="222" t="s">
        <v>173</v>
      </c>
      <c r="AH355" s="223" t="s">
        <v>187</v>
      </c>
      <c r="AI355" s="244">
        <v>13</v>
      </c>
    </row>
    <row r="356">
      <c r="A356" s="211"/>
      <c r="B356" s="212" t="s">
        <v>186</v>
      </c>
      <c r="C356" s="248" t="s">
        <v>181</v>
      </c>
      <c r="D356" s="261">
        <v>1957.58</v>
      </c>
      <c r="E356" s="247">
        <v>5</v>
      </c>
      <c r="F356" s="247">
        <v>5</v>
      </c>
      <c r="G356" s="247">
        <v>4</v>
      </c>
      <c r="H356" s="236">
        <v>2996.949999999997</v>
      </c>
      <c r="I356" s="238">
        <v>0</v>
      </c>
      <c r="J356" s="240">
        <f t="shared" si="286"/>
      </c>
      <c r="K356" s="240">
        <f t="shared" si="346"/>
      </c>
      <c r="L356" s="240">
        <f t="shared" si="165"/>
      </c>
      <c r="M356" s="241">
        <f t="shared" si="226"/>
      </c>
      <c r="N356" s="240">
        <f t="shared" si="75"/>
      </c>
      <c r="O356" s="240">
        <f t="shared" si="105"/>
      </c>
      <c r="P356" s="241">
        <f t="shared" si="376"/>
      </c>
      <c r="Q356" s="241">
        <f t="shared" si="14"/>
      </c>
      <c r="R356" s="241">
        <f t="shared" si="256"/>
      </c>
      <c r="S356" s="241">
        <f t="shared" si="316"/>
      </c>
      <c r="T356" s="242">
        <f t="shared" si="135"/>
      </c>
      <c r="U356" s="243">
        <v>0.0727</v>
      </c>
      <c r="V356" s="244">
        <v>54</v>
      </c>
      <c r="W356" s="240">
        <f t="shared" si="44"/>
      </c>
      <c r="X356" s="242">
        <v>9337</v>
      </c>
      <c r="Y356" s="242">
        <v>315</v>
      </c>
      <c r="Z356" s="242">
        <v>58</v>
      </c>
      <c r="AA356" s="242">
        <v>430</v>
      </c>
      <c r="AB356" s="242">
        <v>32</v>
      </c>
      <c r="AC356" s="242">
        <v>6</v>
      </c>
      <c r="AD356" s="242">
        <v>2</v>
      </c>
      <c r="AE356" s="242">
        <v>13</v>
      </c>
      <c r="AF356" s="240">
        <f t="shared" si="195"/>
      </c>
      <c r="AG356" s="222" t="s">
        <v>173</v>
      </c>
      <c r="AH356" s="223" t="s">
        <v>187</v>
      </c>
      <c r="AI356" s="244">
        <v>12</v>
      </c>
    </row>
    <row r="357">
      <c r="A357" s="211"/>
      <c r="B357" s="212" t="s">
        <v>186</v>
      </c>
      <c r="C357" s="248" t="s">
        <v>182</v>
      </c>
      <c r="D357" s="261">
        <v>879.24</v>
      </c>
      <c r="E357" s="238">
        <v>5</v>
      </c>
      <c r="F357" s="238">
        <v>5</v>
      </c>
      <c r="G357" s="238">
        <v>3</v>
      </c>
      <c r="H357" s="261">
        <v>2255</v>
      </c>
      <c r="I357" s="238">
        <v>0</v>
      </c>
      <c r="J357" s="240">
        <f t="shared" si="286"/>
      </c>
      <c r="K357" s="240">
        <f t="shared" si="346"/>
      </c>
      <c r="L357" s="240">
        <f t="shared" si="165"/>
      </c>
      <c r="M357" s="241">
        <f t="shared" si="226"/>
      </c>
      <c r="N357" s="240">
        <f t="shared" si="75"/>
      </c>
      <c r="O357" s="240">
        <f t="shared" si="105"/>
      </c>
      <c r="P357" s="241">
        <f t="shared" si="376"/>
      </c>
      <c r="Q357" s="241">
        <f t="shared" si="14"/>
      </c>
      <c r="R357" s="241">
        <f t="shared" si="256"/>
      </c>
      <c r="S357" s="241">
        <f t="shared" si="316"/>
      </c>
      <c r="T357" s="242">
        <f t="shared" si="135"/>
      </c>
      <c r="U357" s="243">
        <v>0.0679</v>
      </c>
      <c r="V357" s="244">
        <v>55</v>
      </c>
      <c r="W357" s="240">
        <f t="shared" si="44"/>
      </c>
      <c r="X357" s="242">
        <v>5010</v>
      </c>
      <c r="Y357" s="242">
        <v>190</v>
      </c>
      <c r="Z357" s="242">
        <v>29</v>
      </c>
      <c r="AA357" s="242">
        <v>258</v>
      </c>
      <c r="AB357" s="242">
        <v>32</v>
      </c>
      <c r="AC357" s="242">
        <v>4</v>
      </c>
      <c r="AD357" s="242">
        <v>0</v>
      </c>
      <c r="AE357" s="244">
        <v>11</v>
      </c>
      <c r="AF357" s="240">
        <f t="shared" si="195"/>
      </c>
      <c r="AG357" s="222" t="s">
        <v>173</v>
      </c>
      <c r="AH357" s="223" t="s">
        <v>187</v>
      </c>
      <c r="AI357" s="244">
        <v>12</v>
      </c>
    </row>
    <row r="358">
      <c r="A358" s="211"/>
      <c r="B358" s="249" t="s">
        <v>165</v>
      </c>
      <c r="C358" s="249"/>
      <c r="D358" s="250">
        <f>SUM(D354:D357)</f>
      </c>
      <c r="E358" s="251">
        <f>SUM(E354:E357)</f>
      </c>
      <c r="F358" s="251">
        <f>SUM(F354:F357)</f>
      </c>
      <c r="G358" s="251">
        <f>SUM(G354:G357)</f>
      </c>
      <c r="H358" s="250">
        <f>SUM(H354:H357)</f>
      </c>
      <c r="I358" s="272">
        <f>SUM(I354:I357)</f>
      </c>
      <c r="J358" s="252">
        <f t="shared" si="286"/>
      </c>
      <c r="K358" s="252">
        <f t="shared" si="346"/>
      </c>
      <c r="L358" s="252">
        <f t="shared" si="165"/>
      </c>
      <c r="M358" s="253">
        <f t="shared" si="226"/>
      </c>
      <c r="N358" s="252">
        <f t="shared" si="75"/>
      </c>
      <c r="O358" s="252">
        <f t="shared" si="105"/>
      </c>
      <c r="P358" s="253">
        <f t="shared" si="376"/>
      </c>
      <c r="Q358" s="253">
        <f t="shared" si="14"/>
      </c>
      <c r="R358" s="253">
        <f t="shared" si="256"/>
      </c>
      <c r="S358" s="253">
        <f t="shared" si="316"/>
      </c>
      <c r="T358" s="254">
        <f t="shared" si="135"/>
      </c>
      <c r="U358" s="253">
        <f>AVERAGE(U354:U357)</f>
      </c>
      <c r="V358" s="250">
        <f>AVERAGE(V354:V357)</f>
      </c>
      <c r="W358" s="252">
        <f t="shared" si="44"/>
      </c>
      <c r="X358" s="254">
        <f>SUM(X354:X357)</f>
      </c>
      <c r="Y358" s="254">
        <f>SUM(Y354:Y357)</f>
      </c>
      <c r="Z358" s="254">
        <f>SUM(Z354:Z357)</f>
      </c>
      <c r="AA358" s="254">
        <f>SUM(AA354:AA357)</f>
      </c>
      <c r="AB358" s="254">
        <f>SUM(AB354:AB357)</f>
      </c>
      <c r="AC358" s="254">
        <f>SUM(AC354:AC357)</f>
      </c>
      <c r="AD358" s="254">
        <f>SUM(AD354:AD357)</f>
      </c>
      <c r="AE358" s="254">
        <f>SUM(AE354:AE357)</f>
      </c>
      <c r="AF358" s="255">
        <f t="shared" si="195"/>
      </c>
      <c r="AG358" s="256"/>
      <c r="AH358" s="256"/>
      <c r="AI358" s="257">
        <f>SUM(AI354:AI357)</f>
      </c>
    </row>
    <row r="359">
      <c r="A359" s="211"/>
      <c r="B359" s="264" t="s">
        <v>183</v>
      </c>
      <c r="C359" s="264"/>
      <c r="D359" s="265">
        <f>D343+D348+D353+D358</f>
      </c>
      <c r="E359" s="265">
        <f>E343+E348+E353+E358</f>
      </c>
      <c r="F359" s="265">
        <f>F343+F348+F353+F358</f>
      </c>
      <c r="G359" s="265">
        <f>G343+G348+G353+G358</f>
      </c>
      <c r="H359" s="265">
        <f>H343+H348+H353+H358</f>
      </c>
      <c r="I359" s="274">
        <f>I343+I348+I353+I358</f>
      </c>
      <c r="J359" s="266">
        <f t="shared" si="286"/>
      </c>
      <c r="K359" s="267">
        <f t="shared" si="346"/>
      </c>
      <c r="L359" s="267">
        <f t="shared" si="165"/>
      </c>
      <c r="M359" s="268">
        <f t="shared" si="226"/>
      </c>
      <c r="N359" s="267">
        <f t="shared" si="75"/>
      </c>
      <c r="O359" s="267">
        <f t="shared" si="105"/>
      </c>
      <c r="P359" s="268">
        <f t="shared" si="376"/>
      </c>
      <c r="Q359" s="268">
        <f t="shared" si="14"/>
      </c>
      <c r="R359" s="268">
        <f t="shared" si="256"/>
      </c>
      <c r="S359" s="268">
        <f t="shared" si="316"/>
      </c>
      <c r="T359" s="269">
        <f t="shared" si="135"/>
      </c>
      <c r="U359" s="268">
        <f>(U343+U353+U348+U358)/4</f>
      </c>
      <c r="V359" s="267">
        <f>(V343+V353+V348+V358)/4</f>
      </c>
      <c r="W359" s="270">
        <f t="shared" si="44"/>
      </c>
      <c r="X359" s="269">
        <f>X343+X348+X353+X358</f>
      </c>
      <c r="Y359" s="269">
        <f>Y343+Y348+Y353+Y358</f>
      </c>
      <c r="Z359" s="269">
        <f>Z343+Z348+Z353+Z358</f>
      </c>
      <c r="AA359" s="269">
        <f>AA343+AA348+AA353+AA358</f>
      </c>
      <c r="AB359" s="269">
        <f>AB343+AB348+AB353+AB358</f>
      </c>
      <c r="AC359" s="269">
        <f>AC343+AC348+AC353+AC358</f>
      </c>
      <c r="AD359" s="269">
        <f>AD343+AD348+AD353+AD358</f>
      </c>
      <c r="AE359" s="269">
        <f>AE343+AE348+AE353+AE358</f>
      </c>
      <c r="AF359" s="267">
        <f>AF343</f>
      </c>
      <c r="AG359" s="264"/>
      <c r="AH359" s="264"/>
      <c r="AI359" s="269">
        <f>AI343+AI348+AI353+AI358</f>
      </c>
    </row>
    <row r="360">
      <c r="A360" s="193" t="s">
        <v>120</v>
      </c>
      <c r="B360" s="194" t="s">
        <v>121</v>
      </c>
      <c r="C360" s="194"/>
      <c r="D360" s="195" t="s">
        <v>122</v>
      </c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6" t="s">
        <v>123</v>
      </c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7"/>
    </row>
    <row r="361">
      <c r="A361" s="193"/>
      <c r="B361" s="194" t="s">
        <v>124</v>
      </c>
      <c r="C361" s="198" t="s">
        <v>125</v>
      </c>
      <c r="D361" s="199" t="s">
        <v>126</v>
      </c>
      <c r="E361" s="200" t="s">
        <v>127</v>
      </c>
      <c r="F361" s="201" t="s">
        <v>128</v>
      </c>
      <c r="G361" s="201" t="s">
        <v>129</v>
      </c>
      <c r="H361" s="199" t="s">
        <v>130</v>
      </c>
      <c r="I361" s="271" t="s">
        <v>189</v>
      </c>
      <c r="J361" s="202" t="s">
        <v>131</v>
      </c>
      <c r="K361" s="202" t="s">
        <v>132</v>
      </c>
      <c r="L361" s="202" t="s">
        <v>133</v>
      </c>
      <c r="M361" s="203" t="s">
        <v>134</v>
      </c>
      <c r="N361" s="202" t="s">
        <v>135</v>
      </c>
      <c r="O361" s="204" t="s">
        <v>136</v>
      </c>
      <c r="P361" s="205" t="s">
        <v>137</v>
      </c>
      <c r="Q361" s="205" t="s">
        <v>138</v>
      </c>
      <c r="R361" s="205" t="s">
        <v>139</v>
      </c>
      <c r="S361" s="205" t="s">
        <v>140</v>
      </c>
      <c r="T361" s="206" t="s">
        <v>141</v>
      </c>
      <c r="U361" s="207" t="s">
        <v>142</v>
      </c>
      <c r="V361" s="208" t="s">
        <v>143</v>
      </c>
      <c r="W361" s="196" t="s">
        <v>144</v>
      </c>
      <c r="X361" s="209" t="s">
        <v>145</v>
      </c>
      <c r="Y361" s="209" t="s">
        <v>146</v>
      </c>
      <c r="Z361" s="209" t="s">
        <v>147</v>
      </c>
      <c r="AA361" s="209" t="s">
        <v>148</v>
      </c>
      <c r="AB361" s="209" t="s">
        <v>149</v>
      </c>
      <c r="AC361" s="209" t="s">
        <v>150</v>
      </c>
      <c r="AD361" s="209" t="s">
        <v>151</v>
      </c>
      <c r="AE361" s="209" t="s">
        <v>152</v>
      </c>
      <c r="AF361" s="196" t="s">
        <v>153</v>
      </c>
      <c r="AG361" s="210" t="s">
        <v>154</v>
      </c>
      <c r="AH361" s="210" t="s">
        <v>155</v>
      </c>
      <c r="AI361" s="197" t="s">
        <v>156</v>
      </c>
    </row>
    <row r="362">
      <c r="A362" s="211">
        <v>46189</v>
      </c>
      <c r="B362" s="212" t="s">
        <v>166</v>
      </c>
      <c r="C362" s="213" t="s">
        <v>158</v>
      </c>
      <c r="D362" s="214">
        <v>2413.58</v>
      </c>
      <c r="E362" s="215">
        <v>5</v>
      </c>
      <c r="F362" s="215">
        <v>3</v>
      </c>
      <c r="G362" s="215">
        <v>3</v>
      </c>
      <c r="H362" s="214">
        <v>2435.4</v>
      </c>
      <c r="I362" s="215">
        <v>1</v>
      </c>
      <c r="J362" s="216">
        <f t="shared" ref="J362:J383" si="287">H362/D362</f>
      </c>
      <c r="K362" s="217">
        <f t="shared" ref="K362:K383" si="347">D362/F362</f>
      </c>
      <c r="L362" s="217">
        <f t="shared" ref="L362:L383" si="166">D362/G362</f>
      </c>
      <c r="M362" s="218">
        <f t="shared" ref="M362:M383" si="227">F362/E362</f>
      </c>
      <c r="N362" s="217">
        <f t="shared" ref="N362:N383" si="76">H362/F362</f>
      </c>
      <c r="O362" s="217">
        <f t="shared" ref="O362:O383" si="106">D362/Y362</f>
      </c>
      <c r="P362" s="218">
        <f t="shared" ref="P362:P383" si="377">T362/X362*1</f>
      </c>
      <c r="Q362" s="218">
        <f t="shared" ref="Q362:Q383" si="15">Y362/X362</f>
      </c>
      <c r="R362" s="218">
        <f t="shared" ref="R362:R383" si="257">AA362/X362</f>
      </c>
      <c r="S362" s="218">
        <f t="shared" ref="S362:S383" si="317">AB362/AA362</f>
      </c>
      <c r="T362" s="219">
        <f t="shared" ref="T362:T383" si="136">Z362/U362</f>
      </c>
      <c r="U362" s="220">
        <v>0.0417</v>
      </c>
      <c r="V362" s="221">
        <v>34</v>
      </c>
      <c r="W362" s="217">
        <f t="shared" ref="W362:W383" si="45">(D362/X362)*1000</f>
      </c>
      <c r="X362" s="221">
        <v>15939</v>
      </c>
      <c r="Y362" s="221">
        <v>595</v>
      </c>
      <c r="Z362" s="219">
        <v>73</v>
      </c>
      <c r="AA362" s="219">
        <v>835</v>
      </c>
      <c r="AB362" s="219">
        <v>41</v>
      </c>
      <c r="AC362" s="219">
        <v>6</v>
      </c>
      <c r="AD362" s="221">
        <v>0</v>
      </c>
      <c r="AE362" s="221">
        <v>24</v>
      </c>
      <c r="AF362" s="217">
        <f t="shared" ref="AF362:AF382" si="196">AI362*1000/D362</f>
      </c>
      <c r="AG362" s="222" t="s">
        <v>159</v>
      </c>
      <c r="AH362" s="223" t="s">
        <v>184</v>
      </c>
      <c r="AI362" s="221">
        <v>18</v>
      </c>
    </row>
    <row r="363">
      <c r="A363" s="211"/>
      <c r="B363" s="212" t="s">
        <v>166</v>
      </c>
      <c r="C363" s="213" t="s">
        <v>161</v>
      </c>
      <c r="D363" s="214">
        <v>1948.56</v>
      </c>
      <c r="E363" s="215">
        <v>4</v>
      </c>
      <c r="F363" s="215">
        <v>1</v>
      </c>
      <c r="G363" s="215">
        <v>1</v>
      </c>
      <c r="H363" s="214">
        <v>451</v>
      </c>
      <c r="I363" s="215">
        <v>0</v>
      </c>
      <c r="J363" s="216">
        <f t="shared" si="287"/>
      </c>
      <c r="K363" s="217">
        <f t="shared" si="347"/>
      </c>
      <c r="L363" s="217">
        <f t="shared" si="166"/>
      </c>
      <c r="M363" s="218">
        <f t="shared" si="227"/>
      </c>
      <c r="N363" s="217">
        <f t="shared" si="76"/>
      </c>
      <c r="O363" s="217">
        <f t="shared" si="106"/>
      </c>
      <c r="P363" s="218">
        <f t="shared" si="377"/>
      </c>
      <c r="Q363" s="218">
        <f t="shared" si="15"/>
      </c>
      <c r="R363" s="218">
        <f t="shared" si="257"/>
      </c>
      <c r="S363" s="218">
        <f t="shared" si="317"/>
      </c>
      <c r="T363" s="219">
        <f t="shared" si="136"/>
      </c>
      <c r="U363" s="220">
        <v>0.0487</v>
      </c>
      <c r="V363" s="221">
        <v>42</v>
      </c>
      <c r="W363" s="217">
        <f t="shared" si="45"/>
      </c>
      <c r="X363" s="221">
        <v>10608</v>
      </c>
      <c r="Y363" s="221">
        <v>338</v>
      </c>
      <c r="Z363" s="219">
        <v>57</v>
      </c>
      <c r="AA363" s="219">
        <v>481</v>
      </c>
      <c r="AB363" s="221">
        <v>28</v>
      </c>
      <c r="AC363" s="219">
        <v>8</v>
      </c>
      <c r="AD363" s="221">
        <v>2</v>
      </c>
      <c r="AE363" s="221">
        <v>15</v>
      </c>
      <c r="AF363" s="217">
        <f t="shared" si="196"/>
      </c>
      <c r="AG363" s="222" t="s">
        <v>159</v>
      </c>
      <c r="AH363" s="223" t="s">
        <v>184</v>
      </c>
      <c r="AI363" s="221">
        <v>9</v>
      </c>
    </row>
    <row r="364">
      <c r="A364" s="211"/>
      <c r="B364" s="212" t="s">
        <v>166</v>
      </c>
      <c r="C364" s="224" t="s">
        <v>162</v>
      </c>
      <c r="D364" s="214">
        <v>1224.29</v>
      </c>
      <c r="E364" s="215">
        <v>2</v>
      </c>
      <c r="F364" s="215">
        <v>1</v>
      </c>
      <c r="G364" s="215">
        <v>1</v>
      </c>
      <c r="H364" s="214">
        <v>451</v>
      </c>
      <c r="I364" s="215">
        <v>0</v>
      </c>
      <c r="J364" s="216">
        <f t="shared" si="287"/>
      </c>
      <c r="K364" s="217">
        <f t="shared" si="347"/>
      </c>
      <c r="L364" s="217">
        <f t="shared" si="166"/>
      </c>
      <c r="M364" s="218">
        <f t="shared" si="227"/>
      </c>
      <c r="N364" s="217">
        <f t="shared" si="76"/>
      </c>
      <c r="O364" s="217">
        <f t="shared" si="106"/>
      </c>
      <c r="P364" s="218">
        <f t="shared" si="377"/>
      </c>
      <c r="Q364" s="218">
        <f t="shared" si="15"/>
      </c>
      <c r="R364" s="218">
        <f t="shared" si="257"/>
      </c>
      <c r="S364" s="218">
        <f t="shared" si="317"/>
      </c>
      <c r="T364" s="219">
        <f t="shared" si="136"/>
      </c>
      <c r="U364" s="220">
        <v>0.0379</v>
      </c>
      <c r="V364" s="221">
        <v>38</v>
      </c>
      <c r="W364" s="217">
        <f t="shared" si="45"/>
      </c>
      <c r="X364" s="221">
        <v>9277</v>
      </c>
      <c r="Y364" s="221">
        <v>480</v>
      </c>
      <c r="Z364" s="219">
        <v>39</v>
      </c>
      <c r="AA364" s="219">
        <v>605</v>
      </c>
      <c r="AB364" s="221">
        <v>28</v>
      </c>
      <c r="AC364" s="219">
        <v>8</v>
      </c>
      <c r="AD364" s="221">
        <v>2</v>
      </c>
      <c r="AE364" s="221">
        <v>8</v>
      </c>
      <c r="AF364" s="217">
        <f t="shared" si="196"/>
      </c>
      <c r="AG364" s="222" t="s">
        <v>159</v>
      </c>
      <c r="AH364" s="223" t="s">
        <v>184</v>
      </c>
      <c r="AI364" s="221">
        <v>11</v>
      </c>
    </row>
    <row r="365">
      <c r="A365" s="211"/>
      <c r="B365" s="212" t="s">
        <v>166</v>
      </c>
      <c r="C365" s="213" t="s">
        <v>163</v>
      </c>
      <c r="D365" s="214">
        <v>849.52</v>
      </c>
      <c r="E365" s="215">
        <v>4</v>
      </c>
      <c r="F365" s="215">
        <v>2</v>
      </c>
      <c r="G365" s="215">
        <v>2</v>
      </c>
      <c r="H365" s="214">
        <v>902</v>
      </c>
      <c r="I365" s="215">
        <v>0</v>
      </c>
      <c r="J365" s="216">
        <f t="shared" si="287"/>
      </c>
      <c r="K365" s="217">
        <f t="shared" si="347"/>
      </c>
      <c r="L365" s="217">
        <f t="shared" si="166"/>
      </c>
      <c r="M365" s="218">
        <f t="shared" si="227"/>
      </c>
      <c r="N365" s="217">
        <f t="shared" si="76"/>
      </c>
      <c r="O365" s="217">
        <f t="shared" si="106"/>
      </c>
      <c r="P365" s="218">
        <f t="shared" si="377"/>
      </c>
      <c r="Q365" s="218">
        <f t="shared" si="15"/>
      </c>
      <c r="R365" s="218">
        <f t="shared" si="257"/>
      </c>
      <c r="S365" s="218">
        <f t="shared" si="317"/>
      </c>
      <c r="T365" s="219">
        <f t="shared" si="136"/>
      </c>
      <c r="U365" s="220">
        <v>0.0341</v>
      </c>
      <c r="V365" s="221">
        <v>39</v>
      </c>
      <c r="W365" s="217">
        <f t="shared" si="45"/>
      </c>
      <c r="X365" s="221">
        <v>4728</v>
      </c>
      <c r="Y365" s="221">
        <v>268</v>
      </c>
      <c r="Z365" s="221">
        <v>30</v>
      </c>
      <c r="AA365" s="221">
        <v>388</v>
      </c>
      <c r="AB365" s="221">
        <v>14</v>
      </c>
      <c r="AC365" s="221">
        <v>2</v>
      </c>
      <c r="AD365" s="221">
        <v>1</v>
      </c>
      <c r="AE365" s="221">
        <v>2</v>
      </c>
      <c r="AF365" s="217">
        <f t="shared" si="196"/>
      </c>
      <c r="AG365" s="222" t="s">
        <v>159</v>
      </c>
      <c r="AH365" s="223" t="s">
        <v>184</v>
      </c>
      <c r="AI365" s="221">
        <v>8</v>
      </c>
    </row>
    <row r="366">
      <c r="A366" s="211"/>
      <c r="B366" s="212" t="s">
        <v>166</v>
      </c>
      <c r="C366" s="212" t="s">
        <v>164</v>
      </c>
      <c r="D366" s="225">
        <v>944.16</v>
      </c>
      <c r="E366" s="226">
        <v>4</v>
      </c>
      <c r="F366" s="226">
        <v>4</v>
      </c>
      <c r="G366" s="226">
        <v>4</v>
      </c>
      <c r="H366" s="225">
        <v>2464</v>
      </c>
      <c r="I366" s="226">
        <v>0</v>
      </c>
      <c r="J366" s="217">
        <f t="shared" si="287"/>
      </c>
      <c r="K366" s="217">
        <f t="shared" si="347"/>
      </c>
      <c r="L366" s="217">
        <f t="shared" si="166"/>
      </c>
      <c r="M366" s="218">
        <f t="shared" si="227"/>
      </c>
      <c r="N366" s="217">
        <f t="shared" si="76"/>
      </c>
      <c r="O366" s="217">
        <f t="shared" si="106"/>
      </c>
      <c r="P366" s="218">
        <f t="shared" si="377"/>
      </c>
      <c r="Q366" s="218">
        <f t="shared" si="15"/>
      </c>
      <c r="R366" s="218">
        <f t="shared" si="257"/>
      </c>
      <c r="S366" s="218">
        <f t="shared" si="317"/>
      </c>
      <c r="T366" s="219">
        <f t="shared" si="136"/>
      </c>
      <c r="U366" s="220">
        <v>0.0229</v>
      </c>
      <c r="V366" s="221">
        <v>42</v>
      </c>
      <c r="W366" s="217">
        <f t="shared" si="45"/>
      </c>
      <c r="X366" s="219">
        <v>4207</v>
      </c>
      <c r="Y366" s="219">
        <v>157</v>
      </c>
      <c r="Z366" s="219">
        <v>19</v>
      </c>
      <c r="AA366" s="219">
        <v>238</v>
      </c>
      <c r="AB366" s="219">
        <v>15</v>
      </c>
      <c r="AC366" s="219">
        <v>2</v>
      </c>
      <c r="AD366" s="219">
        <v>1</v>
      </c>
      <c r="AE366" s="221">
        <v>5</v>
      </c>
      <c r="AF366" s="217">
        <f t="shared" si="196"/>
      </c>
      <c r="AG366" s="222" t="s">
        <v>159</v>
      </c>
      <c r="AH366" s="223" t="s">
        <v>184</v>
      </c>
      <c r="AI366" s="221">
        <v>6</v>
      </c>
    </row>
    <row r="367">
      <c r="A367" s="211"/>
      <c r="B367" s="227" t="s">
        <v>165</v>
      </c>
      <c r="C367" s="227"/>
      <c r="D367" s="228">
        <f>SUM(D362:D366)</f>
      </c>
      <c r="E367" s="229">
        <f>SUM(E362:E366)</f>
      </c>
      <c r="F367" s="229">
        <f>SUM(F362:F366)</f>
      </c>
      <c r="G367" s="229">
        <f>SUM(G362:G366)</f>
      </c>
      <c r="H367" s="228">
        <f>SUM(H362:H366)</f>
      </c>
      <c r="I367" s="272">
        <f>SUM(I362:I366)</f>
      </c>
      <c r="J367" s="230">
        <f t="shared" si="287"/>
      </c>
      <c r="K367" s="230">
        <f t="shared" si="347"/>
      </c>
      <c r="L367" s="230">
        <f t="shared" si="166"/>
      </c>
      <c r="M367" s="231">
        <f t="shared" si="227"/>
      </c>
      <c r="N367" s="230">
        <f t="shared" si="76"/>
      </c>
      <c r="O367" s="230">
        <f t="shared" si="106"/>
      </c>
      <c r="P367" s="231">
        <f t="shared" si="377"/>
      </c>
      <c r="Q367" s="231">
        <f t="shared" si="15"/>
      </c>
      <c r="R367" s="231">
        <f t="shared" si="257"/>
      </c>
      <c r="S367" s="231">
        <f t="shared" si="317"/>
      </c>
      <c r="T367" s="229">
        <f t="shared" si="136"/>
      </c>
      <c r="U367" s="231">
        <f>AVERAGE(U362:U366)</f>
      </c>
      <c r="V367" s="228">
        <f>AVERAGE(V362:V366)</f>
      </c>
      <c r="W367" s="230">
        <f t="shared" si="45"/>
      </c>
      <c r="X367" s="229">
        <f>SUM(X362:X366)</f>
      </c>
      <c r="Y367" s="229">
        <f>SUM(Y362:Y366)</f>
      </c>
      <c r="Z367" s="229">
        <f>SUM(Z362:Z366)</f>
      </c>
      <c r="AA367" s="229">
        <f>SUM(AA362:AA366)</f>
      </c>
      <c r="AB367" s="229">
        <f>SUM(AB362:AB366)</f>
      </c>
      <c r="AC367" s="229">
        <f>SUM(AC362:AC366)</f>
      </c>
      <c r="AD367" s="229">
        <f>SUM(AD362:AD366)</f>
      </c>
      <c r="AE367" s="229">
        <f>SUM(AE362:AE366)</f>
      </c>
      <c r="AF367" s="232">
        <f t="shared" si="196"/>
      </c>
      <c r="AG367" s="233"/>
      <c r="AH367" s="233"/>
      <c r="AI367" s="234">
        <f>SUM(AI362:AI366)</f>
      </c>
    </row>
    <row r="368">
      <c r="A368" s="211"/>
      <c r="B368" s="212" t="s">
        <v>157</v>
      </c>
      <c r="C368" s="235" t="s">
        <v>167</v>
      </c>
      <c r="D368" s="236">
        <v>2604.45</v>
      </c>
      <c r="E368" s="237">
        <v>2</v>
      </c>
      <c r="F368" s="237">
        <v>1</v>
      </c>
      <c r="G368" s="238">
        <v>1</v>
      </c>
      <c r="H368" s="239">
        <v>451</v>
      </c>
      <c r="I368" s="273">
        <v>1</v>
      </c>
      <c r="J368" s="240">
        <f t="shared" si="287"/>
      </c>
      <c r="K368" s="240">
        <f t="shared" si="347"/>
      </c>
      <c r="L368" s="240">
        <f t="shared" si="166"/>
      </c>
      <c r="M368" s="241">
        <f t="shared" si="227"/>
      </c>
      <c r="N368" s="240">
        <f t="shared" si="76"/>
      </c>
      <c r="O368" s="240">
        <f t="shared" si="106"/>
      </c>
      <c r="P368" s="241">
        <f t="shared" si="377"/>
      </c>
      <c r="Q368" s="241">
        <f t="shared" si="15"/>
      </c>
      <c r="R368" s="241">
        <f t="shared" si="257"/>
      </c>
      <c r="S368" s="241">
        <f t="shared" si="317"/>
      </c>
      <c r="T368" s="242">
        <f t="shared" si="136"/>
      </c>
      <c r="U368" s="243">
        <v>0.0931</v>
      </c>
      <c r="V368" s="244">
        <v>46</v>
      </c>
      <c r="W368" s="240">
        <f t="shared" si="45"/>
      </c>
      <c r="X368" s="242">
        <v>15783</v>
      </c>
      <c r="Y368" s="242">
        <v>329</v>
      </c>
      <c r="Z368" s="242">
        <v>85</v>
      </c>
      <c r="AA368" s="242">
        <v>437</v>
      </c>
      <c r="AB368" s="242">
        <v>34</v>
      </c>
      <c r="AC368" s="242">
        <v>4</v>
      </c>
      <c r="AD368" s="242">
        <v>1</v>
      </c>
      <c r="AE368" s="242">
        <v>27</v>
      </c>
      <c r="AF368" s="240">
        <f t="shared" si="196"/>
      </c>
      <c r="AG368" s="222" t="s">
        <v>159</v>
      </c>
      <c r="AH368" s="223" t="s">
        <v>184</v>
      </c>
      <c r="AI368" s="244">
        <v>19</v>
      </c>
    </row>
    <row r="369">
      <c r="A369" s="211"/>
      <c r="B369" s="212" t="s">
        <v>157</v>
      </c>
      <c r="C369" s="245" t="s">
        <v>168</v>
      </c>
      <c r="D369" s="246">
        <v>2749.34</v>
      </c>
      <c r="E369" s="247">
        <v>7</v>
      </c>
      <c r="F369" s="247">
        <v>2</v>
      </c>
      <c r="G369" s="247">
        <v>2</v>
      </c>
      <c r="H369" s="239">
        <v>902</v>
      </c>
      <c r="I369" s="273">
        <v>0</v>
      </c>
      <c r="J369" s="240">
        <f t="shared" si="287"/>
      </c>
      <c r="K369" s="240">
        <f t="shared" si="347"/>
      </c>
      <c r="L369" s="240">
        <f t="shared" si="166"/>
      </c>
      <c r="M369" s="241">
        <f t="shared" si="227"/>
      </c>
      <c r="N369" s="240">
        <f t="shared" si="76"/>
      </c>
      <c r="O369" s="240">
        <f t="shared" si="106"/>
      </c>
      <c r="P369" s="241">
        <f t="shared" si="377"/>
      </c>
      <c r="Q369" s="241">
        <f t="shared" si="15"/>
      </c>
      <c r="R369" s="241">
        <f t="shared" si="257"/>
      </c>
      <c r="S369" s="241">
        <f t="shared" si="317"/>
      </c>
      <c r="T369" s="242">
        <f t="shared" si="136"/>
      </c>
      <c r="U369" s="243">
        <v>0.152</v>
      </c>
      <c r="V369" s="244">
        <v>50</v>
      </c>
      <c r="W369" s="240">
        <f t="shared" si="45"/>
      </c>
      <c r="X369" s="242">
        <v>20883</v>
      </c>
      <c r="Y369" s="242">
        <v>349</v>
      </c>
      <c r="Z369" s="242">
        <v>112</v>
      </c>
      <c r="AA369" s="242">
        <v>451</v>
      </c>
      <c r="AB369" s="242">
        <v>48</v>
      </c>
      <c r="AC369" s="242">
        <v>6</v>
      </c>
      <c r="AD369" s="242">
        <v>2</v>
      </c>
      <c r="AE369" s="242">
        <v>29</v>
      </c>
      <c r="AF369" s="240">
        <f t="shared" si="196"/>
      </c>
      <c r="AG369" s="222" t="s">
        <v>159</v>
      </c>
      <c r="AH369" s="223" t="s">
        <v>184</v>
      </c>
      <c r="AI369" s="244">
        <v>25</v>
      </c>
    </row>
    <row r="370">
      <c r="A370" s="211"/>
      <c r="B370" s="212" t="s">
        <v>157</v>
      </c>
      <c r="C370" s="235" t="s">
        <v>169</v>
      </c>
      <c r="D370" s="236">
        <v>2024.9</v>
      </c>
      <c r="E370" s="247">
        <v>4</v>
      </c>
      <c r="F370" s="247">
        <v>3</v>
      </c>
      <c r="G370" s="247">
        <v>2</v>
      </c>
      <c r="H370" s="236">
        <v>1353</v>
      </c>
      <c r="I370" s="238">
        <v>0</v>
      </c>
      <c r="J370" s="240">
        <f t="shared" si="287"/>
      </c>
      <c r="K370" s="240">
        <f t="shared" si="347"/>
      </c>
      <c r="L370" s="240">
        <f t="shared" si="166"/>
      </c>
      <c r="M370" s="241">
        <f t="shared" si="227"/>
      </c>
      <c r="N370" s="240">
        <f t="shared" si="76"/>
      </c>
      <c r="O370" s="240">
        <f t="shared" si="106"/>
      </c>
      <c r="P370" s="241">
        <f t="shared" si="377"/>
      </c>
      <c r="Q370" s="241">
        <f t="shared" si="15"/>
      </c>
      <c r="R370" s="241">
        <f t="shared" si="257"/>
      </c>
      <c r="S370" s="241">
        <f t="shared" si="317"/>
      </c>
      <c r="T370" s="242">
        <f t="shared" si="136"/>
      </c>
      <c r="U370" s="243">
        <v>0.1055</v>
      </c>
      <c r="V370" s="244">
        <v>52</v>
      </c>
      <c r="W370" s="240">
        <f t="shared" si="45"/>
      </c>
      <c r="X370" s="242">
        <v>15448</v>
      </c>
      <c r="Y370" s="242">
        <v>266</v>
      </c>
      <c r="Z370" s="242">
        <v>63</v>
      </c>
      <c r="AA370" s="242">
        <v>361</v>
      </c>
      <c r="AB370" s="242">
        <v>34</v>
      </c>
      <c r="AC370" s="242">
        <v>8</v>
      </c>
      <c r="AD370" s="242">
        <v>0</v>
      </c>
      <c r="AE370" s="244">
        <v>27</v>
      </c>
      <c r="AF370" s="240">
        <f t="shared" si="196"/>
      </c>
      <c r="AG370" s="222" t="s">
        <v>159</v>
      </c>
      <c r="AH370" s="223" t="s">
        <v>184</v>
      </c>
      <c r="AI370" s="244">
        <v>18</v>
      </c>
    </row>
    <row r="371">
      <c r="A371" s="211"/>
      <c r="B371" s="212" t="s">
        <v>157</v>
      </c>
      <c r="C371" s="248" t="s">
        <v>170</v>
      </c>
      <c r="D371" s="236">
        <v>1511.92</v>
      </c>
      <c r="E371" s="238">
        <v>6</v>
      </c>
      <c r="F371" s="238">
        <v>5</v>
      </c>
      <c r="G371" s="238">
        <v>5</v>
      </c>
      <c r="H371" s="236">
        <v>2562.4500000000007</v>
      </c>
      <c r="I371" s="238">
        <v>0</v>
      </c>
      <c r="J371" s="240">
        <f t="shared" si="287"/>
      </c>
      <c r="K371" s="240">
        <f t="shared" si="347"/>
      </c>
      <c r="L371" s="240">
        <f t="shared" si="166"/>
      </c>
      <c r="M371" s="241">
        <f t="shared" si="227"/>
      </c>
      <c r="N371" s="240">
        <f t="shared" si="76"/>
      </c>
      <c r="O371" s="240">
        <f t="shared" si="106"/>
      </c>
      <c r="P371" s="241">
        <f t="shared" si="377"/>
      </c>
      <c r="Q371" s="241">
        <f t="shared" si="15"/>
      </c>
      <c r="R371" s="241">
        <f t="shared" si="257"/>
      </c>
      <c r="S371" s="241">
        <f t="shared" si="317"/>
      </c>
      <c r="T371" s="242">
        <f t="shared" si="136"/>
      </c>
      <c r="U371" s="243">
        <v>0.0983</v>
      </c>
      <c r="V371" s="244">
        <v>52</v>
      </c>
      <c r="W371" s="240">
        <f t="shared" si="45"/>
      </c>
      <c r="X371" s="242">
        <v>9899</v>
      </c>
      <c r="Y371" s="242">
        <v>201</v>
      </c>
      <c r="Z371" s="242">
        <v>52</v>
      </c>
      <c r="AA371" s="242">
        <v>290</v>
      </c>
      <c r="AB371" s="242">
        <v>42</v>
      </c>
      <c r="AC371" s="242">
        <v>2</v>
      </c>
      <c r="AD371" s="242">
        <v>0</v>
      </c>
      <c r="AE371" s="242">
        <v>15</v>
      </c>
      <c r="AF371" s="240">
        <f t="shared" si="196"/>
      </c>
      <c r="AG371" s="222" t="s">
        <v>159</v>
      </c>
      <c r="AH371" s="223" t="s">
        <v>184</v>
      </c>
      <c r="AI371" s="244">
        <v>9</v>
      </c>
    </row>
    <row r="372">
      <c r="A372" s="211"/>
      <c r="B372" s="249" t="s">
        <v>165</v>
      </c>
      <c r="C372" s="249"/>
      <c r="D372" s="250">
        <f>SUM(D368:D371)</f>
      </c>
      <c r="E372" s="251">
        <f>SUM(E368:E371)</f>
      </c>
      <c r="F372" s="251">
        <f>SUM(F368:F371)</f>
      </c>
      <c r="G372" s="251">
        <f>SUM(G368:G371)</f>
      </c>
      <c r="H372" s="250">
        <f>SUM(H368:H371)</f>
      </c>
      <c r="I372" s="272">
        <f>SUM(I368:I371)</f>
      </c>
      <c r="J372" s="252">
        <f t="shared" si="287"/>
      </c>
      <c r="K372" s="252">
        <f t="shared" si="347"/>
      </c>
      <c r="L372" s="252">
        <f t="shared" si="166"/>
      </c>
      <c r="M372" s="253">
        <f t="shared" si="227"/>
      </c>
      <c r="N372" s="252">
        <f t="shared" si="76"/>
      </c>
      <c r="O372" s="252">
        <f t="shared" si="106"/>
      </c>
      <c r="P372" s="253">
        <f t="shared" si="377"/>
      </c>
      <c r="Q372" s="253">
        <f t="shared" si="15"/>
      </c>
      <c r="R372" s="253">
        <f t="shared" si="257"/>
      </c>
      <c r="S372" s="253">
        <f t="shared" si="317"/>
      </c>
      <c r="T372" s="254">
        <f t="shared" si="136"/>
      </c>
      <c r="U372" s="253">
        <f>AVERAGE(U368:U371)</f>
      </c>
      <c r="V372" s="250">
        <f>AVERAGE(V368:V371)</f>
      </c>
      <c r="W372" s="252">
        <f t="shared" si="45"/>
      </c>
      <c r="X372" s="254">
        <f>SUM(X368:X371)</f>
      </c>
      <c r="Y372" s="254">
        <f>SUM(Y368:Y371)</f>
      </c>
      <c r="Z372" s="254">
        <f>SUM(Z368:Z371)</f>
      </c>
      <c r="AA372" s="254">
        <f>SUM(AA368:AA371)</f>
      </c>
      <c r="AB372" s="254">
        <f>SUM(AB368:AB371)</f>
      </c>
      <c r="AC372" s="254">
        <f>SUM(AC368:AC371)</f>
      </c>
      <c r="AD372" s="254">
        <f>SUM(AD368:AD371)</f>
      </c>
      <c r="AE372" s="254">
        <f>SUM(AE368:AE371)</f>
      </c>
      <c r="AF372" s="255">
        <f t="shared" si="196"/>
      </c>
      <c r="AG372" s="256"/>
      <c r="AH372" s="256"/>
      <c r="AI372" s="257">
        <f>SUM(AI368:AI371)</f>
      </c>
    </row>
    <row r="373">
      <c r="A373" s="211"/>
      <c r="B373" s="212" t="s">
        <v>186</v>
      </c>
      <c r="C373" s="235" t="s">
        <v>172</v>
      </c>
      <c r="D373" s="212">
        <v>1140.69</v>
      </c>
      <c r="E373" s="215">
        <v>2</v>
      </c>
      <c r="F373" s="215">
        <v>2</v>
      </c>
      <c r="G373" s="215">
        <v>2</v>
      </c>
      <c r="H373" s="275">
        <v>902</v>
      </c>
      <c r="I373" s="215">
        <v>0</v>
      </c>
      <c r="J373" s="217">
        <f t="shared" si="287"/>
      </c>
      <c r="K373" s="217">
        <f t="shared" si="347"/>
      </c>
      <c r="L373" s="217">
        <f t="shared" si="166"/>
      </c>
      <c r="M373" s="218">
        <f t="shared" si="227"/>
      </c>
      <c r="N373" s="217">
        <f t="shared" si="76"/>
      </c>
      <c r="O373" s="217">
        <f t="shared" si="106"/>
      </c>
      <c r="P373" s="218">
        <f t="shared" si="377"/>
      </c>
      <c r="Q373" s="218">
        <f t="shared" si="15"/>
      </c>
      <c r="R373" s="218">
        <f t="shared" si="257"/>
      </c>
      <c r="S373" s="218">
        <f t="shared" si="317"/>
      </c>
      <c r="T373" s="219">
        <f t="shared" si="136"/>
      </c>
      <c r="U373" s="220">
        <v>0.0624</v>
      </c>
      <c r="V373" s="221">
        <v>54</v>
      </c>
      <c r="W373" s="217">
        <f t="shared" si="45"/>
      </c>
      <c r="X373" s="221">
        <v>8559</v>
      </c>
      <c r="Y373" s="221">
        <v>211</v>
      </c>
      <c r="Z373" s="219">
        <v>34</v>
      </c>
      <c r="AA373" s="219">
        <v>292</v>
      </c>
      <c r="AB373" s="219">
        <v>26</v>
      </c>
      <c r="AC373" s="219">
        <v>4</v>
      </c>
      <c r="AD373" s="221">
        <v>1</v>
      </c>
      <c r="AE373" s="221">
        <v>13</v>
      </c>
      <c r="AF373" s="217">
        <f t="shared" si="196"/>
      </c>
      <c r="AG373" s="222" t="s">
        <v>173</v>
      </c>
      <c r="AH373" s="223" t="s">
        <v>185</v>
      </c>
      <c r="AI373" s="221">
        <v>12</v>
      </c>
    </row>
    <row r="374">
      <c r="A374" s="211"/>
      <c r="B374" s="212" t="s">
        <v>186</v>
      </c>
      <c r="C374" s="245" t="s">
        <v>175</v>
      </c>
      <c r="D374" s="212">
        <v>528.93</v>
      </c>
      <c r="E374" s="215">
        <v>1</v>
      </c>
      <c r="F374" s="215">
        <v>1</v>
      </c>
      <c r="G374" s="215">
        <v>1</v>
      </c>
      <c r="H374" s="275">
        <v>451</v>
      </c>
      <c r="I374" s="215">
        <v>0</v>
      </c>
      <c r="J374" s="217">
        <f t="shared" si="287"/>
      </c>
      <c r="K374" s="217">
        <f t="shared" si="347"/>
      </c>
      <c r="L374" s="217">
        <f t="shared" si="166"/>
      </c>
      <c r="M374" s="218">
        <f t="shared" si="227"/>
      </c>
      <c r="N374" s="217">
        <f t="shared" si="76"/>
      </c>
      <c r="O374" s="217">
        <f t="shared" si="106"/>
      </c>
      <c r="P374" s="218">
        <f t="shared" si="377"/>
      </c>
      <c r="Q374" s="218">
        <f t="shared" si="15"/>
      </c>
      <c r="R374" s="218">
        <f t="shared" si="257"/>
      </c>
      <c r="S374" s="218">
        <f t="shared" si="317"/>
      </c>
      <c r="T374" s="219">
        <f t="shared" si="136"/>
      </c>
      <c r="U374" s="220">
        <v>0.0348</v>
      </c>
      <c r="V374" s="221">
        <v>55</v>
      </c>
      <c r="W374" s="217">
        <f t="shared" si="45"/>
      </c>
      <c r="X374" s="219">
        <v>2598</v>
      </c>
      <c r="Y374" s="219">
        <v>155</v>
      </c>
      <c r="Z374" s="219">
        <v>20</v>
      </c>
      <c r="AA374" s="219">
        <v>216</v>
      </c>
      <c r="AB374" s="219">
        <v>22</v>
      </c>
      <c r="AC374" s="219">
        <v>5</v>
      </c>
      <c r="AD374" s="219">
        <v>0</v>
      </c>
      <c r="AE374" s="221">
        <v>9</v>
      </c>
      <c r="AF374" s="217">
        <f t="shared" si="196"/>
      </c>
      <c r="AG374" s="222" t="s">
        <v>173</v>
      </c>
      <c r="AH374" s="223" t="s">
        <v>185</v>
      </c>
      <c r="AI374" s="221">
        <v>8</v>
      </c>
    </row>
    <row r="375">
      <c r="A375" s="211"/>
      <c r="B375" s="212" t="s">
        <v>186</v>
      </c>
      <c r="C375" s="235" t="s">
        <v>176</v>
      </c>
      <c r="D375" s="212">
        <v>762.47</v>
      </c>
      <c r="E375" s="215">
        <v>2</v>
      </c>
      <c r="F375" s="215">
        <v>2</v>
      </c>
      <c r="G375" s="215">
        <v>1</v>
      </c>
      <c r="H375" s="275">
        <v>879.4499999999989</v>
      </c>
      <c r="I375" s="215">
        <v>0</v>
      </c>
      <c r="J375" s="217">
        <f t="shared" si="287"/>
      </c>
      <c r="K375" s="217">
        <f t="shared" si="347"/>
      </c>
      <c r="L375" s="217">
        <f t="shared" si="166"/>
      </c>
      <c r="M375" s="218">
        <f t="shared" si="227"/>
      </c>
      <c r="N375" s="217">
        <f t="shared" si="76"/>
      </c>
      <c r="O375" s="217">
        <f t="shared" si="106"/>
      </c>
      <c r="P375" s="218">
        <f t="shared" si="377"/>
      </c>
      <c r="Q375" s="218">
        <f t="shared" si="15"/>
      </c>
      <c r="R375" s="218">
        <f t="shared" si="257"/>
      </c>
      <c r="S375" s="218">
        <f t="shared" si="317"/>
      </c>
      <c r="T375" s="219">
        <f t="shared" si="136"/>
      </c>
      <c r="U375" s="220">
        <v>0.0459</v>
      </c>
      <c r="V375" s="221">
        <v>54</v>
      </c>
      <c r="W375" s="217">
        <f t="shared" si="45"/>
      </c>
      <c r="X375" s="221">
        <v>3828</v>
      </c>
      <c r="Y375" s="221">
        <v>162</v>
      </c>
      <c r="Z375" s="221">
        <v>26</v>
      </c>
      <c r="AA375" s="221">
        <v>211</v>
      </c>
      <c r="AB375" s="221">
        <v>22</v>
      </c>
      <c r="AC375" s="221">
        <v>4</v>
      </c>
      <c r="AD375" s="221">
        <v>1</v>
      </c>
      <c r="AE375" s="221">
        <v>9</v>
      </c>
      <c r="AF375" s="217">
        <f t="shared" si="196"/>
      </c>
      <c r="AG375" s="222" t="s">
        <v>173</v>
      </c>
      <c r="AH375" s="223" t="s">
        <v>185</v>
      </c>
      <c r="AI375" s="221">
        <v>11</v>
      </c>
    </row>
    <row r="376">
      <c r="A376" s="211"/>
      <c r="B376" s="212" t="s">
        <v>186</v>
      </c>
      <c r="C376" s="235" t="s">
        <v>177</v>
      </c>
      <c r="D376" s="212">
        <v>687.21</v>
      </c>
      <c r="E376" s="215">
        <v>4</v>
      </c>
      <c r="F376" s="215">
        <v>3</v>
      </c>
      <c r="G376" s="215">
        <v>3</v>
      </c>
      <c r="H376" s="275">
        <v>3564</v>
      </c>
      <c r="I376" s="215">
        <v>1</v>
      </c>
      <c r="J376" s="217">
        <f t="shared" si="287"/>
      </c>
      <c r="K376" s="217">
        <f t="shared" si="347"/>
      </c>
      <c r="L376" s="217">
        <f t="shared" si="166"/>
      </c>
      <c r="M376" s="218">
        <f t="shared" si="227"/>
      </c>
      <c r="N376" s="217">
        <f t="shared" si="76"/>
      </c>
      <c r="O376" s="217">
        <f t="shared" si="106"/>
      </c>
      <c r="P376" s="218">
        <f t="shared" si="377"/>
      </c>
      <c r="Q376" s="218">
        <f t="shared" si="15"/>
      </c>
      <c r="R376" s="218">
        <f t="shared" si="257"/>
      </c>
      <c r="S376" s="218">
        <f t="shared" si="317"/>
      </c>
      <c r="T376" s="219">
        <f t="shared" si="136"/>
      </c>
      <c r="U376" s="220">
        <v>0.0497</v>
      </c>
      <c r="V376" s="221">
        <v>58</v>
      </c>
      <c r="W376" s="217">
        <f t="shared" si="45"/>
      </c>
      <c r="X376" s="221">
        <v>3895</v>
      </c>
      <c r="Y376" s="221">
        <v>187</v>
      </c>
      <c r="Z376" s="219">
        <v>29</v>
      </c>
      <c r="AA376" s="219">
        <v>254</v>
      </c>
      <c r="AB376" s="219">
        <v>21</v>
      </c>
      <c r="AC376" s="219">
        <v>3</v>
      </c>
      <c r="AD376" s="221">
        <v>0</v>
      </c>
      <c r="AE376" s="221">
        <v>6</v>
      </c>
      <c r="AF376" s="217">
        <f t="shared" si="196"/>
      </c>
      <c r="AG376" s="222" t="s">
        <v>173</v>
      </c>
      <c r="AH376" s="223" t="s">
        <v>185</v>
      </c>
      <c r="AI376" s="221">
        <v>9</v>
      </c>
    </row>
    <row r="377">
      <c r="A377" s="211"/>
      <c r="B377" s="227" t="s">
        <v>165</v>
      </c>
      <c r="C377" s="227"/>
      <c r="D377" s="259">
        <f>SUM(D373:D376)</f>
      </c>
      <c r="E377" s="260">
        <f>SUM(E373:E376)</f>
      </c>
      <c r="F377" s="260">
        <f>SUM(F373:F376)</f>
      </c>
      <c r="G377" s="260">
        <f>SUM(G373:G376)</f>
      </c>
      <c r="H377" s="259">
        <f>SUM(H373:H376)</f>
      </c>
      <c r="I377" s="272">
        <f>SUM(I373:I376)</f>
      </c>
      <c r="J377" s="230">
        <f t="shared" si="287"/>
      </c>
      <c r="K377" s="230">
        <f t="shared" si="347"/>
      </c>
      <c r="L377" s="230">
        <f t="shared" si="166"/>
      </c>
      <c r="M377" s="231">
        <f t="shared" si="227"/>
      </c>
      <c r="N377" s="230">
        <f t="shared" si="76"/>
      </c>
      <c r="O377" s="230">
        <f t="shared" si="106"/>
      </c>
      <c r="P377" s="231">
        <f t="shared" si="377"/>
      </c>
      <c r="Q377" s="231">
        <f t="shared" si="15"/>
      </c>
      <c r="R377" s="231">
        <f t="shared" si="257"/>
      </c>
      <c r="S377" s="231">
        <f t="shared" si="317"/>
      </c>
      <c r="T377" s="229">
        <f t="shared" si="136"/>
      </c>
      <c r="U377" s="231">
        <f>AVERAGE(U373:U376)</f>
      </c>
      <c r="V377" s="228">
        <f>AVERAGE(V373:V376)</f>
      </c>
      <c r="W377" s="230">
        <f t="shared" si="45"/>
      </c>
      <c r="X377" s="229">
        <f>SUM(X373:X376)</f>
      </c>
      <c r="Y377" s="229">
        <f>SUM(Y373:Y376)</f>
      </c>
      <c r="Z377" s="229">
        <f>SUM(Z373:Z376)</f>
      </c>
      <c r="AA377" s="229">
        <f>SUM(AA373:AA376)</f>
      </c>
      <c r="AB377" s="229">
        <f>SUM(AB373:AB376)</f>
      </c>
      <c r="AC377" s="229">
        <f>SUM(AC373:AC376)</f>
      </c>
      <c r="AD377" s="229">
        <f>SUM(AD373:AD376)</f>
      </c>
      <c r="AE377" s="229">
        <f>SUM(AE373:AE376)</f>
      </c>
      <c r="AF377" s="232">
        <f t="shared" si="196"/>
      </c>
      <c r="AG377" s="233"/>
      <c r="AH377" s="233"/>
      <c r="AI377" s="229">
        <f>SUM(AI373:AI376)</f>
      </c>
    </row>
    <row r="378">
      <c r="A378" s="211"/>
      <c r="B378" s="248" t="s">
        <v>171</v>
      </c>
      <c r="C378" s="248" t="s">
        <v>179</v>
      </c>
      <c r="D378" s="261">
        <v>2706.95</v>
      </c>
      <c r="E378" s="237">
        <v>5</v>
      </c>
      <c r="F378" s="237">
        <v>4</v>
      </c>
      <c r="G378" s="238">
        <v>3</v>
      </c>
      <c r="H378" s="239">
        <v>4338.399999999998</v>
      </c>
      <c r="I378" s="273">
        <v>1</v>
      </c>
      <c r="J378" s="240">
        <f t="shared" si="287"/>
      </c>
      <c r="K378" s="240">
        <f t="shared" si="347"/>
      </c>
      <c r="L378" s="240">
        <f t="shared" si="166"/>
      </c>
      <c r="M378" s="241">
        <f t="shared" si="227"/>
      </c>
      <c r="N378" s="240">
        <f t="shared" si="76"/>
      </c>
      <c r="O378" s="240">
        <f t="shared" si="106"/>
      </c>
      <c r="P378" s="241">
        <f t="shared" si="377"/>
      </c>
      <c r="Q378" s="241">
        <f t="shared" si="15"/>
      </c>
      <c r="R378" s="241">
        <f t="shared" si="257"/>
      </c>
      <c r="S378" s="241">
        <f t="shared" si="317"/>
      </c>
      <c r="T378" s="242">
        <f t="shared" si="136"/>
      </c>
      <c r="U378" s="243">
        <v>0.1523</v>
      </c>
      <c r="V378" s="244">
        <v>58</v>
      </c>
      <c r="W378" s="240">
        <f t="shared" si="45"/>
      </c>
      <c r="X378" s="242">
        <v>23614</v>
      </c>
      <c r="Y378" s="242">
        <v>413</v>
      </c>
      <c r="Z378" s="242">
        <v>115</v>
      </c>
      <c r="AA378" s="242">
        <v>448</v>
      </c>
      <c r="AB378" s="242">
        <v>49</v>
      </c>
      <c r="AC378" s="242">
        <v>7</v>
      </c>
      <c r="AD378" s="242">
        <v>1</v>
      </c>
      <c r="AE378" s="242">
        <v>23</v>
      </c>
      <c r="AF378" s="240">
        <f t="shared" si="196"/>
      </c>
      <c r="AG378" s="222" t="s">
        <v>173</v>
      </c>
      <c r="AH378" s="223" t="s">
        <v>185</v>
      </c>
      <c r="AI378" s="244">
        <v>29</v>
      </c>
    </row>
    <row r="379">
      <c r="A379" s="211"/>
      <c r="B379" s="248" t="s">
        <v>171</v>
      </c>
      <c r="C379" s="248" t="s">
        <v>180</v>
      </c>
      <c r="D379" s="262">
        <v>4236.95</v>
      </c>
      <c r="E379" s="247">
        <v>6</v>
      </c>
      <c r="F379" s="247">
        <v>4</v>
      </c>
      <c r="G379" s="247">
        <v>3</v>
      </c>
      <c r="H379" s="263">
        <v>2886.4000000000015</v>
      </c>
      <c r="I379" s="273">
        <v>1</v>
      </c>
      <c r="J379" s="240">
        <f t="shared" si="287"/>
      </c>
      <c r="K379" s="240">
        <f t="shared" si="347"/>
      </c>
      <c r="L379" s="240">
        <f t="shared" si="166"/>
      </c>
      <c r="M379" s="241">
        <f t="shared" si="227"/>
      </c>
      <c r="N379" s="240">
        <f t="shared" si="76"/>
      </c>
      <c r="O379" s="240">
        <f t="shared" si="106"/>
      </c>
      <c r="P379" s="241">
        <f t="shared" si="377"/>
      </c>
      <c r="Q379" s="241">
        <f t="shared" si="15"/>
      </c>
      <c r="R379" s="241">
        <f t="shared" si="257"/>
      </c>
      <c r="S379" s="241">
        <f t="shared" si="317"/>
      </c>
      <c r="T379" s="242">
        <f t="shared" si="136"/>
      </c>
      <c r="U379" s="243">
        <v>0.1985</v>
      </c>
      <c r="V379" s="244">
        <v>62</v>
      </c>
      <c r="W379" s="240">
        <f t="shared" si="45"/>
      </c>
      <c r="X379" s="242">
        <v>59045</v>
      </c>
      <c r="Y379" s="242">
        <v>625</v>
      </c>
      <c r="Z379" s="242">
        <v>212</v>
      </c>
      <c r="AA379" s="242">
        <v>698</v>
      </c>
      <c r="AB379" s="242">
        <v>138</v>
      </c>
      <c r="AC379" s="242">
        <v>11</v>
      </c>
      <c r="AD379" s="242">
        <v>4</v>
      </c>
      <c r="AE379" s="242">
        <v>73</v>
      </c>
      <c r="AF379" s="240">
        <f t="shared" si="196"/>
      </c>
      <c r="AG379" s="222" t="s">
        <v>173</v>
      </c>
      <c r="AH379" s="223" t="s">
        <v>185</v>
      </c>
      <c r="AI379" s="244">
        <v>56</v>
      </c>
    </row>
    <row r="380">
      <c r="A380" s="211"/>
      <c r="B380" s="248" t="s">
        <v>171</v>
      </c>
      <c r="C380" s="248" t="s">
        <v>181</v>
      </c>
      <c r="D380" s="261">
        <v>1705.47</v>
      </c>
      <c r="E380" s="247">
        <v>5</v>
      </c>
      <c r="F380" s="247">
        <v>4</v>
      </c>
      <c r="G380" s="247">
        <v>3</v>
      </c>
      <c r="H380" s="236">
        <v>4684.9000000000015</v>
      </c>
      <c r="I380" s="238">
        <v>2</v>
      </c>
      <c r="J380" s="240">
        <f t="shared" si="287"/>
      </c>
      <c r="K380" s="240">
        <f t="shared" si="347"/>
      </c>
      <c r="L380" s="240">
        <f t="shared" si="166"/>
      </c>
      <c r="M380" s="241">
        <f t="shared" si="227"/>
      </c>
      <c r="N380" s="240">
        <f t="shared" si="76"/>
      </c>
      <c r="O380" s="240">
        <f t="shared" si="106"/>
      </c>
      <c r="P380" s="241">
        <f t="shared" si="377"/>
      </c>
      <c r="Q380" s="241">
        <f t="shared" si="15"/>
      </c>
      <c r="R380" s="241">
        <f t="shared" si="257"/>
      </c>
      <c r="S380" s="241">
        <f t="shared" si="317"/>
      </c>
      <c r="T380" s="242">
        <f t="shared" si="136"/>
      </c>
      <c r="U380" s="243">
        <v>0.0998</v>
      </c>
      <c r="V380" s="244">
        <v>63</v>
      </c>
      <c r="W380" s="240">
        <f t="shared" si="45"/>
      </c>
      <c r="X380" s="242">
        <v>15500</v>
      </c>
      <c r="Y380" s="242">
        <v>334</v>
      </c>
      <c r="Z380" s="242">
        <v>82</v>
      </c>
      <c r="AA380" s="242">
        <v>406</v>
      </c>
      <c r="AB380" s="242">
        <v>46</v>
      </c>
      <c r="AC380" s="242">
        <v>3</v>
      </c>
      <c r="AD380" s="242">
        <v>1</v>
      </c>
      <c r="AE380" s="242">
        <v>25</v>
      </c>
      <c r="AF380" s="240">
        <f t="shared" si="196"/>
      </c>
      <c r="AG380" s="222" t="s">
        <v>173</v>
      </c>
      <c r="AH380" s="223" t="s">
        <v>185</v>
      </c>
      <c r="AI380" s="244">
        <v>22</v>
      </c>
    </row>
    <row r="381">
      <c r="A381" s="211"/>
      <c r="B381" s="248" t="s">
        <v>171</v>
      </c>
      <c r="C381" s="248" t="s">
        <v>182</v>
      </c>
      <c r="D381" s="261">
        <v>413.98</v>
      </c>
      <c r="E381" s="238">
        <v>5</v>
      </c>
      <c r="F381" s="238">
        <v>3</v>
      </c>
      <c r="G381" s="238">
        <v>2</v>
      </c>
      <c r="H381" s="261">
        <v>1353</v>
      </c>
      <c r="I381" s="238">
        <v>0</v>
      </c>
      <c r="J381" s="240">
        <f t="shared" si="287"/>
      </c>
      <c r="K381" s="240">
        <f t="shared" si="347"/>
      </c>
      <c r="L381" s="240">
        <f t="shared" si="166"/>
      </c>
      <c r="M381" s="241">
        <f t="shared" si="227"/>
      </c>
      <c r="N381" s="240">
        <f t="shared" si="76"/>
      </c>
      <c r="O381" s="240">
        <f t="shared" si="106"/>
      </c>
      <c r="P381" s="241">
        <f t="shared" si="377"/>
      </c>
      <c r="Q381" s="241">
        <f t="shared" si="15"/>
      </c>
      <c r="R381" s="241">
        <f t="shared" si="257"/>
      </c>
      <c r="S381" s="241">
        <f t="shared" si="317"/>
      </c>
      <c r="T381" s="242">
        <f t="shared" si="136"/>
      </c>
      <c r="U381" s="243">
        <v>0.0604</v>
      </c>
      <c r="V381" s="244">
        <v>64</v>
      </c>
      <c r="W381" s="240">
        <f t="shared" si="45"/>
      </c>
      <c r="X381" s="242">
        <v>3392</v>
      </c>
      <c r="Y381" s="242">
        <v>124</v>
      </c>
      <c r="Z381" s="242">
        <v>20</v>
      </c>
      <c r="AA381" s="242">
        <v>181</v>
      </c>
      <c r="AB381" s="242">
        <v>32</v>
      </c>
      <c r="AC381" s="242">
        <v>2</v>
      </c>
      <c r="AD381" s="242">
        <v>0</v>
      </c>
      <c r="AE381" s="244">
        <v>9</v>
      </c>
      <c r="AF381" s="240">
        <f t="shared" si="196"/>
      </c>
      <c r="AG381" s="222" t="s">
        <v>173</v>
      </c>
      <c r="AH381" s="223" t="s">
        <v>185</v>
      </c>
      <c r="AI381" s="244">
        <v>8</v>
      </c>
    </row>
    <row r="382">
      <c r="A382" s="211"/>
      <c r="B382" s="249" t="s">
        <v>165</v>
      </c>
      <c r="C382" s="249"/>
      <c r="D382" s="250">
        <f>SUM(D378:D381)</f>
      </c>
      <c r="E382" s="251">
        <f>SUM(E378:E381)</f>
      </c>
      <c r="F382" s="251">
        <f>SUM(F378:F381)</f>
      </c>
      <c r="G382" s="251">
        <f>SUM(G378:G381)</f>
      </c>
      <c r="H382" s="250">
        <f>SUM(H378:H381)</f>
      </c>
      <c r="I382" s="272">
        <f>SUM(I378:I381)</f>
      </c>
      <c r="J382" s="252">
        <f t="shared" si="287"/>
      </c>
      <c r="K382" s="252">
        <f t="shared" si="347"/>
      </c>
      <c r="L382" s="252">
        <f t="shared" si="166"/>
      </c>
      <c r="M382" s="253">
        <f t="shared" si="227"/>
      </c>
      <c r="N382" s="252">
        <f t="shared" si="76"/>
      </c>
      <c r="O382" s="252">
        <f t="shared" si="106"/>
      </c>
      <c r="P382" s="253">
        <f t="shared" si="377"/>
      </c>
      <c r="Q382" s="253">
        <f t="shared" si="15"/>
      </c>
      <c r="R382" s="253">
        <f t="shared" si="257"/>
      </c>
      <c r="S382" s="253">
        <f t="shared" si="317"/>
      </c>
      <c r="T382" s="254">
        <f t="shared" si="136"/>
      </c>
      <c r="U382" s="253">
        <f>AVERAGE(U378:U381)</f>
      </c>
      <c r="V382" s="250">
        <f>AVERAGE(V378:V381)</f>
      </c>
      <c r="W382" s="252">
        <f t="shared" si="45"/>
      </c>
      <c r="X382" s="254">
        <f>SUM(X378:X381)</f>
      </c>
      <c r="Y382" s="254">
        <f>SUM(Y378:Y381)</f>
      </c>
      <c r="Z382" s="254">
        <f>SUM(Z378:Z381)</f>
      </c>
      <c r="AA382" s="254">
        <f>SUM(AA378:AA381)</f>
      </c>
      <c r="AB382" s="254">
        <f>SUM(AB378:AB381)</f>
      </c>
      <c r="AC382" s="254">
        <f>SUM(AC378:AC381)</f>
      </c>
      <c r="AD382" s="254">
        <f>SUM(AD378:AD381)</f>
      </c>
      <c r="AE382" s="254">
        <f>SUM(AE378:AE381)</f>
      </c>
      <c r="AF382" s="255">
        <f t="shared" si="196"/>
      </c>
      <c r="AG382" s="256"/>
      <c r="AH382" s="256"/>
      <c r="AI382" s="257">
        <f>SUM(AI378:AI381)</f>
      </c>
    </row>
    <row r="383">
      <c r="A383" s="211"/>
      <c r="B383" s="264" t="s">
        <v>183</v>
      </c>
      <c r="C383" s="264"/>
      <c r="D383" s="265">
        <f>D367+D372+D377+D382</f>
      </c>
      <c r="E383" s="265">
        <f>E367+E372+E377+E382</f>
      </c>
      <c r="F383" s="265">
        <f>F367+F372+F377+F382</f>
      </c>
      <c r="G383" s="265">
        <f>G367+G372+G377+G382</f>
      </c>
      <c r="H383" s="265">
        <f>H367+H372+H377+H382</f>
      </c>
      <c r="I383" s="274">
        <f>I367+I372+I377+I382</f>
      </c>
      <c r="J383" s="266">
        <f t="shared" si="287"/>
      </c>
      <c r="K383" s="267">
        <f t="shared" si="347"/>
      </c>
      <c r="L383" s="267">
        <f t="shared" si="166"/>
      </c>
      <c r="M383" s="268">
        <f t="shared" si="227"/>
      </c>
      <c r="N383" s="267">
        <f t="shared" si="76"/>
      </c>
      <c r="O383" s="267">
        <f t="shared" si="106"/>
      </c>
      <c r="P383" s="268">
        <f t="shared" si="377"/>
      </c>
      <c r="Q383" s="268">
        <f t="shared" si="15"/>
      </c>
      <c r="R383" s="268">
        <f t="shared" si="257"/>
      </c>
      <c r="S383" s="268">
        <f t="shared" si="317"/>
      </c>
      <c r="T383" s="269">
        <f t="shared" si="136"/>
      </c>
      <c r="U383" s="268">
        <f>(U367+U377+U372+U382)/4</f>
      </c>
      <c r="V383" s="267">
        <f>(V367+V377+V372+V382)/4</f>
      </c>
      <c r="W383" s="270">
        <f t="shared" si="45"/>
      </c>
      <c r="X383" s="269">
        <f>X367+X372+X377+X382</f>
      </c>
      <c r="Y383" s="269">
        <f>Y367+Y372+Y377+Y382</f>
      </c>
      <c r="Z383" s="269">
        <f>Z367+Z372+Z377+Z382</f>
      </c>
      <c r="AA383" s="269">
        <f>AA367+AA372+AA377+AA382</f>
      </c>
      <c r="AB383" s="269">
        <f>AB367+AB372+AB377+AB382</f>
      </c>
      <c r="AC383" s="269">
        <f>AC367+AC372+AC377+AC382</f>
      </c>
      <c r="AD383" s="269">
        <f>AD367+AD372+AD377+AD382</f>
      </c>
      <c r="AE383" s="269">
        <f>AE367+AE372+AE377+AE382</f>
      </c>
      <c r="AF383" s="267">
        <f>AF367</f>
      </c>
      <c r="AG383" s="264"/>
      <c r="AH383" s="264"/>
      <c r="AI383" s="269">
        <f>AI367+AI372+AI377+AI382</f>
      </c>
    </row>
    <row r="384">
      <c r="A384" s="193" t="s">
        <v>120</v>
      </c>
      <c r="B384" s="194" t="s">
        <v>121</v>
      </c>
      <c r="C384" s="194"/>
      <c r="D384" s="195" t="s">
        <v>122</v>
      </c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6" t="s">
        <v>123</v>
      </c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7"/>
    </row>
    <row r="385">
      <c r="A385" s="193"/>
      <c r="B385" s="194" t="s">
        <v>124</v>
      </c>
      <c r="C385" s="198" t="s">
        <v>125</v>
      </c>
      <c r="D385" s="199" t="s">
        <v>126</v>
      </c>
      <c r="E385" s="200" t="s">
        <v>127</v>
      </c>
      <c r="F385" s="201" t="s">
        <v>128</v>
      </c>
      <c r="G385" s="201" t="s">
        <v>129</v>
      </c>
      <c r="H385" s="199" t="s">
        <v>130</v>
      </c>
      <c r="I385" s="271" t="s">
        <v>189</v>
      </c>
      <c r="J385" s="202" t="s">
        <v>131</v>
      </c>
      <c r="K385" s="202" t="s">
        <v>132</v>
      </c>
      <c r="L385" s="202" t="s">
        <v>133</v>
      </c>
      <c r="M385" s="203" t="s">
        <v>134</v>
      </c>
      <c r="N385" s="202" t="s">
        <v>135</v>
      </c>
      <c r="O385" s="204" t="s">
        <v>136</v>
      </c>
      <c r="P385" s="205" t="s">
        <v>137</v>
      </c>
      <c r="Q385" s="205" t="s">
        <v>138</v>
      </c>
      <c r="R385" s="205" t="s">
        <v>139</v>
      </c>
      <c r="S385" s="205" t="s">
        <v>140</v>
      </c>
      <c r="T385" s="206" t="s">
        <v>141</v>
      </c>
      <c r="U385" s="207" t="s">
        <v>142</v>
      </c>
      <c r="V385" s="208" t="s">
        <v>143</v>
      </c>
      <c r="W385" s="196" t="s">
        <v>144</v>
      </c>
      <c r="X385" s="209" t="s">
        <v>145</v>
      </c>
      <c r="Y385" s="209" t="s">
        <v>146</v>
      </c>
      <c r="Z385" s="209" t="s">
        <v>147</v>
      </c>
      <c r="AA385" s="209" t="s">
        <v>148</v>
      </c>
      <c r="AB385" s="209" t="s">
        <v>149</v>
      </c>
      <c r="AC385" s="209" t="s">
        <v>150</v>
      </c>
      <c r="AD385" s="209" t="s">
        <v>151</v>
      </c>
      <c r="AE385" s="209" t="s">
        <v>152</v>
      </c>
      <c r="AF385" s="196" t="s">
        <v>153</v>
      </c>
      <c r="AG385" s="210" t="s">
        <v>154</v>
      </c>
      <c r="AH385" s="210" t="s">
        <v>155</v>
      </c>
      <c r="AI385" s="197" t="s">
        <v>156</v>
      </c>
    </row>
    <row r="386">
      <c r="A386" s="211">
        <v>46190</v>
      </c>
      <c r="B386" s="212" t="s">
        <v>166</v>
      </c>
      <c r="C386" s="213" t="s">
        <v>158</v>
      </c>
      <c r="D386" s="214">
        <v>2136.6</v>
      </c>
      <c r="E386" s="215">
        <v>4</v>
      </c>
      <c r="F386" s="215">
        <v>2</v>
      </c>
      <c r="G386" s="215">
        <v>2</v>
      </c>
      <c r="H386" s="214">
        <v>902</v>
      </c>
      <c r="I386" s="215">
        <v>0</v>
      </c>
      <c r="J386" s="216">
        <f t="shared" ref="J386:J407" si="288">H386/D386</f>
      </c>
      <c r="K386" s="217">
        <f t="shared" ref="K386:K407" si="348">D386/F386</f>
      </c>
      <c r="L386" s="217">
        <f t="shared" ref="L386:L407" si="167">D386/G386</f>
      </c>
      <c r="M386" s="218">
        <f t="shared" ref="M386:M407" si="228">F386/E386</f>
      </c>
      <c r="N386" s="217">
        <f t="shared" ref="N386:N407" si="77">H386/F386</f>
      </c>
      <c r="O386" s="217">
        <f t="shared" ref="O386:O407" si="107">D386/Y386</f>
      </c>
      <c r="P386" s="218">
        <f t="shared" ref="P386:P407" si="378">T386/X386*1</f>
      </c>
      <c r="Q386" s="218">
        <f t="shared" ref="Q386:Q407" si="16">Y386/X386</f>
      </c>
      <c r="R386" s="218">
        <f t="shared" ref="R386:R407" si="258">AA386/X386</f>
      </c>
      <c r="S386" s="218">
        <f t="shared" ref="S386:S407" si="318">AB386/AA386</f>
      </c>
      <c r="T386" s="219">
        <f t="shared" ref="T386:T407" si="137">Z386/U386</f>
      </c>
      <c r="U386" s="220">
        <v>0.0747</v>
      </c>
      <c r="V386" s="221">
        <v>49</v>
      </c>
      <c r="W386" s="217">
        <f t="shared" ref="W386:W407" si="46">(D386/X386)*1000</f>
      </c>
      <c r="X386" s="221">
        <v>12898</v>
      </c>
      <c r="Y386" s="221">
        <v>385</v>
      </c>
      <c r="Z386" s="219">
        <v>84</v>
      </c>
      <c r="AA386" s="219">
        <v>582</v>
      </c>
      <c r="AB386" s="219">
        <v>72</v>
      </c>
      <c r="AC386" s="219">
        <v>7</v>
      </c>
      <c r="AD386" s="221">
        <v>0</v>
      </c>
      <c r="AE386" s="221">
        <v>20</v>
      </c>
      <c r="AF386" s="217">
        <f t="shared" ref="AF386:AF406" si="197">AI386*1000/D386</f>
      </c>
      <c r="AG386" s="222" t="s">
        <v>159</v>
      </c>
      <c r="AH386" s="223" t="s">
        <v>184</v>
      </c>
      <c r="AI386" s="221">
        <v>21</v>
      </c>
    </row>
    <row r="387">
      <c r="A387" s="211"/>
      <c r="B387" s="212" t="s">
        <v>166</v>
      </c>
      <c r="C387" s="213" t="s">
        <v>161</v>
      </c>
      <c r="D387" s="214">
        <v>1873.75</v>
      </c>
      <c r="E387" s="215">
        <v>1</v>
      </c>
      <c r="F387" s="215">
        <v>1</v>
      </c>
      <c r="G387" s="215">
        <v>1</v>
      </c>
      <c r="H387" s="214">
        <v>451</v>
      </c>
      <c r="I387" s="215">
        <v>0</v>
      </c>
      <c r="J387" s="216">
        <f t="shared" si="288"/>
      </c>
      <c r="K387" s="217">
        <f t="shared" si="348"/>
      </c>
      <c r="L387" s="217">
        <f t="shared" si="167"/>
      </c>
      <c r="M387" s="218">
        <f t="shared" si="228"/>
      </c>
      <c r="N387" s="217">
        <f t="shared" si="77"/>
      </c>
      <c r="O387" s="217">
        <f t="shared" si="107"/>
      </c>
      <c r="P387" s="218">
        <f t="shared" si="378"/>
      </c>
      <c r="Q387" s="218">
        <f t="shared" si="16"/>
      </c>
      <c r="R387" s="218">
        <f t="shared" si="258"/>
      </c>
      <c r="S387" s="218">
        <f t="shared" si="318"/>
      </c>
      <c r="T387" s="219">
        <f t="shared" si="137"/>
      </c>
      <c r="U387" s="220">
        <v>0.0626</v>
      </c>
      <c r="V387" s="221">
        <v>52</v>
      </c>
      <c r="W387" s="217">
        <f t="shared" si="46"/>
      </c>
      <c r="X387" s="221">
        <v>10873</v>
      </c>
      <c r="Y387" s="221">
        <v>306</v>
      </c>
      <c r="Z387" s="219">
        <v>45</v>
      </c>
      <c r="AA387" s="219">
        <v>425</v>
      </c>
      <c r="AB387" s="221">
        <v>29</v>
      </c>
      <c r="AC387" s="219">
        <v>1</v>
      </c>
      <c r="AD387" s="221">
        <v>1</v>
      </c>
      <c r="AE387" s="221">
        <v>20</v>
      </c>
      <c r="AF387" s="217">
        <f t="shared" si="197"/>
      </c>
      <c r="AG387" s="222" t="s">
        <v>159</v>
      </c>
      <c r="AH387" s="223" t="s">
        <v>184</v>
      </c>
      <c r="AI387" s="221">
        <v>14</v>
      </c>
    </row>
    <row r="388">
      <c r="A388" s="211"/>
      <c r="B388" s="212" t="s">
        <v>166</v>
      </c>
      <c r="C388" s="224" t="s">
        <v>162</v>
      </c>
      <c r="D388" s="214">
        <v>1034.26</v>
      </c>
      <c r="E388" s="215">
        <v>7</v>
      </c>
      <c r="F388" s="215">
        <v>4</v>
      </c>
      <c r="G388" s="215">
        <v>3</v>
      </c>
      <c r="H388" s="214">
        <v>1781.4499999999998</v>
      </c>
      <c r="I388" s="215">
        <v>0</v>
      </c>
      <c r="J388" s="216">
        <f t="shared" si="288"/>
      </c>
      <c r="K388" s="217">
        <f t="shared" si="348"/>
      </c>
      <c r="L388" s="217">
        <f t="shared" si="167"/>
      </c>
      <c r="M388" s="218">
        <f t="shared" si="228"/>
      </c>
      <c r="N388" s="217">
        <f t="shared" si="77"/>
      </c>
      <c r="O388" s="217">
        <f t="shared" si="107"/>
      </c>
      <c r="P388" s="218">
        <f t="shared" si="378"/>
      </c>
      <c r="Q388" s="218">
        <f t="shared" si="16"/>
      </c>
      <c r="R388" s="218">
        <f t="shared" si="258"/>
      </c>
      <c r="S388" s="218">
        <f t="shared" si="318"/>
      </c>
      <c r="T388" s="219">
        <f t="shared" si="137"/>
      </c>
      <c r="U388" s="220">
        <v>0.0563</v>
      </c>
      <c r="V388" s="221">
        <v>49</v>
      </c>
      <c r="W388" s="217">
        <f t="shared" si="46"/>
      </c>
      <c r="X388" s="221">
        <v>6406</v>
      </c>
      <c r="Y388" s="221">
        <v>396</v>
      </c>
      <c r="Z388" s="219">
        <v>45</v>
      </c>
      <c r="AA388" s="219">
        <v>483</v>
      </c>
      <c r="AB388" s="221">
        <v>22</v>
      </c>
      <c r="AC388" s="219">
        <v>1</v>
      </c>
      <c r="AD388" s="221">
        <v>1</v>
      </c>
      <c r="AE388" s="221">
        <v>12</v>
      </c>
      <c r="AF388" s="217">
        <f t="shared" si="197"/>
      </c>
      <c r="AG388" s="222" t="s">
        <v>159</v>
      </c>
      <c r="AH388" s="223" t="s">
        <v>184</v>
      </c>
      <c r="AI388" s="221">
        <v>11</v>
      </c>
    </row>
    <row r="389">
      <c r="A389" s="211"/>
      <c r="B389" s="212" t="s">
        <v>166</v>
      </c>
      <c r="C389" s="213" t="s">
        <v>163</v>
      </c>
      <c r="D389" s="214">
        <v>1545.98</v>
      </c>
      <c r="E389" s="215">
        <v>2</v>
      </c>
      <c r="F389" s="215">
        <v>2</v>
      </c>
      <c r="G389" s="215">
        <v>2</v>
      </c>
      <c r="H389" s="214">
        <v>902</v>
      </c>
      <c r="I389" s="215">
        <v>0</v>
      </c>
      <c r="J389" s="216">
        <f t="shared" si="288"/>
      </c>
      <c r="K389" s="217">
        <f t="shared" si="348"/>
      </c>
      <c r="L389" s="217">
        <f t="shared" si="167"/>
      </c>
      <c r="M389" s="218">
        <f t="shared" si="228"/>
      </c>
      <c r="N389" s="217">
        <f t="shared" si="77"/>
      </c>
      <c r="O389" s="217">
        <f t="shared" si="107"/>
      </c>
      <c r="P389" s="218">
        <f t="shared" si="378"/>
      </c>
      <c r="Q389" s="218">
        <f t="shared" si="16"/>
      </c>
      <c r="R389" s="218">
        <f t="shared" si="258"/>
      </c>
      <c r="S389" s="218">
        <f t="shared" si="318"/>
      </c>
      <c r="T389" s="219">
        <f t="shared" si="137"/>
      </c>
      <c r="U389" s="220">
        <v>0.0482</v>
      </c>
      <c r="V389" s="221">
        <v>50</v>
      </c>
      <c r="W389" s="217">
        <f t="shared" si="46"/>
      </c>
      <c r="X389" s="221">
        <v>8105</v>
      </c>
      <c r="Y389" s="221">
        <v>382</v>
      </c>
      <c r="Z389" s="221">
        <v>38</v>
      </c>
      <c r="AA389" s="221">
        <v>512</v>
      </c>
      <c r="AB389" s="221">
        <v>61</v>
      </c>
      <c r="AC389" s="221">
        <v>6</v>
      </c>
      <c r="AD389" s="221">
        <v>0</v>
      </c>
      <c r="AE389" s="221">
        <v>10</v>
      </c>
      <c r="AF389" s="217">
        <f t="shared" si="197"/>
      </c>
      <c r="AG389" s="222" t="s">
        <v>159</v>
      </c>
      <c r="AH389" s="223" t="s">
        <v>184</v>
      </c>
      <c r="AI389" s="221">
        <v>17</v>
      </c>
    </row>
    <row r="390">
      <c r="A390" s="211"/>
      <c r="B390" s="212" t="s">
        <v>166</v>
      </c>
      <c r="C390" s="212" t="s">
        <v>164</v>
      </c>
      <c r="D390" s="225">
        <v>1623.79</v>
      </c>
      <c r="E390" s="226">
        <v>4</v>
      </c>
      <c r="F390" s="226">
        <v>3</v>
      </c>
      <c r="G390" s="226">
        <v>2</v>
      </c>
      <c r="H390" s="225">
        <v>1758.8999999999996</v>
      </c>
      <c r="I390" s="226">
        <v>1</v>
      </c>
      <c r="J390" s="217">
        <f t="shared" si="288"/>
      </c>
      <c r="K390" s="217">
        <f t="shared" si="348"/>
      </c>
      <c r="L390" s="217">
        <f t="shared" si="167"/>
      </c>
      <c r="M390" s="218">
        <f t="shared" si="228"/>
      </c>
      <c r="N390" s="217">
        <f t="shared" si="77"/>
      </c>
      <c r="O390" s="217">
        <f t="shared" si="107"/>
      </c>
      <c r="P390" s="218">
        <f t="shared" si="378"/>
      </c>
      <c r="Q390" s="218">
        <f t="shared" si="16"/>
      </c>
      <c r="R390" s="218">
        <f t="shared" si="258"/>
      </c>
      <c r="S390" s="218">
        <f t="shared" si="318"/>
      </c>
      <c r="T390" s="219">
        <f t="shared" si="137"/>
      </c>
      <c r="U390" s="220">
        <v>0.0573</v>
      </c>
      <c r="V390" s="221">
        <v>49</v>
      </c>
      <c r="W390" s="217">
        <f t="shared" si="46"/>
      </c>
      <c r="X390" s="219">
        <v>9280</v>
      </c>
      <c r="Y390" s="219">
        <v>390</v>
      </c>
      <c r="Z390" s="219">
        <v>48</v>
      </c>
      <c r="AA390" s="219">
        <v>511</v>
      </c>
      <c r="AB390" s="219">
        <v>36</v>
      </c>
      <c r="AC390" s="219">
        <v>2</v>
      </c>
      <c r="AD390" s="219">
        <v>0</v>
      </c>
      <c r="AE390" s="221">
        <v>11</v>
      </c>
      <c r="AF390" s="217">
        <f t="shared" si="197"/>
      </c>
      <c r="AG390" s="222" t="s">
        <v>159</v>
      </c>
      <c r="AH390" s="223" t="s">
        <v>184</v>
      </c>
      <c r="AI390" s="221">
        <v>24</v>
      </c>
    </row>
    <row r="391">
      <c r="A391" s="211"/>
      <c r="B391" s="227" t="s">
        <v>165</v>
      </c>
      <c r="C391" s="227"/>
      <c r="D391" s="228">
        <f>SUM(D386:D390)</f>
      </c>
      <c r="E391" s="229">
        <f>SUM(E386:E390)</f>
      </c>
      <c r="F391" s="229">
        <f>SUM(F386:F390)</f>
      </c>
      <c r="G391" s="229">
        <f>SUM(G386:G390)</f>
      </c>
      <c r="H391" s="228">
        <f>SUM(H386:H390)</f>
      </c>
      <c r="I391" s="272">
        <f>SUM(I386:I390)</f>
      </c>
      <c r="J391" s="230">
        <f t="shared" si="288"/>
      </c>
      <c r="K391" s="230">
        <f t="shared" si="348"/>
      </c>
      <c r="L391" s="230">
        <f t="shared" si="167"/>
      </c>
      <c r="M391" s="231">
        <f t="shared" si="228"/>
      </c>
      <c r="N391" s="230">
        <f t="shared" si="77"/>
      </c>
      <c r="O391" s="230">
        <f t="shared" si="107"/>
      </c>
      <c r="P391" s="231">
        <f t="shared" si="378"/>
      </c>
      <c r="Q391" s="231">
        <f t="shared" si="16"/>
      </c>
      <c r="R391" s="231">
        <f t="shared" si="258"/>
      </c>
      <c r="S391" s="231">
        <f t="shared" si="318"/>
      </c>
      <c r="T391" s="229">
        <f t="shared" si="137"/>
      </c>
      <c r="U391" s="231">
        <f>AVERAGE(U386:U390)</f>
      </c>
      <c r="V391" s="228">
        <f>AVERAGE(V386:V390)</f>
      </c>
      <c r="W391" s="230">
        <f t="shared" si="46"/>
      </c>
      <c r="X391" s="229">
        <f>SUM(X386:X390)</f>
      </c>
      <c r="Y391" s="229">
        <f>SUM(Y386:Y390)</f>
      </c>
      <c r="Z391" s="229">
        <f>SUM(Z386:Z390)</f>
      </c>
      <c r="AA391" s="229">
        <f>SUM(AA386:AA390)</f>
      </c>
      <c r="AB391" s="229">
        <f>SUM(AB386:AB390)</f>
      </c>
      <c r="AC391" s="229">
        <f>SUM(AC386:AC390)</f>
      </c>
      <c r="AD391" s="229">
        <f>SUM(AD386:AD390)</f>
      </c>
      <c r="AE391" s="229">
        <f>SUM(AE386:AE390)</f>
      </c>
      <c r="AF391" s="232">
        <f t="shared" si="197"/>
      </c>
      <c r="AG391" s="233"/>
      <c r="AH391" s="233"/>
      <c r="AI391" s="234">
        <f>SUM(AI386:AI390)</f>
      </c>
    </row>
    <row r="392">
      <c r="A392" s="211"/>
      <c r="B392" s="212" t="s">
        <v>157</v>
      </c>
      <c r="C392" s="235" t="s">
        <v>167</v>
      </c>
      <c r="D392" s="236">
        <v>1370.76</v>
      </c>
      <c r="E392" s="237">
        <v>2</v>
      </c>
      <c r="F392" s="237">
        <v>2</v>
      </c>
      <c r="G392" s="238">
        <v>2</v>
      </c>
      <c r="H392" s="239">
        <v>1232.000000000001</v>
      </c>
      <c r="I392" s="273">
        <v>0</v>
      </c>
      <c r="J392" s="240">
        <f t="shared" si="288"/>
      </c>
      <c r="K392" s="240">
        <f t="shared" si="348"/>
      </c>
      <c r="L392" s="240">
        <f t="shared" si="167"/>
      </c>
      <c r="M392" s="241">
        <f t="shared" si="228"/>
      </c>
      <c r="N392" s="240">
        <f t="shared" si="77"/>
      </c>
      <c r="O392" s="240">
        <f t="shared" si="107"/>
      </c>
      <c r="P392" s="241">
        <f t="shared" si="378"/>
      </c>
      <c r="Q392" s="241">
        <f t="shared" si="16"/>
      </c>
      <c r="R392" s="241">
        <f t="shared" si="258"/>
      </c>
      <c r="S392" s="241">
        <f t="shared" si="318"/>
      </c>
      <c r="T392" s="242">
        <f t="shared" si="137"/>
      </c>
      <c r="U392" s="243">
        <v>0.0573</v>
      </c>
      <c r="V392" s="244">
        <v>47</v>
      </c>
      <c r="W392" s="240">
        <f t="shared" si="46"/>
      </c>
      <c r="X392" s="242">
        <v>9133</v>
      </c>
      <c r="Y392" s="242">
        <v>448</v>
      </c>
      <c r="Z392" s="242">
        <v>52</v>
      </c>
      <c r="AA392" s="242">
        <v>572</v>
      </c>
      <c r="AB392" s="242">
        <v>38</v>
      </c>
      <c r="AC392" s="242">
        <v>7</v>
      </c>
      <c r="AD392" s="242">
        <v>0</v>
      </c>
      <c r="AE392" s="242">
        <v>8</v>
      </c>
      <c r="AF392" s="240">
        <f t="shared" si="197"/>
      </c>
      <c r="AG392" s="222" t="s">
        <v>159</v>
      </c>
      <c r="AH392" s="223" t="s">
        <v>184</v>
      </c>
      <c r="AI392" s="244">
        <v>12</v>
      </c>
    </row>
    <row r="393">
      <c r="A393" s="211"/>
      <c r="B393" s="212" t="s">
        <v>157</v>
      </c>
      <c r="C393" s="245" t="s">
        <v>168</v>
      </c>
      <c r="D393" s="246">
        <v>1454.99</v>
      </c>
      <c r="E393" s="247">
        <v>6</v>
      </c>
      <c r="F393" s="247">
        <v>5</v>
      </c>
      <c r="G393" s="247">
        <v>3</v>
      </c>
      <c r="H393" s="239">
        <v>3673.449999999999</v>
      </c>
      <c r="I393" s="273">
        <v>3</v>
      </c>
      <c r="J393" s="240">
        <f t="shared" si="288"/>
      </c>
      <c r="K393" s="240">
        <f t="shared" si="348"/>
      </c>
      <c r="L393" s="240">
        <f t="shared" si="167"/>
      </c>
      <c r="M393" s="241">
        <f t="shared" si="228"/>
      </c>
      <c r="N393" s="240">
        <f t="shared" si="77"/>
      </c>
      <c r="O393" s="240">
        <f t="shared" si="107"/>
      </c>
      <c r="P393" s="241">
        <f t="shared" si="378"/>
      </c>
      <c r="Q393" s="241">
        <f t="shared" si="16"/>
      </c>
      <c r="R393" s="241">
        <f t="shared" si="258"/>
      </c>
      <c r="S393" s="241">
        <f t="shared" si="318"/>
      </c>
      <c r="T393" s="242">
        <f t="shared" si="137"/>
      </c>
      <c r="U393" s="243">
        <v>0.0655</v>
      </c>
      <c r="V393" s="244">
        <v>47</v>
      </c>
      <c r="W393" s="240">
        <f t="shared" si="46"/>
      </c>
      <c r="X393" s="242">
        <v>8570</v>
      </c>
      <c r="Y393" s="242">
        <v>381</v>
      </c>
      <c r="Z393" s="242">
        <v>51</v>
      </c>
      <c r="AA393" s="242">
        <v>475</v>
      </c>
      <c r="AB393" s="242">
        <v>56</v>
      </c>
      <c r="AC393" s="242">
        <v>3</v>
      </c>
      <c r="AD393" s="242">
        <v>1</v>
      </c>
      <c r="AE393" s="242">
        <v>17</v>
      </c>
      <c r="AF393" s="240">
        <f t="shared" si="197"/>
      </c>
      <c r="AG393" s="222" t="s">
        <v>159</v>
      </c>
      <c r="AH393" s="223" t="s">
        <v>184</v>
      </c>
      <c r="AI393" s="244">
        <v>13</v>
      </c>
    </row>
    <row r="394">
      <c r="A394" s="211"/>
      <c r="B394" s="212" t="s">
        <v>157</v>
      </c>
      <c r="C394" s="235" t="s">
        <v>169</v>
      </c>
      <c r="D394" s="236">
        <v>1099.17</v>
      </c>
      <c r="E394" s="247">
        <v>4</v>
      </c>
      <c r="F394" s="247">
        <v>4</v>
      </c>
      <c r="G394" s="247">
        <v>4</v>
      </c>
      <c r="H394" s="236">
        <v>2814.3500000000004</v>
      </c>
      <c r="I394" s="238">
        <v>1</v>
      </c>
      <c r="J394" s="240">
        <f t="shared" si="288"/>
      </c>
      <c r="K394" s="240">
        <f t="shared" si="348"/>
      </c>
      <c r="L394" s="240">
        <f t="shared" si="167"/>
      </c>
      <c r="M394" s="241">
        <f t="shared" si="228"/>
      </c>
      <c r="N394" s="240">
        <f t="shared" si="77"/>
      </c>
      <c r="O394" s="240">
        <f t="shared" si="107"/>
      </c>
      <c r="P394" s="241">
        <f t="shared" si="378"/>
      </c>
      <c r="Q394" s="241">
        <f t="shared" si="16"/>
      </c>
      <c r="R394" s="241">
        <f t="shared" si="258"/>
      </c>
      <c r="S394" s="241">
        <f t="shared" si="318"/>
      </c>
      <c r="T394" s="242">
        <f t="shared" si="137"/>
      </c>
      <c r="U394" s="243">
        <v>0.0538</v>
      </c>
      <c r="V394" s="244">
        <v>47</v>
      </c>
      <c r="W394" s="240">
        <f t="shared" si="46"/>
      </c>
      <c r="X394" s="242">
        <v>6701</v>
      </c>
      <c r="Y394" s="242">
        <v>294</v>
      </c>
      <c r="Z394" s="242">
        <v>37</v>
      </c>
      <c r="AA394" s="242">
        <v>381</v>
      </c>
      <c r="AB394" s="242">
        <v>20</v>
      </c>
      <c r="AC394" s="242">
        <v>1</v>
      </c>
      <c r="AD394" s="242">
        <v>1</v>
      </c>
      <c r="AE394" s="244">
        <v>8</v>
      </c>
      <c r="AF394" s="240">
        <f t="shared" si="197"/>
      </c>
      <c r="AG394" s="222" t="s">
        <v>159</v>
      </c>
      <c r="AH394" s="223" t="s">
        <v>184</v>
      </c>
      <c r="AI394" s="244">
        <v>10</v>
      </c>
    </row>
    <row r="395">
      <c r="A395" s="211"/>
      <c r="B395" s="212" t="s">
        <v>157</v>
      </c>
      <c r="C395" s="248" t="s">
        <v>170</v>
      </c>
      <c r="D395" s="236">
        <v>1276.32</v>
      </c>
      <c r="E395" s="238">
        <v>3</v>
      </c>
      <c r="F395" s="238">
        <v>2</v>
      </c>
      <c r="G395" s="238">
        <v>2</v>
      </c>
      <c r="H395" s="236">
        <v>1965.699999999999</v>
      </c>
      <c r="I395" s="238">
        <v>1</v>
      </c>
      <c r="J395" s="240">
        <f t="shared" si="288"/>
      </c>
      <c r="K395" s="240">
        <f t="shared" si="348"/>
      </c>
      <c r="L395" s="240">
        <f t="shared" si="167"/>
      </c>
      <c r="M395" s="241">
        <f t="shared" si="228"/>
      </c>
      <c r="N395" s="240">
        <f t="shared" si="77"/>
      </c>
      <c r="O395" s="240">
        <f t="shared" si="107"/>
      </c>
      <c r="P395" s="241">
        <f t="shared" si="378"/>
      </c>
      <c r="Q395" s="241">
        <f t="shared" si="16"/>
      </c>
      <c r="R395" s="241">
        <f t="shared" si="258"/>
      </c>
      <c r="S395" s="241">
        <f t="shared" si="318"/>
      </c>
      <c r="T395" s="242">
        <f t="shared" si="137"/>
      </c>
      <c r="U395" s="243">
        <v>0.0485</v>
      </c>
      <c r="V395" s="244">
        <v>49</v>
      </c>
      <c r="W395" s="240">
        <f t="shared" si="46"/>
      </c>
      <c r="X395" s="242">
        <v>8461</v>
      </c>
      <c r="Y395" s="242">
        <v>262</v>
      </c>
      <c r="Z395" s="242">
        <v>35</v>
      </c>
      <c r="AA395" s="242">
        <v>360</v>
      </c>
      <c r="AB395" s="242">
        <v>25</v>
      </c>
      <c r="AC395" s="242">
        <v>4</v>
      </c>
      <c r="AD395" s="242">
        <v>0</v>
      </c>
      <c r="AE395" s="242">
        <v>13</v>
      </c>
      <c r="AF395" s="240">
        <f t="shared" si="197"/>
      </c>
      <c r="AG395" s="222" t="s">
        <v>159</v>
      </c>
      <c r="AH395" s="223" t="s">
        <v>184</v>
      </c>
      <c r="AI395" s="244">
        <v>14</v>
      </c>
    </row>
    <row r="396">
      <c r="A396" s="211"/>
      <c r="B396" s="249" t="s">
        <v>165</v>
      </c>
      <c r="C396" s="249"/>
      <c r="D396" s="250">
        <f>SUM(D392:D395)</f>
      </c>
      <c r="E396" s="251">
        <f>SUM(E392:E395)</f>
      </c>
      <c r="F396" s="251">
        <f>SUM(F392:F395)</f>
      </c>
      <c r="G396" s="251">
        <f>SUM(G392:G395)</f>
      </c>
      <c r="H396" s="250">
        <f>SUM(H392:H395)</f>
      </c>
      <c r="I396" s="272">
        <f>SUM(I392:I395)</f>
      </c>
      <c r="J396" s="252">
        <f t="shared" si="288"/>
      </c>
      <c r="K396" s="252">
        <f t="shared" si="348"/>
      </c>
      <c r="L396" s="252">
        <f t="shared" si="167"/>
      </c>
      <c r="M396" s="253">
        <f t="shared" si="228"/>
      </c>
      <c r="N396" s="252">
        <f t="shared" si="77"/>
      </c>
      <c r="O396" s="252">
        <f t="shared" si="107"/>
      </c>
      <c r="P396" s="253">
        <f t="shared" si="378"/>
      </c>
      <c r="Q396" s="253">
        <f t="shared" si="16"/>
      </c>
      <c r="R396" s="253">
        <f t="shared" si="258"/>
      </c>
      <c r="S396" s="253">
        <f t="shared" si="318"/>
      </c>
      <c r="T396" s="254">
        <f t="shared" si="137"/>
      </c>
      <c r="U396" s="253">
        <f>AVERAGE(U392:U395)</f>
      </c>
      <c r="V396" s="250">
        <f>AVERAGE(V392:V395)</f>
      </c>
      <c r="W396" s="252">
        <f t="shared" si="46"/>
      </c>
      <c r="X396" s="254">
        <f>SUM(X392:X395)</f>
      </c>
      <c r="Y396" s="254">
        <f>SUM(Y392:Y395)</f>
      </c>
      <c r="Z396" s="254">
        <f>SUM(Z392:Z395)</f>
      </c>
      <c r="AA396" s="254">
        <f>SUM(AA392:AA395)</f>
      </c>
      <c r="AB396" s="254">
        <f>SUM(AB392:AB395)</f>
      </c>
      <c r="AC396" s="254">
        <f>SUM(AC392:AC395)</f>
      </c>
      <c r="AD396" s="254">
        <f>SUM(AD392:AD395)</f>
      </c>
      <c r="AE396" s="254">
        <f>SUM(AE392:AE395)</f>
      </c>
      <c r="AF396" s="255">
        <f t="shared" si="197"/>
      </c>
      <c r="AG396" s="256"/>
      <c r="AH396" s="256"/>
      <c r="AI396" s="257">
        <f>SUM(AI392:AI395)</f>
      </c>
    </row>
    <row r="397">
      <c r="A397" s="211"/>
      <c r="B397" s="212" t="s">
        <v>186</v>
      </c>
      <c r="C397" s="235" t="s">
        <v>172</v>
      </c>
      <c r="D397" s="212">
        <v>1676.4</v>
      </c>
      <c r="E397" s="215">
        <v>5</v>
      </c>
      <c r="F397" s="215">
        <v>4</v>
      </c>
      <c r="G397" s="215">
        <v>1</v>
      </c>
      <c r="H397" s="275">
        <v>3292.300000000003</v>
      </c>
      <c r="I397" s="215">
        <v>2</v>
      </c>
      <c r="J397" s="217">
        <f t="shared" si="288"/>
      </c>
      <c r="K397" s="217">
        <f t="shared" si="348"/>
      </c>
      <c r="L397" s="217">
        <f t="shared" si="167"/>
      </c>
      <c r="M397" s="218">
        <f t="shared" si="228"/>
      </c>
      <c r="N397" s="217">
        <f t="shared" si="77"/>
      </c>
      <c r="O397" s="217">
        <f t="shared" si="107"/>
      </c>
      <c r="P397" s="218">
        <f t="shared" si="378"/>
      </c>
      <c r="Q397" s="218">
        <f t="shared" si="16"/>
      </c>
      <c r="R397" s="218">
        <f t="shared" si="258"/>
      </c>
      <c r="S397" s="218">
        <f t="shared" si="318"/>
      </c>
      <c r="T397" s="219">
        <f t="shared" si="137"/>
      </c>
      <c r="U397" s="220">
        <v>0.0599</v>
      </c>
      <c r="V397" s="221">
        <v>53</v>
      </c>
      <c r="W397" s="217">
        <f t="shared" si="46"/>
      </c>
      <c r="X397" s="221">
        <v>10022</v>
      </c>
      <c r="Y397" s="221">
        <v>236</v>
      </c>
      <c r="Z397" s="219">
        <v>46</v>
      </c>
      <c r="AA397" s="219">
        <v>311</v>
      </c>
      <c r="AB397" s="219">
        <v>43</v>
      </c>
      <c r="AC397" s="219">
        <v>1</v>
      </c>
      <c r="AD397" s="221">
        <v>0</v>
      </c>
      <c r="AE397" s="221">
        <v>11</v>
      </c>
      <c r="AF397" s="217">
        <f t="shared" si="197"/>
      </c>
      <c r="AG397" s="222" t="s">
        <v>173</v>
      </c>
      <c r="AH397" s="223" t="s">
        <v>185</v>
      </c>
      <c r="AI397" s="221">
        <v>15</v>
      </c>
    </row>
    <row r="398">
      <c r="A398" s="211"/>
      <c r="B398" s="212" t="s">
        <v>186</v>
      </c>
      <c r="C398" s="245" t="s">
        <v>175</v>
      </c>
      <c r="D398" s="212">
        <v>1133.97</v>
      </c>
      <c r="E398" s="215">
        <v>3</v>
      </c>
      <c r="F398" s="215">
        <v>3</v>
      </c>
      <c r="G398" s="215">
        <v>1</v>
      </c>
      <c r="H398" s="275">
        <v>1285.3499999999985</v>
      </c>
      <c r="I398" s="215">
        <v>0</v>
      </c>
      <c r="J398" s="217">
        <f t="shared" si="288"/>
      </c>
      <c r="K398" s="217">
        <f t="shared" si="348"/>
      </c>
      <c r="L398" s="217">
        <f t="shared" si="167"/>
      </c>
      <c r="M398" s="218">
        <f t="shared" si="228"/>
      </c>
      <c r="N398" s="217">
        <f t="shared" si="77"/>
      </c>
      <c r="O398" s="217">
        <f t="shared" si="107"/>
      </c>
      <c r="P398" s="218">
        <f t="shared" si="378"/>
      </c>
      <c r="Q398" s="218">
        <f t="shared" si="16"/>
      </c>
      <c r="R398" s="218">
        <f t="shared" si="258"/>
      </c>
      <c r="S398" s="218">
        <f t="shared" si="318"/>
      </c>
      <c r="T398" s="219">
        <f t="shared" si="137"/>
      </c>
      <c r="U398" s="220">
        <v>0.0417</v>
      </c>
      <c r="V398" s="221">
        <v>54</v>
      </c>
      <c r="W398" s="217">
        <f t="shared" si="46"/>
      </c>
      <c r="X398" s="219">
        <v>8245</v>
      </c>
      <c r="Y398" s="219">
        <v>192</v>
      </c>
      <c r="Z398" s="219">
        <v>29</v>
      </c>
      <c r="AA398" s="219">
        <v>262</v>
      </c>
      <c r="AB398" s="219">
        <v>43</v>
      </c>
      <c r="AC398" s="219">
        <v>1</v>
      </c>
      <c r="AD398" s="219">
        <v>1</v>
      </c>
      <c r="AE398" s="221">
        <v>8</v>
      </c>
      <c r="AF398" s="217">
        <f t="shared" si="197"/>
      </c>
      <c r="AG398" s="222" t="s">
        <v>173</v>
      </c>
      <c r="AH398" s="223" t="s">
        <v>185</v>
      </c>
      <c r="AI398" s="221">
        <v>11</v>
      </c>
    </row>
    <row r="399">
      <c r="A399" s="211"/>
      <c r="B399" s="212" t="s">
        <v>186</v>
      </c>
      <c r="C399" s="235" t="s">
        <v>176</v>
      </c>
      <c r="D399" s="212">
        <v>702.42</v>
      </c>
      <c r="E399" s="215">
        <v>1</v>
      </c>
      <c r="F399" s="215">
        <v>1</v>
      </c>
      <c r="G399" s="215">
        <v>0</v>
      </c>
      <c r="H399" s="275">
        <v>451</v>
      </c>
      <c r="I399" s="215">
        <v>0</v>
      </c>
      <c r="J399" s="217">
        <f t="shared" si="288"/>
      </c>
      <c r="K399" s="217">
        <f t="shared" si="348"/>
      </c>
      <c r="L399" s="217">
        <f t="shared" si="167"/>
      </c>
      <c r="M399" s="218">
        <f t="shared" si="228"/>
      </c>
      <c r="N399" s="217">
        <f t="shared" si="77"/>
      </c>
      <c r="O399" s="217">
        <f t="shared" si="107"/>
      </c>
      <c r="P399" s="218">
        <f t="shared" si="378"/>
      </c>
      <c r="Q399" s="218">
        <f t="shared" si="16"/>
      </c>
      <c r="R399" s="218">
        <f t="shared" si="258"/>
      </c>
      <c r="S399" s="218">
        <f t="shared" si="318"/>
      </c>
      <c r="T399" s="219">
        <f t="shared" si="137"/>
      </c>
      <c r="U399" s="220">
        <v>0.0489</v>
      </c>
      <c r="V399" s="221">
        <v>55</v>
      </c>
      <c r="W399" s="217">
        <f t="shared" si="46"/>
      </c>
      <c r="X399" s="221">
        <v>4828</v>
      </c>
      <c r="Y399" s="221">
        <v>160</v>
      </c>
      <c r="Z399" s="221">
        <v>28</v>
      </c>
      <c r="AA399" s="221">
        <v>247</v>
      </c>
      <c r="AB399" s="221">
        <v>19</v>
      </c>
      <c r="AC399" s="221">
        <v>1</v>
      </c>
      <c r="AD399" s="221">
        <v>0</v>
      </c>
      <c r="AE399" s="221">
        <v>7</v>
      </c>
      <c r="AF399" s="217">
        <f t="shared" si="197"/>
      </c>
      <c r="AG399" s="222" t="s">
        <v>173</v>
      </c>
      <c r="AH399" s="223" t="s">
        <v>185</v>
      </c>
      <c r="AI399" s="221">
        <v>13</v>
      </c>
    </row>
    <row r="400">
      <c r="A400" s="211"/>
      <c r="B400" s="212" t="s">
        <v>186</v>
      </c>
      <c r="C400" s="235" t="s">
        <v>177</v>
      </c>
      <c r="D400" s="212">
        <v>745.45</v>
      </c>
      <c r="E400" s="215">
        <v>1</v>
      </c>
      <c r="F400" s="215">
        <v>1</v>
      </c>
      <c r="G400" s="215">
        <v>1</v>
      </c>
      <c r="H400" s="275">
        <v>451</v>
      </c>
      <c r="I400" s="215">
        <v>0</v>
      </c>
      <c r="J400" s="217">
        <f t="shared" si="288"/>
      </c>
      <c r="K400" s="217">
        <f t="shared" si="348"/>
      </c>
      <c r="L400" s="217">
        <f t="shared" si="167"/>
      </c>
      <c r="M400" s="218">
        <f t="shared" si="228"/>
      </c>
      <c r="N400" s="217">
        <f t="shared" si="77"/>
      </c>
      <c r="O400" s="217">
        <f t="shared" si="107"/>
      </c>
      <c r="P400" s="218">
        <f t="shared" si="378"/>
      </c>
      <c r="Q400" s="218">
        <f t="shared" si="16"/>
      </c>
      <c r="R400" s="218">
        <f t="shared" si="258"/>
      </c>
      <c r="S400" s="218">
        <f t="shared" si="318"/>
      </c>
      <c r="T400" s="219">
        <f t="shared" si="137"/>
      </c>
      <c r="U400" s="220">
        <v>0.0318</v>
      </c>
      <c r="V400" s="221">
        <v>55</v>
      </c>
      <c r="W400" s="217">
        <f t="shared" si="46"/>
      </c>
      <c r="X400" s="221">
        <v>4305</v>
      </c>
      <c r="Y400" s="221">
        <v>187</v>
      </c>
      <c r="Z400" s="219">
        <v>22</v>
      </c>
      <c r="AA400" s="219">
        <v>283</v>
      </c>
      <c r="AB400" s="219">
        <v>23</v>
      </c>
      <c r="AC400" s="219">
        <v>2</v>
      </c>
      <c r="AD400" s="221">
        <v>0</v>
      </c>
      <c r="AE400" s="221">
        <v>2</v>
      </c>
      <c r="AF400" s="217">
        <f t="shared" si="197"/>
      </c>
      <c r="AG400" s="222" t="s">
        <v>173</v>
      </c>
      <c r="AH400" s="223" t="s">
        <v>185</v>
      </c>
      <c r="AI400" s="221">
        <v>11</v>
      </c>
    </row>
    <row r="401">
      <c r="A401" s="211"/>
      <c r="B401" s="227" t="s">
        <v>165</v>
      </c>
      <c r="C401" s="227"/>
      <c r="D401" s="259">
        <f>SUM(D397:D400)</f>
      </c>
      <c r="E401" s="260">
        <f>SUM(E397:E400)</f>
      </c>
      <c r="F401" s="260">
        <f>SUM(F397:F400)</f>
      </c>
      <c r="G401" s="260">
        <f>SUM(G397:G400)</f>
      </c>
      <c r="H401" s="259">
        <f>SUM(H397:H400)</f>
      </c>
      <c r="I401" s="272">
        <f>SUM(I397:I400)</f>
      </c>
      <c r="J401" s="230">
        <f t="shared" si="288"/>
      </c>
      <c r="K401" s="230">
        <f t="shared" si="348"/>
      </c>
      <c r="L401" s="230">
        <f t="shared" si="167"/>
      </c>
      <c r="M401" s="231">
        <f t="shared" si="228"/>
      </c>
      <c r="N401" s="230">
        <f t="shared" si="77"/>
      </c>
      <c r="O401" s="230">
        <f t="shared" si="107"/>
      </c>
      <c r="P401" s="231">
        <f t="shared" si="378"/>
      </c>
      <c r="Q401" s="231">
        <f t="shared" si="16"/>
      </c>
      <c r="R401" s="231">
        <f t="shared" si="258"/>
      </c>
      <c r="S401" s="231">
        <f t="shared" si="318"/>
      </c>
      <c r="T401" s="229">
        <f t="shared" si="137"/>
      </c>
      <c r="U401" s="231">
        <f>AVERAGE(U397:U400)</f>
      </c>
      <c r="V401" s="228">
        <f>AVERAGE(V397:V400)</f>
      </c>
      <c r="W401" s="230">
        <f t="shared" si="46"/>
      </c>
      <c r="X401" s="229">
        <f>SUM(X397:X400)</f>
      </c>
      <c r="Y401" s="229">
        <f>SUM(Y397:Y400)</f>
      </c>
      <c r="Z401" s="229">
        <f>SUM(Z397:Z400)</f>
      </c>
      <c r="AA401" s="229">
        <f>SUM(AA397:AA400)</f>
      </c>
      <c r="AB401" s="229">
        <f>SUM(AB397:AB400)</f>
      </c>
      <c r="AC401" s="229">
        <f>SUM(AC397:AC400)</f>
      </c>
      <c r="AD401" s="229">
        <f>SUM(AD397:AD400)</f>
      </c>
      <c r="AE401" s="229">
        <f>SUM(AE397:AE400)</f>
      </c>
      <c r="AF401" s="232">
        <f t="shared" si="197"/>
      </c>
      <c r="AG401" s="233"/>
      <c r="AH401" s="233"/>
      <c r="AI401" s="229">
        <f>SUM(AI397:AI400)</f>
      </c>
    </row>
    <row r="402">
      <c r="A402" s="211"/>
      <c r="B402" s="248" t="s">
        <v>178</v>
      </c>
      <c r="C402" s="248" t="s">
        <v>179</v>
      </c>
      <c r="D402" s="261">
        <v>774.18</v>
      </c>
      <c r="E402" s="237">
        <v>1</v>
      </c>
      <c r="F402" s="237">
        <v>1</v>
      </c>
      <c r="G402" s="238">
        <v>0</v>
      </c>
      <c r="H402" s="239">
        <v>451</v>
      </c>
      <c r="I402" s="273">
        <v>0</v>
      </c>
      <c r="J402" s="240">
        <f t="shared" si="288"/>
      </c>
      <c r="K402" s="240">
        <f t="shared" si="348"/>
      </c>
      <c r="L402" s="240">
        <f t="shared" si="167"/>
      </c>
      <c r="M402" s="241">
        <f t="shared" si="228"/>
      </c>
      <c r="N402" s="240">
        <f t="shared" si="77"/>
      </c>
      <c r="O402" s="240">
        <f t="shared" si="107"/>
      </c>
      <c r="P402" s="241">
        <f t="shared" si="378"/>
      </c>
      <c r="Q402" s="241">
        <f t="shared" si="16"/>
      </c>
      <c r="R402" s="241">
        <f t="shared" si="258"/>
      </c>
      <c r="S402" s="241">
        <f t="shared" si="318"/>
      </c>
      <c r="T402" s="242">
        <f t="shared" si="137"/>
      </c>
      <c r="U402" s="243">
        <v>0.0308</v>
      </c>
      <c r="V402" s="244">
        <v>55</v>
      </c>
      <c r="W402" s="240">
        <f t="shared" si="46"/>
      </c>
      <c r="X402" s="242">
        <v>4230</v>
      </c>
      <c r="Y402" s="242">
        <v>193</v>
      </c>
      <c r="Z402" s="242">
        <v>22</v>
      </c>
      <c r="AA402" s="242">
        <v>284</v>
      </c>
      <c r="AB402" s="242">
        <v>24</v>
      </c>
      <c r="AC402" s="242">
        <v>3</v>
      </c>
      <c r="AD402" s="242">
        <v>0</v>
      </c>
      <c r="AE402" s="242">
        <v>1</v>
      </c>
      <c r="AF402" s="240">
        <f t="shared" si="197"/>
      </c>
      <c r="AG402" s="222" t="s">
        <v>173</v>
      </c>
      <c r="AH402" s="223" t="s">
        <v>185</v>
      </c>
      <c r="AI402" s="244">
        <v>13</v>
      </c>
    </row>
    <row r="403">
      <c r="A403" s="211"/>
      <c r="B403" s="248" t="s">
        <v>178</v>
      </c>
      <c r="C403" s="248" t="s">
        <v>180</v>
      </c>
      <c r="D403" s="262">
        <v>896.37</v>
      </c>
      <c r="E403" s="247">
        <v>3</v>
      </c>
      <c r="F403" s="247">
        <v>3</v>
      </c>
      <c r="G403" s="247">
        <v>3</v>
      </c>
      <c r="H403" s="263">
        <v>1683</v>
      </c>
      <c r="I403" s="273">
        <v>0</v>
      </c>
      <c r="J403" s="240">
        <f t="shared" si="288"/>
      </c>
      <c r="K403" s="240">
        <f t="shared" si="348"/>
      </c>
      <c r="L403" s="240">
        <f t="shared" si="167"/>
      </c>
      <c r="M403" s="241">
        <f t="shared" si="228"/>
      </c>
      <c r="N403" s="240">
        <f t="shared" si="77"/>
      </c>
      <c r="O403" s="240">
        <f t="shared" si="107"/>
      </c>
      <c r="P403" s="241">
        <f t="shared" si="378"/>
      </c>
      <c r="Q403" s="241">
        <f t="shared" si="16"/>
      </c>
      <c r="R403" s="241">
        <f t="shared" si="258"/>
      </c>
      <c r="S403" s="241">
        <f t="shared" si="318"/>
      </c>
      <c r="T403" s="242">
        <f t="shared" si="137"/>
      </c>
      <c r="U403" s="243">
        <v>0.0272</v>
      </c>
      <c r="V403" s="244">
        <v>54</v>
      </c>
      <c r="W403" s="240">
        <f t="shared" si="46"/>
      </c>
      <c r="X403" s="242">
        <v>4565</v>
      </c>
      <c r="Y403" s="242">
        <v>264</v>
      </c>
      <c r="Z403" s="242">
        <v>26</v>
      </c>
      <c r="AA403" s="242">
        <v>362</v>
      </c>
      <c r="AB403" s="242">
        <v>14</v>
      </c>
      <c r="AC403" s="242">
        <v>2</v>
      </c>
      <c r="AD403" s="242">
        <v>0</v>
      </c>
      <c r="AE403" s="242">
        <v>3</v>
      </c>
      <c r="AF403" s="240">
        <f t="shared" si="197"/>
      </c>
      <c r="AG403" s="222" t="s">
        <v>173</v>
      </c>
      <c r="AH403" s="223" t="s">
        <v>185</v>
      </c>
      <c r="AI403" s="244">
        <v>6</v>
      </c>
    </row>
    <row r="404">
      <c r="A404" s="211"/>
      <c r="B404" s="248" t="s">
        <v>178</v>
      </c>
      <c r="C404" s="248" t="s">
        <v>181</v>
      </c>
      <c r="D404" s="261">
        <v>1076.38</v>
      </c>
      <c r="E404" s="247">
        <v>4</v>
      </c>
      <c r="F404" s="247">
        <v>3</v>
      </c>
      <c r="G404" s="247">
        <v>2</v>
      </c>
      <c r="H404" s="236">
        <v>5639.700000000001</v>
      </c>
      <c r="I404" s="238">
        <v>3</v>
      </c>
      <c r="J404" s="240">
        <f t="shared" si="288"/>
      </c>
      <c r="K404" s="240">
        <f t="shared" si="348"/>
      </c>
      <c r="L404" s="240">
        <f t="shared" si="167"/>
      </c>
      <c r="M404" s="241">
        <f t="shared" si="228"/>
      </c>
      <c r="N404" s="240">
        <f t="shared" si="77"/>
      </c>
      <c r="O404" s="240">
        <f t="shared" si="107"/>
      </c>
      <c r="P404" s="241">
        <f t="shared" si="378"/>
      </c>
      <c r="Q404" s="241">
        <f t="shared" si="16"/>
      </c>
      <c r="R404" s="241">
        <f t="shared" si="258"/>
      </c>
      <c r="S404" s="241">
        <f t="shared" si="318"/>
      </c>
      <c r="T404" s="242">
        <f t="shared" si="137"/>
      </c>
      <c r="U404" s="243">
        <v>0.0234</v>
      </c>
      <c r="V404" s="244">
        <v>54</v>
      </c>
      <c r="W404" s="240">
        <f t="shared" si="46"/>
      </c>
      <c r="X404" s="242">
        <v>5918</v>
      </c>
      <c r="Y404" s="242">
        <v>308</v>
      </c>
      <c r="Z404" s="242">
        <v>26</v>
      </c>
      <c r="AA404" s="242">
        <v>465</v>
      </c>
      <c r="AB404" s="242">
        <v>23</v>
      </c>
      <c r="AC404" s="242">
        <v>4</v>
      </c>
      <c r="AD404" s="242">
        <v>1</v>
      </c>
      <c r="AE404" s="242">
        <v>6</v>
      </c>
      <c r="AF404" s="240">
        <f t="shared" si="197"/>
      </c>
      <c r="AG404" s="222" t="s">
        <v>173</v>
      </c>
      <c r="AH404" s="223" t="s">
        <v>185</v>
      </c>
      <c r="AI404" s="244">
        <v>9</v>
      </c>
    </row>
    <row r="405">
      <c r="A405" s="211"/>
      <c r="B405" s="248" t="s">
        <v>178</v>
      </c>
      <c r="C405" s="248" t="s">
        <v>182</v>
      </c>
      <c r="D405" s="261">
        <v>459.67</v>
      </c>
      <c r="E405" s="238">
        <v>2</v>
      </c>
      <c r="F405" s="238">
        <v>2</v>
      </c>
      <c r="G405" s="238">
        <v>2</v>
      </c>
      <c r="H405" s="261">
        <v>1307.8999999999978</v>
      </c>
      <c r="I405" s="238">
        <v>1</v>
      </c>
      <c r="J405" s="240">
        <f t="shared" si="288"/>
      </c>
      <c r="K405" s="240">
        <f t="shared" si="348"/>
      </c>
      <c r="L405" s="240">
        <f t="shared" si="167"/>
      </c>
      <c r="M405" s="241">
        <f t="shared" si="228"/>
      </c>
      <c r="N405" s="240">
        <f t="shared" si="77"/>
      </c>
      <c r="O405" s="240">
        <f t="shared" si="107"/>
      </c>
      <c r="P405" s="241">
        <f t="shared" si="378"/>
      </c>
      <c r="Q405" s="241">
        <f t="shared" si="16"/>
      </c>
      <c r="R405" s="241">
        <f t="shared" si="258"/>
      </c>
      <c r="S405" s="241">
        <f t="shared" si="318"/>
      </c>
      <c r="T405" s="242">
        <f t="shared" si="137"/>
      </c>
      <c r="U405" s="243">
        <v>0.0385</v>
      </c>
      <c r="V405" s="244">
        <v>53</v>
      </c>
      <c r="W405" s="240">
        <f t="shared" si="46"/>
      </c>
      <c r="X405" s="242">
        <v>3182</v>
      </c>
      <c r="Y405" s="242">
        <v>165</v>
      </c>
      <c r="Z405" s="242">
        <v>23</v>
      </c>
      <c r="AA405" s="242">
        <v>292</v>
      </c>
      <c r="AB405" s="242">
        <v>30</v>
      </c>
      <c r="AC405" s="242">
        <v>4</v>
      </c>
      <c r="AD405" s="242">
        <v>0</v>
      </c>
      <c r="AE405" s="244">
        <v>4</v>
      </c>
      <c r="AF405" s="240">
        <f t="shared" si="197"/>
      </c>
      <c r="AG405" s="222" t="s">
        <v>173</v>
      </c>
      <c r="AH405" s="223" t="s">
        <v>185</v>
      </c>
      <c r="AI405" s="244">
        <v>6</v>
      </c>
    </row>
    <row r="406">
      <c r="A406" s="211"/>
      <c r="B406" s="249" t="s">
        <v>165</v>
      </c>
      <c r="C406" s="249"/>
      <c r="D406" s="250">
        <f>SUM(D402:D405)</f>
      </c>
      <c r="E406" s="251">
        <f>SUM(E402:E405)</f>
      </c>
      <c r="F406" s="251">
        <f>SUM(F402:F405)</f>
      </c>
      <c r="G406" s="251">
        <f>SUM(G402:G405)</f>
      </c>
      <c r="H406" s="250">
        <f>SUM(H402:H405)</f>
      </c>
      <c r="I406" s="272">
        <f>SUM(I402:I405)</f>
      </c>
      <c r="J406" s="252">
        <f t="shared" si="288"/>
      </c>
      <c r="K406" s="252">
        <f t="shared" si="348"/>
      </c>
      <c r="L406" s="252">
        <f t="shared" si="167"/>
      </c>
      <c r="M406" s="253">
        <f t="shared" si="228"/>
      </c>
      <c r="N406" s="252">
        <f t="shared" si="77"/>
      </c>
      <c r="O406" s="252">
        <f t="shared" si="107"/>
      </c>
      <c r="P406" s="253">
        <f t="shared" si="378"/>
      </c>
      <c r="Q406" s="253">
        <f t="shared" si="16"/>
      </c>
      <c r="R406" s="253">
        <f t="shared" si="258"/>
      </c>
      <c r="S406" s="253">
        <f t="shared" si="318"/>
      </c>
      <c r="T406" s="254">
        <f t="shared" si="137"/>
      </c>
      <c r="U406" s="253">
        <f>AVERAGE(U402:U405)</f>
      </c>
      <c r="V406" s="250">
        <f>AVERAGE(V402:V405)</f>
      </c>
      <c r="W406" s="252">
        <f t="shared" si="46"/>
      </c>
      <c r="X406" s="254">
        <f>SUM(X402:X405)</f>
      </c>
      <c r="Y406" s="254">
        <f>SUM(Y402:Y405)</f>
      </c>
      <c r="Z406" s="254">
        <f>SUM(Z402:Z405)</f>
      </c>
      <c r="AA406" s="254">
        <f>SUM(AA402:AA405)</f>
      </c>
      <c r="AB406" s="254">
        <f>SUM(AB402:AB405)</f>
      </c>
      <c r="AC406" s="254">
        <f>SUM(AC402:AC405)</f>
      </c>
      <c r="AD406" s="254">
        <f>SUM(AD402:AD405)</f>
      </c>
      <c r="AE406" s="254">
        <f>SUM(AE402:AE405)</f>
      </c>
      <c r="AF406" s="255">
        <f t="shared" si="197"/>
      </c>
      <c r="AG406" s="256"/>
      <c r="AH406" s="256"/>
      <c r="AI406" s="257">
        <f>SUM(AI402:AI405)</f>
      </c>
    </row>
    <row r="407">
      <c r="A407" s="211"/>
      <c r="B407" s="264" t="s">
        <v>183</v>
      </c>
      <c r="C407" s="264"/>
      <c r="D407" s="265">
        <f>D391+D396+D401+D406</f>
      </c>
      <c r="E407" s="265">
        <f>E391+E396+E401+E406</f>
      </c>
      <c r="F407" s="265">
        <f>F391+F396+F401+F406</f>
      </c>
      <c r="G407" s="265">
        <f>G391+G396+G401+G406</f>
      </c>
      <c r="H407" s="265">
        <f>H391+H396+H401+H406</f>
      </c>
      <c r="I407" s="274">
        <f>I391+I396+I401+I406</f>
      </c>
      <c r="J407" s="266">
        <f t="shared" si="288"/>
      </c>
      <c r="K407" s="267">
        <f t="shared" si="348"/>
      </c>
      <c r="L407" s="267">
        <f t="shared" si="167"/>
      </c>
      <c r="M407" s="268">
        <f t="shared" si="228"/>
      </c>
      <c r="N407" s="267">
        <f t="shared" si="77"/>
      </c>
      <c r="O407" s="267">
        <f t="shared" si="107"/>
      </c>
      <c r="P407" s="268">
        <f t="shared" si="378"/>
      </c>
      <c r="Q407" s="268">
        <f t="shared" si="16"/>
      </c>
      <c r="R407" s="268">
        <f t="shared" si="258"/>
      </c>
      <c r="S407" s="268">
        <f t="shared" si="318"/>
      </c>
      <c r="T407" s="269">
        <f t="shared" si="137"/>
      </c>
      <c r="U407" s="268">
        <f>(U391+U401+U396+U406)/4</f>
      </c>
      <c r="V407" s="267">
        <f>(V391+V401+V396+V406)/4</f>
      </c>
      <c r="W407" s="270">
        <f t="shared" si="46"/>
      </c>
      <c r="X407" s="269">
        <f>X391+X396+X401+X406</f>
      </c>
      <c r="Y407" s="269">
        <f>Y391+Y396+Y401+Y406</f>
      </c>
      <c r="Z407" s="269">
        <f>Z391+Z396+Z401+Z406</f>
      </c>
      <c r="AA407" s="269">
        <f>AA391+AA396+AA401+AA406</f>
      </c>
      <c r="AB407" s="269">
        <f>AB391+AB396+AB401+AB406</f>
      </c>
      <c r="AC407" s="269">
        <f>AC391+AC396+AC401+AC406</f>
      </c>
      <c r="AD407" s="269">
        <f>AD391+AD396+AD401+AD406</f>
      </c>
      <c r="AE407" s="269">
        <f>AE391+AE396+AE401+AE406</f>
      </c>
      <c r="AF407" s="267">
        <f>AF391</f>
      </c>
      <c r="AG407" s="264"/>
      <c r="AH407" s="264"/>
      <c r="AI407" s="269">
        <f>AI391+AI396+AI401+AI406</f>
      </c>
    </row>
    <row r="408">
      <c r="A408" s="193" t="s">
        <v>120</v>
      </c>
      <c r="B408" s="194" t="s">
        <v>121</v>
      </c>
      <c r="C408" s="276"/>
      <c r="D408" s="277" t="s">
        <v>122</v>
      </c>
      <c r="E408" s="277"/>
      <c r="F408" s="277"/>
      <c r="G408" s="277"/>
      <c r="H408" s="195"/>
      <c r="I408" s="195"/>
      <c r="J408" s="195"/>
      <c r="K408" s="195"/>
      <c r="L408" s="195"/>
      <c r="M408" s="195"/>
      <c r="N408" s="195"/>
      <c r="O408" s="196" t="s">
        <v>123</v>
      </c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7"/>
    </row>
    <row r="409">
      <c r="A409" s="193"/>
      <c r="B409" s="278" t="s">
        <v>124</v>
      </c>
      <c r="C409" s="279" t="s">
        <v>125</v>
      </c>
      <c r="D409" s="280" t="s">
        <v>126</v>
      </c>
      <c r="E409" s="281" t="s">
        <v>127</v>
      </c>
      <c r="F409" s="282" t="s">
        <v>128</v>
      </c>
      <c r="G409" s="282" t="s">
        <v>129</v>
      </c>
      <c r="H409" s="283" t="s">
        <v>130</v>
      </c>
      <c r="I409" s="271" t="s">
        <v>189</v>
      </c>
      <c r="J409" s="202" t="s">
        <v>131</v>
      </c>
      <c r="K409" s="202" t="s">
        <v>132</v>
      </c>
      <c r="L409" s="202" t="s">
        <v>133</v>
      </c>
      <c r="M409" s="203" t="s">
        <v>134</v>
      </c>
      <c r="N409" s="202" t="s">
        <v>135</v>
      </c>
      <c r="O409" s="204" t="s">
        <v>136</v>
      </c>
      <c r="P409" s="205" t="s">
        <v>137</v>
      </c>
      <c r="Q409" s="205" t="s">
        <v>138</v>
      </c>
      <c r="R409" s="205" t="s">
        <v>139</v>
      </c>
      <c r="S409" s="205" t="s">
        <v>140</v>
      </c>
      <c r="T409" s="206" t="s">
        <v>141</v>
      </c>
      <c r="U409" s="207" t="s">
        <v>142</v>
      </c>
      <c r="V409" s="208" t="s">
        <v>143</v>
      </c>
      <c r="W409" s="196" t="s">
        <v>144</v>
      </c>
      <c r="X409" s="209" t="s">
        <v>145</v>
      </c>
      <c r="Y409" s="209" t="s">
        <v>146</v>
      </c>
      <c r="Z409" s="209" t="s">
        <v>147</v>
      </c>
      <c r="AA409" s="209" t="s">
        <v>148</v>
      </c>
      <c r="AB409" s="209" t="s">
        <v>149</v>
      </c>
      <c r="AC409" s="209" t="s">
        <v>150</v>
      </c>
      <c r="AD409" s="209" t="s">
        <v>151</v>
      </c>
      <c r="AE409" s="209" t="s">
        <v>152</v>
      </c>
      <c r="AF409" s="196" t="s">
        <v>153</v>
      </c>
      <c r="AG409" s="210" t="s">
        <v>154</v>
      </c>
      <c r="AH409" s="210" t="s">
        <v>155</v>
      </c>
      <c r="AI409" s="197" t="s">
        <v>156</v>
      </c>
    </row>
    <row r="410">
      <c r="A410" s="211">
        <v>46191</v>
      </c>
      <c r="B410" s="212" t="s">
        <v>157</v>
      </c>
      <c r="C410" s="245" t="s">
        <v>168</v>
      </c>
      <c r="D410" s="246">
        <v>839.02</v>
      </c>
      <c r="E410" s="247">
        <v>2</v>
      </c>
      <c r="F410" s="247">
        <v>0</v>
      </c>
      <c r="G410" s="247">
        <v>0</v>
      </c>
      <c r="H410" s="239">
        <v>0</v>
      </c>
      <c r="I410" s="273">
        <v>0</v>
      </c>
      <c r="J410" s="240">
        <f t="shared" ref="J410:J424" si="289">H410/D410</f>
      </c>
      <c r="K410" s="240">
        <f t="shared" ref="K410:K424" si="349">D410/F410</f>
      </c>
      <c r="L410" s="240">
        <f t="shared" ref="L410:L424" si="168">D410/G410</f>
      </c>
      <c r="M410" s="241">
        <f t="shared" ref="M410:M424" si="229">F410/E410</f>
      </c>
      <c r="N410" s="240">
        <f t="shared" ref="N410:N424" si="78">H410/F410</f>
      </c>
      <c r="O410" s="240">
        <f t="shared" ref="O410:O424" si="108">D410/Y410</f>
      </c>
      <c r="P410" s="241">
        <f t="shared" ref="P410:P424" si="379">T410/X410*1</f>
      </c>
      <c r="Q410" s="241">
        <f t="shared" ref="Q410:Q424" si="17">Y410/X410</f>
      </c>
      <c r="R410" s="241">
        <f t="shared" ref="R410:R424" si="259">AA410/X410</f>
      </c>
      <c r="S410" s="241">
        <f t="shared" ref="S410:S424" si="319">AB410/AA410</f>
      </c>
      <c r="T410" s="242">
        <f t="shared" ref="T410:T424" si="138">Z410/U410</f>
      </c>
      <c r="U410" s="243">
        <v>0.0571</v>
      </c>
      <c r="V410" s="244">
        <v>46</v>
      </c>
      <c r="W410" s="240">
        <f t="shared" ref="W410:W424" si="47">(D410/X410)*1000</f>
      </c>
      <c r="X410" s="242">
        <v>3700</v>
      </c>
      <c r="Y410" s="242">
        <v>155</v>
      </c>
      <c r="Z410" s="242">
        <v>27</v>
      </c>
      <c r="AA410" s="242">
        <v>244</v>
      </c>
      <c r="AB410" s="242">
        <v>11</v>
      </c>
      <c r="AC410" s="242">
        <v>1</v>
      </c>
      <c r="AD410" s="242">
        <v>0</v>
      </c>
      <c r="AE410" s="242">
        <v>4</v>
      </c>
      <c r="AF410" s="240">
        <f t="shared" ref="AF410:AF423" si="198">AI410*1000/D410</f>
      </c>
      <c r="AG410" s="222" t="s">
        <v>159</v>
      </c>
      <c r="AH410" s="223" t="s">
        <v>184</v>
      </c>
      <c r="AI410" s="244">
        <v>9</v>
      </c>
    </row>
    <row r="411">
      <c r="A411" s="211"/>
      <c r="B411" s="212" t="s">
        <v>157</v>
      </c>
      <c r="C411" s="235" t="s">
        <v>169</v>
      </c>
      <c r="D411" s="236">
        <v>1589.15</v>
      </c>
      <c r="E411" s="247">
        <v>4</v>
      </c>
      <c r="F411" s="247">
        <v>3</v>
      </c>
      <c r="G411" s="247">
        <v>2</v>
      </c>
      <c r="H411" s="236">
        <v>2072.4</v>
      </c>
      <c r="I411" s="238">
        <v>1</v>
      </c>
      <c r="J411" s="240">
        <f t="shared" si="289"/>
      </c>
      <c r="K411" s="240">
        <f t="shared" si="349"/>
      </c>
      <c r="L411" s="240">
        <f t="shared" si="168"/>
      </c>
      <c r="M411" s="241">
        <f t="shared" si="229"/>
      </c>
      <c r="N411" s="240">
        <f t="shared" si="78"/>
      </c>
      <c r="O411" s="240">
        <f t="shared" si="108"/>
      </c>
      <c r="P411" s="241">
        <f t="shared" si="379"/>
      </c>
      <c r="Q411" s="241">
        <f t="shared" si="17"/>
      </c>
      <c r="R411" s="241">
        <f t="shared" si="259"/>
      </c>
      <c r="S411" s="241">
        <f t="shared" si="319"/>
      </c>
      <c r="T411" s="242">
        <f t="shared" si="138"/>
      </c>
      <c r="U411" s="243">
        <v>0.1172</v>
      </c>
      <c r="V411" s="244">
        <v>50</v>
      </c>
      <c r="W411" s="240">
        <f t="shared" si="47"/>
      </c>
      <c r="X411" s="242">
        <v>10140</v>
      </c>
      <c r="Y411" s="242">
        <v>300</v>
      </c>
      <c r="Z411" s="242">
        <v>66</v>
      </c>
      <c r="AA411" s="242">
        <v>464</v>
      </c>
      <c r="AB411" s="242">
        <v>47</v>
      </c>
      <c r="AC411" s="242">
        <v>11</v>
      </c>
      <c r="AD411" s="242">
        <v>2</v>
      </c>
      <c r="AE411" s="244">
        <v>11</v>
      </c>
      <c r="AF411" s="240">
        <f t="shared" si="198"/>
      </c>
      <c r="AG411" s="222" t="s">
        <v>159</v>
      </c>
      <c r="AH411" s="223" t="s">
        <v>184</v>
      </c>
      <c r="AI411" s="244">
        <v>28</v>
      </c>
    </row>
    <row r="412">
      <c r="A412" s="211"/>
      <c r="B412" s="212" t="s">
        <v>157</v>
      </c>
      <c r="C412" s="248" t="s">
        <v>170</v>
      </c>
      <c r="D412" s="236">
        <v>1782.6</v>
      </c>
      <c r="E412" s="238">
        <v>5</v>
      </c>
      <c r="F412" s="238">
        <v>4</v>
      </c>
      <c r="G412" s="238">
        <v>3</v>
      </c>
      <c r="H412" s="236">
        <v>4398.9</v>
      </c>
      <c r="I412" s="238">
        <v>4</v>
      </c>
      <c r="J412" s="240">
        <f t="shared" si="289"/>
      </c>
      <c r="K412" s="240">
        <f t="shared" si="349"/>
      </c>
      <c r="L412" s="240">
        <f t="shared" si="168"/>
      </c>
      <c r="M412" s="241">
        <f t="shared" si="229"/>
      </c>
      <c r="N412" s="240">
        <f t="shared" si="78"/>
      </c>
      <c r="O412" s="240">
        <f t="shared" si="108"/>
      </c>
      <c r="P412" s="241">
        <f t="shared" si="379"/>
      </c>
      <c r="Q412" s="241">
        <f t="shared" si="17"/>
      </c>
      <c r="R412" s="241">
        <f t="shared" si="259"/>
      </c>
      <c r="S412" s="241">
        <f t="shared" si="319"/>
      </c>
      <c r="T412" s="242">
        <f t="shared" si="138"/>
      </c>
      <c r="U412" s="243">
        <v>0.1423</v>
      </c>
      <c r="V412" s="244">
        <v>52</v>
      </c>
      <c r="W412" s="240">
        <f t="shared" si="47"/>
      </c>
      <c r="X412" s="242">
        <v>13647</v>
      </c>
      <c r="Y412" s="242">
        <v>309</v>
      </c>
      <c r="Z412" s="242">
        <v>75</v>
      </c>
      <c r="AA412" s="242">
        <v>431</v>
      </c>
      <c r="AB412" s="242">
        <v>38</v>
      </c>
      <c r="AC412" s="242">
        <v>7</v>
      </c>
      <c r="AD412" s="242">
        <v>1</v>
      </c>
      <c r="AE412" s="242">
        <v>20</v>
      </c>
      <c r="AF412" s="240">
        <f t="shared" si="198"/>
      </c>
      <c r="AG412" s="222" t="s">
        <v>159</v>
      </c>
      <c r="AH412" s="223" t="s">
        <v>184</v>
      </c>
      <c r="AI412" s="244">
        <v>13</v>
      </c>
    </row>
    <row r="413">
      <c r="A413" s="211"/>
      <c r="B413" s="249" t="s">
        <v>165</v>
      </c>
      <c r="C413" s="249"/>
      <c r="D413" s="250">
        <f>SUM(D410:D412)</f>
      </c>
      <c r="E413" s="251">
        <f>SUM(E410:E412)</f>
      </c>
      <c r="F413" s="251">
        <f>SUM(F410:F412)</f>
      </c>
      <c r="G413" s="251">
        <f>SUM(G410:G412)</f>
      </c>
      <c r="H413" s="250">
        <f>SUM(H410:H412)</f>
      </c>
      <c r="I413" s="272">
        <f>SUM(I410:I412)</f>
      </c>
      <c r="J413" s="252">
        <f t="shared" si="289"/>
      </c>
      <c r="K413" s="252">
        <f t="shared" si="349"/>
      </c>
      <c r="L413" s="252">
        <f t="shared" si="168"/>
      </c>
      <c r="M413" s="253">
        <f t="shared" si="229"/>
      </c>
      <c r="N413" s="252">
        <f t="shared" si="78"/>
      </c>
      <c r="O413" s="252">
        <f t="shared" si="108"/>
      </c>
      <c r="P413" s="253">
        <f t="shared" si="379"/>
      </c>
      <c r="Q413" s="253">
        <f t="shared" si="17"/>
      </c>
      <c r="R413" s="253">
        <f t="shared" si="259"/>
      </c>
      <c r="S413" s="253">
        <f t="shared" si="319"/>
      </c>
      <c r="T413" s="254">
        <f t="shared" si="138"/>
      </c>
      <c r="U413" s="253">
        <f>AVERAGE(U410:U412)</f>
      </c>
      <c r="V413" s="250">
        <f>AVERAGE(V410:V412)</f>
      </c>
      <c r="W413" s="252">
        <f t="shared" si="47"/>
      </c>
      <c r="X413" s="254">
        <f>SUM(X410:X412)</f>
      </c>
      <c r="Y413" s="254">
        <f>SUM(Y410:Y412)</f>
      </c>
      <c r="Z413" s="254">
        <f>SUM(Z410:Z412)</f>
      </c>
      <c r="AA413" s="254">
        <f>SUM(AA410:AA412)</f>
      </c>
      <c r="AB413" s="254">
        <f>SUM(AB410:AB412)</f>
      </c>
      <c r="AC413" s="254">
        <f>SUM(AC410:AC412)</f>
      </c>
      <c r="AD413" s="254">
        <f>SUM(AD410:AD412)</f>
      </c>
      <c r="AE413" s="254">
        <f>SUM(AE410:AE412)</f>
      </c>
      <c r="AF413" s="255">
        <f t="shared" si="198"/>
      </c>
      <c r="AG413" s="256"/>
      <c r="AH413" s="256"/>
      <c r="AI413" s="257">
        <f>SUM(AI410:AI412)</f>
      </c>
    </row>
    <row r="414">
      <c r="A414" s="211"/>
      <c r="B414" s="212" t="s">
        <v>190</v>
      </c>
      <c r="C414" s="235" t="s">
        <v>172</v>
      </c>
      <c r="D414" s="212">
        <v>1416.6</v>
      </c>
      <c r="E414" s="215">
        <v>3</v>
      </c>
      <c r="F414" s="215">
        <v>2</v>
      </c>
      <c r="G414" s="215">
        <v>2</v>
      </c>
      <c r="H414" s="275">
        <v>2255</v>
      </c>
      <c r="I414" s="215">
        <v>1</v>
      </c>
      <c r="J414" s="217">
        <f t="shared" si="289"/>
      </c>
      <c r="K414" s="217">
        <f t="shared" si="349"/>
      </c>
      <c r="L414" s="217">
        <f t="shared" si="168"/>
      </c>
      <c r="M414" s="218">
        <f t="shared" si="229"/>
      </c>
      <c r="N414" s="217">
        <f t="shared" si="78"/>
      </c>
      <c r="O414" s="217">
        <f t="shared" si="108"/>
      </c>
      <c r="P414" s="218">
        <f t="shared" si="379"/>
      </c>
      <c r="Q414" s="218">
        <f t="shared" si="17"/>
      </c>
      <c r="R414" s="218">
        <f t="shared" si="259"/>
      </c>
      <c r="S414" s="218">
        <f t="shared" si="319"/>
      </c>
      <c r="T414" s="219">
        <f t="shared" si="138"/>
      </c>
      <c r="U414" s="220">
        <v>0.1085</v>
      </c>
      <c r="V414" s="221">
        <v>52</v>
      </c>
      <c r="W414" s="217">
        <f t="shared" si="47"/>
      </c>
      <c r="X414" s="221">
        <v>11328</v>
      </c>
      <c r="Y414" s="221">
        <v>280</v>
      </c>
      <c r="Z414" s="219">
        <v>51</v>
      </c>
      <c r="AA414" s="219">
        <v>418</v>
      </c>
      <c r="AB414" s="219">
        <v>24</v>
      </c>
      <c r="AC414" s="219">
        <v>3</v>
      </c>
      <c r="AD414" s="221">
        <v>0</v>
      </c>
      <c r="AE414" s="221">
        <v>14</v>
      </c>
      <c r="AF414" s="217">
        <f t="shared" si="198"/>
      </c>
      <c r="AG414" s="222" t="s">
        <v>173</v>
      </c>
      <c r="AH414" s="223" t="s">
        <v>185</v>
      </c>
      <c r="AI414" s="221">
        <v>10</v>
      </c>
    </row>
    <row r="415">
      <c r="A415" s="211"/>
      <c r="B415" s="212" t="s">
        <v>190</v>
      </c>
      <c r="C415" s="245" t="s">
        <v>175</v>
      </c>
      <c r="D415" s="212">
        <v>925.84</v>
      </c>
      <c r="E415" s="215">
        <v>2</v>
      </c>
      <c r="F415" s="215">
        <v>0</v>
      </c>
      <c r="G415" s="215">
        <v>0</v>
      </c>
      <c r="H415" s="275">
        <v>0</v>
      </c>
      <c r="I415" s="215">
        <v>0</v>
      </c>
      <c r="J415" s="217">
        <f t="shared" si="289"/>
      </c>
      <c r="K415" s="217">
        <f t="shared" si="349"/>
      </c>
      <c r="L415" s="217">
        <f t="shared" si="168"/>
      </c>
      <c r="M415" s="218">
        <f t="shared" si="229"/>
      </c>
      <c r="N415" s="217">
        <f t="shared" si="78"/>
      </c>
      <c r="O415" s="217">
        <f t="shared" si="108"/>
      </c>
      <c r="P415" s="218">
        <f t="shared" si="379"/>
      </c>
      <c r="Q415" s="218">
        <f t="shared" si="17"/>
      </c>
      <c r="R415" s="218">
        <f t="shared" si="259"/>
      </c>
      <c r="S415" s="218">
        <f t="shared" si="319"/>
      </c>
      <c r="T415" s="219">
        <f t="shared" si="138"/>
      </c>
      <c r="U415" s="220">
        <v>0.0954</v>
      </c>
      <c r="V415" s="221">
        <v>51</v>
      </c>
      <c r="W415" s="217">
        <f t="shared" si="47"/>
      </c>
      <c r="X415" s="219">
        <v>6701</v>
      </c>
      <c r="Y415" s="219">
        <v>179</v>
      </c>
      <c r="Z415" s="219">
        <v>35</v>
      </c>
      <c r="AA415" s="219">
        <v>284</v>
      </c>
      <c r="AB415" s="219">
        <v>24</v>
      </c>
      <c r="AC415" s="219">
        <v>2</v>
      </c>
      <c r="AD415" s="219">
        <v>0</v>
      </c>
      <c r="AE415" s="221">
        <v>8</v>
      </c>
      <c r="AF415" s="217">
        <f t="shared" si="198"/>
      </c>
      <c r="AG415" s="222" t="s">
        <v>173</v>
      </c>
      <c r="AH415" s="223" t="s">
        <v>185</v>
      </c>
      <c r="AI415" s="221">
        <v>14</v>
      </c>
    </row>
    <row r="416">
      <c r="A416" s="211"/>
      <c r="B416" s="212" t="s">
        <v>190</v>
      </c>
      <c r="C416" s="235" t="s">
        <v>176</v>
      </c>
      <c r="D416" s="212">
        <v>989.07</v>
      </c>
      <c r="E416" s="215">
        <v>2</v>
      </c>
      <c r="F416" s="215">
        <v>2</v>
      </c>
      <c r="G416" s="215">
        <v>2</v>
      </c>
      <c r="H416" s="275">
        <v>1232</v>
      </c>
      <c r="I416" s="215">
        <v>0</v>
      </c>
      <c r="J416" s="217">
        <f t="shared" si="289"/>
      </c>
      <c r="K416" s="217">
        <f t="shared" si="349"/>
      </c>
      <c r="L416" s="217">
        <f t="shared" si="168"/>
      </c>
      <c r="M416" s="218">
        <f t="shared" si="229"/>
      </c>
      <c r="N416" s="217">
        <f t="shared" si="78"/>
      </c>
      <c r="O416" s="217">
        <f t="shared" si="108"/>
      </c>
      <c r="P416" s="218">
        <f t="shared" si="379"/>
      </c>
      <c r="Q416" s="218">
        <f t="shared" si="17"/>
      </c>
      <c r="R416" s="218">
        <f t="shared" si="259"/>
      </c>
      <c r="S416" s="218">
        <f t="shared" si="319"/>
      </c>
      <c r="T416" s="219">
        <f t="shared" si="138"/>
      </c>
      <c r="U416" s="220">
        <v>0.0922</v>
      </c>
      <c r="V416" s="221">
        <v>50</v>
      </c>
      <c r="W416" s="217">
        <f t="shared" si="47"/>
      </c>
      <c r="X416" s="221">
        <v>5993</v>
      </c>
      <c r="Y416" s="221">
        <v>224</v>
      </c>
      <c r="Z416" s="221">
        <v>44</v>
      </c>
      <c r="AA416" s="221">
        <v>313</v>
      </c>
      <c r="AB416" s="221">
        <v>42</v>
      </c>
      <c r="AC416" s="221">
        <v>5</v>
      </c>
      <c r="AD416" s="221">
        <v>0</v>
      </c>
      <c r="AE416" s="221">
        <v>9</v>
      </c>
      <c r="AF416" s="217">
        <f t="shared" si="198"/>
      </c>
      <c r="AG416" s="222" t="s">
        <v>173</v>
      </c>
      <c r="AH416" s="223" t="s">
        <v>185</v>
      </c>
      <c r="AI416" s="221">
        <v>16</v>
      </c>
    </row>
    <row r="417">
      <c r="A417" s="211"/>
      <c r="B417" s="212" t="s">
        <v>190</v>
      </c>
      <c r="C417" s="235" t="s">
        <v>177</v>
      </c>
      <c r="D417" s="212">
        <v>1230.4</v>
      </c>
      <c r="E417" s="215">
        <v>2</v>
      </c>
      <c r="F417" s="215">
        <v>2</v>
      </c>
      <c r="G417" s="215">
        <v>2</v>
      </c>
      <c r="H417" s="275">
        <v>1307.8999999999996</v>
      </c>
      <c r="I417" s="215">
        <v>1</v>
      </c>
      <c r="J417" s="217">
        <f t="shared" si="289"/>
      </c>
      <c r="K417" s="217">
        <f t="shared" si="349"/>
      </c>
      <c r="L417" s="217">
        <f t="shared" si="168"/>
      </c>
      <c r="M417" s="218">
        <f t="shared" si="229"/>
      </c>
      <c r="N417" s="217">
        <f t="shared" si="78"/>
      </c>
      <c r="O417" s="217">
        <f t="shared" si="108"/>
      </c>
      <c r="P417" s="218">
        <f t="shared" si="379"/>
      </c>
      <c r="Q417" s="218">
        <f t="shared" si="17"/>
      </c>
      <c r="R417" s="218">
        <f t="shared" si="259"/>
      </c>
      <c r="S417" s="218">
        <f t="shared" si="319"/>
      </c>
      <c r="T417" s="219">
        <f t="shared" si="138"/>
      </c>
      <c r="U417" s="220">
        <v>0.0627</v>
      </c>
      <c r="V417" s="221">
        <v>47</v>
      </c>
      <c r="W417" s="217">
        <f t="shared" si="47"/>
      </c>
      <c r="X417" s="221">
        <v>9188</v>
      </c>
      <c r="Y417" s="221">
        <v>273</v>
      </c>
      <c r="Z417" s="219">
        <v>34</v>
      </c>
      <c r="AA417" s="219">
        <v>448</v>
      </c>
      <c r="AB417" s="219">
        <v>12</v>
      </c>
      <c r="AC417" s="219">
        <v>3</v>
      </c>
      <c r="AD417" s="221">
        <v>0</v>
      </c>
      <c r="AE417" s="221">
        <v>13</v>
      </c>
      <c r="AF417" s="217">
        <f t="shared" si="198"/>
      </c>
      <c r="AG417" s="222" t="s">
        <v>173</v>
      </c>
      <c r="AH417" s="223" t="s">
        <v>185</v>
      </c>
      <c r="AI417" s="221">
        <v>8</v>
      </c>
    </row>
    <row r="418">
      <c r="A418" s="211"/>
      <c r="B418" s="227" t="s">
        <v>165</v>
      </c>
      <c r="C418" s="227"/>
      <c r="D418" s="259">
        <f>SUM(D414:D417)</f>
      </c>
      <c r="E418" s="260">
        <f>SUM(E414:E417)</f>
      </c>
      <c r="F418" s="260">
        <f>SUM(F414:F417)</f>
      </c>
      <c r="G418" s="260">
        <f>SUM(G414:G417)</f>
      </c>
      <c r="H418" s="259">
        <f>SUM(H414:H417)</f>
      </c>
      <c r="I418" s="272">
        <f>SUM(I414:I417)</f>
      </c>
      <c r="J418" s="230">
        <f t="shared" si="289"/>
      </c>
      <c r="K418" s="230">
        <f t="shared" si="349"/>
      </c>
      <c r="L418" s="230">
        <f t="shared" si="168"/>
      </c>
      <c r="M418" s="231">
        <f t="shared" si="229"/>
      </c>
      <c r="N418" s="230">
        <f t="shared" si="78"/>
      </c>
      <c r="O418" s="230">
        <f t="shared" si="108"/>
      </c>
      <c r="P418" s="231">
        <f t="shared" si="379"/>
      </c>
      <c r="Q418" s="231">
        <f t="shared" si="17"/>
      </c>
      <c r="R418" s="231">
        <f t="shared" si="259"/>
      </c>
      <c r="S418" s="231">
        <f t="shared" si="319"/>
      </c>
      <c r="T418" s="229">
        <f t="shared" si="138"/>
      </c>
      <c r="U418" s="231">
        <f>AVERAGE(U414:U417)</f>
      </c>
      <c r="V418" s="228">
        <f>AVERAGE(V414:V417)</f>
      </c>
      <c r="W418" s="230">
        <f t="shared" si="47"/>
      </c>
      <c r="X418" s="229">
        <f>SUM(X414:X417)</f>
      </c>
      <c r="Y418" s="229">
        <f>SUM(Y414:Y417)</f>
      </c>
      <c r="Z418" s="229">
        <f>SUM(Z414:Z417)</f>
      </c>
      <c r="AA418" s="229">
        <f>SUM(AA414:AA417)</f>
      </c>
      <c r="AB418" s="229">
        <f>SUM(AB414:AB417)</f>
      </c>
      <c r="AC418" s="229">
        <f>SUM(AC414:AC417)</f>
      </c>
      <c r="AD418" s="229">
        <f>SUM(AD414:AD417)</f>
      </c>
      <c r="AE418" s="229">
        <f>SUM(AE414:AE417)</f>
      </c>
      <c r="AF418" s="232">
        <f t="shared" si="198"/>
      </c>
      <c r="AG418" s="233"/>
      <c r="AH418" s="233"/>
      <c r="AI418" s="229">
        <f>SUM(AI414:AI417)</f>
      </c>
    </row>
    <row r="419">
      <c r="A419" s="211"/>
      <c r="B419" s="248" t="s">
        <v>178</v>
      </c>
      <c r="C419" s="248" t="s">
        <v>179</v>
      </c>
      <c r="D419" s="261">
        <v>1019.81</v>
      </c>
      <c r="E419" s="237">
        <v>1</v>
      </c>
      <c r="F419" s="237">
        <v>1</v>
      </c>
      <c r="G419" s="238">
        <v>1</v>
      </c>
      <c r="H419" s="239">
        <v>451.0000000000018</v>
      </c>
      <c r="I419" s="273">
        <v>0</v>
      </c>
      <c r="J419" s="240">
        <f t="shared" si="289"/>
      </c>
      <c r="K419" s="240">
        <f t="shared" si="349"/>
      </c>
      <c r="L419" s="240">
        <f t="shared" si="168"/>
      </c>
      <c r="M419" s="241">
        <f t="shared" si="229"/>
      </c>
      <c r="N419" s="240">
        <f t="shared" si="78"/>
      </c>
      <c r="O419" s="240">
        <f t="shared" si="108"/>
      </c>
      <c r="P419" s="241">
        <f t="shared" si="379"/>
      </c>
      <c r="Q419" s="241">
        <f t="shared" si="17"/>
      </c>
      <c r="R419" s="241">
        <f t="shared" si="259"/>
      </c>
      <c r="S419" s="241">
        <f t="shared" si="319"/>
      </c>
      <c r="T419" s="242">
        <f t="shared" si="138"/>
      </c>
      <c r="U419" s="243">
        <v>0.0557</v>
      </c>
      <c r="V419" s="244">
        <v>46</v>
      </c>
      <c r="W419" s="240">
        <f t="shared" si="47"/>
      </c>
      <c r="X419" s="242">
        <v>5996</v>
      </c>
      <c r="Y419" s="242">
        <v>255</v>
      </c>
      <c r="Z419" s="242">
        <v>34</v>
      </c>
      <c r="AA419" s="242">
        <v>448</v>
      </c>
      <c r="AB419" s="242">
        <v>45</v>
      </c>
      <c r="AC419" s="242">
        <v>5</v>
      </c>
      <c r="AD419" s="242">
        <v>0</v>
      </c>
      <c r="AE419" s="242">
        <v>11</v>
      </c>
      <c r="AF419" s="240">
        <f t="shared" si="198"/>
      </c>
      <c r="AG419" s="222" t="s">
        <v>173</v>
      </c>
      <c r="AH419" s="223" t="s">
        <v>185</v>
      </c>
      <c r="AI419" s="244">
        <v>12</v>
      </c>
    </row>
    <row r="420">
      <c r="A420" s="211"/>
      <c r="B420" s="248" t="s">
        <v>178</v>
      </c>
      <c r="C420" s="248" t="s">
        <v>180</v>
      </c>
      <c r="D420" s="262">
        <v>1653.53</v>
      </c>
      <c r="E420" s="247">
        <v>4</v>
      </c>
      <c r="F420" s="247">
        <v>3</v>
      </c>
      <c r="G420" s="247">
        <v>3</v>
      </c>
      <c r="H420" s="263">
        <v>2088.8999999999996</v>
      </c>
      <c r="I420" s="273">
        <v>1</v>
      </c>
      <c r="J420" s="240">
        <f t="shared" si="289"/>
      </c>
      <c r="K420" s="240">
        <f t="shared" si="349"/>
      </c>
      <c r="L420" s="240">
        <f t="shared" si="168"/>
      </c>
      <c r="M420" s="241">
        <f t="shared" si="229"/>
      </c>
      <c r="N420" s="240">
        <f t="shared" si="78"/>
      </c>
      <c r="O420" s="240">
        <f t="shared" si="108"/>
      </c>
      <c r="P420" s="241">
        <f t="shared" si="379"/>
      </c>
      <c r="Q420" s="241">
        <f t="shared" si="17"/>
      </c>
      <c r="R420" s="241">
        <f t="shared" si="259"/>
      </c>
      <c r="S420" s="241">
        <f t="shared" si="319"/>
      </c>
      <c r="T420" s="242">
        <f t="shared" si="138"/>
      </c>
      <c r="U420" s="243">
        <v>0.0717</v>
      </c>
      <c r="V420" s="244">
        <v>46</v>
      </c>
      <c r="W420" s="240">
        <f t="shared" si="47"/>
      </c>
      <c r="X420" s="242">
        <v>9258</v>
      </c>
      <c r="Y420" s="242">
        <v>396</v>
      </c>
      <c r="Z420" s="242">
        <v>60</v>
      </c>
      <c r="AA420" s="242">
        <v>601</v>
      </c>
      <c r="AB420" s="242">
        <v>77</v>
      </c>
      <c r="AC420" s="242">
        <v>7</v>
      </c>
      <c r="AD420" s="242">
        <v>0</v>
      </c>
      <c r="AE420" s="242">
        <v>13</v>
      </c>
      <c r="AF420" s="240">
        <f t="shared" si="198"/>
      </c>
      <c r="AG420" s="222" t="s">
        <v>173</v>
      </c>
      <c r="AH420" s="223" t="s">
        <v>185</v>
      </c>
      <c r="AI420" s="244">
        <v>26</v>
      </c>
    </row>
    <row r="421">
      <c r="A421" s="211"/>
      <c r="B421" s="248" t="s">
        <v>178</v>
      </c>
      <c r="C421" s="248" t="s">
        <v>181</v>
      </c>
      <c r="D421" s="261">
        <v>2554.56</v>
      </c>
      <c r="E421" s="247">
        <v>6</v>
      </c>
      <c r="F421" s="247">
        <v>4</v>
      </c>
      <c r="G421" s="247">
        <v>4</v>
      </c>
      <c r="H421" s="236">
        <v>2523.3999999999996</v>
      </c>
      <c r="I421" s="238">
        <v>1</v>
      </c>
      <c r="J421" s="240">
        <f t="shared" si="289"/>
      </c>
      <c r="K421" s="240">
        <f t="shared" si="349"/>
      </c>
      <c r="L421" s="240">
        <f t="shared" si="168"/>
      </c>
      <c r="M421" s="241">
        <f t="shared" si="229"/>
      </c>
      <c r="N421" s="240">
        <f t="shared" si="78"/>
      </c>
      <c r="O421" s="240">
        <f t="shared" si="108"/>
      </c>
      <c r="P421" s="241">
        <f t="shared" si="379"/>
      </c>
      <c r="Q421" s="241">
        <f t="shared" si="17"/>
      </c>
      <c r="R421" s="241">
        <f t="shared" si="259"/>
      </c>
      <c r="S421" s="241">
        <f t="shared" si="319"/>
      </c>
      <c r="T421" s="242">
        <f t="shared" si="138"/>
      </c>
      <c r="U421" s="243">
        <v>0.0952</v>
      </c>
      <c r="V421" s="244">
        <v>49</v>
      </c>
      <c r="W421" s="240">
        <f t="shared" si="47"/>
      </c>
      <c r="X421" s="242">
        <v>14289</v>
      </c>
      <c r="Y421" s="242">
        <v>490</v>
      </c>
      <c r="Z421" s="242">
        <v>89</v>
      </c>
      <c r="AA421" s="242">
        <v>714</v>
      </c>
      <c r="AB421" s="242">
        <v>108</v>
      </c>
      <c r="AC421" s="242">
        <v>8</v>
      </c>
      <c r="AD421" s="242">
        <v>0</v>
      </c>
      <c r="AE421" s="242">
        <v>29</v>
      </c>
      <c r="AF421" s="240">
        <f t="shared" si="198"/>
      </c>
      <c r="AG421" s="222" t="s">
        <v>173</v>
      </c>
      <c r="AH421" s="223" t="s">
        <v>185</v>
      </c>
      <c r="AI421" s="244">
        <v>32</v>
      </c>
    </row>
    <row r="422">
      <c r="A422" s="211"/>
      <c r="B422" s="248" t="s">
        <v>178</v>
      </c>
      <c r="C422" s="248" t="s">
        <v>182</v>
      </c>
      <c r="D422" s="261">
        <v>1337.3</v>
      </c>
      <c r="E422" s="238">
        <v>1</v>
      </c>
      <c r="F422" s="238">
        <v>1</v>
      </c>
      <c r="G422" s="238">
        <v>0</v>
      </c>
      <c r="H422" s="261">
        <v>451</v>
      </c>
      <c r="I422" s="238">
        <v>0</v>
      </c>
      <c r="J422" s="240">
        <f t="shared" si="289"/>
      </c>
      <c r="K422" s="240">
        <f t="shared" si="349"/>
      </c>
      <c r="L422" s="240">
        <f t="shared" si="168"/>
      </c>
      <c r="M422" s="241">
        <f t="shared" si="229"/>
      </c>
      <c r="N422" s="240">
        <f t="shared" si="78"/>
      </c>
      <c r="O422" s="240">
        <f t="shared" si="108"/>
      </c>
      <c r="P422" s="241">
        <f t="shared" si="379"/>
      </c>
      <c r="Q422" s="241">
        <f t="shared" si="17"/>
      </c>
      <c r="R422" s="241">
        <f t="shared" si="259"/>
      </c>
      <c r="S422" s="241">
        <f t="shared" si="319"/>
      </c>
      <c r="T422" s="242">
        <f t="shared" si="138"/>
      </c>
      <c r="U422" s="243">
        <v>0.0741</v>
      </c>
      <c r="V422" s="244">
        <v>49</v>
      </c>
      <c r="W422" s="240">
        <f t="shared" si="47"/>
      </c>
      <c r="X422" s="242">
        <v>9547</v>
      </c>
      <c r="Y422" s="242">
        <v>276</v>
      </c>
      <c r="Z422" s="242">
        <v>44</v>
      </c>
      <c r="AA422" s="242">
        <v>436</v>
      </c>
      <c r="AB422" s="242">
        <v>40</v>
      </c>
      <c r="AC422" s="242">
        <v>3</v>
      </c>
      <c r="AD422" s="242">
        <v>1</v>
      </c>
      <c r="AE422" s="244">
        <v>11</v>
      </c>
      <c r="AF422" s="240">
        <f t="shared" si="198"/>
      </c>
      <c r="AG422" s="222" t="s">
        <v>173</v>
      </c>
      <c r="AH422" s="223" t="s">
        <v>185</v>
      </c>
      <c r="AI422" s="244">
        <v>11</v>
      </c>
    </row>
    <row r="423">
      <c r="A423" s="211"/>
      <c r="B423" s="249" t="s">
        <v>165</v>
      </c>
      <c r="C423" s="249"/>
      <c r="D423" s="250">
        <f>SUM(D419:D422)</f>
      </c>
      <c r="E423" s="251">
        <f>SUM(E419:E422)</f>
      </c>
      <c r="F423" s="251">
        <f>SUM(F419:F422)</f>
      </c>
      <c r="G423" s="251">
        <f>SUM(G419:G422)</f>
      </c>
      <c r="H423" s="250">
        <f>SUM(H419:H422)</f>
      </c>
      <c r="I423" s="272">
        <f>SUM(I419:I422)</f>
      </c>
      <c r="J423" s="252">
        <f t="shared" si="289"/>
      </c>
      <c r="K423" s="252">
        <f t="shared" si="349"/>
      </c>
      <c r="L423" s="252">
        <f t="shared" si="168"/>
      </c>
      <c r="M423" s="253">
        <f t="shared" si="229"/>
      </c>
      <c r="N423" s="252">
        <f t="shared" si="78"/>
      </c>
      <c r="O423" s="252">
        <f t="shared" si="108"/>
      </c>
      <c r="P423" s="253">
        <f t="shared" si="379"/>
      </c>
      <c r="Q423" s="253">
        <f t="shared" si="17"/>
      </c>
      <c r="R423" s="253">
        <f t="shared" si="259"/>
      </c>
      <c r="S423" s="253">
        <f t="shared" si="319"/>
      </c>
      <c r="T423" s="254">
        <f t="shared" si="138"/>
      </c>
      <c r="U423" s="253">
        <f>AVERAGE(U419:U422)</f>
      </c>
      <c r="V423" s="250">
        <f>AVERAGE(V419:V422)</f>
      </c>
      <c r="W423" s="252">
        <f t="shared" si="47"/>
      </c>
      <c r="X423" s="254">
        <f>SUM(X419:X422)</f>
      </c>
      <c r="Y423" s="254">
        <f>SUM(Y419:Y422)</f>
      </c>
      <c r="Z423" s="254">
        <f>SUM(Z419:Z422)</f>
      </c>
      <c r="AA423" s="254">
        <f>SUM(AA419:AA422)</f>
      </c>
      <c r="AB423" s="254">
        <f>SUM(AB419:AB422)</f>
      </c>
      <c r="AC423" s="254">
        <f>SUM(AC419:AC422)</f>
      </c>
      <c r="AD423" s="254">
        <f>SUM(AD419:AD422)</f>
      </c>
      <c r="AE423" s="254">
        <f>SUM(AE419:AE422)</f>
      </c>
      <c r="AF423" s="255">
        <f t="shared" si="198"/>
      </c>
      <c r="AG423" s="256"/>
      <c r="AH423" s="256"/>
      <c r="AI423" s="257">
        <f>SUM(AI419:AI422)</f>
      </c>
    </row>
    <row r="424">
      <c r="A424" s="211"/>
      <c r="B424" s="264" t="s">
        <v>183</v>
      </c>
      <c r="C424" s="264"/>
      <c r="D424" s="265">
        <f>D413+D418+D423</f>
      </c>
      <c r="E424" s="265">
        <f>E413+E418+E423</f>
      </c>
      <c r="F424" s="265">
        <f>F413+F418+F423</f>
      </c>
      <c r="G424" s="265">
        <f>G413+G418+G423</f>
      </c>
      <c r="H424" s="265">
        <f>H413+H418+H423</f>
      </c>
      <c r="I424" s="265">
        <f>I413+I418+I423</f>
      </c>
      <c r="J424" s="266">
        <f t="shared" si="289"/>
      </c>
      <c r="K424" s="267">
        <f t="shared" si="349"/>
      </c>
      <c r="L424" s="267">
        <f t="shared" si="168"/>
      </c>
      <c r="M424" s="268">
        <f t="shared" si="229"/>
      </c>
      <c r="N424" s="267">
        <f t="shared" si="78"/>
      </c>
      <c r="O424" s="267">
        <f t="shared" si="108"/>
      </c>
      <c r="P424" s="268">
        <f t="shared" si="379"/>
      </c>
      <c r="Q424" s="268">
        <f t="shared" si="17"/>
      </c>
      <c r="R424" s="268">
        <f t="shared" si="259"/>
      </c>
      <c r="S424" s="268">
        <f t="shared" si="319"/>
      </c>
      <c r="T424" s="269">
        <f t="shared" si="138"/>
      </c>
      <c r="U424" s="268">
        <f>(U418+U413+U423)/4</f>
      </c>
      <c r="V424" s="267">
        <f>(V418+V413+V423)/4</f>
      </c>
      <c r="W424" s="270">
        <f t="shared" si="47"/>
      </c>
      <c r="X424" s="269">
        <f>X413+X418+X423</f>
      </c>
      <c r="Y424" s="269">
        <f>Y413+Y418+Y423</f>
      </c>
      <c r="Z424" s="269">
        <f>Z413+Z418+Z423</f>
      </c>
      <c r="AA424" s="269">
        <f>AA413+AA418+AA423</f>
      </c>
      <c r="AB424" s="269">
        <f>AB413+AB418+AB423</f>
      </c>
      <c r="AC424" s="269">
        <f>AC413+AC418+AC423</f>
      </c>
      <c r="AD424" s="269">
        <f>AD413+AD418+AD423</f>
      </c>
      <c r="AE424" s="269">
        <f>AE423+AE413+AE418+AE423</f>
      </c>
      <c r="AF424" s="269">
        <f>AF423</f>
      </c>
      <c r="AG424" s="264"/>
      <c r="AH424" s="264"/>
      <c r="AI424" s="269">
        <f>AI413+AI418+AI423</f>
      </c>
    </row>
    <row r="425">
      <c r="A425" s="193" t="s">
        <v>120</v>
      </c>
      <c r="B425" s="194" t="s">
        <v>121</v>
      </c>
      <c r="C425" s="194"/>
      <c r="D425" s="277" t="s">
        <v>122</v>
      </c>
      <c r="E425" s="277"/>
      <c r="F425" s="277"/>
      <c r="G425" s="277"/>
      <c r="H425" s="277"/>
      <c r="I425" s="277"/>
      <c r="J425" s="277"/>
      <c r="K425" s="277"/>
      <c r="L425" s="277"/>
      <c r="M425" s="277"/>
      <c r="N425" s="277"/>
      <c r="O425" s="196" t="s">
        <v>123</v>
      </c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7"/>
    </row>
    <row r="426">
      <c r="A426" s="193"/>
      <c r="B426" s="278" t="s">
        <v>124</v>
      </c>
      <c r="C426" s="279" t="s">
        <v>125</v>
      </c>
      <c r="D426" s="280" t="s">
        <v>126</v>
      </c>
      <c r="E426" s="281" t="s">
        <v>127</v>
      </c>
      <c r="F426" s="282" t="s">
        <v>128</v>
      </c>
      <c r="G426" s="282" t="s">
        <v>129</v>
      </c>
      <c r="H426" s="283" t="s">
        <v>130</v>
      </c>
      <c r="I426" s="271" t="s">
        <v>189</v>
      </c>
      <c r="J426" s="202" t="s">
        <v>131</v>
      </c>
      <c r="K426" s="202" t="s">
        <v>132</v>
      </c>
      <c r="L426" s="202" t="s">
        <v>133</v>
      </c>
      <c r="M426" s="203" t="s">
        <v>134</v>
      </c>
      <c r="N426" s="202" t="s">
        <v>135</v>
      </c>
      <c r="O426" s="204" t="s">
        <v>136</v>
      </c>
      <c r="P426" s="205" t="s">
        <v>137</v>
      </c>
      <c r="Q426" s="205" t="s">
        <v>138</v>
      </c>
      <c r="R426" s="205" t="s">
        <v>139</v>
      </c>
      <c r="S426" s="205" t="s">
        <v>140</v>
      </c>
      <c r="T426" s="206" t="s">
        <v>141</v>
      </c>
      <c r="U426" s="207" t="s">
        <v>142</v>
      </c>
      <c r="V426" s="208" t="s">
        <v>143</v>
      </c>
      <c r="W426" s="196" t="s">
        <v>144</v>
      </c>
      <c r="X426" s="209" t="s">
        <v>145</v>
      </c>
      <c r="Y426" s="209" t="s">
        <v>146</v>
      </c>
      <c r="Z426" s="209" t="s">
        <v>147</v>
      </c>
      <c r="AA426" s="209" t="s">
        <v>148</v>
      </c>
      <c r="AB426" s="209" t="s">
        <v>149</v>
      </c>
      <c r="AC426" s="209" t="s">
        <v>150</v>
      </c>
      <c r="AD426" s="209" t="s">
        <v>151</v>
      </c>
      <c r="AE426" s="209" t="s">
        <v>152</v>
      </c>
      <c r="AF426" s="196" t="s">
        <v>153</v>
      </c>
      <c r="AG426" s="210" t="s">
        <v>154</v>
      </c>
      <c r="AH426" s="210" t="s">
        <v>155</v>
      </c>
      <c r="AI426" s="197" t="s">
        <v>156</v>
      </c>
    </row>
    <row r="427">
      <c r="A427" s="211">
        <v>46192</v>
      </c>
      <c r="B427" s="212" t="s">
        <v>166</v>
      </c>
      <c r="C427" s="213" t="s">
        <v>158</v>
      </c>
      <c r="D427" s="246">
        <v>2134.14</v>
      </c>
      <c r="E427" s="247">
        <v>4</v>
      </c>
      <c r="F427" s="247">
        <v>2</v>
      </c>
      <c r="G427" s="247">
        <v>2</v>
      </c>
      <c r="H427" s="239">
        <v>1934.9</v>
      </c>
      <c r="I427" s="273">
        <v>1</v>
      </c>
      <c r="J427" s="240">
        <f t="shared" ref="J427:J450" si="290">H427/D427</f>
      </c>
      <c r="K427" s="240">
        <f t="shared" ref="K427:K450" si="350">D427/F427</f>
      </c>
      <c r="L427" s="240">
        <f t="shared" ref="L427:L450" si="169">D427/G427</f>
      </c>
      <c r="M427" s="241">
        <f t="shared" ref="M427:M450" si="230">F427/E427</f>
      </c>
      <c r="N427" s="240">
        <f t="shared" ref="N427:N450" si="79">H427/F427</f>
      </c>
      <c r="O427" s="240">
        <f t="shared" ref="O427:O450" si="109">D427/Y427</f>
      </c>
      <c r="P427" s="241">
        <f t="shared" ref="P427:P450" si="380">T427/X427*1</f>
      </c>
      <c r="Q427" s="241">
        <f t="shared" ref="Q427:Q450" si="18">Y427/X427</f>
      </c>
      <c r="R427" s="241">
        <f t="shared" ref="R427:R450" si="260">AA427/X427</f>
      </c>
      <c r="S427" s="241">
        <f t="shared" ref="S427:S450" si="320">AB427/AA427</f>
      </c>
      <c r="T427" s="242">
        <f t="shared" ref="T427:T450" si="139">Z427/U427</f>
      </c>
      <c r="U427" s="243">
        <v>0.0795</v>
      </c>
      <c r="V427" s="244">
        <v>37</v>
      </c>
      <c r="W427" s="240">
        <f t="shared" ref="W427:W450" si="48">(D427/X427)*1000</f>
      </c>
      <c r="X427" s="242">
        <v>15158</v>
      </c>
      <c r="Y427" s="242">
        <v>392</v>
      </c>
      <c r="Z427" s="242">
        <v>77</v>
      </c>
      <c r="AA427" s="242">
        <v>779</v>
      </c>
      <c r="AB427" s="242">
        <v>51</v>
      </c>
      <c r="AC427" s="242">
        <v>11</v>
      </c>
      <c r="AD427" s="242">
        <v>1</v>
      </c>
      <c r="AE427" s="242">
        <v>18</v>
      </c>
      <c r="AF427" s="240">
        <f t="shared" ref="AF427:AF449" si="199">AI427*1000/D427</f>
      </c>
      <c r="AG427" s="222" t="s">
        <v>159</v>
      </c>
      <c r="AH427" s="223" t="s">
        <v>188</v>
      </c>
      <c r="AI427" s="244">
        <v>26</v>
      </c>
    </row>
    <row r="428">
      <c r="A428" s="211"/>
      <c r="B428" s="212" t="s">
        <v>166</v>
      </c>
      <c r="C428" s="213" t="s">
        <v>161</v>
      </c>
      <c r="D428" s="236">
        <v>1708.8</v>
      </c>
      <c r="E428" s="247">
        <v>7</v>
      </c>
      <c r="F428" s="247">
        <v>5</v>
      </c>
      <c r="G428" s="247">
        <v>3</v>
      </c>
      <c r="H428" s="236">
        <v>3320.899999999999</v>
      </c>
      <c r="I428" s="238">
        <v>1</v>
      </c>
      <c r="J428" s="240">
        <f t="shared" si="290"/>
      </c>
      <c r="K428" s="240">
        <f t="shared" si="350"/>
      </c>
      <c r="L428" s="240">
        <f t="shared" si="169"/>
      </c>
      <c r="M428" s="241">
        <f t="shared" si="230"/>
      </c>
      <c r="N428" s="240">
        <f t="shared" si="79"/>
      </c>
      <c r="O428" s="240">
        <f t="shared" si="109"/>
      </c>
      <c r="P428" s="241">
        <f t="shared" si="380"/>
      </c>
      <c r="Q428" s="241">
        <f t="shared" si="18"/>
      </c>
      <c r="R428" s="241">
        <f t="shared" si="260"/>
      </c>
      <c r="S428" s="241">
        <f t="shared" si="320"/>
      </c>
      <c r="T428" s="242">
        <f t="shared" si="139"/>
      </c>
      <c r="U428" s="243">
        <v>0.0582</v>
      </c>
      <c r="V428" s="244">
        <v>36</v>
      </c>
      <c r="W428" s="240">
        <f t="shared" si="48"/>
      </c>
      <c r="X428" s="242">
        <v>12820</v>
      </c>
      <c r="Y428" s="242">
        <v>391</v>
      </c>
      <c r="Z428" s="242">
        <v>58</v>
      </c>
      <c r="AA428" s="242">
        <v>733</v>
      </c>
      <c r="AB428" s="242">
        <v>48</v>
      </c>
      <c r="AC428" s="242">
        <v>3</v>
      </c>
      <c r="AD428" s="242">
        <v>1</v>
      </c>
      <c r="AE428" s="244">
        <v>17</v>
      </c>
      <c r="AF428" s="240">
        <f t="shared" si="199"/>
      </c>
      <c r="AG428" s="222" t="s">
        <v>159</v>
      </c>
      <c r="AH428" s="223" t="s">
        <v>188</v>
      </c>
      <c r="AI428" s="244">
        <v>18</v>
      </c>
    </row>
    <row customHeight="true" ht="18.452380952380953" r="429">
      <c r="A429" s="211"/>
      <c r="B429" s="212" t="s">
        <v>166</v>
      </c>
      <c r="C429" s="224" t="s">
        <v>162</v>
      </c>
      <c r="D429" s="236">
        <v>1308.81</v>
      </c>
      <c r="E429" s="247">
        <v>7</v>
      </c>
      <c r="F429" s="247">
        <v>5</v>
      </c>
      <c r="G429" s="247">
        <v>4</v>
      </c>
      <c r="H429" s="236">
        <v>3472.7</v>
      </c>
      <c r="I429" s="238">
        <v>3</v>
      </c>
      <c r="J429" s="240">
        <f t="shared" si="290"/>
      </c>
      <c r="K429" s="240">
        <f t="shared" si="350"/>
      </c>
      <c r="L429" s="240">
        <f t="shared" si="169"/>
      </c>
      <c r="M429" s="241">
        <f t="shared" si="230"/>
      </c>
      <c r="N429" s="240">
        <f t="shared" si="79"/>
      </c>
      <c r="O429" s="240">
        <f t="shared" si="109"/>
      </c>
      <c r="P429" s="241">
        <f t="shared" si="380"/>
      </c>
      <c r="Q429" s="241">
        <f t="shared" si="18"/>
      </c>
      <c r="R429" s="241">
        <f t="shared" si="260"/>
      </c>
      <c r="S429" s="241">
        <f t="shared" si="320"/>
      </c>
      <c r="T429" s="242">
        <f t="shared" si="139"/>
      </c>
      <c r="U429" s="243">
        <v>0.0613</v>
      </c>
      <c r="V429" s="244">
        <v>42</v>
      </c>
      <c r="W429" s="240">
        <f t="shared" si="48"/>
      </c>
      <c r="X429" s="242">
        <v>9746</v>
      </c>
      <c r="Y429" s="242">
        <v>370</v>
      </c>
      <c r="Z429" s="242">
        <v>59</v>
      </c>
      <c r="AA429" s="242">
        <v>594</v>
      </c>
      <c r="AB429" s="242">
        <v>45</v>
      </c>
      <c r="AC429" s="242">
        <v>2</v>
      </c>
      <c r="AD429" s="242">
        <v>0</v>
      </c>
      <c r="AE429" s="244">
        <v>5</v>
      </c>
      <c r="AF429" s="240">
        <f t="shared" si="199"/>
      </c>
      <c r="AG429" s="222" t="s">
        <v>159</v>
      </c>
      <c r="AH429" s="223" t="s">
        <v>188</v>
      </c>
      <c r="AI429" s="244">
        <v>16</v>
      </c>
    </row>
    <row r="430">
      <c r="A430" s="211"/>
      <c r="B430" s="212" t="s">
        <v>166</v>
      </c>
      <c r="C430" s="213" t="s">
        <v>163</v>
      </c>
      <c r="D430" s="236">
        <v>1323.88</v>
      </c>
      <c r="E430" s="238">
        <v>6</v>
      </c>
      <c r="F430" s="238">
        <v>4</v>
      </c>
      <c r="G430" s="238">
        <v>2</v>
      </c>
      <c r="H430" s="236">
        <v>1803.9999999999982</v>
      </c>
      <c r="I430" s="238">
        <v>0</v>
      </c>
      <c r="J430" s="240">
        <f t="shared" si="290"/>
      </c>
      <c r="K430" s="240">
        <f t="shared" si="350"/>
      </c>
      <c r="L430" s="240">
        <f t="shared" si="169"/>
      </c>
      <c r="M430" s="241">
        <f t="shared" si="230"/>
      </c>
      <c r="N430" s="240">
        <f t="shared" si="79"/>
      </c>
      <c r="O430" s="240">
        <f t="shared" si="109"/>
      </c>
      <c r="P430" s="241">
        <f t="shared" si="380"/>
      </c>
      <c r="Q430" s="241">
        <f t="shared" si="18"/>
      </c>
      <c r="R430" s="241">
        <f t="shared" si="260"/>
      </c>
      <c r="S430" s="241">
        <f t="shared" si="320"/>
      </c>
      <c r="T430" s="242">
        <f t="shared" si="139"/>
      </c>
      <c r="U430" s="243">
        <v>0.0477</v>
      </c>
      <c r="V430" s="244">
        <v>45</v>
      </c>
      <c r="W430" s="240">
        <f t="shared" si="48"/>
      </c>
      <c r="X430" s="242">
        <v>8202</v>
      </c>
      <c r="Y430" s="242">
        <v>307</v>
      </c>
      <c r="Z430" s="242">
        <v>47</v>
      </c>
      <c r="AA430" s="242">
        <v>509</v>
      </c>
      <c r="AB430" s="242">
        <v>41</v>
      </c>
      <c r="AC430" s="242">
        <v>4</v>
      </c>
      <c r="AD430" s="242">
        <v>0</v>
      </c>
      <c r="AE430" s="242">
        <v>6</v>
      </c>
      <c r="AF430" s="240">
        <f t="shared" si="199"/>
      </c>
      <c r="AG430" s="222" t="s">
        <v>159</v>
      </c>
      <c r="AH430" s="223" t="s">
        <v>188</v>
      </c>
      <c r="AI430" s="244">
        <v>26</v>
      </c>
    </row>
    <row r="431">
      <c r="A431" s="211"/>
      <c r="B431" s="249" t="s">
        <v>165</v>
      </c>
      <c r="C431" s="249"/>
      <c r="D431" s="250">
        <f>SUM(D427:D430)</f>
      </c>
      <c r="E431" s="251">
        <f>SUM(E427:E430)</f>
      </c>
      <c r="F431" s="251">
        <f>SUM(F427:F430)</f>
      </c>
      <c r="G431" s="251">
        <f>SUM(G427:G430)</f>
      </c>
      <c r="H431" s="250">
        <f>SUM(H427:H430)</f>
      </c>
      <c r="I431" s="272">
        <f>SUM(I427:I430)</f>
      </c>
      <c r="J431" s="252">
        <f t="shared" si="290"/>
      </c>
      <c r="K431" s="252">
        <f t="shared" si="350"/>
      </c>
      <c r="L431" s="252">
        <f t="shared" si="169"/>
      </c>
      <c r="M431" s="253">
        <f t="shared" si="230"/>
      </c>
      <c r="N431" s="252">
        <f t="shared" si="79"/>
      </c>
      <c r="O431" s="252">
        <f t="shared" si="109"/>
      </c>
      <c r="P431" s="253">
        <f t="shared" si="380"/>
      </c>
      <c r="Q431" s="253">
        <f t="shared" si="18"/>
      </c>
      <c r="R431" s="253">
        <f t="shared" si="260"/>
      </c>
      <c r="S431" s="253">
        <f t="shared" si="320"/>
      </c>
      <c r="T431" s="254">
        <f t="shared" si="139"/>
      </c>
      <c r="U431" s="253">
        <f>AVERAGE(U427:U430)</f>
      </c>
      <c r="V431" s="250">
        <f>AVERAGE(V427:V430)</f>
      </c>
      <c r="W431" s="252">
        <f t="shared" si="48"/>
      </c>
      <c r="X431" s="254">
        <f>SUM(X427:X430)</f>
      </c>
      <c r="Y431" s="254">
        <f>SUM(Y427:Y430)</f>
      </c>
      <c r="Z431" s="254">
        <f>SUM(Z427:Z430)</f>
      </c>
      <c r="AA431" s="254">
        <f>SUM(AA427:AA430)</f>
      </c>
      <c r="AB431" s="254">
        <f>SUM(AB427:AB430)</f>
      </c>
      <c r="AC431" s="254">
        <f>SUM(AC427:AC430)</f>
      </c>
      <c r="AD431" s="254">
        <f>SUM(AD427:AD430)</f>
      </c>
      <c r="AE431" s="254">
        <f>SUM(AE427:AE430)</f>
      </c>
      <c r="AF431" s="255">
        <f t="shared" si="199"/>
      </c>
      <c r="AG431" s="256"/>
      <c r="AH431" s="256"/>
      <c r="AI431" s="257">
        <f>SUM(AI427:AI430)</f>
      </c>
    </row>
    <row r="432">
      <c r="A432" s="211"/>
      <c r="B432" s="212" t="s">
        <v>191</v>
      </c>
      <c r="C432" s="212" t="s">
        <v>164</v>
      </c>
      <c r="D432" s="212">
        <v>2313.39</v>
      </c>
      <c r="E432" s="215">
        <v>8</v>
      </c>
      <c r="F432" s="215">
        <v>7</v>
      </c>
      <c r="G432" s="215">
        <v>9</v>
      </c>
      <c r="H432" s="275">
        <v>4519.9</v>
      </c>
      <c r="I432" s="215">
        <v>1</v>
      </c>
      <c r="J432" s="217">
        <f t="shared" si="290"/>
      </c>
      <c r="K432" s="217">
        <f t="shared" si="350"/>
      </c>
      <c r="L432" s="217">
        <f t="shared" si="169"/>
      </c>
      <c r="M432" s="218">
        <f t="shared" si="230"/>
      </c>
      <c r="N432" s="217">
        <f t="shared" si="79"/>
      </c>
      <c r="O432" s="217">
        <f t="shared" si="109"/>
      </c>
      <c r="P432" s="218">
        <f t="shared" si="380"/>
      </c>
      <c r="Q432" s="218">
        <f t="shared" si="18"/>
      </c>
      <c r="R432" s="218">
        <f t="shared" si="260"/>
      </c>
      <c r="S432" s="218">
        <f t="shared" si="320"/>
      </c>
      <c r="T432" s="219">
        <f t="shared" si="139"/>
      </c>
      <c r="U432" s="220">
        <v>0.0802</v>
      </c>
      <c r="V432" s="221">
        <v>48</v>
      </c>
      <c r="W432" s="217">
        <f t="shared" si="48"/>
      </c>
      <c r="X432" s="221">
        <v>18783</v>
      </c>
      <c r="Y432" s="221">
        <v>380</v>
      </c>
      <c r="Z432" s="219">
        <v>95</v>
      </c>
      <c r="AA432" s="219">
        <v>594</v>
      </c>
      <c r="AB432" s="219">
        <v>68</v>
      </c>
      <c r="AC432" s="219">
        <v>2</v>
      </c>
      <c r="AD432" s="221">
        <v>1</v>
      </c>
      <c r="AE432" s="221">
        <v>32</v>
      </c>
      <c r="AF432" s="217">
        <f t="shared" si="199"/>
      </c>
      <c r="AG432" s="222" t="s">
        <v>159</v>
      </c>
      <c r="AH432" s="223" t="s">
        <v>188</v>
      </c>
      <c r="AI432" s="221">
        <v>21</v>
      </c>
    </row>
    <row r="433">
      <c r="A433" s="211"/>
      <c r="B433" s="212" t="s">
        <v>191</v>
      </c>
      <c r="C433" s="235" t="s">
        <v>167</v>
      </c>
      <c r="D433" s="212">
        <v>3334.81</v>
      </c>
      <c r="E433" s="215">
        <v>7</v>
      </c>
      <c r="F433" s="215">
        <v>7</v>
      </c>
      <c r="G433" s="215">
        <v>5</v>
      </c>
      <c r="H433" s="275">
        <v>5253.600000000002</v>
      </c>
      <c r="I433" s="215">
        <v>2</v>
      </c>
      <c r="J433" s="217">
        <f t="shared" si="290"/>
      </c>
      <c r="K433" s="217">
        <f t="shared" si="350"/>
      </c>
      <c r="L433" s="217">
        <f t="shared" si="169"/>
      </c>
      <c r="M433" s="218">
        <f t="shared" si="230"/>
      </c>
      <c r="N433" s="217">
        <f t="shared" si="79"/>
      </c>
      <c r="O433" s="217">
        <f t="shared" si="109"/>
      </c>
      <c r="P433" s="218">
        <f t="shared" si="380"/>
      </c>
      <c r="Q433" s="218">
        <f t="shared" si="18"/>
      </c>
      <c r="R433" s="218">
        <f t="shared" si="260"/>
      </c>
      <c r="S433" s="218">
        <f t="shared" si="320"/>
      </c>
      <c r="T433" s="219">
        <f t="shared" si="139"/>
      </c>
      <c r="U433" s="220">
        <v>0.074</v>
      </c>
      <c r="V433" s="221">
        <v>52</v>
      </c>
      <c r="W433" s="217">
        <f t="shared" si="48"/>
      </c>
      <c r="X433" s="221">
        <v>35341</v>
      </c>
      <c r="Y433" s="221">
        <v>591</v>
      </c>
      <c r="Z433" s="219">
        <v>116</v>
      </c>
      <c r="AA433" s="219">
        <v>835</v>
      </c>
      <c r="AB433" s="219">
        <v>113</v>
      </c>
      <c r="AC433" s="219">
        <v>8</v>
      </c>
      <c r="AD433" s="221">
        <v>1</v>
      </c>
      <c r="AE433" s="221">
        <v>52</v>
      </c>
      <c r="AF433" s="217">
        <f t="shared" si="199"/>
      </c>
      <c r="AG433" s="222" t="s">
        <v>159</v>
      </c>
      <c r="AH433" s="223" t="s">
        <v>188</v>
      </c>
      <c r="AI433" s="221">
        <v>43</v>
      </c>
    </row>
    <row r="434">
      <c r="A434" s="211"/>
      <c r="B434" s="227" t="s">
        <v>165</v>
      </c>
      <c r="C434" s="227"/>
      <c r="D434" s="259">
        <f>SUM(D432:D433)</f>
      </c>
      <c r="E434" s="260">
        <f>SUM(E432:E433)</f>
      </c>
      <c r="F434" s="260">
        <f>SUM(F432:F433)</f>
      </c>
      <c r="G434" s="260">
        <f>SUM(G432:G433)</f>
      </c>
      <c r="H434" s="259">
        <f>SUM(H432:H433)</f>
      </c>
      <c r="I434" s="272">
        <f>SUM(I432:I433)</f>
      </c>
      <c r="J434" s="230">
        <f t="shared" si="290"/>
      </c>
      <c r="K434" s="230">
        <f t="shared" si="350"/>
      </c>
      <c r="L434" s="230">
        <f t="shared" si="169"/>
      </c>
      <c r="M434" s="231">
        <f t="shared" si="230"/>
      </c>
      <c r="N434" s="230">
        <f t="shared" si="79"/>
      </c>
      <c r="O434" s="230">
        <f t="shared" si="109"/>
      </c>
      <c r="P434" s="231">
        <f t="shared" si="380"/>
      </c>
      <c r="Q434" s="231">
        <f t="shared" si="18"/>
      </c>
      <c r="R434" s="231">
        <f t="shared" si="260"/>
      </c>
      <c r="S434" s="231">
        <f t="shared" si="320"/>
      </c>
      <c r="T434" s="229">
        <f t="shared" si="139"/>
      </c>
      <c r="U434" s="231">
        <f>AVERAGE(U432:U433)</f>
      </c>
      <c r="V434" s="228">
        <f>AVERAGE(V432:V433)</f>
      </c>
      <c r="W434" s="230">
        <f t="shared" si="48"/>
      </c>
      <c r="X434" s="229">
        <f>SUM(X432:X433)</f>
      </c>
      <c r="Y434" s="229">
        <f>SUM(Y432:Y433)</f>
      </c>
      <c r="Z434" s="229">
        <f>SUM(Z432:Z433)</f>
      </c>
      <c r="AA434" s="229">
        <f>SUM(AA432:AA433)</f>
      </c>
      <c r="AB434" s="229">
        <f>SUM(AB432:AB433)</f>
      </c>
      <c r="AC434" s="229">
        <f>SUM(AC432:AC433)</f>
      </c>
      <c r="AD434" s="229">
        <f>SUM(AD432:AD433)</f>
      </c>
      <c r="AE434" s="229">
        <f>SUM(AE432:AE433)</f>
      </c>
      <c r="AF434" s="232">
        <f t="shared" si="199"/>
      </c>
      <c r="AG434" s="233"/>
      <c r="AH434" s="233"/>
      <c r="AI434" s="229">
        <f>SUM(AI432:AI433)</f>
      </c>
    </row>
    <row customHeight="true" ht="18.452380952380953" r="435">
      <c r="A435" s="211"/>
      <c r="B435" s="212" t="s">
        <v>157</v>
      </c>
      <c r="C435" s="245" t="s">
        <v>168</v>
      </c>
      <c r="D435" s="212">
        <v>2564.23</v>
      </c>
      <c r="E435" s="215">
        <v>4</v>
      </c>
      <c r="F435" s="215">
        <v>2</v>
      </c>
      <c r="G435" s="215">
        <v>2</v>
      </c>
      <c r="H435" s="275">
        <v>1262.7999999999993</v>
      </c>
      <c r="I435" s="215">
        <v>1</v>
      </c>
      <c r="J435" s="217">
        <f t="shared" si="290"/>
      </c>
      <c r="K435" s="217">
        <f t="shared" si="350"/>
      </c>
      <c r="L435" s="217">
        <f t="shared" si="169"/>
      </c>
      <c r="M435" s="218">
        <f t="shared" si="230"/>
      </c>
      <c r="N435" s="217">
        <f t="shared" si="79"/>
      </c>
      <c r="O435" s="217">
        <f t="shared" si="109"/>
      </c>
      <c r="P435" s="218">
        <f t="shared" si="380"/>
      </c>
      <c r="Q435" s="218">
        <f t="shared" si="18"/>
      </c>
      <c r="R435" s="218">
        <f t="shared" si="260"/>
      </c>
      <c r="S435" s="218">
        <f t="shared" si="320"/>
      </c>
      <c r="T435" s="219">
        <f t="shared" si="139"/>
      </c>
      <c r="U435" s="220">
        <v>0.08</v>
      </c>
      <c r="V435" s="221">
        <v>53</v>
      </c>
      <c r="W435" s="217">
        <f t="shared" si="48"/>
      </c>
      <c r="X435" s="221">
        <v>23148</v>
      </c>
      <c r="Y435" s="221">
        <v>458</v>
      </c>
      <c r="Z435" s="219">
        <v>103</v>
      </c>
      <c r="AA435" s="219">
        <v>712</v>
      </c>
      <c r="AB435" s="219">
        <v>58</v>
      </c>
      <c r="AC435" s="219">
        <v>6</v>
      </c>
      <c r="AD435" s="221">
        <v>3</v>
      </c>
      <c r="AE435" s="221">
        <v>31</v>
      </c>
      <c r="AF435" s="217">
        <f t="shared" si="199"/>
      </c>
      <c r="AG435" s="222" t="s">
        <v>159</v>
      </c>
      <c r="AH435" s="223" t="s">
        <v>188</v>
      </c>
      <c r="AI435" s="221">
        <v>16</v>
      </c>
    </row>
    <row customHeight="true" ht="18.452380952380953" r="436">
      <c r="A436" s="211"/>
      <c r="B436" s="212" t="s">
        <v>157</v>
      </c>
      <c r="C436" s="235" t="s">
        <v>169</v>
      </c>
      <c r="D436" s="212">
        <v>1963.86</v>
      </c>
      <c r="E436" s="215">
        <v>4</v>
      </c>
      <c r="F436" s="215">
        <v>3</v>
      </c>
      <c r="G436" s="215">
        <v>3</v>
      </c>
      <c r="H436" s="275">
        <v>2119.7000000000007</v>
      </c>
      <c r="I436" s="215">
        <v>1</v>
      </c>
      <c r="J436" s="217">
        <f t="shared" si="290"/>
      </c>
      <c r="K436" s="217">
        <f t="shared" si="350"/>
      </c>
      <c r="L436" s="217">
        <f t="shared" si="169"/>
      </c>
      <c r="M436" s="218">
        <f t="shared" si="230"/>
      </c>
      <c r="N436" s="217">
        <f t="shared" si="79"/>
      </c>
      <c r="O436" s="217">
        <f t="shared" si="109"/>
      </c>
      <c r="P436" s="218">
        <f t="shared" si="380"/>
      </c>
      <c r="Q436" s="218">
        <f t="shared" si="18"/>
      </c>
      <c r="R436" s="218">
        <f t="shared" si="260"/>
      </c>
      <c r="S436" s="218">
        <f t="shared" si="320"/>
      </c>
      <c r="T436" s="219">
        <f t="shared" si="139"/>
      </c>
      <c r="U436" s="220">
        <v>0.0607</v>
      </c>
      <c r="V436" s="221">
        <v>54</v>
      </c>
      <c r="W436" s="217">
        <f t="shared" si="48"/>
      </c>
      <c r="X436" s="219">
        <v>15352</v>
      </c>
      <c r="Y436" s="219">
        <v>455</v>
      </c>
      <c r="Z436" s="219">
        <v>80</v>
      </c>
      <c r="AA436" s="219">
        <v>706</v>
      </c>
      <c r="AB436" s="219">
        <v>38</v>
      </c>
      <c r="AC436" s="219">
        <v>5</v>
      </c>
      <c r="AD436" s="219">
        <v>1</v>
      </c>
      <c r="AE436" s="221">
        <v>26</v>
      </c>
      <c r="AF436" s="217">
        <f t="shared" si="199"/>
      </c>
      <c r="AG436" s="222" t="s">
        <v>159</v>
      </c>
      <c r="AH436" s="223" t="s">
        <v>188</v>
      </c>
      <c r="AI436" s="221">
        <v>20</v>
      </c>
    </row>
    <row customHeight="true" ht="18.452380952380953" r="437">
      <c r="A437" s="211"/>
      <c r="B437" s="212" t="s">
        <v>157</v>
      </c>
      <c r="C437" s="248" t="s">
        <v>170</v>
      </c>
      <c r="D437" s="212">
        <v>2567.7</v>
      </c>
      <c r="E437" s="215">
        <v>7</v>
      </c>
      <c r="F437" s="215">
        <v>3</v>
      </c>
      <c r="G437" s="215">
        <v>3</v>
      </c>
      <c r="H437" s="275">
        <v>1758.9000000000015</v>
      </c>
      <c r="I437" s="215">
        <v>1</v>
      </c>
      <c r="J437" s="217">
        <f t="shared" si="290"/>
      </c>
      <c r="K437" s="217">
        <f t="shared" si="350"/>
      </c>
      <c r="L437" s="217">
        <f t="shared" si="169"/>
      </c>
      <c r="M437" s="218">
        <f t="shared" si="230"/>
      </c>
      <c r="N437" s="217">
        <f t="shared" si="79"/>
      </c>
      <c r="O437" s="217">
        <f t="shared" si="109"/>
      </c>
      <c r="P437" s="218">
        <f t="shared" si="380"/>
      </c>
      <c r="Q437" s="218">
        <f t="shared" si="18"/>
      </c>
      <c r="R437" s="218">
        <f t="shared" si="260"/>
      </c>
      <c r="S437" s="218">
        <f t="shared" si="320"/>
      </c>
      <c r="T437" s="219">
        <f t="shared" si="139"/>
      </c>
      <c r="U437" s="220">
        <v>0.049</v>
      </c>
      <c r="V437" s="221">
        <v>53</v>
      </c>
      <c r="W437" s="217">
        <f t="shared" si="48"/>
      </c>
      <c r="X437" s="221">
        <v>20324</v>
      </c>
      <c r="Y437" s="221">
        <v>579</v>
      </c>
      <c r="Z437" s="221">
        <v>92</v>
      </c>
      <c r="AA437" s="221">
        <v>807</v>
      </c>
      <c r="AB437" s="221">
        <v>48</v>
      </c>
      <c r="AC437" s="221">
        <v>9</v>
      </c>
      <c r="AD437" s="221">
        <v>1</v>
      </c>
      <c r="AE437" s="221">
        <v>33</v>
      </c>
      <c r="AF437" s="217">
        <f t="shared" si="199"/>
      </c>
      <c r="AG437" s="222" t="s">
        <v>159</v>
      </c>
      <c r="AH437" s="223" t="s">
        <v>188</v>
      </c>
      <c r="AI437" s="221">
        <v>18</v>
      </c>
    </row>
    <row customHeight="true" ht="18.452380952380953" r="438">
      <c r="A438" s="211"/>
      <c r="B438" s="212" t="s">
        <v>157</v>
      </c>
      <c r="C438" s="235" t="s">
        <v>172</v>
      </c>
      <c r="D438" s="212">
        <v>3427.72</v>
      </c>
      <c r="E438" s="215">
        <v>11</v>
      </c>
      <c r="F438" s="215">
        <v>10</v>
      </c>
      <c r="G438" s="215">
        <v>8</v>
      </c>
      <c r="H438" s="275">
        <v>8961.699999999997</v>
      </c>
      <c r="I438" s="215">
        <v>3</v>
      </c>
      <c r="J438" s="217">
        <f t="shared" si="290"/>
      </c>
      <c r="K438" s="217">
        <f t="shared" si="350"/>
      </c>
      <c r="L438" s="217">
        <f t="shared" si="169"/>
      </c>
      <c r="M438" s="218">
        <f t="shared" si="230"/>
      </c>
      <c r="N438" s="217">
        <f t="shared" si="79"/>
      </c>
      <c r="O438" s="217">
        <f t="shared" si="109"/>
      </c>
      <c r="P438" s="218">
        <f t="shared" si="380"/>
      </c>
      <c r="Q438" s="218">
        <f t="shared" si="18"/>
      </c>
      <c r="R438" s="218">
        <f t="shared" si="260"/>
      </c>
      <c r="S438" s="218">
        <f t="shared" si="320"/>
      </c>
      <c r="T438" s="219">
        <f t="shared" si="139"/>
      </c>
      <c r="U438" s="220">
        <v>0.0662</v>
      </c>
      <c r="V438" s="221">
        <v>56</v>
      </c>
      <c r="W438" s="217">
        <f t="shared" si="48"/>
      </c>
      <c r="X438" s="221">
        <v>27065</v>
      </c>
      <c r="Y438" s="221">
        <v>578</v>
      </c>
      <c r="Z438" s="219">
        <v>114</v>
      </c>
      <c r="AA438" s="219">
        <v>790</v>
      </c>
      <c r="AB438" s="219">
        <v>67</v>
      </c>
      <c r="AC438" s="219">
        <v>9</v>
      </c>
      <c r="AD438" s="221">
        <v>5</v>
      </c>
      <c r="AE438" s="221">
        <v>35</v>
      </c>
      <c r="AF438" s="217">
        <f t="shared" si="199"/>
      </c>
      <c r="AG438" s="222" t="s">
        <v>173</v>
      </c>
      <c r="AH438" s="223" t="s">
        <v>185</v>
      </c>
      <c r="AI438" s="221">
        <v>15</v>
      </c>
    </row>
    <row customHeight="true" ht="18.452380952380953" r="439">
      <c r="A439" s="211"/>
      <c r="B439" s="227" t="s">
        <v>165</v>
      </c>
      <c r="C439" s="227"/>
      <c r="D439" s="259">
        <f>SUM(D435:D438)</f>
      </c>
      <c r="E439" s="260">
        <f>SUM(E435:E438)</f>
      </c>
      <c r="F439" s="260">
        <f>SUM(F435:F438)</f>
      </c>
      <c r="G439" s="260">
        <f>SUM(G435:G438)</f>
      </c>
      <c r="H439" s="259">
        <f>SUM(H435:H438)</f>
      </c>
      <c r="I439" s="272">
        <f>SUM(I435:I438)</f>
      </c>
      <c r="J439" s="230">
        <f t="shared" si="290"/>
      </c>
      <c r="K439" s="230">
        <f t="shared" si="350"/>
      </c>
      <c r="L439" s="230">
        <f t="shared" si="169"/>
      </c>
      <c r="M439" s="231">
        <f t="shared" si="230"/>
      </c>
      <c r="N439" s="230">
        <f t="shared" si="79"/>
      </c>
      <c r="O439" s="230">
        <f t="shared" si="109"/>
      </c>
      <c r="P439" s="231">
        <f t="shared" si="380"/>
      </c>
      <c r="Q439" s="231">
        <f t="shared" si="18"/>
      </c>
      <c r="R439" s="231">
        <f t="shared" si="260"/>
      </c>
      <c r="S439" s="231">
        <f t="shared" si="320"/>
      </c>
      <c r="T439" s="229">
        <f t="shared" si="139"/>
      </c>
      <c r="U439" s="231">
        <f>AVERAGE(U435:U438)</f>
      </c>
      <c r="V439" s="228">
        <f>AVERAGE(V435:V438)</f>
      </c>
      <c r="W439" s="230">
        <f t="shared" si="48"/>
      </c>
      <c r="X439" s="229">
        <f>SUM(X435:X438)</f>
      </c>
      <c r="Y439" s="229">
        <f>SUM(Y435:Y438)</f>
      </c>
      <c r="Z439" s="229">
        <f>SUM(Z435:Z438)</f>
      </c>
      <c r="AA439" s="229">
        <f>SUM(AA435:AA438)</f>
      </c>
      <c r="AB439" s="229">
        <f>SUM(AB435:AB438)</f>
      </c>
      <c r="AC439" s="229">
        <f>SUM(AC435:AC438)</f>
      </c>
      <c r="AD439" s="229">
        <f>SUM(AD435:AD438)</f>
      </c>
      <c r="AE439" s="229">
        <f>SUM(AE435:AE438)</f>
      </c>
      <c r="AF439" s="232">
        <f t="shared" si="199"/>
      </c>
      <c r="AG439" s="233"/>
      <c r="AH439" s="233"/>
      <c r="AI439" s="229">
        <f>SUM(AI435:AI438)</f>
      </c>
    </row>
    <row customHeight="true" ht="18.452380952380953" r="440">
      <c r="A440" s="211"/>
      <c r="B440" s="235" t="s">
        <v>186</v>
      </c>
      <c r="C440" s="245" t="s">
        <v>175</v>
      </c>
      <c r="D440" s="284">
        <v>3160.1</v>
      </c>
      <c r="E440" s="238">
        <v>7</v>
      </c>
      <c r="F440" s="238">
        <v>6</v>
      </c>
      <c r="G440" s="238">
        <v>5</v>
      </c>
      <c r="H440" s="285">
        <v>4671.1500000000015</v>
      </c>
      <c r="I440" s="238">
        <v>1</v>
      </c>
      <c r="J440" s="240">
        <f t="shared" si="290"/>
      </c>
      <c r="K440" s="240">
        <f t="shared" si="350"/>
      </c>
      <c r="L440" s="240">
        <f t="shared" si="169"/>
      </c>
      <c r="M440" s="241">
        <f t="shared" si="230"/>
      </c>
      <c r="N440" s="240">
        <f t="shared" si="79"/>
      </c>
      <c r="O440" s="240">
        <f t="shared" si="109"/>
      </c>
      <c r="P440" s="241">
        <f t="shared" si="380"/>
      </c>
      <c r="Q440" s="241">
        <f t="shared" si="18"/>
      </c>
      <c r="R440" s="241">
        <f t="shared" si="260"/>
      </c>
      <c r="S440" s="241">
        <f t="shared" si="320"/>
      </c>
      <c r="T440" s="242">
        <f t="shared" si="139"/>
      </c>
      <c r="U440" s="243">
        <v>0.0623</v>
      </c>
      <c r="V440" s="244">
        <v>60</v>
      </c>
      <c r="W440" s="240">
        <f t="shared" si="48"/>
      </c>
      <c r="X440" s="242">
        <v>29076</v>
      </c>
      <c r="Y440" s="242">
        <v>674</v>
      </c>
      <c r="Z440" s="242">
        <v>138</v>
      </c>
      <c r="AA440" s="242">
        <v>901</v>
      </c>
      <c r="AB440" s="242">
        <v>75</v>
      </c>
      <c r="AC440" s="242">
        <v>20</v>
      </c>
      <c r="AD440" s="242">
        <v>4</v>
      </c>
      <c r="AE440" s="242">
        <v>43</v>
      </c>
      <c r="AF440" s="240">
        <f t="shared" si="199"/>
      </c>
      <c r="AG440" s="286" t="s">
        <v>173</v>
      </c>
      <c r="AH440" s="286" t="s">
        <v>185</v>
      </c>
      <c r="AI440" s="244">
        <v>37</v>
      </c>
    </row>
    <row customHeight="true" ht="18.452380952380953" r="441">
      <c r="A441" s="211"/>
      <c r="B441" s="235" t="s">
        <v>186</v>
      </c>
      <c r="C441" s="235" t="s">
        <v>176</v>
      </c>
      <c r="D441" s="284">
        <v>3613.75</v>
      </c>
      <c r="E441" s="238">
        <v>15</v>
      </c>
      <c r="F441" s="238">
        <v>11</v>
      </c>
      <c r="G441" s="238">
        <v>7</v>
      </c>
      <c r="H441" s="285">
        <v>7112.600000000006</v>
      </c>
      <c r="I441" s="238">
        <v>1</v>
      </c>
      <c r="J441" s="240">
        <f t="shared" si="290"/>
      </c>
      <c r="K441" s="240">
        <f t="shared" si="350"/>
      </c>
      <c r="L441" s="240">
        <f t="shared" si="169"/>
      </c>
      <c r="M441" s="241">
        <f t="shared" si="230"/>
      </c>
      <c r="N441" s="240">
        <f t="shared" si="79"/>
      </c>
      <c r="O441" s="240">
        <f t="shared" si="109"/>
      </c>
      <c r="P441" s="241">
        <f t="shared" si="380"/>
      </c>
      <c r="Q441" s="241">
        <f t="shared" si="18"/>
      </c>
      <c r="R441" s="241">
        <f t="shared" si="260"/>
      </c>
      <c r="S441" s="241">
        <f t="shared" si="320"/>
      </c>
      <c r="T441" s="242">
        <f t="shared" si="139"/>
      </c>
      <c r="U441" s="243">
        <v>0.0594</v>
      </c>
      <c r="V441" s="244">
        <v>62</v>
      </c>
      <c r="W441" s="240">
        <f t="shared" si="48"/>
      </c>
      <c r="X441" s="242">
        <v>33879</v>
      </c>
      <c r="Y441" s="242">
        <v>716</v>
      </c>
      <c r="Z441" s="242">
        <v>118</v>
      </c>
      <c r="AA441" s="242">
        <v>1000</v>
      </c>
      <c r="AB441" s="242">
        <v>142</v>
      </c>
      <c r="AC441" s="242">
        <v>14</v>
      </c>
      <c r="AD441" s="242">
        <v>4</v>
      </c>
      <c r="AE441" s="242">
        <v>50</v>
      </c>
      <c r="AF441" s="240">
        <f t="shared" si="199"/>
      </c>
      <c r="AG441" s="286" t="s">
        <v>173</v>
      </c>
      <c r="AH441" s="286" t="s">
        <v>185</v>
      </c>
      <c r="AI441" s="244">
        <v>42</v>
      </c>
    </row>
    <row customHeight="true" ht="18.452380952380953" r="442">
      <c r="A442" s="211"/>
      <c r="B442" s="235" t="s">
        <v>186</v>
      </c>
      <c r="C442" s="235" t="s">
        <v>177</v>
      </c>
      <c r="D442" s="284">
        <v>4475.53</v>
      </c>
      <c r="E442" s="238">
        <v>10</v>
      </c>
      <c r="F442" s="238">
        <v>8</v>
      </c>
      <c r="G442" s="238">
        <v>5</v>
      </c>
      <c r="H442" s="285">
        <v>4441.799999999996</v>
      </c>
      <c r="I442" s="238">
        <v>1</v>
      </c>
      <c r="J442" s="240">
        <f t="shared" si="290"/>
      </c>
      <c r="K442" s="240">
        <f t="shared" si="350"/>
      </c>
      <c r="L442" s="240">
        <f t="shared" si="169"/>
      </c>
      <c r="M442" s="241">
        <f t="shared" si="230"/>
      </c>
      <c r="N442" s="240">
        <f t="shared" si="79"/>
      </c>
      <c r="O442" s="240">
        <f t="shared" si="109"/>
      </c>
      <c r="P442" s="241">
        <f t="shared" si="380"/>
      </c>
      <c r="Q442" s="241">
        <f t="shared" si="18"/>
      </c>
      <c r="R442" s="241">
        <f t="shared" si="260"/>
      </c>
      <c r="S442" s="241">
        <f t="shared" si="320"/>
      </c>
      <c r="T442" s="242">
        <f t="shared" si="139"/>
      </c>
      <c r="U442" s="243">
        <v>0.0759</v>
      </c>
      <c r="V442" s="244">
        <v>63</v>
      </c>
      <c r="W442" s="240">
        <f t="shared" si="48"/>
      </c>
      <c r="X442" s="242">
        <v>44585</v>
      </c>
      <c r="Y442" s="242">
        <v>790</v>
      </c>
      <c r="Z442" s="242">
        <v>145</v>
      </c>
      <c r="AA442" s="242">
        <v>1050</v>
      </c>
      <c r="AB442" s="242">
        <v>89</v>
      </c>
      <c r="AC442" s="242">
        <v>24</v>
      </c>
      <c r="AD442" s="242">
        <v>5</v>
      </c>
      <c r="AE442" s="242">
        <v>92</v>
      </c>
      <c r="AF442" s="240">
        <f t="shared" si="199"/>
      </c>
      <c r="AG442" s="286" t="s">
        <v>173</v>
      </c>
      <c r="AH442" s="287" t="s">
        <v>174</v>
      </c>
      <c r="AI442" s="242">
        <v>84</v>
      </c>
    </row>
    <row customHeight="true" ht="18.452380952380953" r="443">
      <c r="A443" s="211"/>
      <c r="B443" s="235" t="s">
        <v>186</v>
      </c>
      <c r="C443" s="248" t="s">
        <v>179</v>
      </c>
      <c r="D443" s="284">
        <v>4476.38</v>
      </c>
      <c r="E443" s="238">
        <v>19</v>
      </c>
      <c r="F443" s="288">
        <v>13</v>
      </c>
      <c r="G443" s="238">
        <v>9</v>
      </c>
      <c r="H443" s="285">
        <v>9956.100000000006</v>
      </c>
      <c r="I443" s="238">
        <v>3</v>
      </c>
      <c r="J443" s="240">
        <f t="shared" si="290"/>
      </c>
      <c r="K443" s="240">
        <f t="shared" si="350"/>
      </c>
      <c r="L443" s="240">
        <f t="shared" si="169"/>
      </c>
      <c r="M443" s="241">
        <f t="shared" si="230"/>
      </c>
      <c r="N443" s="240">
        <f t="shared" si="79"/>
      </c>
      <c r="O443" s="240">
        <f t="shared" si="109"/>
      </c>
      <c r="P443" s="241">
        <f t="shared" si="380"/>
      </c>
      <c r="Q443" s="241">
        <f t="shared" si="18"/>
      </c>
      <c r="R443" s="241">
        <f t="shared" si="260"/>
      </c>
      <c r="S443" s="241">
        <f t="shared" si="320"/>
      </c>
      <c r="T443" s="242">
        <f t="shared" si="139"/>
      </c>
      <c r="U443" s="243">
        <v>0.0705</v>
      </c>
      <c r="V443" s="244">
        <v>66</v>
      </c>
      <c r="W443" s="240">
        <f t="shared" si="48"/>
      </c>
      <c r="X443" s="242">
        <v>36499</v>
      </c>
      <c r="Y443" s="242">
        <v>784</v>
      </c>
      <c r="Z443" s="242">
        <v>151</v>
      </c>
      <c r="AA443" s="242">
        <v>1037</v>
      </c>
      <c r="AB443" s="242">
        <v>107</v>
      </c>
      <c r="AC443" s="242">
        <v>14</v>
      </c>
      <c r="AD443" s="242">
        <v>0</v>
      </c>
      <c r="AE443" s="242">
        <v>83</v>
      </c>
      <c r="AF443" s="240">
        <f t="shared" si="199"/>
      </c>
      <c r="AG443" s="286" t="s">
        <v>173</v>
      </c>
      <c r="AH443" s="287" t="s">
        <v>174</v>
      </c>
      <c r="AI443" s="242">
        <v>48</v>
      </c>
    </row>
    <row customHeight="true" ht="18.452380952380953" r="444">
      <c r="A444" s="211"/>
      <c r="B444" s="249" t="s">
        <v>165</v>
      </c>
      <c r="C444" s="249"/>
      <c r="D444" s="289">
        <f>SUM(D440:D443)</f>
      </c>
      <c r="E444" s="290">
        <f>SUM(E440:E443)</f>
      </c>
      <c r="F444" s="290">
        <f>SUM(F440:F443)</f>
      </c>
      <c r="G444" s="290">
        <f>SUM(G440:G443)</f>
      </c>
      <c r="H444" s="289">
        <f>SUM(H440:H443)</f>
      </c>
      <c r="I444" s="251">
        <f>SUM(I440:I443)</f>
      </c>
      <c r="J444" s="252">
        <f t="shared" si="290"/>
      </c>
      <c r="K444" s="252">
        <f t="shared" si="350"/>
      </c>
      <c r="L444" s="252">
        <f t="shared" si="169"/>
      </c>
      <c r="M444" s="253">
        <f t="shared" si="230"/>
      </c>
      <c r="N444" s="252">
        <f t="shared" si="79"/>
      </c>
      <c r="O444" s="252">
        <f t="shared" si="109"/>
      </c>
      <c r="P444" s="253">
        <f t="shared" si="380"/>
      </c>
      <c r="Q444" s="253">
        <f t="shared" si="18"/>
      </c>
      <c r="R444" s="253">
        <f t="shared" si="260"/>
      </c>
      <c r="S444" s="253">
        <f t="shared" si="320"/>
      </c>
      <c r="T444" s="254">
        <f t="shared" si="139"/>
      </c>
      <c r="U444" s="253">
        <f>AVERAGE(U440:U443)</f>
      </c>
      <c r="V444" s="250">
        <f>AVERAGE(V440:V443)</f>
      </c>
      <c r="W444" s="252">
        <f t="shared" si="48"/>
      </c>
      <c r="X444" s="254">
        <f>SUM(X440:X443)</f>
      </c>
      <c r="Y444" s="254">
        <f>SUM(Y440:Y443)</f>
      </c>
      <c r="Z444" s="254">
        <f>SUM(Z440:Z443)</f>
      </c>
      <c r="AA444" s="254">
        <f>SUM(AA440:AA443)</f>
      </c>
      <c r="AB444" s="254">
        <f>SUM(AB440:AB443)</f>
      </c>
      <c r="AC444" s="254">
        <f>SUM(AC440:AC443)</f>
      </c>
      <c r="AD444" s="254">
        <f>SUM(AD440:AD443)</f>
      </c>
      <c r="AE444" s="254">
        <f>SUM(AE440:AE443)</f>
      </c>
      <c r="AF444" s="255">
        <f t="shared" si="199"/>
      </c>
      <c r="AG444" s="256"/>
      <c r="AH444" s="256"/>
      <c r="AI444" s="254">
        <f>SUM(AI440:AI443)</f>
      </c>
    </row>
    <row r="445">
      <c r="A445" s="211"/>
      <c r="B445" s="248" t="s">
        <v>171</v>
      </c>
      <c r="C445" s="248" t="s">
        <v>180</v>
      </c>
      <c r="D445" s="261">
        <v>6562.6</v>
      </c>
      <c r="E445" s="237">
        <v>15</v>
      </c>
      <c r="F445" s="237">
        <v>13</v>
      </c>
      <c r="G445" s="238">
        <v>10</v>
      </c>
      <c r="H445" s="239">
        <v>6830.450000000004</v>
      </c>
      <c r="I445" s="273">
        <v>1</v>
      </c>
      <c r="J445" s="240">
        <f t="shared" si="290"/>
      </c>
      <c r="K445" s="240">
        <f t="shared" si="350"/>
      </c>
      <c r="L445" s="240">
        <f t="shared" si="169"/>
      </c>
      <c r="M445" s="241">
        <f t="shared" si="230"/>
      </c>
      <c r="N445" s="240">
        <f t="shared" si="79"/>
      </c>
      <c r="O445" s="240">
        <f t="shared" si="109"/>
      </c>
      <c r="P445" s="241">
        <f t="shared" si="380"/>
      </c>
      <c r="Q445" s="241">
        <f t="shared" si="18"/>
      </c>
      <c r="R445" s="241">
        <f t="shared" si="260"/>
      </c>
      <c r="S445" s="241">
        <f t="shared" si="320"/>
      </c>
      <c r="T445" s="242">
        <f t="shared" si="139"/>
      </c>
      <c r="U445" s="243">
        <v>0.0841</v>
      </c>
      <c r="V445" s="244">
        <v>65</v>
      </c>
      <c r="W445" s="240">
        <f t="shared" si="48"/>
      </c>
      <c r="X445" s="242">
        <v>57361</v>
      </c>
      <c r="Y445" s="242">
        <v>1146</v>
      </c>
      <c r="Z445" s="242">
        <v>216</v>
      </c>
      <c r="AA445" s="242">
        <v>1450</v>
      </c>
      <c r="AB445" s="242">
        <v>101</v>
      </c>
      <c r="AC445" s="242">
        <v>13</v>
      </c>
      <c r="AD445" s="242">
        <v>3</v>
      </c>
      <c r="AE445" s="242">
        <v>138</v>
      </c>
      <c r="AF445" s="240">
        <f t="shared" si="199"/>
      </c>
      <c r="AG445" s="222" t="s">
        <v>173</v>
      </c>
      <c r="AH445" s="287" t="s">
        <v>174</v>
      </c>
      <c r="AI445" s="244">
        <v>62</v>
      </c>
    </row>
    <row r="446">
      <c r="A446" s="211"/>
      <c r="B446" s="248" t="s">
        <v>171</v>
      </c>
      <c r="C446" s="248" t="s">
        <v>181</v>
      </c>
      <c r="D446" s="262">
        <v>5471.43</v>
      </c>
      <c r="E446" s="247">
        <v>11</v>
      </c>
      <c r="F446" s="247">
        <v>10</v>
      </c>
      <c r="G446" s="247">
        <v>4</v>
      </c>
      <c r="H446" s="263">
        <v>6316.75</v>
      </c>
      <c r="I446" s="273">
        <v>2</v>
      </c>
      <c r="J446" s="240">
        <f t="shared" si="290"/>
      </c>
      <c r="K446" s="240">
        <f t="shared" si="350"/>
      </c>
      <c r="L446" s="240">
        <f t="shared" si="169"/>
      </c>
      <c r="M446" s="241">
        <f t="shared" si="230"/>
      </c>
      <c r="N446" s="240">
        <f t="shared" si="79"/>
      </c>
      <c r="O446" s="240">
        <f t="shared" si="109"/>
      </c>
      <c r="P446" s="241">
        <f t="shared" si="380"/>
      </c>
      <c r="Q446" s="241">
        <f t="shared" si="18"/>
      </c>
      <c r="R446" s="241">
        <f t="shared" si="260"/>
      </c>
      <c r="S446" s="241">
        <f t="shared" si="320"/>
      </c>
      <c r="T446" s="242">
        <f t="shared" si="139"/>
      </c>
      <c r="U446" s="243">
        <v>0.0693</v>
      </c>
      <c r="V446" s="244">
        <v>65</v>
      </c>
      <c r="W446" s="240">
        <f t="shared" si="48"/>
      </c>
      <c r="X446" s="242">
        <v>58930</v>
      </c>
      <c r="Y446" s="242">
        <v>1058</v>
      </c>
      <c r="Z446" s="242">
        <v>192</v>
      </c>
      <c r="AA446" s="242">
        <v>1361</v>
      </c>
      <c r="AB446" s="242">
        <v>128</v>
      </c>
      <c r="AC446" s="242">
        <v>14</v>
      </c>
      <c r="AD446" s="242">
        <v>4</v>
      </c>
      <c r="AE446" s="242">
        <v>103</v>
      </c>
      <c r="AF446" s="240">
        <f t="shared" si="199"/>
      </c>
      <c r="AG446" s="222" t="s">
        <v>173</v>
      </c>
      <c r="AH446" s="287" t="s">
        <v>174</v>
      </c>
      <c r="AI446" s="244">
        <v>62</v>
      </c>
    </row>
    <row r="447">
      <c r="A447" s="211"/>
      <c r="B447" s="248" t="s">
        <v>171</v>
      </c>
      <c r="C447" s="248" t="s">
        <v>182</v>
      </c>
      <c r="D447" s="261">
        <v>1630.54</v>
      </c>
      <c r="E447" s="247">
        <v>5</v>
      </c>
      <c r="F447" s="247">
        <v>2</v>
      </c>
      <c r="G447" s="247">
        <v>2</v>
      </c>
      <c r="H447" s="236">
        <v>3188.899999999994</v>
      </c>
      <c r="I447" s="238">
        <v>2</v>
      </c>
      <c r="J447" s="240">
        <f t="shared" si="290"/>
      </c>
      <c r="K447" s="240">
        <f t="shared" si="350"/>
      </c>
      <c r="L447" s="240">
        <f t="shared" si="169"/>
      </c>
      <c r="M447" s="241">
        <f t="shared" si="230"/>
      </c>
      <c r="N447" s="240">
        <f t="shared" si="79"/>
      </c>
      <c r="O447" s="240">
        <f t="shared" si="109"/>
      </c>
      <c r="P447" s="241">
        <f t="shared" si="380"/>
      </c>
      <c r="Q447" s="241">
        <f t="shared" si="18"/>
      </c>
      <c r="R447" s="241">
        <f t="shared" si="260"/>
      </c>
      <c r="S447" s="241">
        <f t="shared" si="320"/>
      </c>
      <c r="T447" s="242">
        <f t="shared" si="139"/>
      </c>
      <c r="U447" s="243">
        <v>0.0477</v>
      </c>
      <c r="V447" s="244">
        <v>67</v>
      </c>
      <c r="W447" s="240">
        <f t="shared" si="48"/>
      </c>
      <c r="X447" s="242">
        <v>19219</v>
      </c>
      <c r="Y447" s="242">
        <v>441</v>
      </c>
      <c r="Z447" s="242">
        <v>67</v>
      </c>
      <c r="AA447" s="242">
        <v>629</v>
      </c>
      <c r="AB447" s="242">
        <v>85</v>
      </c>
      <c r="AC447" s="242">
        <v>4</v>
      </c>
      <c r="AD447" s="242">
        <v>1</v>
      </c>
      <c r="AE447" s="242">
        <v>29</v>
      </c>
      <c r="AF447" s="240">
        <f t="shared" si="199"/>
      </c>
      <c r="AG447" s="222" t="s">
        <v>173</v>
      </c>
      <c r="AH447" s="287" t="s">
        <v>174</v>
      </c>
      <c r="AI447" s="244">
        <v>19</v>
      </c>
    </row>
    <row r="448">
      <c r="A448" s="211"/>
      <c r="B448" s="248" t="s">
        <v>171</v>
      </c>
      <c r="C448" s="248" t="s">
        <v>192</v>
      </c>
      <c r="D448" s="261">
        <v>481.59</v>
      </c>
      <c r="E448" s="238">
        <v>0</v>
      </c>
      <c r="F448" s="238">
        <v>0</v>
      </c>
      <c r="G448" s="238">
        <v>0</v>
      </c>
      <c r="H448" s="236">
        <v>0</v>
      </c>
      <c r="I448" s="238">
        <v>0</v>
      </c>
      <c r="J448" s="240">
        <f t="shared" si="290"/>
      </c>
      <c r="K448" s="240">
        <f t="shared" si="350"/>
      </c>
      <c r="L448" s="240">
        <f t="shared" si="169"/>
      </c>
      <c r="M448" s="241">
        <f t="shared" si="230"/>
      </c>
      <c r="N448" s="240">
        <f t="shared" si="79"/>
      </c>
      <c r="O448" s="240">
        <f t="shared" si="109"/>
      </c>
      <c r="P448" s="241">
        <f t="shared" si="380"/>
      </c>
      <c r="Q448" s="241">
        <f t="shared" si="18"/>
      </c>
      <c r="R448" s="241">
        <f t="shared" si="260"/>
      </c>
      <c r="S448" s="241">
        <f t="shared" si="320"/>
      </c>
      <c r="T448" s="242">
        <f t="shared" si="139"/>
      </c>
      <c r="U448" s="243">
        <v>0.1228</v>
      </c>
      <c r="V448" s="244">
        <v>68</v>
      </c>
      <c r="W448" s="240">
        <f t="shared" si="48"/>
      </c>
      <c r="X448" s="242">
        <v>3687</v>
      </c>
      <c r="Y448" s="242">
        <v>99</v>
      </c>
      <c r="Z448" s="242">
        <v>14</v>
      </c>
      <c r="AA448" s="242">
        <v>147</v>
      </c>
      <c r="AB448" s="242">
        <v>2</v>
      </c>
      <c r="AC448" s="242">
        <v>1</v>
      </c>
      <c r="AD448" s="242">
        <v>1</v>
      </c>
      <c r="AE448" s="244">
        <v>7</v>
      </c>
      <c r="AF448" s="240">
        <f t="shared" si="199"/>
      </c>
      <c r="AG448" s="222" t="s">
        <v>173</v>
      </c>
      <c r="AH448" s="223" t="s">
        <v>185</v>
      </c>
      <c r="AI448" s="244">
        <v>6</v>
      </c>
    </row>
    <row r="449">
      <c r="A449" s="211"/>
      <c r="B449" s="249" t="s">
        <v>165</v>
      </c>
      <c r="C449" s="249"/>
      <c r="D449" s="250">
        <f>SUM(D445:D448)</f>
      </c>
      <c r="E449" s="251">
        <f>SUM(E445:E448)</f>
      </c>
      <c r="F449" s="251">
        <f>SUM(F445:F448)</f>
      </c>
      <c r="G449" s="251">
        <f>SUM(G445:G448)</f>
      </c>
      <c r="H449" s="250">
        <f>SUM(H445:H448)</f>
      </c>
      <c r="I449" s="272">
        <f>SUM(I445:I448)</f>
      </c>
      <c r="J449" s="252">
        <f t="shared" si="290"/>
      </c>
      <c r="K449" s="252">
        <f t="shared" si="350"/>
      </c>
      <c r="L449" s="252">
        <f t="shared" si="169"/>
      </c>
      <c r="M449" s="253">
        <f t="shared" si="230"/>
      </c>
      <c r="N449" s="252">
        <f t="shared" si="79"/>
      </c>
      <c r="O449" s="252">
        <f t="shared" si="109"/>
      </c>
      <c r="P449" s="253">
        <f t="shared" si="380"/>
      </c>
      <c r="Q449" s="253">
        <f t="shared" si="18"/>
      </c>
      <c r="R449" s="253">
        <f t="shared" si="260"/>
      </c>
      <c r="S449" s="253">
        <f t="shared" si="320"/>
      </c>
      <c r="T449" s="254">
        <f t="shared" si="139"/>
      </c>
      <c r="U449" s="253">
        <f>AVERAGE(U445:U448)</f>
      </c>
      <c r="V449" s="250">
        <f>AVERAGE(V445:V448)</f>
      </c>
      <c r="W449" s="252">
        <f t="shared" si="48"/>
      </c>
      <c r="X449" s="254">
        <f>SUM(X445:X448)</f>
      </c>
      <c r="Y449" s="254">
        <f>SUM(Y445:Y448)</f>
      </c>
      <c r="Z449" s="254">
        <f>SUM(Z445:Z448)</f>
      </c>
      <c r="AA449" s="254">
        <f>SUM(AA445:AA448)</f>
      </c>
      <c r="AB449" s="254">
        <f>SUM(AB445:AB448)</f>
      </c>
      <c r="AC449" s="254">
        <f>SUM(AC445:AC448)</f>
      </c>
      <c r="AD449" s="254">
        <f>SUM(AD445:AD448)</f>
      </c>
      <c r="AE449" s="254">
        <f>SUM(AE445:AE448)</f>
      </c>
      <c r="AF449" s="255">
        <f t="shared" si="199"/>
      </c>
      <c r="AG449" s="256"/>
      <c r="AH449" s="256"/>
      <c r="AI449" s="257">
        <f>SUM(AI445:AI448)</f>
      </c>
    </row>
    <row r="450">
      <c r="A450" s="211"/>
      <c r="B450" s="264" t="s">
        <v>183</v>
      </c>
      <c r="C450" s="264"/>
      <c r="D450" s="265">
        <f>D431+D434+D449+D444+D439</f>
      </c>
      <c r="E450" s="265">
        <f>E431+E434+E449+E444+E439</f>
      </c>
      <c r="F450" s="265">
        <f>F431+F434+F449+F444+F439</f>
      </c>
      <c r="G450" s="265">
        <f>G431+G434+G449+G444+G439</f>
      </c>
      <c r="H450" s="265">
        <f>H431+H434+H449+H444+H439</f>
      </c>
      <c r="I450" s="265">
        <f>I431+I434+I449+I444+I439</f>
      </c>
      <c r="J450" s="266">
        <f t="shared" si="290"/>
      </c>
      <c r="K450" s="267">
        <f t="shared" si="350"/>
      </c>
      <c r="L450" s="267">
        <f t="shared" si="169"/>
      </c>
      <c r="M450" s="268">
        <f t="shared" si="230"/>
      </c>
      <c r="N450" s="267">
        <f t="shared" si="79"/>
      </c>
      <c r="O450" s="267">
        <f t="shared" si="109"/>
      </c>
      <c r="P450" s="268">
        <f t="shared" si="380"/>
      </c>
      <c r="Q450" s="268">
        <f t="shared" si="18"/>
      </c>
      <c r="R450" s="268">
        <f t="shared" si="260"/>
      </c>
      <c r="S450" s="268">
        <f t="shared" si="320"/>
      </c>
      <c r="T450" s="269">
        <f t="shared" si="139"/>
      </c>
      <c r="U450" s="268">
        <f>(U439+U434+U431+U449)/4+U444</f>
      </c>
      <c r="V450" s="267">
        <f>(V439+V434+V431+V449)/4+V444</f>
      </c>
      <c r="W450" s="270">
        <f t="shared" si="48"/>
      </c>
      <c r="X450" s="269">
        <f>X431+X434+X449</f>
      </c>
      <c r="Y450" s="269">
        <f>Y431+Y434+Y449</f>
      </c>
      <c r="Z450" s="269">
        <f>Z431+Z434+Z449</f>
      </c>
      <c r="AA450" s="269">
        <f>AA431+AA434+AA449</f>
      </c>
      <c r="AB450" s="269">
        <f>AB431+AB434+AB449</f>
      </c>
      <c r="AC450" s="269">
        <f>AC431+AC434+AC449</f>
      </c>
      <c r="AD450" s="269">
        <f>AD431+AD434+AD449</f>
      </c>
      <c r="AE450" s="269">
        <f>AE444+AE431+AE434+AE449+AE439</f>
      </c>
      <c r="AF450" s="267">
        <f>AF431</f>
      </c>
      <c r="AG450" s="264"/>
      <c r="AH450" s="264"/>
      <c r="AI450" s="269">
        <f>AI431+AI434+AI439+AI444+AI449</f>
      </c>
    </row>
    <row r="451">
      <c r="A451" s="193" t="s">
        <v>120</v>
      </c>
      <c r="B451" s="194" t="s">
        <v>121</v>
      </c>
      <c r="C451" s="194"/>
      <c r="D451" s="277" t="s">
        <v>122</v>
      </c>
      <c r="E451" s="277"/>
      <c r="F451" s="277"/>
      <c r="G451" s="277"/>
      <c r="H451" s="277"/>
      <c r="I451" s="277"/>
      <c r="J451" s="277"/>
      <c r="K451" s="277"/>
      <c r="L451" s="277"/>
      <c r="M451" s="277"/>
      <c r="N451" s="277"/>
      <c r="O451" s="196" t="s">
        <v>123</v>
      </c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7"/>
    </row>
    <row r="452">
      <c r="A452" s="193"/>
      <c r="B452" s="278" t="s">
        <v>124</v>
      </c>
      <c r="C452" s="279" t="s">
        <v>125</v>
      </c>
      <c r="D452" s="199" t="s">
        <v>126</v>
      </c>
      <c r="E452" s="291" t="s">
        <v>127</v>
      </c>
      <c r="F452" s="282" t="s">
        <v>128</v>
      </c>
      <c r="G452" s="282" t="s">
        <v>129</v>
      </c>
      <c r="H452" s="283" t="s">
        <v>130</v>
      </c>
      <c r="I452" s="271" t="s">
        <v>189</v>
      </c>
      <c r="J452" s="202" t="s">
        <v>131</v>
      </c>
      <c r="K452" s="202" t="s">
        <v>132</v>
      </c>
      <c r="L452" s="202" t="s">
        <v>133</v>
      </c>
      <c r="M452" s="203" t="s">
        <v>134</v>
      </c>
      <c r="N452" s="202" t="s">
        <v>135</v>
      </c>
      <c r="O452" s="204" t="s">
        <v>136</v>
      </c>
      <c r="P452" s="205" t="s">
        <v>137</v>
      </c>
      <c r="Q452" s="205" t="s">
        <v>138</v>
      </c>
      <c r="R452" s="205" t="s">
        <v>139</v>
      </c>
      <c r="S452" s="205" t="s">
        <v>140</v>
      </c>
      <c r="T452" s="206" t="s">
        <v>141</v>
      </c>
      <c r="U452" s="207" t="s">
        <v>142</v>
      </c>
      <c r="V452" s="208" t="s">
        <v>143</v>
      </c>
      <c r="W452" s="196" t="s">
        <v>144</v>
      </c>
      <c r="X452" s="209" t="s">
        <v>145</v>
      </c>
      <c r="Y452" s="209" t="s">
        <v>146</v>
      </c>
      <c r="Z452" s="209" t="s">
        <v>147</v>
      </c>
      <c r="AA452" s="209" t="s">
        <v>148</v>
      </c>
      <c r="AB452" s="209" t="s">
        <v>149</v>
      </c>
      <c r="AC452" s="209" t="s">
        <v>150</v>
      </c>
      <c r="AD452" s="209" t="s">
        <v>151</v>
      </c>
      <c r="AE452" s="209" t="s">
        <v>152</v>
      </c>
      <c r="AF452" s="196" t="s">
        <v>153</v>
      </c>
      <c r="AG452" s="210" t="s">
        <v>154</v>
      </c>
      <c r="AH452" s="210" t="s">
        <v>155</v>
      </c>
      <c r="AI452" s="197" t="s">
        <v>156</v>
      </c>
    </row>
    <row r="453">
      <c r="A453" s="211">
        <v>46193</v>
      </c>
      <c r="B453" s="212" t="s">
        <v>166</v>
      </c>
      <c r="C453" s="213" t="s">
        <v>158</v>
      </c>
      <c r="D453" s="214">
        <v>2263.15</v>
      </c>
      <c r="E453" s="215">
        <v>3</v>
      </c>
      <c r="F453" s="292">
        <v>2</v>
      </c>
      <c r="G453" s="247">
        <v>2</v>
      </c>
      <c r="H453" s="239">
        <v>902</v>
      </c>
      <c r="I453" s="273">
        <v>0</v>
      </c>
      <c r="J453" s="240">
        <f t="shared" ref="J453:J476" si="291">H453/D453</f>
      </c>
      <c r="K453" s="240">
        <f t="shared" ref="K453:K476" si="351">D453/F453</f>
      </c>
      <c r="L453" s="240">
        <f t="shared" ref="L453:L476" si="170">D453/G453</f>
      </c>
      <c r="M453" s="241">
        <f t="shared" ref="M453:M476" si="231">F453/E453</f>
      </c>
      <c r="N453" s="240">
        <f t="shared" ref="N453:N476" si="80">H453/F453</f>
      </c>
      <c r="O453" s="240">
        <f t="shared" ref="O453:O476" si="110">D453/Y453</f>
      </c>
      <c r="P453" s="241">
        <f t="shared" ref="P453:P476" si="381">T453/X453*1</f>
      </c>
      <c r="Q453" s="241">
        <f t="shared" ref="Q453:Q476" si="19">Y453/X453</f>
      </c>
      <c r="R453" s="241">
        <f t="shared" ref="R453:R476" si="261">AA453/X453</f>
      </c>
      <c r="S453" s="241">
        <f t="shared" ref="S453:S476" si="321">AB453/AA453</f>
      </c>
      <c r="T453" s="242">
        <f t="shared" ref="T453:T476" si="140">Z453/U453</f>
      </c>
      <c r="U453" s="243">
        <v>0.0432</v>
      </c>
      <c r="V453" s="244">
        <v>38</v>
      </c>
      <c r="W453" s="240">
        <f t="shared" ref="W453:W476" si="49">(D453/X453)*1000</f>
      </c>
      <c r="X453" s="242">
        <v>11485</v>
      </c>
      <c r="Y453" s="242">
        <v>437</v>
      </c>
      <c r="Z453" s="242">
        <v>66</v>
      </c>
      <c r="AA453" s="242">
        <v>813</v>
      </c>
      <c r="AB453" s="242">
        <v>100</v>
      </c>
      <c r="AC453" s="242">
        <v>7</v>
      </c>
      <c r="AD453" s="242">
        <v>2</v>
      </c>
      <c r="AE453" s="242">
        <v>24</v>
      </c>
      <c r="AF453" s="240">
        <f t="shared" ref="AF453:AF475" si="200">AI453*1000/D453</f>
      </c>
      <c r="AG453" s="222" t="s">
        <v>159</v>
      </c>
      <c r="AH453" s="223" t="s">
        <v>188</v>
      </c>
      <c r="AI453" s="244">
        <v>29</v>
      </c>
    </row>
    <row r="454">
      <c r="A454" s="211"/>
      <c r="B454" s="212" t="s">
        <v>166</v>
      </c>
      <c r="C454" s="213" t="s">
        <v>161</v>
      </c>
      <c r="D454" s="293">
        <v>1635.97</v>
      </c>
      <c r="E454" s="247">
        <v>6</v>
      </c>
      <c r="F454" s="247">
        <v>6</v>
      </c>
      <c r="G454" s="247">
        <v>3</v>
      </c>
      <c r="H454" s="236">
        <v>5023.700000000001</v>
      </c>
      <c r="I454" s="238">
        <v>2</v>
      </c>
      <c r="J454" s="240">
        <f t="shared" si="291"/>
      </c>
      <c r="K454" s="240">
        <f t="shared" si="351"/>
      </c>
      <c r="L454" s="240">
        <f t="shared" si="170"/>
      </c>
      <c r="M454" s="241">
        <f t="shared" si="231"/>
      </c>
      <c r="N454" s="240">
        <f t="shared" si="80"/>
      </c>
      <c r="O454" s="240">
        <f t="shared" si="110"/>
      </c>
      <c r="P454" s="241">
        <f t="shared" si="381"/>
      </c>
      <c r="Q454" s="241">
        <f t="shared" si="19"/>
      </c>
      <c r="R454" s="241">
        <f t="shared" si="261"/>
      </c>
      <c r="S454" s="241">
        <f t="shared" si="321"/>
      </c>
      <c r="T454" s="242">
        <f t="shared" si="140"/>
      </c>
      <c r="U454" s="243">
        <v>0.037</v>
      </c>
      <c r="V454" s="244">
        <v>44</v>
      </c>
      <c r="W454" s="240">
        <f t="shared" si="49"/>
      </c>
      <c r="X454" s="242">
        <v>9493</v>
      </c>
      <c r="Y454" s="242">
        <v>352</v>
      </c>
      <c r="Z454" s="242">
        <v>48</v>
      </c>
      <c r="AA454" s="242">
        <v>724</v>
      </c>
      <c r="AB454" s="242">
        <v>42</v>
      </c>
      <c r="AC454" s="242">
        <v>4</v>
      </c>
      <c r="AD454" s="242">
        <v>0</v>
      </c>
      <c r="AE454" s="244">
        <v>10</v>
      </c>
      <c r="AF454" s="240">
        <f t="shared" si="200"/>
      </c>
      <c r="AG454" s="222" t="s">
        <v>159</v>
      </c>
      <c r="AH454" s="223" t="s">
        <v>188</v>
      </c>
      <c r="AI454" s="244">
        <v>28</v>
      </c>
    </row>
    <row r="455">
      <c r="A455" s="211"/>
      <c r="B455" s="212" t="s">
        <v>166</v>
      </c>
      <c r="C455" s="224" t="s">
        <v>162</v>
      </c>
      <c r="D455" s="236">
        <v>1946.36</v>
      </c>
      <c r="E455" s="247">
        <v>9</v>
      </c>
      <c r="F455" s="247">
        <v>8</v>
      </c>
      <c r="G455" s="247">
        <v>5</v>
      </c>
      <c r="H455" s="236">
        <v>5989.499999999998</v>
      </c>
      <c r="I455" s="238">
        <v>3</v>
      </c>
      <c r="J455" s="240">
        <f t="shared" si="291"/>
      </c>
      <c r="K455" s="240">
        <f t="shared" si="351"/>
      </c>
      <c r="L455" s="240">
        <f t="shared" si="170"/>
      </c>
      <c r="M455" s="241">
        <f t="shared" si="231"/>
      </c>
      <c r="N455" s="240">
        <f t="shared" si="80"/>
      </c>
      <c r="O455" s="240">
        <f t="shared" si="110"/>
      </c>
      <c r="P455" s="241">
        <f t="shared" si="381"/>
      </c>
      <c r="Q455" s="241">
        <f t="shared" si="19"/>
      </c>
      <c r="R455" s="241">
        <f t="shared" si="261"/>
      </c>
      <c r="S455" s="241">
        <f t="shared" si="321"/>
      </c>
      <c r="T455" s="242">
        <f t="shared" si="140"/>
      </c>
      <c r="U455" s="243">
        <v>0.0478</v>
      </c>
      <c r="V455" s="244">
        <v>48</v>
      </c>
      <c r="W455" s="240">
        <f t="shared" si="49"/>
      </c>
      <c r="X455" s="242">
        <v>10587</v>
      </c>
      <c r="Y455" s="242">
        <v>439</v>
      </c>
      <c r="Z455" s="242">
        <v>73</v>
      </c>
      <c r="AA455" s="242">
        <v>730</v>
      </c>
      <c r="AB455" s="242">
        <v>89</v>
      </c>
      <c r="AC455" s="242">
        <v>14</v>
      </c>
      <c r="AD455" s="242">
        <v>2</v>
      </c>
      <c r="AE455" s="244">
        <v>15</v>
      </c>
      <c r="AF455" s="240">
        <f t="shared" si="200"/>
      </c>
      <c r="AG455" s="222" t="s">
        <v>159</v>
      </c>
      <c r="AH455" s="223" t="s">
        <v>188</v>
      </c>
      <c r="AI455" s="244">
        <v>24</v>
      </c>
    </row>
    <row r="456">
      <c r="A456" s="211"/>
      <c r="B456" s="212" t="s">
        <v>166</v>
      </c>
      <c r="C456" s="213" t="s">
        <v>163</v>
      </c>
      <c r="D456" s="236">
        <v>2065.95</v>
      </c>
      <c r="E456" s="238">
        <v>7</v>
      </c>
      <c r="F456" s="238">
        <v>6</v>
      </c>
      <c r="G456" s="238">
        <v>3</v>
      </c>
      <c r="H456" s="236">
        <v>5491.2</v>
      </c>
      <c r="I456" s="238">
        <v>4</v>
      </c>
      <c r="J456" s="240">
        <f t="shared" si="291"/>
      </c>
      <c r="K456" s="240">
        <f t="shared" si="351"/>
      </c>
      <c r="L456" s="240">
        <f t="shared" si="170"/>
      </c>
      <c r="M456" s="241">
        <f t="shared" si="231"/>
      </c>
      <c r="N456" s="240">
        <f t="shared" si="80"/>
      </c>
      <c r="O456" s="240">
        <f t="shared" si="110"/>
      </c>
      <c r="P456" s="241">
        <f t="shared" si="381"/>
      </c>
      <c r="Q456" s="241">
        <f t="shared" si="19"/>
      </c>
      <c r="R456" s="241">
        <f t="shared" si="261"/>
      </c>
      <c r="S456" s="241">
        <f t="shared" si="321"/>
      </c>
      <c r="T456" s="242">
        <f t="shared" si="140"/>
      </c>
      <c r="U456" s="243">
        <v>0.045</v>
      </c>
      <c r="V456" s="244">
        <v>50</v>
      </c>
      <c r="W456" s="240">
        <f t="shared" si="49"/>
      </c>
      <c r="X456" s="242">
        <v>12226</v>
      </c>
      <c r="Y456" s="242">
        <v>473</v>
      </c>
      <c r="Z456" s="242">
        <v>67</v>
      </c>
      <c r="AA456" s="242">
        <v>720</v>
      </c>
      <c r="AB456" s="242">
        <v>86</v>
      </c>
      <c r="AC456" s="242">
        <v>7</v>
      </c>
      <c r="AD456" s="242">
        <v>0</v>
      </c>
      <c r="AE456" s="242">
        <v>17</v>
      </c>
      <c r="AF456" s="240">
        <f t="shared" si="200"/>
      </c>
      <c r="AG456" s="222" t="s">
        <v>159</v>
      </c>
      <c r="AH456" s="223" t="s">
        <v>188</v>
      </c>
      <c r="AI456" s="244">
        <v>15</v>
      </c>
    </row>
    <row r="457">
      <c r="A457" s="211"/>
      <c r="B457" s="249" t="s">
        <v>165</v>
      </c>
      <c r="C457" s="249"/>
      <c r="D457" s="250">
        <f>SUM(D453:D456)</f>
      </c>
      <c r="E457" s="251">
        <f>SUM(E453:E456)</f>
      </c>
      <c r="F457" s="251">
        <f>SUM(F453:F456)</f>
      </c>
      <c r="G457" s="251">
        <f>SUM(G453:G456)</f>
      </c>
      <c r="H457" s="250">
        <f>SUM(H453:H456)</f>
      </c>
      <c r="I457" s="272">
        <f>SUM(I453:I456)</f>
      </c>
      <c r="J457" s="252">
        <f t="shared" si="291"/>
      </c>
      <c r="K457" s="252">
        <f t="shared" si="351"/>
      </c>
      <c r="L457" s="252">
        <f t="shared" si="170"/>
      </c>
      <c r="M457" s="253">
        <f t="shared" si="231"/>
      </c>
      <c r="N457" s="252">
        <f t="shared" si="80"/>
      </c>
      <c r="O457" s="252">
        <f t="shared" si="110"/>
      </c>
      <c r="P457" s="253">
        <f t="shared" si="381"/>
      </c>
      <c r="Q457" s="253">
        <f t="shared" si="19"/>
      </c>
      <c r="R457" s="253">
        <f t="shared" si="261"/>
      </c>
      <c r="S457" s="253">
        <f t="shared" si="321"/>
      </c>
      <c r="T457" s="254">
        <f t="shared" si="140"/>
      </c>
      <c r="U457" s="253">
        <f>AVERAGE(U453:U456)</f>
      </c>
      <c r="V457" s="250">
        <f>AVERAGE(V453:V456)</f>
      </c>
      <c r="W457" s="252">
        <f t="shared" si="49"/>
      </c>
      <c r="X457" s="254">
        <f>SUM(X453:X456)</f>
      </c>
      <c r="Y457" s="254">
        <f>SUM(Y453:Y456)</f>
      </c>
      <c r="Z457" s="254">
        <f>SUM(Z453:Z456)</f>
      </c>
      <c r="AA457" s="254">
        <f>SUM(AA453:AA456)</f>
      </c>
      <c r="AB457" s="254">
        <f>SUM(AB453:AB456)</f>
      </c>
      <c r="AC457" s="254">
        <f>SUM(AC453:AC456)</f>
      </c>
      <c r="AD457" s="254">
        <f>SUM(AD453:AD456)</f>
      </c>
      <c r="AE457" s="254">
        <f>SUM(AE453:AE456)</f>
      </c>
      <c r="AF457" s="255">
        <f t="shared" si="200"/>
      </c>
      <c r="AG457" s="256"/>
      <c r="AH457" s="256"/>
      <c r="AI457" s="257">
        <f>SUM(AI453:AI456)</f>
      </c>
    </row>
    <row r="458">
      <c r="A458" s="211"/>
      <c r="B458" s="212" t="s">
        <v>157</v>
      </c>
      <c r="C458" s="212" t="s">
        <v>164</v>
      </c>
      <c r="D458" s="212">
        <v>1927.93</v>
      </c>
      <c r="E458" s="215">
        <v>3</v>
      </c>
      <c r="F458" s="215">
        <v>3</v>
      </c>
      <c r="G458" s="215">
        <v>3</v>
      </c>
      <c r="H458" s="275">
        <v>3375.9</v>
      </c>
      <c r="I458" s="215">
        <v>2</v>
      </c>
      <c r="J458" s="217">
        <f t="shared" si="291"/>
      </c>
      <c r="K458" s="217">
        <f t="shared" si="351"/>
      </c>
      <c r="L458" s="217">
        <f t="shared" si="170"/>
      </c>
      <c r="M458" s="218">
        <f t="shared" si="231"/>
      </c>
      <c r="N458" s="217">
        <f t="shared" si="80"/>
      </c>
      <c r="O458" s="217">
        <f t="shared" si="110"/>
      </c>
      <c r="P458" s="218">
        <f t="shared" si="381"/>
      </c>
      <c r="Q458" s="218">
        <f t="shared" si="19"/>
      </c>
      <c r="R458" s="218">
        <f t="shared" si="261"/>
      </c>
      <c r="S458" s="218">
        <f t="shared" si="321"/>
      </c>
      <c r="T458" s="219">
        <f t="shared" si="140"/>
      </c>
      <c r="U458" s="220">
        <v>0.0418</v>
      </c>
      <c r="V458" s="221">
        <v>48</v>
      </c>
      <c r="W458" s="217">
        <f t="shared" si="49"/>
      </c>
      <c r="X458" s="221">
        <v>10958</v>
      </c>
      <c r="Y458" s="221">
        <v>422</v>
      </c>
      <c r="Z458" s="219">
        <v>57</v>
      </c>
      <c r="AA458" s="219">
        <v>638</v>
      </c>
      <c r="AB458" s="219">
        <v>56</v>
      </c>
      <c r="AC458" s="219">
        <v>2</v>
      </c>
      <c r="AD458" s="221">
        <v>0</v>
      </c>
      <c r="AE458" s="221">
        <v>15</v>
      </c>
      <c r="AF458" s="217">
        <f t="shared" si="200"/>
      </c>
      <c r="AG458" s="222" t="s">
        <v>159</v>
      </c>
      <c r="AH458" s="223" t="s">
        <v>188</v>
      </c>
      <c r="AI458" s="221">
        <v>21</v>
      </c>
    </row>
    <row customHeight="true" ht="18.452380952380953" r="459">
      <c r="A459" s="211"/>
      <c r="B459" s="212" t="s">
        <v>157</v>
      </c>
      <c r="C459" s="235" t="s">
        <v>167</v>
      </c>
      <c r="D459" s="212">
        <v>1029.41</v>
      </c>
      <c r="E459" s="215">
        <v>3</v>
      </c>
      <c r="F459" s="215">
        <v>2</v>
      </c>
      <c r="G459" s="215">
        <v>1</v>
      </c>
      <c r="H459" s="275">
        <v>3570.6</v>
      </c>
      <c r="I459" s="215">
        <v>1</v>
      </c>
      <c r="J459" s="217">
        <f t="shared" si="291"/>
      </c>
      <c r="K459" s="217">
        <f t="shared" si="351"/>
      </c>
      <c r="L459" s="217">
        <f t="shared" si="170"/>
      </c>
      <c r="M459" s="218">
        <f t="shared" si="231"/>
      </c>
      <c r="N459" s="217">
        <f t="shared" si="80"/>
      </c>
      <c r="O459" s="217">
        <f t="shared" si="110"/>
      </c>
      <c r="P459" s="218">
        <f t="shared" si="381"/>
      </c>
      <c r="Q459" s="218">
        <f t="shared" si="19"/>
      </c>
      <c r="R459" s="218">
        <f t="shared" si="261"/>
      </c>
      <c r="S459" s="218">
        <f t="shared" si="321"/>
      </c>
      <c r="T459" s="219">
        <f t="shared" si="140"/>
      </c>
      <c r="U459" s="220">
        <v>0.0344</v>
      </c>
      <c r="V459" s="221">
        <v>48</v>
      </c>
      <c r="W459" s="217">
        <f t="shared" si="49"/>
      </c>
      <c r="X459" s="221">
        <v>7718</v>
      </c>
      <c r="Y459" s="221">
        <v>396</v>
      </c>
      <c r="Z459" s="219">
        <v>45</v>
      </c>
      <c r="AA459" s="219">
        <v>628</v>
      </c>
      <c r="AB459" s="219">
        <v>56</v>
      </c>
      <c r="AC459" s="219">
        <v>4</v>
      </c>
      <c r="AD459" s="221">
        <v>2</v>
      </c>
      <c r="AE459" s="221">
        <v>10</v>
      </c>
      <c r="AF459" s="217">
        <f t="shared" si="200"/>
      </c>
      <c r="AG459" s="222" t="s">
        <v>159</v>
      </c>
      <c r="AH459" s="223" t="s">
        <v>188</v>
      </c>
      <c r="AI459" s="221">
        <v>20</v>
      </c>
    </row>
    <row customHeight="true" ht="18.452380952380953" r="460">
      <c r="A460" s="211"/>
      <c r="B460" s="212" t="s">
        <v>157</v>
      </c>
      <c r="C460" s="245" t="s">
        <v>168</v>
      </c>
      <c r="D460" s="212">
        <v>1218.13</v>
      </c>
      <c r="E460" s="215">
        <v>5</v>
      </c>
      <c r="F460" s="215">
        <v>4</v>
      </c>
      <c r="G460" s="215">
        <v>3</v>
      </c>
      <c r="H460" s="275">
        <v>3216.4</v>
      </c>
      <c r="I460" s="215">
        <v>1</v>
      </c>
      <c r="J460" s="217">
        <f t="shared" si="291"/>
      </c>
      <c r="K460" s="217">
        <f t="shared" si="351"/>
      </c>
      <c r="L460" s="217">
        <f t="shared" si="170"/>
      </c>
      <c r="M460" s="218">
        <f t="shared" si="231"/>
      </c>
      <c r="N460" s="217">
        <f t="shared" si="80"/>
      </c>
      <c r="O460" s="217">
        <f t="shared" si="110"/>
      </c>
      <c r="P460" s="218">
        <f t="shared" si="381"/>
      </c>
      <c r="Q460" s="218">
        <f t="shared" si="19"/>
      </c>
      <c r="R460" s="218">
        <f t="shared" si="261"/>
      </c>
      <c r="S460" s="218">
        <f t="shared" si="321"/>
      </c>
      <c r="T460" s="219">
        <f t="shared" si="140"/>
      </c>
      <c r="U460" s="220">
        <v>0.0285</v>
      </c>
      <c r="V460" s="221">
        <v>47</v>
      </c>
      <c r="W460" s="217">
        <f t="shared" si="49"/>
      </c>
      <c r="X460" s="221">
        <v>7268</v>
      </c>
      <c r="Y460" s="221">
        <v>468</v>
      </c>
      <c r="Z460" s="219">
        <v>49</v>
      </c>
      <c r="AA460" s="219">
        <v>803</v>
      </c>
      <c r="AB460" s="219">
        <v>32</v>
      </c>
      <c r="AC460" s="219">
        <v>4</v>
      </c>
      <c r="AD460" s="221">
        <v>0</v>
      </c>
      <c r="AE460" s="221">
        <v>4</v>
      </c>
      <c r="AF460" s="217">
        <f t="shared" si="200"/>
      </c>
      <c r="AG460" s="222" t="s">
        <v>159</v>
      </c>
      <c r="AH460" s="223" t="s">
        <v>188</v>
      </c>
      <c r="AI460" s="221">
        <v>15</v>
      </c>
    </row>
    <row r="461">
      <c r="A461" s="211"/>
      <c r="B461" s="212" t="s">
        <v>157</v>
      </c>
      <c r="C461" s="235" t="s">
        <v>169</v>
      </c>
      <c r="D461" s="212">
        <v>1476.15</v>
      </c>
      <c r="E461" s="215">
        <v>6</v>
      </c>
      <c r="F461" s="215">
        <v>3</v>
      </c>
      <c r="G461" s="215">
        <v>2</v>
      </c>
      <c r="H461" s="275">
        <v>2416.7</v>
      </c>
      <c r="I461" s="215">
        <v>1</v>
      </c>
      <c r="J461" s="217">
        <f t="shared" si="291"/>
      </c>
      <c r="K461" s="217">
        <f t="shared" si="351"/>
      </c>
      <c r="L461" s="217">
        <f t="shared" si="170"/>
      </c>
      <c r="M461" s="218">
        <f t="shared" si="231"/>
      </c>
      <c r="N461" s="217">
        <f t="shared" si="80"/>
      </c>
      <c r="O461" s="217">
        <f t="shared" si="110"/>
      </c>
      <c r="P461" s="218">
        <f t="shared" si="381"/>
      </c>
      <c r="Q461" s="218">
        <f t="shared" si="19"/>
      </c>
      <c r="R461" s="218">
        <f t="shared" si="261"/>
      </c>
      <c r="S461" s="218">
        <f t="shared" si="321"/>
      </c>
      <c r="T461" s="219">
        <f t="shared" si="140"/>
      </c>
      <c r="U461" s="220">
        <v>0.0314</v>
      </c>
      <c r="V461" s="221">
        <v>46</v>
      </c>
      <c r="W461" s="217">
        <f t="shared" si="49"/>
      </c>
      <c r="X461" s="221">
        <v>8508</v>
      </c>
      <c r="Y461" s="221">
        <v>501</v>
      </c>
      <c r="Z461" s="219">
        <v>59</v>
      </c>
      <c r="AA461" s="219">
        <v>897</v>
      </c>
      <c r="AB461" s="219">
        <v>36</v>
      </c>
      <c r="AC461" s="219">
        <v>5</v>
      </c>
      <c r="AD461" s="221">
        <v>1</v>
      </c>
      <c r="AE461" s="221">
        <v>3</v>
      </c>
      <c r="AF461" s="217">
        <f t="shared" si="200"/>
      </c>
      <c r="AG461" s="222" t="s">
        <v>159</v>
      </c>
      <c r="AH461" s="223" t="s">
        <v>188</v>
      </c>
      <c r="AI461" s="221">
        <v>15</v>
      </c>
    </row>
    <row r="462">
      <c r="A462" s="211"/>
      <c r="B462" s="227" t="s">
        <v>165</v>
      </c>
      <c r="C462" s="227"/>
      <c r="D462" s="259">
        <f>SUM(D458:D461)</f>
      </c>
      <c r="E462" s="260">
        <f>SUM(E458:E461)</f>
      </c>
      <c r="F462" s="260">
        <f>SUM(F458:F461)</f>
      </c>
      <c r="G462" s="260">
        <f>SUM(G458:G461)</f>
      </c>
      <c r="H462" s="259">
        <f>SUM(H458:H461)</f>
      </c>
      <c r="I462" s="272">
        <f>SUM(I458:I461)</f>
      </c>
      <c r="J462" s="230">
        <f t="shared" si="291"/>
      </c>
      <c r="K462" s="230">
        <f t="shared" si="351"/>
      </c>
      <c r="L462" s="230">
        <f t="shared" si="170"/>
      </c>
      <c r="M462" s="231">
        <f t="shared" si="231"/>
      </c>
      <c r="N462" s="230">
        <f t="shared" si="80"/>
      </c>
      <c r="O462" s="230">
        <f t="shared" si="110"/>
      </c>
      <c r="P462" s="231">
        <f t="shared" si="381"/>
      </c>
      <c r="Q462" s="231">
        <f t="shared" si="19"/>
      </c>
      <c r="R462" s="231">
        <f t="shared" si="261"/>
      </c>
      <c r="S462" s="231">
        <f t="shared" si="321"/>
      </c>
      <c r="T462" s="229">
        <f t="shared" si="140"/>
      </c>
      <c r="U462" s="231">
        <f>AVERAGE(U458:U461)</f>
      </c>
      <c r="V462" s="228">
        <f>AVERAGE(V458:V461)</f>
      </c>
      <c r="W462" s="230">
        <f t="shared" si="49"/>
      </c>
      <c r="X462" s="229">
        <f>SUM(X458:X461)</f>
      </c>
      <c r="Y462" s="229">
        <f>SUM(Y458:Y461)</f>
      </c>
      <c r="Z462" s="229">
        <f>SUM(Z458:Z461)</f>
      </c>
      <c r="AA462" s="229">
        <f>SUM(AA458:AA461)</f>
      </c>
      <c r="AB462" s="229">
        <f>SUM(AB458:AB461)</f>
      </c>
      <c r="AC462" s="229">
        <f>SUM(AC458:AC461)</f>
      </c>
      <c r="AD462" s="229">
        <f>SUM(AD458:AD461)</f>
      </c>
      <c r="AE462" s="229">
        <f>SUM(AE458:AE461)</f>
      </c>
      <c r="AF462" s="232">
        <f t="shared" si="200"/>
      </c>
      <c r="AG462" s="233"/>
      <c r="AH462" s="233"/>
      <c r="AI462" s="229">
        <f>SUM(AI458:AI461)</f>
      </c>
    </row>
    <row r="463">
      <c r="A463" s="211"/>
      <c r="B463" s="212" t="s">
        <v>191</v>
      </c>
      <c r="C463" s="248" t="s">
        <v>170</v>
      </c>
      <c r="D463" s="212">
        <v>1784.92</v>
      </c>
      <c r="E463" s="215">
        <v>5</v>
      </c>
      <c r="F463" s="215">
        <v>4</v>
      </c>
      <c r="G463" s="215">
        <v>3</v>
      </c>
      <c r="H463" s="275">
        <v>2794.0000000000036</v>
      </c>
      <c r="I463" s="215">
        <v>0</v>
      </c>
      <c r="J463" s="217">
        <f t="shared" si="291"/>
      </c>
      <c r="K463" s="217">
        <f t="shared" si="351"/>
      </c>
      <c r="L463" s="217">
        <f t="shared" si="170"/>
      </c>
      <c r="M463" s="218">
        <f t="shared" si="231"/>
      </c>
      <c r="N463" s="217">
        <f t="shared" si="80"/>
      </c>
      <c r="O463" s="217">
        <f t="shared" si="110"/>
      </c>
      <c r="P463" s="218">
        <f t="shared" si="381"/>
      </c>
      <c r="Q463" s="218">
        <f t="shared" si="19"/>
      </c>
      <c r="R463" s="218">
        <f t="shared" si="261"/>
      </c>
      <c r="S463" s="218">
        <f t="shared" si="321"/>
      </c>
      <c r="T463" s="219">
        <f t="shared" si="140"/>
      </c>
      <c r="U463" s="220">
        <v>0.036</v>
      </c>
      <c r="V463" s="221">
        <v>46</v>
      </c>
      <c r="W463" s="217">
        <f t="shared" si="49"/>
      </c>
      <c r="X463" s="221">
        <v>9513</v>
      </c>
      <c r="Y463" s="221">
        <v>544</v>
      </c>
      <c r="Z463" s="219">
        <v>80</v>
      </c>
      <c r="AA463" s="219">
        <v>944</v>
      </c>
      <c r="AB463" s="219">
        <v>46</v>
      </c>
      <c r="AC463" s="219">
        <v>7</v>
      </c>
      <c r="AD463" s="221">
        <v>0</v>
      </c>
      <c r="AE463" s="221">
        <v>6</v>
      </c>
      <c r="AF463" s="217">
        <f t="shared" si="200"/>
      </c>
      <c r="AG463" s="222" t="s">
        <v>159</v>
      </c>
      <c r="AH463" s="223" t="s">
        <v>188</v>
      </c>
      <c r="AI463" s="221">
        <v>16</v>
      </c>
    </row>
    <row r="464">
      <c r="A464" s="211"/>
      <c r="B464" s="212" t="s">
        <v>191</v>
      </c>
      <c r="C464" s="235" t="s">
        <v>172</v>
      </c>
      <c r="D464" s="212">
        <v>1290.5</v>
      </c>
      <c r="E464" s="215">
        <v>3</v>
      </c>
      <c r="F464" s="215">
        <v>1</v>
      </c>
      <c r="G464" s="215">
        <v>0</v>
      </c>
      <c r="H464" s="275">
        <v>1483.9000000000015</v>
      </c>
      <c r="I464" s="215">
        <v>1</v>
      </c>
      <c r="J464" s="217">
        <f t="shared" si="291"/>
      </c>
      <c r="K464" s="217">
        <f t="shared" si="351"/>
      </c>
      <c r="L464" s="217">
        <f t="shared" si="170"/>
      </c>
      <c r="M464" s="218">
        <f t="shared" si="231"/>
      </c>
      <c r="N464" s="217">
        <f t="shared" si="80"/>
      </c>
      <c r="O464" s="217">
        <f t="shared" si="110"/>
      </c>
      <c r="P464" s="218">
        <f t="shared" si="381"/>
      </c>
      <c r="Q464" s="218">
        <f t="shared" si="19"/>
      </c>
      <c r="R464" s="218">
        <f t="shared" si="261"/>
      </c>
      <c r="S464" s="218">
        <f t="shared" si="321"/>
      </c>
      <c r="T464" s="219">
        <f t="shared" si="140"/>
      </c>
      <c r="U464" s="220">
        <v>0.0194</v>
      </c>
      <c r="V464" s="221">
        <v>45</v>
      </c>
      <c r="W464" s="217">
        <f t="shared" si="49"/>
      </c>
      <c r="X464" s="221">
        <v>7299</v>
      </c>
      <c r="Y464" s="221">
        <v>417</v>
      </c>
      <c r="Z464" s="219">
        <v>36</v>
      </c>
      <c r="AA464" s="219">
        <v>809</v>
      </c>
      <c r="AB464" s="219">
        <v>38</v>
      </c>
      <c r="AC464" s="219">
        <v>4</v>
      </c>
      <c r="AD464" s="221">
        <v>0</v>
      </c>
      <c r="AE464" s="221">
        <v>6</v>
      </c>
      <c r="AF464" s="217">
        <f t="shared" si="200"/>
      </c>
      <c r="AG464" s="222" t="s">
        <v>173</v>
      </c>
      <c r="AH464" s="223" t="s">
        <v>185</v>
      </c>
      <c r="AI464" s="221">
        <v>11</v>
      </c>
    </row>
    <row r="465">
      <c r="A465" s="211"/>
      <c r="B465" s="227" t="s">
        <v>165</v>
      </c>
      <c r="C465" s="227"/>
      <c r="D465" s="259">
        <f>SUM(D463:D464)</f>
      </c>
      <c r="E465" s="260">
        <f>SUM(E463:E464)</f>
      </c>
      <c r="F465" s="260">
        <f>SUM(F463:F464)</f>
      </c>
      <c r="G465" s="260">
        <f>SUM(G463:G464)</f>
      </c>
      <c r="H465" s="259">
        <f>SUM(H463:H464)</f>
      </c>
      <c r="I465" s="272">
        <f>SUM(I463:I464)</f>
      </c>
      <c r="J465" s="230">
        <f t="shared" si="291"/>
      </c>
      <c r="K465" s="230">
        <f t="shared" si="351"/>
      </c>
      <c r="L465" s="230">
        <f t="shared" si="170"/>
      </c>
      <c r="M465" s="231">
        <f t="shared" si="231"/>
      </c>
      <c r="N465" s="230">
        <f t="shared" si="80"/>
      </c>
      <c r="O465" s="230">
        <f t="shared" si="110"/>
      </c>
      <c r="P465" s="231">
        <f t="shared" si="381"/>
      </c>
      <c r="Q465" s="231">
        <f t="shared" si="19"/>
      </c>
      <c r="R465" s="231">
        <f t="shared" si="261"/>
      </c>
      <c r="S465" s="231">
        <f t="shared" si="321"/>
      </c>
      <c r="T465" s="229">
        <f t="shared" si="140"/>
      </c>
      <c r="U465" s="231">
        <f>AVERAGE(U463:U464)</f>
      </c>
      <c r="V465" s="228">
        <f>AVERAGE(V463:V464)</f>
      </c>
      <c r="W465" s="230">
        <f t="shared" si="49"/>
      </c>
      <c r="X465" s="229">
        <f>SUM(X463:X464)</f>
      </c>
      <c r="Y465" s="229">
        <f>SUM(Y463:Y464)</f>
      </c>
      <c r="Z465" s="229">
        <f>SUM(Z463:Z464)</f>
      </c>
      <c r="AA465" s="229">
        <f>SUM(AA463:AA464)</f>
      </c>
      <c r="AB465" s="229">
        <f>SUM(AB463:AB464)</f>
      </c>
      <c r="AC465" s="229">
        <f>SUM(AC463:AC464)</f>
      </c>
      <c r="AD465" s="229">
        <f>SUM(AD463:AD464)</f>
      </c>
      <c r="AE465" s="229">
        <f>SUM(AE463:AE464)</f>
      </c>
      <c r="AF465" s="232">
        <f t="shared" si="200"/>
      </c>
      <c r="AG465" s="233"/>
      <c r="AH465" s="233"/>
      <c r="AI465" s="229">
        <f>SUM(AI463:AI464)</f>
      </c>
    </row>
    <row r="466">
      <c r="A466" s="211"/>
      <c r="B466" s="235" t="s">
        <v>186</v>
      </c>
      <c r="C466" s="245" t="s">
        <v>175</v>
      </c>
      <c r="D466" s="284">
        <v>1076.33</v>
      </c>
      <c r="E466" s="238">
        <v>2</v>
      </c>
      <c r="F466" s="238">
        <v>1</v>
      </c>
      <c r="G466" s="238">
        <v>1</v>
      </c>
      <c r="H466" s="285">
        <v>781</v>
      </c>
      <c r="I466" s="238">
        <v>0</v>
      </c>
      <c r="J466" s="240">
        <f t="shared" si="291"/>
      </c>
      <c r="K466" s="240">
        <f t="shared" si="351"/>
      </c>
      <c r="L466" s="240">
        <f t="shared" si="170"/>
      </c>
      <c r="M466" s="241">
        <f t="shared" si="231"/>
      </c>
      <c r="N466" s="240">
        <f t="shared" si="80"/>
      </c>
      <c r="O466" s="240">
        <f t="shared" si="110"/>
      </c>
      <c r="P466" s="241">
        <f t="shared" si="381"/>
      </c>
      <c r="Q466" s="241">
        <f t="shared" si="19"/>
      </c>
      <c r="R466" s="241">
        <f t="shared" si="261"/>
      </c>
      <c r="S466" s="241">
        <f t="shared" si="321"/>
      </c>
      <c r="T466" s="242">
        <f t="shared" si="140"/>
      </c>
      <c r="U466" s="243">
        <v>0.0204</v>
      </c>
      <c r="V466" s="244">
        <v>45</v>
      </c>
      <c r="W466" s="240">
        <f t="shared" si="49"/>
      </c>
      <c r="X466" s="242">
        <v>7249</v>
      </c>
      <c r="Y466" s="242">
        <v>384</v>
      </c>
      <c r="Z466" s="242">
        <v>38</v>
      </c>
      <c r="AA466" s="242">
        <v>755</v>
      </c>
      <c r="AB466" s="242">
        <v>23</v>
      </c>
      <c r="AC466" s="242">
        <v>2</v>
      </c>
      <c r="AD466" s="242">
        <v>0</v>
      </c>
      <c r="AE466" s="242">
        <v>3</v>
      </c>
      <c r="AF466" s="240">
        <f t="shared" si="200"/>
      </c>
      <c r="AG466" s="286" t="s">
        <v>173</v>
      </c>
      <c r="AH466" s="286" t="s">
        <v>185</v>
      </c>
      <c r="AI466" s="244">
        <v>26</v>
      </c>
    </row>
    <row r="467">
      <c r="A467" s="211"/>
      <c r="B467" s="235" t="s">
        <v>186</v>
      </c>
      <c r="C467" s="235" t="s">
        <v>176</v>
      </c>
      <c r="D467" s="284">
        <v>993.19</v>
      </c>
      <c r="E467" s="238">
        <v>1</v>
      </c>
      <c r="F467" s="238">
        <v>0</v>
      </c>
      <c r="G467" s="238">
        <v>0</v>
      </c>
      <c r="H467" s="294">
        <v>0</v>
      </c>
      <c r="I467" s="238">
        <v>0</v>
      </c>
      <c r="J467" s="240">
        <f t="shared" si="291"/>
      </c>
      <c r="K467" s="240">
        <f t="shared" si="351"/>
      </c>
      <c r="L467" s="240">
        <f t="shared" si="170"/>
      </c>
      <c r="M467" s="241">
        <f t="shared" si="231"/>
      </c>
      <c r="N467" s="240">
        <f t="shared" si="80"/>
      </c>
      <c r="O467" s="240">
        <f t="shared" si="110"/>
      </c>
      <c r="P467" s="241">
        <f t="shared" si="381"/>
      </c>
      <c r="Q467" s="241">
        <f t="shared" si="19"/>
      </c>
      <c r="R467" s="241">
        <f t="shared" si="261"/>
      </c>
      <c r="S467" s="241">
        <f t="shared" si="321"/>
      </c>
      <c r="T467" s="242">
        <f t="shared" si="140"/>
      </c>
      <c r="U467" s="243">
        <v>0.0183</v>
      </c>
      <c r="V467" s="244">
        <v>44</v>
      </c>
      <c r="W467" s="240">
        <f t="shared" si="49"/>
      </c>
      <c r="X467" s="242">
        <v>6683</v>
      </c>
      <c r="Y467" s="242">
        <v>511</v>
      </c>
      <c r="Z467" s="242">
        <v>41</v>
      </c>
      <c r="AA467" s="242">
        <v>860</v>
      </c>
      <c r="AB467" s="242">
        <v>36</v>
      </c>
      <c r="AC467" s="242">
        <v>6</v>
      </c>
      <c r="AD467" s="242">
        <v>1</v>
      </c>
      <c r="AE467" s="242">
        <v>3</v>
      </c>
      <c r="AF467" s="240">
        <f t="shared" si="200"/>
      </c>
      <c r="AG467" s="286" t="s">
        <v>173</v>
      </c>
      <c r="AH467" s="286" t="s">
        <v>185</v>
      </c>
      <c r="AI467" s="244">
        <v>36</v>
      </c>
    </row>
    <row r="468">
      <c r="A468" s="211"/>
      <c r="B468" s="235" t="s">
        <v>186</v>
      </c>
      <c r="C468" s="235" t="s">
        <v>177</v>
      </c>
      <c r="D468" s="284">
        <v>924.92</v>
      </c>
      <c r="E468" s="238">
        <v>2</v>
      </c>
      <c r="F468" s="238">
        <v>1</v>
      </c>
      <c r="G468" s="238">
        <v>1</v>
      </c>
      <c r="H468" s="285">
        <v>450.9999999999927</v>
      </c>
      <c r="I468" s="238">
        <v>0</v>
      </c>
      <c r="J468" s="240">
        <f t="shared" si="291"/>
      </c>
      <c r="K468" s="240">
        <f t="shared" si="351"/>
      </c>
      <c r="L468" s="240">
        <f t="shared" si="170"/>
      </c>
      <c r="M468" s="241">
        <f t="shared" si="231"/>
      </c>
      <c r="N468" s="240">
        <f t="shared" si="80"/>
      </c>
      <c r="O468" s="240">
        <f t="shared" si="110"/>
      </c>
      <c r="P468" s="241">
        <f t="shared" si="381"/>
      </c>
      <c r="Q468" s="241">
        <f t="shared" si="19"/>
      </c>
      <c r="R468" s="241">
        <f t="shared" si="261"/>
      </c>
      <c r="S468" s="241">
        <f t="shared" si="321"/>
      </c>
      <c r="T468" s="242">
        <f t="shared" si="140"/>
      </c>
      <c r="U468" s="243">
        <v>0.0166</v>
      </c>
      <c r="V468" s="244">
        <v>44</v>
      </c>
      <c r="W468" s="240">
        <f t="shared" si="49"/>
      </c>
      <c r="X468" s="242">
        <v>6183</v>
      </c>
      <c r="Y468" s="242">
        <v>403</v>
      </c>
      <c r="Z468" s="242">
        <v>33</v>
      </c>
      <c r="AA468" s="242">
        <v>728</v>
      </c>
      <c r="AB468" s="242">
        <v>24</v>
      </c>
      <c r="AC468" s="242">
        <v>5</v>
      </c>
      <c r="AD468" s="242">
        <v>0</v>
      </c>
      <c r="AE468" s="242">
        <v>0</v>
      </c>
      <c r="AF468" s="240">
        <f t="shared" si="200"/>
      </c>
      <c r="AG468" s="286" t="s">
        <v>173</v>
      </c>
      <c r="AH468" s="287" t="s">
        <v>174</v>
      </c>
      <c r="AI468" s="244">
        <v>13</v>
      </c>
    </row>
    <row r="469">
      <c r="A469" s="211"/>
      <c r="B469" s="235" t="s">
        <v>186</v>
      </c>
      <c r="C469" s="248" t="s">
        <v>179</v>
      </c>
      <c r="D469" s="284">
        <v>926.84</v>
      </c>
      <c r="E469" s="238">
        <v>3</v>
      </c>
      <c r="F469" s="288">
        <v>3</v>
      </c>
      <c r="G469" s="238">
        <v>3</v>
      </c>
      <c r="H469" s="285">
        <v>2449.699999999997</v>
      </c>
      <c r="I469" s="238">
        <v>1</v>
      </c>
      <c r="J469" s="240">
        <f t="shared" si="291"/>
      </c>
      <c r="K469" s="240">
        <f t="shared" si="351"/>
      </c>
      <c r="L469" s="240">
        <f t="shared" si="170"/>
      </c>
      <c r="M469" s="241">
        <f t="shared" si="231"/>
      </c>
      <c r="N469" s="240">
        <f t="shared" si="80"/>
      </c>
      <c r="O469" s="240">
        <f t="shared" si="110"/>
      </c>
      <c r="P469" s="241">
        <f t="shared" si="381"/>
      </c>
      <c r="Q469" s="241">
        <f t="shared" si="19"/>
      </c>
      <c r="R469" s="241">
        <f t="shared" si="261"/>
      </c>
      <c r="S469" s="241">
        <f t="shared" si="321"/>
      </c>
      <c r="T469" s="242">
        <f t="shared" si="140"/>
      </c>
      <c r="U469" s="243">
        <v>0.0174</v>
      </c>
      <c r="V469" s="244">
        <v>43</v>
      </c>
      <c r="W469" s="240">
        <f t="shared" si="49"/>
      </c>
      <c r="X469" s="242">
        <v>6402</v>
      </c>
      <c r="Y469" s="242">
        <v>510</v>
      </c>
      <c r="Z469" s="242">
        <v>38</v>
      </c>
      <c r="AA469" s="242">
        <v>828</v>
      </c>
      <c r="AB469" s="242">
        <v>72</v>
      </c>
      <c r="AC469" s="242">
        <v>4</v>
      </c>
      <c r="AD469" s="242">
        <v>1</v>
      </c>
      <c r="AE469" s="242">
        <v>2</v>
      </c>
      <c r="AF469" s="240">
        <f t="shared" si="200"/>
      </c>
      <c r="AG469" s="286" t="s">
        <v>173</v>
      </c>
      <c r="AH469" s="287" t="s">
        <v>174</v>
      </c>
      <c r="AI469" s="242">
        <v>18</v>
      </c>
    </row>
    <row r="470">
      <c r="A470" s="211"/>
      <c r="B470" s="249" t="s">
        <v>165</v>
      </c>
      <c r="C470" s="249"/>
      <c r="D470" s="289">
        <f>SUM(D466:D469)</f>
      </c>
      <c r="E470" s="290">
        <f>SUM(E466:E469)</f>
      </c>
      <c r="F470" s="290">
        <f>SUM(F466:F469)</f>
      </c>
      <c r="G470" s="290">
        <f>SUM(G466:G469)</f>
      </c>
      <c r="H470" s="289">
        <f>SUM(H466:H469)</f>
      </c>
      <c r="I470" s="251">
        <f>SUM(I466:I469)</f>
      </c>
      <c r="J470" s="252">
        <f t="shared" si="291"/>
      </c>
      <c r="K470" s="252">
        <f t="shared" si="351"/>
      </c>
      <c r="L470" s="252">
        <f t="shared" si="170"/>
      </c>
      <c r="M470" s="253">
        <f t="shared" si="231"/>
      </c>
      <c r="N470" s="252">
        <f t="shared" si="80"/>
      </c>
      <c r="O470" s="252">
        <f t="shared" si="110"/>
      </c>
      <c r="P470" s="253">
        <f t="shared" si="381"/>
      </c>
      <c r="Q470" s="253">
        <f t="shared" si="19"/>
      </c>
      <c r="R470" s="253">
        <f t="shared" si="261"/>
      </c>
      <c r="S470" s="253">
        <f t="shared" si="321"/>
      </c>
      <c r="T470" s="254">
        <f t="shared" si="140"/>
      </c>
      <c r="U470" s="253">
        <f>AVERAGE(U466:U469)</f>
      </c>
      <c r="V470" s="250">
        <f>AVERAGE(V466:V469)</f>
      </c>
      <c r="W470" s="252">
        <f t="shared" si="49"/>
      </c>
      <c r="X470" s="254">
        <f>SUM(X466:X469)</f>
      </c>
      <c r="Y470" s="254">
        <f>SUM(Y466:Y469)</f>
      </c>
      <c r="Z470" s="254">
        <f>SUM(Z466:Z469)</f>
      </c>
      <c r="AA470" s="254">
        <f>SUM(AA466:AA469)</f>
      </c>
      <c r="AB470" s="254">
        <f>SUM(AB466:AB469)</f>
      </c>
      <c r="AC470" s="254">
        <f>SUM(AC466:AC469)</f>
      </c>
      <c r="AD470" s="254">
        <f>SUM(AD466:AD469)</f>
      </c>
      <c r="AE470" s="254">
        <f>SUM(AE466:AE469)</f>
      </c>
      <c r="AF470" s="255">
        <f t="shared" si="200"/>
      </c>
      <c r="AG470" s="256"/>
      <c r="AH470" s="256"/>
      <c r="AI470" s="254">
        <f>SUM(AI466:AI469)</f>
      </c>
    </row>
    <row r="471">
      <c r="A471" s="211"/>
      <c r="B471" s="248" t="s">
        <v>178</v>
      </c>
      <c r="C471" s="248" t="s">
        <v>180</v>
      </c>
      <c r="D471" s="261">
        <v>1337.04</v>
      </c>
      <c r="E471" s="237">
        <v>2</v>
      </c>
      <c r="F471" s="237">
        <v>2</v>
      </c>
      <c r="G471" s="238">
        <v>1</v>
      </c>
      <c r="H471" s="239">
        <v>1668.7000000000116</v>
      </c>
      <c r="I471" s="273">
        <v>1</v>
      </c>
      <c r="J471" s="240">
        <f t="shared" si="291"/>
      </c>
      <c r="K471" s="240">
        <f t="shared" si="351"/>
      </c>
      <c r="L471" s="240">
        <f t="shared" si="170"/>
      </c>
      <c r="M471" s="241">
        <f t="shared" si="231"/>
      </c>
      <c r="N471" s="240">
        <f t="shared" si="80"/>
      </c>
      <c r="O471" s="240">
        <f t="shared" si="110"/>
      </c>
      <c r="P471" s="241">
        <f t="shared" si="381"/>
      </c>
      <c r="Q471" s="241">
        <f t="shared" si="19"/>
      </c>
      <c r="R471" s="241">
        <f t="shared" si="261"/>
      </c>
      <c r="S471" s="241">
        <f t="shared" si="321"/>
      </c>
      <c r="T471" s="242">
        <f t="shared" si="140"/>
      </c>
      <c r="U471" s="243">
        <v>0.016</v>
      </c>
      <c r="V471" s="244">
        <v>41</v>
      </c>
      <c r="W471" s="240">
        <f t="shared" si="49"/>
      </c>
      <c r="X471" s="242">
        <v>8907</v>
      </c>
      <c r="Y471" s="242">
        <v>739</v>
      </c>
      <c r="Z471" s="242">
        <v>52</v>
      </c>
      <c r="AA471" s="242">
        <v>1140</v>
      </c>
      <c r="AB471" s="242">
        <v>40</v>
      </c>
      <c r="AC471" s="242">
        <v>4</v>
      </c>
      <c r="AD471" s="242">
        <v>0</v>
      </c>
      <c r="AE471" s="242">
        <v>5</v>
      </c>
      <c r="AF471" s="240">
        <f t="shared" si="200"/>
      </c>
      <c r="AG471" s="222" t="s">
        <v>173</v>
      </c>
      <c r="AH471" s="287" t="s">
        <v>174</v>
      </c>
      <c r="AI471" s="244">
        <v>22</v>
      </c>
    </row>
    <row r="472">
      <c r="A472" s="211"/>
      <c r="B472" s="248" t="s">
        <v>178</v>
      </c>
      <c r="C472" s="248" t="s">
        <v>181</v>
      </c>
      <c r="D472" s="262">
        <v>1763.03</v>
      </c>
      <c r="E472" s="247">
        <v>4</v>
      </c>
      <c r="F472" s="247">
        <v>4</v>
      </c>
      <c r="G472" s="247">
        <v>5</v>
      </c>
      <c r="H472" s="263">
        <v>2209.899999999987</v>
      </c>
      <c r="I472" s="273">
        <v>1</v>
      </c>
      <c r="J472" s="240">
        <f t="shared" si="291"/>
      </c>
      <c r="K472" s="240">
        <f t="shared" si="351"/>
      </c>
      <c r="L472" s="240">
        <f t="shared" si="170"/>
      </c>
      <c r="M472" s="241">
        <f t="shared" si="231"/>
      </c>
      <c r="N472" s="240">
        <f t="shared" si="80"/>
      </c>
      <c r="O472" s="240">
        <f t="shared" si="110"/>
      </c>
      <c r="P472" s="241">
        <f t="shared" si="381"/>
      </c>
      <c r="Q472" s="241">
        <f t="shared" si="19"/>
      </c>
      <c r="R472" s="241">
        <f t="shared" si="261"/>
      </c>
      <c r="S472" s="241">
        <f t="shared" si="321"/>
      </c>
      <c r="T472" s="242">
        <f t="shared" si="140"/>
      </c>
      <c r="U472" s="243">
        <v>0.0207</v>
      </c>
      <c r="V472" s="244">
        <v>40</v>
      </c>
      <c r="W472" s="240">
        <f t="shared" si="49"/>
      </c>
      <c r="X472" s="242">
        <v>11626</v>
      </c>
      <c r="Y472" s="242">
        <v>847</v>
      </c>
      <c r="Z472" s="242">
        <v>81</v>
      </c>
      <c r="AA472" s="242">
        <v>1359</v>
      </c>
      <c r="AB472" s="242">
        <v>46</v>
      </c>
      <c r="AC472" s="242">
        <v>7</v>
      </c>
      <c r="AD472" s="242">
        <v>1</v>
      </c>
      <c r="AE472" s="242">
        <v>3</v>
      </c>
      <c r="AF472" s="240">
        <f t="shared" si="200"/>
      </c>
      <c r="AG472" s="222" t="s">
        <v>173</v>
      </c>
      <c r="AH472" s="287" t="s">
        <v>174</v>
      </c>
      <c r="AI472" s="244">
        <v>30</v>
      </c>
    </row>
    <row r="473">
      <c r="A473" s="211"/>
      <c r="B473" s="248" t="s">
        <v>178</v>
      </c>
      <c r="C473" s="248" t="s">
        <v>182</v>
      </c>
      <c r="D473" s="261">
        <v>1447.94</v>
      </c>
      <c r="E473" s="247">
        <v>2</v>
      </c>
      <c r="F473" s="247">
        <v>2</v>
      </c>
      <c r="G473" s="247">
        <v>2</v>
      </c>
      <c r="H473" s="236">
        <v>3549.7000000000116</v>
      </c>
      <c r="I473" s="238">
        <v>2</v>
      </c>
      <c r="J473" s="240">
        <f t="shared" si="291"/>
      </c>
      <c r="K473" s="240">
        <f t="shared" si="351"/>
      </c>
      <c r="L473" s="240">
        <f t="shared" si="170"/>
      </c>
      <c r="M473" s="241">
        <f t="shared" si="231"/>
      </c>
      <c r="N473" s="240">
        <f t="shared" si="80"/>
      </c>
      <c r="O473" s="240">
        <f t="shared" si="110"/>
      </c>
      <c r="P473" s="241">
        <f t="shared" si="381"/>
      </c>
      <c r="Q473" s="241">
        <f t="shared" si="19"/>
      </c>
      <c r="R473" s="241">
        <f t="shared" si="261"/>
      </c>
      <c r="S473" s="241">
        <f t="shared" si="321"/>
      </c>
      <c r="T473" s="242">
        <f t="shared" si="140"/>
      </c>
      <c r="U473" s="243">
        <v>0.0146</v>
      </c>
      <c r="V473" s="244">
        <v>39</v>
      </c>
      <c r="W473" s="240">
        <f t="shared" si="49"/>
      </c>
      <c r="X473" s="242">
        <v>10881</v>
      </c>
      <c r="Y473" s="242">
        <v>947</v>
      </c>
      <c r="Z473" s="242">
        <v>61</v>
      </c>
      <c r="AA473" s="242">
        <v>1570</v>
      </c>
      <c r="AB473" s="242">
        <v>93</v>
      </c>
      <c r="AC473" s="242">
        <v>8</v>
      </c>
      <c r="AD473" s="242">
        <v>0</v>
      </c>
      <c r="AE473" s="242">
        <v>5</v>
      </c>
      <c r="AF473" s="240">
        <f t="shared" si="200"/>
      </c>
      <c r="AG473" s="222" t="s">
        <v>173</v>
      </c>
      <c r="AH473" s="287" t="s">
        <v>174</v>
      </c>
      <c r="AI473" s="244">
        <v>31</v>
      </c>
    </row>
    <row r="474">
      <c r="A474" s="211"/>
      <c r="B474" s="248" t="s">
        <v>178</v>
      </c>
      <c r="C474" s="248" t="s">
        <v>192</v>
      </c>
      <c r="D474" s="261">
        <v>1048.11</v>
      </c>
      <c r="E474" s="238">
        <v>4</v>
      </c>
      <c r="F474" s="238">
        <v>3</v>
      </c>
      <c r="G474" s="238">
        <v>2</v>
      </c>
      <c r="H474" s="236">
        <v>3121.800000000003</v>
      </c>
      <c r="I474" s="238">
        <v>2</v>
      </c>
      <c r="J474" s="240">
        <f t="shared" si="291"/>
      </c>
      <c r="K474" s="240">
        <f t="shared" si="351"/>
      </c>
      <c r="L474" s="240">
        <f t="shared" si="170"/>
      </c>
      <c r="M474" s="241">
        <f t="shared" si="231"/>
      </c>
      <c r="N474" s="240">
        <f t="shared" si="80"/>
      </c>
      <c r="O474" s="240">
        <f t="shared" si="110"/>
      </c>
      <c r="P474" s="241">
        <f t="shared" si="381"/>
      </c>
      <c r="Q474" s="241">
        <f t="shared" si="19"/>
      </c>
      <c r="R474" s="241">
        <f t="shared" si="261"/>
      </c>
      <c r="S474" s="241">
        <f t="shared" si="321"/>
      </c>
      <c r="T474" s="242">
        <f t="shared" si="140"/>
      </c>
      <c r="U474" s="243">
        <v>0.0254</v>
      </c>
      <c r="V474" s="244">
        <v>40</v>
      </c>
      <c r="W474" s="240">
        <f t="shared" si="49"/>
      </c>
      <c r="X474" s="242">
        <v>7668</v>
      </c>
      <c r="Y474" s="242">
        <v>414</v>
      </c>
      <c r="Z474" s="242">
        <v>37</v>
      </c>
      <c r="AA474" s="242">
        <v>805</v>
      </c>
      <c r="AB474" s="242">
        <v>40</v>
      </c>
      <c r="AC474" s="242">
        <v>7</v>
      </c>
      <c r="AD474" s="242">
        <v>0</v>
      </c>
      <c r="AE474" s="244">
        <v>8</v>
      </c>
      <c r="AF474" s="240">
        <f t="shared" si="200"/>
      </c>
      <c r="AG474" s="222" t="s">
        <v>173</v>
      </c>
      <c r="AH474" s="223" t="s">
        <v>185</v>
      </c>
      <c r="AI474" s="244">
        <v>14</v>
      </c>
    </row>
    <row r="475">
      <c r="A475" s="211"/>
      <c r="B475" s="249" t="s">
        <v>165</v>
      </c>
      <c r="C475" s="249"/>
      <c r="D475" s="250">
        <f>SUM(D471:D474)</f>
      </c>
      <c r="E475" s="251">
        <f>SUM(E471:E474)</f>
      </c>
      <c r="F475" s="251">
        <f>SUM(F471:F474)</f>
      </c>
      <c r="G475" s="251">
        <f>SUM(G471:G474)</f>
      </c>
      <c r="H475" s="250">
        <f>SUM(H471:H474)</f>
      </c>
      <c r="I475" s="272">
        <f>SUM(I471:I474)</f>
      </c>
      <c r="J475" s="252">
        <f t="shared" si="291"/>
      </c>
      <c r="K475" s="252">
        <f t="shared" si="351"/>
      </c>
      <c r="L475" s="252">
        <f t="shared" si="170"/>
      </c>
      <c r="M475" s="253">
        <f t="shared" si="231"/>
      </c>
      <c r="N475" s="252">
        <f t="shared" si="80"/>
      </c>
      <c r="O475" s="252">
        <f t="shared" si="110"/>
      </c>
      <c r="P475" s="253">
        <f t="shared" si="381"/>
      </c>
      <c r="Q475" s="253">
        <f t="shared" si="19"/>
      </c>
      <c r="R475" s="253">
        <f t="shared" si="261"/>
      </c>
      <c r="S475" s="253">
        <f t="shared" si="321"/>
      </c>
      <c r="T475" s="254">
        <f t="shared" si="140"/>
      </c>
      <c r="U475" s="253">
        <f>AVERAGE(U471:U474)</f>
      </c>
      <c r="V475" s="250">
        <f>AVERAGE(V471:V474)</f>
      </c>
      <c r="W475" s="252">
        <f t="shared" si="49"/>
      </c>
      <c r="X475" s="254">
        <f>SUM(X471:X474)</f>
      </c>
      <c r="Y475" s="254">
        <f>SUM(Y471:Y474)</f>
      </c>
      <c r="Z475" s="254">
        <f>SUM(Z471:Z474)</f>
      </c>
      <c r="AA475" s="254">
        <f>SUM(AA471:AA474)</f>
      </c>
      <c r="AB475" s="254">
        <f>SUM(AB471:AB474)</f>
      </c>
      <c r="AC475" s="254">
        <f>SUM(AC471:AC474)</f>
      </c>
      <c r="AD475" s="254">
        <f>SUM(AD471:AD474)</f>
      </c>
      <c r="AE475" s="254">
        <f>SUM(AE471:AE474)</f>
      </c>
      <c r="AF475" s="255">
        <f t="shared" si="200"/>
      </c>
      <c r="AG475" s="256"/>
      <c r="AH475" s="256"/>
      <c r="AI475" s="257">
        <f>SUM(AI471:AI474)</f>
      </c>
    </row>
    <row r="476">
      <c r="A476" s="211"/>
      <c r="B476" s="264" t="s">
        <v>183</v>
      </c>
      <c r="C476" s="264"/>
      <c r="D476" s="265">
        <f>D457+D462+D475+D470+D465</f>
      </c>
      <c r="E476" s="265">
        <f>E457+E462+E475+E470+E465</f>
      </c>
      <c r="F476" s="265">
        <f>F457+F462+F475+F470+F465</f>
      </c>
      <c r="G476" s="265">
        <f>G457+G462+G475+G470+G465</f>
      </c>
      <c r="H476" s="265">
        <f>H457+H462+H475+H470+H465</f>
      </c>
      <c r="I476" s="265">
        <f>I457+I462+I475+I470+I465</f>
      </c>
      <c r="J476" s="266">
        <f t="shared" si="291"/>
      </c>
      <c r="K476" s="267">
        <f t="shared" si="351"/>
      </c>
      <c r="L476" s="267">
        <f t="shared" si="170"/>
      </c>
      <c r="M476" s="268">
        <f t="shared" si="231"/>
      </c>
      <c r="N476" s="267">
        <f t="shared" si="80"/>
      </c>
      <c r="O476" s="267">
        <f t="shared" si="110"/>
      </c>
      <c r="P476" s="268">
        <f t="shared" si="381"/>
      </c>
      <c r="Q476" s="268">
        <f t="shared" si="19"/>
      </c>
      <c r="R476" s="268">
        <f t="shared" si="261"/>
      </c>
      <c r="S476" s="268">
        <f t="shared" si="321"/>
      </c>
      <c r="T476" s="269">
        <f t="shared" si="140"/>
      </c>
      <c r="U476" s="268">
        <f>(U465+U462+U457+U475)/4+U470</f>
      </c>
      <c r="V476" s="267">
        <f>(V465+V462+V457+V475)/4+V470</f>
      </c>
      <c r="W476" s="270">
        <f t="shared" si="49"/>
      </c>
      <c r="X476" s="269">
        <f>X457+X462+X475</f>
      </c>
      <c r="Y476" s="269">
        <f>Y457+Y462+Y475</f>
      </c>
      <c r="Z476" s="269">
        <f>Z457+Z462+Z475</f>
      </c>
      <c r="AA476" s="269">
        <f>AA457+AA462+AA475</f>
      </c>
      <c r="AB476" s="269">
        <f>AB457+AB462+AB475</f>
      </c>
      <c r="AC476" s="269">
        <f>AC457+AC462+AC475</f>
      </c>
      <c r="AD476" s="269">
        <f>AD457+AD462+AD475</f>
      </c>
      <c r="AE476" s="269">
        <f>AE470+AE457+AE462+AE475+AE465</f>
      </c>
      <c r="AF476" s="267">
        <f>AF457</f>
      </c>
      <c r="AG476" s="264"/>
      <c r="AH476" s="264"/>
      <c r="AI476" s="269">
        <f>AI457+AI462+AI465+AI470+AI475</f>
      </c>
    </row>
    <row r="477">
      <c r="A477" s="193" t="s">
        <v>120</v>
      </c>
      <c r="B477" s="194" t="s">
        <v>121</v>
      </c>
      <c r="C477" s="194"/>
      <c r="D477" s="277" t="s">
        <v>122</v>
      </c>
      <c r="E477" s="277"/>
      <c r="F477" s="277"/>
      <c r="G477" s="277"/>
      <c r="H477" s="277"/>
      <c r="I477" s="277"/>
      <c r="J477" s="277"/>
      <c r="K477" s="277"/>
      <c r="L477" s="277"/>
      <c r="M477" s="277"/>
      <c r="N477" s="277"/>
      <c r="O477" s="196" t="s">
        <v>123</v>
      </c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7"/>
    </row>
    <row r="478">
      <c r="A478" s="193"/>
      <c r="B478" s="278" t="s">
        <v>124</v>
      </c>
      <c r="C478" s="279" t="s">
        <v>125</v>
      </c>
      <c r="D478" s="280" t="s">
        <v>126</v>
      </c>
      <c r="E478" s="281" t="s">
        <v>127</v>
      </c>
      <c r="F478" s="282" t="s">
        <v>128</v>
      </c>
      <c r="G478" s="282" t="s">
        <v>129</v>
      </c>
      <c r="H478" s="283" t="s">
        <v>130</v>
      </c>
      <c r="I478" s="271" t="s">
        <v>189</v>
      </c>
      <c r="J478" s="202" t="s">
        <v>131</v>
      </c>
      <c r="K478" s="202" t="s">
        <v>132</v>
      </c>
      <c r="L478" s="202" t="s">
        <v>133</v>
      </c>
      <c r="M478" s="203" t="s">
        <v>134</v>
      </c>
      <c r="N478" s="202" t="s">
        <v>135</v>
      </c>
      <c r="O478" s="204" t="s">
        <v>136</v>
      </c>
      <c r="P478" s="205" t="s">
        <v>137</v>
      </c>
      <c r="Q478" s="205" t="s">
        <v>138</v>
      </c>
      <c r="R478" s="205" t="s">
        <v>139</v>
      </c>
      <c r="S478" s="205" t="s">
        <v>140</v>
      </c>
      <c r="T478" s="206" t="s">
        <v>141</v>
      </c>
      <c r="U478" s="207" t="s">
        <v>142</v>
      </c>
      <c r="V478" s="208" t="s">
        <v>143</v>
      </c>
      <c r="W478" s="196" t="s">
        <v>144</v>
      </c>
      <c r="X478" s="209" t="s">
        <v>145</v>
      </c>
      <c r="Y478" s="209" t="s">
        <v>146</v>
      </c>
      <c r="Z478" s="209" t="s">
        <v>147</v>
      </c>
      <c r="AA478" s="209" t="s">
        <v>148</v>
      </c>
      <c r="AB478" s="209" t="s">
        <v>149</v>
      </c>
      <c r="AC478" s="209" t="s">
        <v>150</v>
      </c>
      <c r="AD478" s="209" t="s">
        <v>151</v>
      </c>
      <c r="AE478" s="209" t="s">
        <v>152</v>
      </c>
      <c r="AF478" s="196" t="s">
        <v>153</v>
      </c>
      <c r="AG478" s="210" t="s">
        <v>154</v>
      </c>
      <c r="AH478" s="210" t="s">
        <v>155</v>
      </c>
      <c r="AI478" s="197" t="s">
        <v>156</v>
      </c>
    </row>
    <row r="479">
      <c r="A479" s="211">
        <v>46194</v>
      </c>
      <c r="B479" s="212" t="s">
        <v>166</v>
      </c>
      <c r="C479" s="213" t="s">
        <v>158</v>
      </c>
      <c r="D479" s="246">
        <v>2939.52</v>
      </c>
      <c r="E479" s="247">
        <v>8</v>
      </c>
      <c r="F479" s="247">
        <v>7</v>
      </c>
      <c r="G479" s="247">
        <v>5</v>
      </c>
      <c r="H479" s="239">
        <v>4735.5</v>
      </c>
      <c r="I479" s="273">
        <v>3</v>
      </c>
      <c r="J479" s="240">
        <f t="shared" ref="J479:J502" si="292">H479/D479</f>
      </c>
      <c r="K479" s="240">
        <f t="shared" ref="K479:K502" si="352">D479/F479</f>
      </c>
      <c r="L479" s="240">
        <f t="shared" ref="L479:L502" si="171">D479/G479</f>
      </c>
      <c r="M479" s="241">
        <f t="shared" ref="M479:M502" si="232">F479/E479</f>
      </c>
      <c r="N479" s="240">
        <f t="shared" ref="N479:N502" si="81">H479/F479</f>
      </c>
      <c r="O479" s="240">
        <f t="shared" ref="O479:O502" si="111">D479/Y479</f>
      </c>
      <c r="P479" s="241">
        <f t="shared" ref="P479:P502" si="382">T479/X479*1</f>
      </c>
      <c r="Q479" s="241">
        <f t="shared" ref="Q479:Q502" si="20">Y479/X479</f>
      </c>
      <c r="R479" s="241">
        <f t="shared" ref="R479:R502" si="262">AA479/X479</f>
      </c>
      <c r="S479" s="241">
        <f t="shared" ref="S479:S502" si="322">AB479/AA479</f>
      </c>
      <c r="T479" s="242">
        <f t="shared" ref="T479:T502" si="141">Z479/U479</f>
      </c>
      <c r="U479" s="243">
        <v>0.0392</v>
      </c>
      <c r="V479" s="244">
        <v>42</v>
      </c>
      <c r="W479" s="240">
        <f t="shared" ref="W479:W502" si="50">(D479/X479)*1000</f>
      </c>
      <c r="X479" s="242">
        <v>17436</v>
      </c>
      <c r="Y479" s="242">
        <v>662</v>
      </c>
      <c r="Z479" s="242">
        <v>99</v>
      </c>
      <c r="AA479" s="242">
        <v>1156</v>
      </c>
      <c r="AB479" s="242">
        <v>62</v>
      </c>
      <c r="AC479" s="242">
        <v>13</v>
      </c>
      <c r="AD479" s="242">
        <v>2</v>
      </c>
      <c r="AE479" s="242">
        <v>23</v>
      </c>
      <c r="AF479" s="240">
        <f t="shared" ref="AF479:AF501" si="201">AI479*1000/D479</f>
      </c>
      <c r="AG479" s="222" t="s">
        <v>159</v>
      </c>
      <c r="AH479" s="223" t="s">
        <v>160</v>
      </c>
      <c r="AI479" s="244">
        <v>29</v>
      </c>
    </row>
    <row r="480">
      <c r="A480" s="211"/>
      <c r="B480" s="212" t="s">
        <v>166</v>
      </c>
      <c r="C480" s="213" t="s">
        <v>161</v>
      </c>
      <c r="D480" s="236">
        <v>2922.13</v>
      </c>
      <c r="E480" s="247">
        <v>8</v>
      </c>
      <c r="F480" s="247">
        <v>7</v>
      </c>
      <c r="G480" s="247">
        <v>4</v>
      </c>
      <c r="H480" s="236">
        <v>4231.15</v>
      </c>
      <c r="I480" s="238">
        <v>1</v>
      </c>
      <c r="J480" s="240">
        <f t="shared" si="292"/>
      </c>
      <c r="K480" s="240">
        <f t="shared" si="352"/>
      </c>
      <c r="L480" s="240">
        <f t="shared" si="171"/>
      </c>
      <c r="M480" s="241">
        <f t="shared" si="232"/>
      </c>
      <c r="N480" s="240">
        <f t="shared" si="81"/>
      </c>
      <c r="O480" s="240">
        <f t="shared" si="111"/>
      </c>
      <c r="P480" s="241">
        <f t="shared" si="382"/>
      </c>
      <c r="Q480" s="241">
        <f t="shared" si="20"/>
      </c>
      <c r="R480" s="241">
        <f t="shared" si="262"/>
      </c>
      <c r="S480" s="241">
        <f t="shared" si="322"/>
      </c>
      <c r="T480" s="242">
        <f t="shared" si="141"/>
      </c>
      <c r="U480" s="243">
        <v>0.0408</v>
      </c>
      <c r="V480" s="244">
        <v>41</v>
      </c>
      <c r="W480" s="240">
        <f t="shared" si="50"/>
      </c>
      <c r="X480" s="242">
        <v>20063</v>
      </c>
      <c r="Y480" s="242">
        <v>646</v>
      </c>
      <c r="Z480" s="242">
        <v>96</v>
      </c>
      <c r="AA480" s="242">
        <v>996</v>
      </c>
      <c r="AB480" s="242">
        <v>62</v>
      </c>
      <c r="AC480" s="242">
        <v>7</v>
      </c>
      <c r="AD480" s="242">
        <v>6</v>
      </c>
      <c r="AE480" s="244">
        <v>32</v>
      </c>
      <c r="AF480" s="240">
        <f t="shared" si="201"/>
      </c>
      <c r="AG480" s="222" t="s">
        <v>159</v>
      </c>
      <c r="AH480" s="223" t="s">
        <v>160</v>
      </c>
      <c r="AI480" s="244">
        <v>33</v>
      </c>
    </row>
    <row r="481">
      <c r="A481" s="211"/>
      <c r="B481" s="212" t="s">
        <v>166</v>
      </c>
      <c r="C481" s="224" t="s">
        <v>162</v>
      </c>
      <c r="D481" s="236">
        <v>3205.36</v>
      </c>
      <c r="E481" s="247">
        <v>8</v>
      </c>
      <c r="F481" s="247">
        <v>6</v>
      </c>
      <c r="G481" s="247">
        <v>6</v>
      </c>
      <c r="H481" s="236">
        <v>3036</v>
      </c>
      <c r="I481" s="238">
        <v>0</v>
      </c>
      <c r="J481" s="240">
        <f t="shared" si="292"/>
      </c>
      <c r="K481" s="240">
        <f t="shared" si="352"/>
      </c>
      <c r="L481" s="240">
        <f t="shared" si="171"/>
      </c>
      <c r="M481" s="241">
        <f t="shared" si="232"/>
      </c>
      <c r="N481" s="240">
        <f t="shared" si="81"/>
      </c>
      <c r="O481" s="240">
        <f t="shared" si="111"/>
      </c>
      <c r="P481" s="241">
        <f t="shared" si="382"/>
      </c>
      <c r="Q481" s="241">
        <f t="shared" si="20"/>
      </c>
      <c r="R481" s="241">
        <f t="shared" si="262"/>
      </c>
      <c r="S481" s="241">
        <f t="shared" si="322"/>
      </c>
      <c r="T481" s="242">
        <f t="shared" si="141"/>
      </c>
      <c r="U481" s="243">
        <v>0.0428</v>
      </c>
      <c r="V481" s="244">
        <v>43</v>
      </c>
      <c r="W481" s="240">
        <f t="shared" si="50"/>
      </c>
      <c r="X481" s="242">
        <v>28441</v>
      </c>
      <c r="Y481" s="242">
        <v>668</v>
      </c>
      <c r="Z481" s="242">
        <v>95</v>
      </c>
      <c r="AA481" s="242">
        <v>1007</v>
      </c>
      <c r="AB481" s="242">
        <v>57</v>
      </c>
      <c r="AC481" s="242">
        <v>12</v>
      </c>
      <c r="AD481" s="242">
        <v>4</v>
      </c>
      <c r="AE481" s="244">
        <v>46</v>
      </c>
      <c r="AF481" s="240">
        <f t="shared" si="201"/>
      </c>
      <c r="AG481" s="222" t="s">
        <v>159</v>
      </c>
      <c r="AH481" s="223" t="s">
        <v>160</v>
      </c>
      <c r="AI481" s="244">
        <v>29</v>
      </c>
    </row>
    <row r="482">
      <c r="A482" s="211"/>
      <c r="B482" s="212" t="s">
        <v>166</v>
      </c>
      <c r="C482" s="213" t="s">
        <v>163</v>
      </c>
      <c r="D482" s="236">
        <v>2736.22</v>
      </c>
      <c r="E482" s="238">
        <v>5</v>
      </c>
      <c r="F482" s="238">
        <v>4</v>
      </c>
      <c r="G482" s="238">
        <v>4</v>
      </c>
      <c r="H482" s="236">
        <v>2523.3999999999996</v>
      </c>
      <c r="I482" s="238">
        <v>1</v>
      </c>
      <c r="J482" s="240">
        <f t="shared" si="292"/>
      </c>
      <c r="K482" s="240">
        <f t="shared" si="352"/>
      </c>
      <c r="L482" s="240">
        <f t="shared" si="171"/>
      </c>
      <c r="M482" s="241">
        <f t="shared" si="232"/>
      </c>
      <c r="N482" s="240">
        <f t="shared" si="81"/>
      </c>
      <c r="O482" s="240">
        <f t="shared" si="111"/>
      </c>
      <c r="P482" s="241">
        <f t="shared" si="382"/>
      </c>
      <c r="Q482" s="241">
        <f t="shared" si="20"/>
      </c>
      <c r="R482" s="241">
        <f t="shared" si="262"/>
      </c>
      <c r="S482" s="241">
        <f t="shared" si="322"/>
      </c>
      <c r="T482" s="242">
        <f t="shared" si="141"/>
      </c>
      <c r="U482" s="243">
        <v>0.0579</v>
      </c>
      <c r="V482" s="244">
        <v>47</v>
      </c>
      <c r="W482" s="240">
        <f t="shared" si="50"/>
      </c>
      <c r="X482" s="242">
        <v>27241</v>
      </c>
      <c r="Y482" s="242">
        <v>459</v>
      </c>
      <c r="Z482" s="242">
        <v>84</v>
      </c>
      <c r="AA482" s="242">
        <v>644</v>
      </c>
      <c r="AB482" s="242">
        <v>66</v>
      </c>
      <c r="AC482" s="242">
        <v>11</v>
      </c>
      <c r="AD482" s="242">
        <v>3</v>
      </c>
      <c r="AE482" s="242">
        <v>60</v>
      </c>
      <c r="AF482" s="240">
        <f t="shared" si="201"/>
      </c>
      <c r="AG482" s="222" t="s">
        <v>159</v>
      </c>
      <c r="AH482" s="223" t="s">
        <v>160</v>
      </c>
      <c r="AI482" s="244">
        <v>24</v>
      </c>
    </row>
    <row r="483">
      <c r="A483" s="211"/>
      <c r="B483" s="249" t="s">
        <v>165</v>
      </c>
      <c r="C483" s="249"/>
      <c r="D483" s="250">
        <f>SUM(D479:D482)</f>
      </c>
      <c r="E483" s="251">
        <f>SUM(E479:E482)</f>
      </c>
      <c r="F483" s="251">
        <f>SUM(F479:F482)</f>
      </c>
      <c r="G483" s="251">
        <f>SUM(G479:G482)</f>
      </c>
      <c r="H483" s="250">
        <f>SUM(H479:H482)</f>
      </c>
      <c r="I483" s="272">
        <f>SUM(I479:I482)</f>
      </c>
      <c r="J483" s="252">
        <f t="shared" si="292"/>
      </c>
      <c r="K483" s="252">
        <f t="shared" si="352"/>
      </c>
      <c r="L483" s="252">
        <f t="shared" si="171"/>
      </c>
      <c r="M483" s="253">
        <f t="shared" si="232"/>
      </c>
      <c r="N483" s="252">
        <f t="shared" si="81"/>
      </c>
      <c r="O483" s="252">
        <f t="shared" si="111"/>
      </c>
      <c r="P483" s="253">
        <f t="shared" si="382"/>
      </c>
      <c r="Q483" s="253">
        <f t="shared" si="20"/>
      </c>
      <c r="R483" s="253">
        <f t="shared" si="262"/>
      </c>
      <c r="S483" s="253">
        <f t="shared" si="322"/>
      </c>
      <c r="T483" s="254">
        <f t="shared" si="141"/>
      </c>
      <c r="U483" s="253">
        <f>AVERAGE(U479:U482)</f>
      </c>
      <c r="V483" s="250">
        <f>AVERAGE(V479:V482)</f>
      </c>
      <c r="W483" s="252">
        <f t="shared" si="50"/>
      </c>
      <c r="X483" s="254">
        <f>SUM(X479:X482)</f>
      </c>
      <c r="Y483" s="254">
        <f>SUM(Y479:Y482)</f>
      </c>
      <c r="Z483" s="254">
        <f>SUM(Z479:Z482)</f>
      </c>
      <c r="AA483" s="254">
        <f>SUM(AA479:AA482)</f>
      </c>
      <c r="AB483" s="254">
        <f>SUM(AB479:AB482)</f>
      </c>
      <c r="AC483" s="254">
        <f>SUM(AC479:AC482)</f>
      </c>
      <c r="AD483" s="254">
        <f>SUM(AD479:AD482)</f>
      </c>
      <c r="AE483" s="254">
        <f>SUM(AE479:AE482)</f>
      </c>
      <c r="AF483" s="255">
        <f t="shared" si="201"/>
      </c>
      <c r="AG483" s="256"/>
      <c r="AH483" s="256"/>
      <c r="AI483" s="257">
        <f>SUM(AI479:AI482)</f>
      </c>
    </row>
    <row r="484">
      <c r="A484" s="211"/>
      <c r="B484" s="212" t="s">
        <v>191</v>
      </c>
      <c r="C484" s="212" t="s">
        <v>164</v>
      </c>
      <c r="D484" s="212">
        <v>2045.75</v>
      </c>
      <c r="E484" s="215">
        <v>3</v>
      </c>
      <c r="F484" s="215">
        <v>2</v>
      </c>
      <c r="G484" s="215">
        <v>2</v>
      </c>
      <c r="H484" s="275">
        <v>1637.8999999999996</v>
      </c>
      <c r="I484" s="215">
        <v>1</v>
      </c>
      <c r="J484" s="217">
        <f t="shared" si="292"/>
      </c>
      <c r="K484" s="217">
        <f t="shared" si="352"/>
      </c>
      <c r="L484" s="217">
        <f t="shared" si="171"/>
      </c>
      <c r="M484" s="218">
        <f t="shared" si="232"/>
      </c>
      <c r="N484" s="217">
        <f t="shared" si="81"/>
      </c>
      <c r="O484" s="217">
        <f t="shared" si="111"/>
      </c>
      <c r="P484" s="218">
        <f t="shared" si="382"/>
      </c>
      <c r="Q484" s="218">
        <f t="shared" si="20"/>
      </c>
      <c r="R484" s="218">
        <f t="shared" si="262"/>
      </c>
      <c r="S484" s="218">
        <f t="shared" si="322"/>
      </c>
      <c r="T484" s="219">
        <f t="shared" si="141"/>
      </c>
      <c r="U484" s="220">
        <v>0.0533</v>
      </c>
      <c r="V484" s="221">
        <v>48</v>
      </c>
      <c r="W484" s="217">
        <f t="shared" si="50"/>
      </c>
      <c r="X484" s="221">
        <v>15133</v>
      </c>
      <c r="Y484" s="221">
        <v>334</v>
      </c>
      <c r="Z484" s="219">
        <v>54</v>
      </c>
      <c r="AA484" s="219">
        <v>526</v>
      </c>
      <c r="AB484" s="219">
        <v>36</v>
      </c>
      <c r="AC484" s="219">
        <v>3</v>
      </c>
      <c r="AD484" s="221">
        <v>2</v>
      </c>
      <c r="AE484" s="221">
        <v>24</v>
      </c>
      <c r="AF484" s="217">
        <f t="shared" si="201"/>
      </c>
      <c r="AG484" s="222" t="s">
        <v>159</v>
      </c>
      <c r="AH484" s="223" t="s">
        <v>160</v>
      </c>
      <c r="AI484" s="221">
        <v>11</v>
      </c>
    </row>
    <row r="485">
      <c r="A485" s="211"/>
      <c r="B485" s="212" t="s">
        <v>191</v>
      </c>
      <c r="C485" s="235" t="s">
        <v>167</v>
      </c>
      <c r="D485" s="212">
        <v>1986.31</v>
      </c>
      <c r="E485" s="215">
        <v>10</v>
      </c>
      <c r="F485" s="215">
        <v>5</v>
      </c>
      <c r="G485" s="215">
        <v>4</v>
      </c>
      <c r="H485" s="275">
        <v>4757.5</v>
      </c>
      <c r="I485" s="215">
        <v>3</v>
      </c>
      <c r="J485" s="217">
        <f t="shared" si="292"/>
      </c>
      <c r="K485" s="217">
        <f t="shared" si="352"/>
      </c>
      <c r="L485" s="217">
        <f t="shared" si="171"/>
      </c>
      <c r="M485" s="218">
        <f t="shared" si="232"/>
      </c>
      <c r="N485" s="217">
        <f t="shared" si="81"/>
      </c>
      <c r="O485" s="217">
        <f t="shared" si="111"/>
      </c>
      <c r="P485" s="218">
        <f t="shared" si="382"/>
      </c>
      <c r="Q485" s="218">
        <f t="shared" si="20"/>
      </c>
      <c r="R485" s="218">
        <f t="shared" si="262"/>
      </c>
      <c r="S485" s="218">
        <f t="shared" si="322"/>
      </c>
      <c r="T485" s="219">
        <f t="shared" si="141"/>
      </c>
      <c r="U485" s="220">
        <v>0.0596</v>
      </c>
      <c r="V485" s="221">
        <v>51</v>
      </c>
      <c r="W485" s="217">
        <f t="shared" si="50"/>
      </c>
      <c r="X485" s="221">
        <v>14278</v>
      </c>
      <c r="Y485" s="221">
        <v>416</v>
      </c>
      <c r="Z485" s="219">
        <v>69</v>
      </c>
      <c r="AA485" s="219">
        <v>712</v>
      </c>
      <c r="AB485" s="219">
        <v>63</v>
      </c>
      <c r="AC485" s="219">
        <v>3</v>
      </c>
      <c r="AD485" s="221">
        <v>1</v>
      </c>
      <c r="AE485" s="221">
        <v>28</v>
      </c>
      <c r="AF485" s="217">
        <f t="shared" si="201"/>
      </c>
      <c r="AG485" s="222" t="s">
        <v>159</v>
      </c>
      <c r="AH485" s="223" t="s">
        <v>160</v>
      </c>
      <c r="AI485" s="221">
        <v>15</v>
      </c>
    </row>
    <row r="486">
      <c r="A486" s="211"/>
      <c r="B486" s="227" t="s">
        <v>165</v>
      </c>
      <c r="C486" s="227"/>
      <c r="D486" s="259">
        <f>SUM(D484:D485)</f>
      </c>
      <c r="E486" s="260">
        <f>SUM(E484:E485)</f>
      </c>
      <c r="F486" s="260">
        <f>SUM(F484:F485)</f>
      </c>
      <c r="G486" s="260">
        <f>SUM(G484:G485)</f>
      </c>
      <c r="H486" s="259">
        <f>SUM(H484:H485)</f>
      </c>
      <c r="I486" s="272">
        <f>SUM(I484:I485)</f>
      </c>
      <c r="J486" s="230">
        <f t="shared" si="292"/>
      </c>
      <c r="K486" s="230">
        <f t="shared" si="352"/>
      </c>
      <c r="L486" s="230">
        <f t="shared" si="171"/>
      </c>
      <c r="M486" s="231">
        <f t="shared" si="232"/>
      </c>
      <c r="N486" s="230">
        <f t="shared" si="81"/>
      </c>
      <c r="O486" s="230">
        <f t="shared" si="111"/>
      </c>
      <c r="P486" s="231">
        <f t="shared" si="382"/>
      </c>
      <c r="Q486" s="231">
        <f t="shared" si="20"/>
      </c>
      <c r="R486" s="231">
        <f t="shared" si="262"/>
      </c>
      <c r="S486" s="231">
        <f t="shared" si="322"/>
      </c>
      <c r="T486" s="229">
        <f t="shared" si="141"/>
      </c>
      <c r="U486" s="231">
        <f>AVERAGE(U484:U485)</f>
      </c>
      <c r="V486" s="228">
        <f>AVERAGE(V484:V485)</f>
      </c>
      <c r="W486" s="230">
        <f t="shared" si="50"/>
      </c>
      <c r="X486" s="229">
        <f>SUM(X484:X485)</f>
      </c>
      <c r="Y486" s="229">
        <f>SUM(Y484:Y485)</f>
      </c>
      <c r="Z486" s="229">
        <f>SUM(Z484:Z485)</f>
      </c>
      <c r="AA486" s="229">
        <f>SUM(AA484:AA485)</f>
      </c>
      <c r="AB486" s="229">
        <f>SUM(AB484:AB485)</f>
      </c>
      <c r="AC486" s="229">
        <f>SUM(AC484:AC485)</f>
      </c>
      <c r="AD486" s="229">
        <f>SUM(AD484:AD485)</f>
      </c>
      <c r="AE486" s="229">
        <f>SUM(AE484:AE485)</f>
      </c>
      <c r="AF486" s="232">
        <f t="shared" si="201"/>
      </c>
      <c r="AG486" s="233"/>
      <c r="AH486" s="233"/>
      <c r="AI486" s="229">
        <f>SUM(AI484:AI485)</f>
      </c>
    </row>
    <row r="487">
      <c r="A487" s="211"/>
      <c r="B487" s="212" t="s">
        <v>157</v>
      </c>
      <c r="C487" s="245" t="s">
        <v>168</v>
      </c>
      <c r="D487" s="212">
        <v>1723.61</v>
      </c>
      <c r="E487" s="215">
        <v>2</v>
      </c>
      <c r="F487" s="215">
        <v>1</v>
      </c>
      <c r="G487" s="215">
        <v>1</v>
      </c>
      <c r="H487" s="275">
        <v>856.9000000000015</v>
      </c>
      <c r="I487" s="215">
        <v>1</v>
      </c>
      <c r="J487" s="217">
        <f t="shared" si="292"/>
      </c>
      <c r="K487" s="217">
        <f t="shared" si="352"/>
      </c>
      <c r="L487" s="217">
        <f t="shared" si="171"/>
      </c>
      <c r="M487" s="218">
        <f t="shared" si="232"/>
      </c>
      <c r="N487" s="217">
        <f t="shared" si="81"/>
      </c>
      <c r="O487" s="217">
        <f t="shared" si="111"/>
      </c>
      <c r="P487" s="218">
        <f t="shared" si="382"/>
      </c>
      <c r="Q487" s="218">
        <f t="shared" si="20"/>
      </c>
      <c r="R487" s="218">
        <f t="shared" si="262"/>
      </c>
      <c r="S487" s="218">
        <f t="shared" si="322"/>
      </c>
      <c r="T487" s="219">
        <f t="shared" si="141"/>
      </c>
      <c r="U487" s="220">
        <v>0.0419</v>
      </c>
      <c r="V487" s="221">
        <v>50</v>
      </c>
      <c r="W487" s="217">
        <f t="shared" si="50"/>
      </c>
      <c r="X487" s="221">
        <v>11263</v>
      </c>
      <c r="Y487" s="221">
        <v>460</v>
      </c>
      <c r="Z487" s="219">
        <v>54</v>
      </c>
      <c r="AA487" s="219">
        <v>731</v>
      </c>
      <c r="AB487" s="219">
        <v>36</v>
      </c>
      <c r="AC487" s="219">
        <v>7</v>
      </c>
      <c r="AD487" s="221">
        <v>1</v>
      </c>
      <c r="AE487" s="221">
        <v>19</v>
      </c>
      <c r="AF487" s="217">
        <f t="shared" si="201"/>
      </c>
      <c r="AG487" s="222" t="s">
        <v>159</v>
      </c>
      <c r="AH487" s="223" t="s">
        <v>160</v>
      </c>
      <c r="AI487" s="221">
        <v>17</v>
      </c>
    </row>
    <row r="488">
      <c r="A488" s="211"/>
      <c r="B488" s="212" t="s">
        <v>157</v>
      </c>
      <c r="C488" s="235" t="s">
        <v>169</v>
      </c>
      <c r="D488" s="212">
        <v>1743.05</v>
      </c>
      <c r="E488" s="215">
        <v>7</v>
      </c>
      <c r="F488" s="215">
        <v>5</v>
      </c>
      <c r="G488" s="215">
        <v>3</v>
      </c>
      <c r="H488" s="275">
        <v>2585</v>
      </c>
      <c r="I488" s="215">
        <v>0</v>
      </c>
      <c r="J488" s="217">
        <f t="shared" si="292"/>
      </c>
      <c r="K488" s="217">
        <f t="shared" si="352"/>
      </c>
      <c r="L488" s="217">
        <f t="shared" si="171"/>
      </c>
      <c r="M488" s="218">
        <f t="shared" si="232"/>
      </c>
      <c r="N488" s="217">
        <f t="shared" si="81"/>
      </c>
      <c r="O488" s="217">
        <f t="shared" si="111"/>
      </c>
      <c r="P488" s="218">
        <f t="shared" si="382"/>
      </c>
      <c r="Q488" s="218">
        <f t="shared" si="20"/>
      </c>
      <c r="R488" s="218">
        <f t="shared" si="262"/>
      </c>
      <c r="S488" s="218">
        <f t="shared" si="322"/>
      </c>
      <c r="T488" s="219">
        <f t="shared" si="141"/>
      </c>
      <c r="U488" s="220">
        <v>0.0447</v>
      </c>
      <c r="V488" s="221">
        <v>48</v>
      </c>
      <c r="W488" s="217">
        <f t="shared" si="50"/>
      </c>
      <c r="X488" s="219">
        <v>10553</v>
      </c>
      <c r="Y488" s="219">
        <v>415</v>
      </c>
      <c r="Z488" s="219">
        <v>56</v>
      </c>
      <c r="AA488" s="219">
        <v>732</v>
      </c>
      <c r="AB488" s="219">
        <v>65</v>
      </c>
      <c r="AC488" s="219">
        <v>7</v>
      </c>
      <c r="AD488" s="219">
        <v>0</v>
      </c>
      <c r="AE488" s="221">
        <v>16</v>
      </c>
      <c r="AF488" s="217">
        <f t="shared" si="201"/>
      </c>
      <c r="AG488" s="222" t="s">
        <v>159</v>
      </c>
      <c r="AH488" s="223" t="s">
        <v>160</v>
      </c>
      <c r="AI488" s="221">
        <v>17</v>
      </c>
    </row>
    <row r="489">
      <c r="A489" s="211"/>
      <c r="B489" s="212" t="s">
        <v>157</v>
      </c>
      <c r="C489" s="248" t="s">
        <v>170</v>
      </c>
      <c r="D489" s="212">
        <v>1744.38</v>
      </c>
      <c r="E489" s="215">
        <v>1</v>
      </c>
      <c r="F489" s="215">
        <v>0</v>
      </c>
      <c r="G489" s="215">
        <v>0</v>
      </c>
      <c r="H489" s="275">
        <v>0</v>
      </c>
      <c r="I489" s="215">
        <v>0</v>
      </c>
      <c r="J489" s="217">
        <f t="shared" si="292"/>
      </c>
      <c r="K489" s="217">
        <f t="shared" si="352"/>
      </c>
      <c r="L489" s="217">
        <f t="shared" si="171"/>
      </c>
      <c r="M489" s="218">
        <f t="shared" si="232"/>
      </c>
      <c r="N489" s="217">
        <f t="shared" si="81"/>
      </c>
      <c r="O489" s="217">
        <f t="shared" si="111"/>
      </c>
      <c r="P489" s="218">
        <f t="shared" si="382"/>
      </c>
      <c r="Q489" s="218">
        <f t="shared" si="20"/>
      </c>
      <c r="R489" s="218">
        <f t="shared" si="262"/>
      </c>
      <c r="S489" s="218">
        <f t="shared" si="322"/>
      </c>
      <c r="T489" s="219">
        <f t="shared" si="141"/>
      </c>
      <c r="U489" s="220">
        <v>0.0366</v>
      </c>
      <c r="V489" s="221">
        <v>48</v>
      </c>
      <c r="W489" s="217">
        <f t="shared" si="50"/>
      </c>
      <c r="X489" s="221">
        <v>11506</v>
      </c>
      <c r="Y489" s="221">
        <v>503</v>
      </c>
      <c r="Z489" s="221">
        <v>61</v>
      </c>
      <c r="AA489" s="221">
        <v>725</v>
      </c>
      <c r="AB489" s="221">
        <v>35</v>
      </c>
      <c r="AC489" s="221">
        <v>3</v>
      </c>
      <c r="AD489" s="221">
        <v>0</v>
      </c>
      <c r="AE489" s="221">
        <v>20</v>
      </c>
      <c r="AF489" s="217">
        <f t="shared" si="201"/>
      </c>
      <c r="AG489" s="222" t="s">
        <v>159</v>
      </c>
      <c r="AH489" s="223" t="s">
        <v>160</v>
      </c>
      <c r="AI489" s="221">
        <v>18</v>
      </c>
    </row>
    <row r="490">
      <c r="A490" s="211"/>
      <c r="B490" s="212" t="s">
        <v>157</v>
      </c>
      <c r="C490" s="235" t="s">
        <v>172</v>
      </c>
      <c r="D490" s="212">
        <v>1238.35</v>
      </c>
      <c r="E490" s="215">
        <v>7</v>
      </c>
      <c r="F490" s="215">
        <v>2</v>
      </c>
      <c r="G490" s="215">
        <v>2</v>
      </c>
      <c r="H490" s="275">
        <v>902.0000000000036</v>
      </c>
      <c r="I490" s="215">
        <v>0</v>
      </c>
      <c r="J490" s="217">
        <f t="shared" si="292"/>
      </c>
      <c r="K490" s="217">
        <f t="shared" si="352"/>
      </c>
      <c r="L490" s="217">
        <f t="shared" si="171"/>
      </c>
      <c r="M490" s="218">
        <f t="shared" si="232"/>
      </c>
      <c r="N490" s="217">
        <f t="shared" si="81"/>
      </c>
      <c r="O490" s="217">
        <f t="shared" si="111"/>
      </c>
      <c r="P490" s="218">
        <f t="shared" si="382"/>
      </c>
      <c r="Q490" s="218">
        <f t="shared" si="20"/>
      </c>
      <c r="R490" s="218">
        <f t="shared" si="262"/>
      </c>
      <c r="S490" s="218">
        <f t="shared" si="322"/>
      </c>
      <c r="T490" s="219">
        <f t="shared" si="141"/>
      </c>
      <c r="U490" s="220">
        <v>0.0339</v>
      </c>
      <c r="V490" s="221">
        <v>47</v>
      </c>
      <c r="W490" s="217">
        <f t="shared" si="50"/>
      </c>
      <c r="X490" s="221">
        <v>7963</v>
      </c>
      <c r="Y490" s="221">
        <v>380</v>
      </c>
      <c r="Z490" s="219">
        <v>50</v>
      </c>
      <c r="AA490" s="219">
        <v>610</v>
      </c>
      <c r="AB490" s="219">
        <v>26</v>
      </c>
      <c r="AC490" s="219">
        <v>3</v>
      </c>
      <c r="AD490" s="221">
        <v>1</v>
      </c>
      <c r="AE490" s="221">
        <v>7</v>
      </c>
      <c r="AF490" s="217">
        <f t="shared" si="201"/>
      </c>
      <c r="AG490" s="222" t="s">
        <v>173</v>
      </c>
      <c r="AH490" s="223" t="s">
        <v>187</v>
      </c>
      <c r="AI490" s="221">
        <v>21</v>
      </c>
    </row>
    <row r="491">
      <c r="A491" s="211"/>
      <c r="B491" s="227" t="s">
        <v>165</v>
      </c>
      <c r="C491" s="227"/>
      <c r="D491" s="259">
        <f>SUM(D487:D490)</f>
      </c>
      <c r="E491" s="260">
        <f>SUM(E487:E490)</f>
      </c>
      <c r="F491" s="260">
        <f>SUM(F487:F490)</f>
      </c>
      <c r="G491" s="260">
        <f>SUM(G487:G490)</f>
      </c>
      <c r="H491" s="259">
        <f>SUM(H487:H490)</f>
      </c>
      <c r="I491" s="272">
        <f>SUM(I487:I490)</f>
      </c>
      <c r="J491" s="230">
        <f t="shared" si="292"/>
      </c>
      <c r="K491" s="230">
        <f t="shared" si="352"/>
      </c>
      <c r="L491" s="230">
        <f t="shared" si="171"/>
      </c>
      <c r="M491" s="231">
        <f t="shared" si="232"/>
      </c>
      <c r="N491" s="230">
        <f t="shared" si="81"/>
      </c>
      <c r="O491" s="230">
        <f t="shared" si="111"/>
      </c>
      <c r="P491" s="231">
        <f t="shared" si="382"/>
      </c>
      <c r="Q491" s="231">
        <f t="shared" si="20"/>
      </c>
      <c r="R491" s="231">
        <f t="shared" si="262"/>
      </c>
      <c r="S491" s="231">
        <f t="shared" si="322"/>
      </c>
      <c r="T491" s="229">
        <f t="shared" si="141"/>
      </c>
      <c r="U491" s="231">
        <f>AVERAGE(U487:U490)</f>
      </c>
      <c r="V491" s="228">
        <f>AVERAGE(V487:V490)</f>
      </c>
      <c r="W491" s="230">
        <f t="shared" si="50"/>
      </c>
      <c r="X491" s="229">
        <f>SUM(X487:X490)</f>
      </c>
      <c r="Y491" s="229">
        <f>SUM(Y487:Y490)</f>
      </c>
      <c r="Z491" s="229">
        <f>SUM(Z487:Z490)</f>
      </c>
      <c r="AA491" s="229">
        <f>SUM(AA487:AA490)</f>
      </c>
      <c r="AB491" s="229">
        <f>SUM(AB487:AB490)</f>
      </c>
      <c r="AC491" s="229">
        <f>SUM(AC487:AC490)</f>
      </c>
      <c r="AD491" s="229">
        <f>SUM(AD487:AD490)</f>
      </c>
      <c r="AE491" s="229">
        <f>SUM(AE487:AE490)</f>
      </c>
      <c r="AF491" s="232">
        <f t="shared" si="201"/>
      </c>
      <c r="AG491" s="233"/>
      <c r="AH491" s="233"/>
      <c r="AI491" s="229">
        <f>SUM(AI487:AI490)</f>
      </c>
    </row>
    <row r="492">
      <c r="A492" s="211"/>
      <c r="B492" s="235" t="s">
        <v>186</v>
      </c>
      <c r="C492" s="245" t="s">
        <v>175</v>
      </c>
      <c r="D492" s="284">
        <v>1376.32</v>
      </c>
      <c r="E492" s="238">
        <v>6</v>
      </c>
      <c r="F492" s="238">
        <v>5</v>
      </c>
      <c r="G492" s="238">
        <v>4</v>
      </c>
      <c r="H492" s="285">
        <v>3304.4000000000015</v>
      </c>
      <c r="I492" s="238">
        <v>1</v>
      </c>
      <c r="J492" s="240">
        <f t="shared" si="292"/>
      </c>
      <c r="K492" s="240">
        <f t="shared" si="352"/>
      </c>
      <c r="L492" s="240">
        <f t="shared" si="171"/>
      </c>
      <c r="M492" s="241">
        <f t="shared" si="232"/>
      </c>
      <c r="N492" s="240">
        <f t="shared" si="81"/>
      </c>
      <c r="O492" s="240">
        <f t="shared" si="111"/>
      </c>
      <c r="P492" s="241">
        <f t="shared" si="382"/>
      </c>
      <c r="Q492" s="241">
        <f t="shared" si="20"/>
      </c>
      <c r="R492" s="241">
        <f t="shared" si="262"/>
      </c>
      <c r="S492" s="241">
        <f t="shared" si="322"/>
      </c>
      <c r="T492" s="242">
        <f t="shared" si="141"/>
      </c>
      <c r="U492" s="243">
        <v>0.037</v>
      </c>
      <c r="V492" s="244">
        <v>48</v>
      </c>
      <c r="W492" s="240">
        <f t="shared" si="50"/>
      </c>
      <c r="X492" s="242">
        <v>8844</v>
      </c>
      <c r="Y492" s="242">
        <v>406</v>
      </c>
      <c r="Z492" s="242">
        <v>52</v>
      </c>
      <c r="AA492" s="242">
        <v>638</v>
      </c>
      <c r="AB492" s="242">
        <v>77</v>
      </c>
      <c r="AC492" s="242">
        <v>6</v>
      </c>
      <c r="AD492" s="242">
        <v>2</v>
      </c>
      <c r="AE492" s="242">
        <v>9</v>
      </c>
      <c r="AF492" s="240">
        <f t="shared" si="201"/>
      </c>
      <c r="AG492" s="286" t="s">
        <v>173</v>
      </c>
      <c r="AH492" s="223" t="s">
        <v>187</v>
      </c>
      <c r="AI492" s="244">
        <v>36</v>
      </c>
    </row>
    <row r="493">
      <c r="A493" s="211"/>
      <c r="B493" s="235" t="s">
        <v>186</v>
      </c>
      <c r="C493" s="235" t="s">
        <v>176</v>
      </c>
      <c r="D493" s="284">
        <v>1315.94</v>
      </c>
      <c r="E493" s="238">
        <v>7</v>
      </c>
      <c r="F493" s="238">
        <v>4</v>
      </c>
      <c r="G493" s="238">
        <v>3</v>
      </c>
      <c r="H493" s="285">
        <v>4857.600000000002</v>
      </c>
      <c r="I493" s="238">
        <v>3</v>
      </c>
      <c r="J493" s="240">
        <f t="shared" si="292"/>
      </c>
      <c r="K493" s="240">
        <f t="shared" si="352"/>
      </c>
      <c r="L493" s="240">
        <f t="shared" si="171"/>
      </c>
      <c r="M493" s="241">
        <f t="shared" si="232"/>
      </c>
      <c r="N493" s="240">
        <f t="shared" si="81"/>
      </c>
      <c r="O493" s="240">
        <f t="shared" si="111"/>
      </c>
      <c r="P493" s="241">
        <f t="shared" si="382"/>
      </c>
      <c r="Q493" s="241">
        <f t="shared" si="20"/>
      </c>
      <c r="R493" s="241">
        <f t="shared" si="262"/>
      </c>
      <c r="S493" s="241">
        <f t="shared" si="322"/>
      </c>
      <c r="T493" s="242">
        <f t="shared" si="141"/>
      </c>
      <c r="U493" s="243">
        <v>0.0438</v>
      </c>
      <c r="V493" s="244">
        <v>49</v>
      </c>
      <c r="W493" s="240">
        <f t="shared" si="50"/>
      </c>
      <c r="X493" s="242">
        <v>8100</v>
      </c>
      <c r="Y493" s="242">
        <v>364</v>
      </c>
      <c r="Z493" s="242">
        <v>56</v>
      </c>
      <c r="AA493" s="242">
        <v>570</v>
      </c>
      <c r="AB493" s="242">
        <v>53</v>
      </c>
      <c r="AC493" s="242">
        <v>1</v>
      </c>
      <c r="AD493" s="242">
        <v>1</v>
      </c>
      <c r="AE493" s="242">
        <v>6</v>
      </c>
      <c r="AF493" s="240">
        <f t="shared" si="201"/>
      </c>
      <c r="AG493" s="286" t="s">
        <v>173</v>
      </c>
      <c r="AH493" s="223" t="s">
        <v>187</v>
      </c>
      <c r="AI493" s="244">
        <v>39</v>
      </c>
    </row>
    <row r="494">
      <c r="A494" s="211"/>
      <c r="B494" s="235" t="s">
        <v>186</v>
      </c>
      <c r="C494" s="235" t="s">
        <v>177</v>
      </c>
      <c r="D494" s="284">
        <v>1828.37</v>
      </c>
      <c r="E494" s="238">
        <v>5</v>
      </c>
      <c r="F494" s="238">
        <v>5</v>
      </c>
      <c r="G494" s="238">
        <v>3</v>
      </c>
      <c r="H494" s="285">
        <v>3539.7999999999956</v>
      </c>
      <c r="I494" s="238">
        <v>1</v>
      </c>
      <c r="J494" s="240">
        <f t="shared" si="292"/>
      </c>
      <c r="K494" s="240">
        <f t="shared" si="352"/>
      </c>
      <c r="L494" s="240">
        <f t="shared" si="171"/>
      </c>
      <c r="M494" s="241">
        <f t="shared" si="232"/>
      </c>
      <c r="N494" s="240">
        <f t="shared" si="81"/>
      </c>
      <c r="O494" s="240">
        <f t="shared" si="111"/>
      </c>
      <c r="P494" s="241">
        <f t="shared" si="382"/>
      </c>
      <c r="Q494" s="241">
        <f t="shared" si="20"/>
      </c>
      <c r="R494" s="241">
        <f t="shared" si="262"/>
      </c>
      <c r="S494" s="241">
        <f t="shared" si="322"/>
      </c>
      <c r="T494" s="242">
        <f t="shared" si="141"/>
      </c>
      <c r="U494" s="243">
        <v>0.0308</v>
      </c>
      <c r="V494" s="244">
        <v>49</v>
      </c>
      <c r="W494" s="240">
        <f t="shared" si="50"/>
      </c>
      <c r="X494" s="242">
        <v>12967</v>
      </c>
      <c r="Y494" s="242">
        <v>434</v>
      </c>
      <c r="Z494" s="242">
        <v>52</v>
      </c>
      <c r="AA494" s="242">
        <v>680</v>
      </c>
      <c r="AB494" s="242">
        <v>32</v>
      </c>
      <c r="AC494" s="242">
        <v>10</v>
      </c>
      <c r="AD494" s="242">
        <v>2</v>
      </c>
      <c r="AE494" s="242">
        <v>14</v>
      </c>
      <c r="AF494" s="240">
        <f t="shared" si="201"/>
      </c>
      <c r="AG494" s="286" t="s">
        <v>173</v>
      </c>
      <c r="AH494" s="223" t="s">
        <v>187</v>
      </c>
      <c r="AI494" s="244">
        <v>31</v>
      </c>
    </row>
    <row r="495">
      <c r="A495" s="211"/>
      <c r="B495" s="235" t="s">
        <v>186</v>
      </c>
      <c r="C495" s="248" t="s">
        <v>179</v>
      </c>
      <c r="D495" s="284">
        <v>2752.46</v>
      </c>
      <c r="E495" s="238">
        <v>5</v>
      </c>
      <c r="F495" s="238">
        <v>4</v>
      </c>
      <c r="G495" s="238">
        <v>3</v>
      </c>
      <c r="H495" s="285">
        <v>2134</v>
      </c>
      <c r="I495" s="238">
        <v>0</v>
      </c>
      <c r="J495" s="240">
        <f t="shared" si="292"/>
      </c>
      <c r="K495" s="240">
        <f t="shared" si="352"/>
      </c>
      <c r="L495" s="240">
        <f t="shared" si="171"/>
      </c>
      <c r="M495" s="241">
        <f t="shared" si="232"/>
      </c>
      <c r="N495" s="240">
        <f t="shared" si="81"/>
      </c>
      <c r="O495" s="240">
        <f t="shared" si="111"/>
      </c>
      <c r="P495" s="241">
        <f t="shared" si="382"/>
      </c>
      <c r="Q495" s="241">
        <f t="shared" si="20"/>
      </c>
      <c r="R495" s="241">
        <f t="shared" si="262"/>
      </c>
      <c r="S495" s="241">
        <f t="shared" si="322"/>
      </c>
      <c r="T495" s="242">
        <f t="shared" si="141"/>
      </c>
      <c r="U495" s="243">
        <v>0.0594</v>
      </c>
      <c r="V495" s="244">
        <v>51</v>
      </c>
      <c r="W495" s="240">
        <f t="shared" si="50"/>
      </c>
      <c r="X495" s="242">
        <v>21762</v>
      </c>
      <c r="Y495" s="242">
        <v>572</v>
      </c>
      <c r="Z495" s="242">
        <v>105</v>
      </c>
      <c r="AA495" s="242">
        <v>837</v>
      </c>
      <c r="AB495" s="242">
        <v>90</v>
      </c>
      <c r="AC495" s="242">
        <v>5</v>
      </c>
      <c r="AD495" s="242">
        <v>6</v>
      </c>
      <c r="AE495" s="242">
        <v>28</v>
      </c>
      <c r="AF495" s="240">
        <f t="shared" si="201"/>
      </c>
      <c r="AG495" s="286" t="s">
        <v>173</v>
      </c>
      <c r="AH495" s="223" t="s">
        <v>187</v>
      </c>
      <c r="AI495" s="244">
        <v>46</v>
      </c>
    </row>
    <row r="496">
      <c r="A496" s="211"/>
      <c r="B496" s="249" t="s">
        <v>165</v>
      </c>
      <c r="C496" s="249"/>
      <c r="D496" s="289">
        <f>SUM(D492:D495)</f>
      </c>
      <c r="E496" s="290">
        <f>SUM(E492:E495)</f>
      </c>
      <c r="F496" s="290">
        <f>SUM(F492:F495)</f>
      </c>
      <c r="G496" s="290">
        <f>SUM(G492:G495)</f>
      </c>
      <c r="H496" s="289">
        <f>SUM(H492:H495)</f>
      </c>
      <c r="I496" s="251">
        <f>SUM(I492:I495)</f>
      </c>
      <c r="J496" s="252">
        <f t="shared" si="292"/>
      </c>
      <c r="K496" s="252">
        <f t="shared" si="352"/>
      </c>
      <c r="L496" s="252">
        <f t="shared" si="171"/>
      </c>
      <c r="M496" s="253">
        <f t="shared" si="232"/>
      </c>
      <c r="N496" s="252">
        <f t="shared" si="81"/>
      </c>
      <c r="O496" s="252">
        <f t="shared" si="111"/>
      </c>
      <c r="P496" s="253">
        <f t="shared" si="382"/>
      </c>
      <c r="Q496" s="253">
        <f t="shared" si="20"/>
      </c>
      <c r="R496" s="253">
        <f t="shared" si="262"/>
      </c>
      <c r="S496" s="253">
        <f t="shared" si="322"/>
      </c>
      <c r="T496" s="254">
        <f t="shared" si="141"/>
      </c>
      <c r="U496" s="253">
        <f>AVERAGE(U492:U495)</f>
      </c>
      <c r="V496" s="250">
        <f>AVERAGE(V492:V495)</f>
      </c>
      <c r="W496" s="252">
        <f t="shared" si="50"/>
      </c>
      <c r="X496" s="254">
        <f>SUM(X492:X495)</f>
      </c>
      <c r="Y496" s="254">
        <f>SUM(Y492:Y495)</f>
      </c>
      <c r="Z496" s="254">
        <f>SUM(Z492:Z495)</f>
      </c>
      <c r="AA496" s="254">
        <f>SUM(AA492:AA495)</f>
      </c>
      <c r="AB496" s="254">
        <f>SUM(AB492:AB495)</f>
      </c>
      <c r="AC496" s="254">
        <f>SUM(AC492:AC495)</f>
      </c>
      <c r="AD496" s="254">
        <f>SUM(AD492:AD495)</f>
      </c>
      <c r="AE496" s="254">
        <f>SUM(AE492:AE495)</f>
      </c>
      <c r="AF496" s="255">
        <f t="shared" si="201"/>
      </c>
      <c r="AG496" s="256"/>
      <c r="AH496" s="256"/>
      <c r="AI496" s="254">
        <f>SUM(AI492:AI495)</f>
      </c>
    </row>
    <row r="497">
      <c r="A497" s="211"/>
      <c r="B497" s="248" t="s">
        <v>171</v>
      </c>
      <c r="C497" s="248" t="s">
        <v>180</v>
      </c>
      <c r="D497" s="261">
        <v>3083.2</v>
      </c>
      <c r="E497" s="237">
        <v>8</v>
      </c>
      <c r="F497" s="237">
        <v>5</v>
      </c>
      <c r="G497" s="238">
        <v>5</v>
      </c>
      <c r="H497" s="239">
        <v>5070.999999999993</v>
      </c>
      <c r="I497" s="273">
        <v>3</v>
      </c>
      <c r="J497" s="240">
        <f t="shared" si="292"/>
      </c>
      <c r="K497" s="240">
        <f t="shared" si="352"/>
      </c>
      <c r="L497" s="240">
        <f t="shared" si="171"/>
      </c>
      <c r="M497" s="241">
        <f t="shared" si="232"/>
      </c>
      <c r="N497" s="240">
        <f t="shared" si="81"/>
      </c>
      <c r="O497" s="240">
        <f t="shared" si="111"/>
      </c>
      <c r="P497" s="241">
        <f t="shared" si="382"/>
      </c>
      <c r="Q497" s="241">
        <f t="shared" si="20"/>
      </c>
      <c r="R497" s="241">
        <f t="shared" si="262"/>
      </c>
      <c r="S497" s="241">
        <f t="shared" si="322"/>
      </c>
      <c r="T497" s="242">
        <f t="shared" si="141"/>
      </c>
      <c r="U497" s="243">
        <v>0.063</v>
      </c>
      <c r="V497" s="244">
        <v>50</v>
      </c>
      <c r="W497" s="240">
        <f t="shared" si="50"/>
      </c>
      <c r="X497" s="242">
        <v>25177</v>
      </c>
      <c r="Y497" s="242">
        <v>529</v>
      </c>
      <c r="Z497" s="242">
        <v>107</v>
      </c>
      <c r="AA497" s="242">
        <v>792</v>
      </c>
      <c r="AB497" s="242">
        <v>60</v>
      </c>
      <c r="AC497" s="242">
        <v>6</v>
      </c>
      <c r="AD497" s="242">
        <v>0</v>
      </c>
      <c r="AE497" s="242">
        <v>35</v>
      </c>
      <c r="AF497" s="240">
        <f t="shared" si="201"/>
      </c>
      <c r="AG497" s="222" t="s">
        <v>173</v>
      </c>
      <c r="AH497" s="223" t="s">
        <v>187</v>
      </c>
      <c r="AI497" s="244">
        <v>39</v>
      </c>
    </row>
    <row r="498">
      <c r="A498" s="211"/>
      <c r="B498" s="248" t="s">
        <v>171</v>
      </c>
      <c r="C498" s="248" t="s">
        <v>181</v>
      </c>
      <c r="D498" s="262">
        <v>2218.66</v>
      </c>
      <c r="E498" s="247">
        <v>2</v>
      </c>
      <c r="F498" s="247">
        <v>2</v>
      </c>
      <c r="G498" s="247">
        <v>1</v>
      </c>
      <c r="H498" s="263">
        <v>2615.800000000003</v>
      </c>
      <c r="I498" s="273">
        <v>1</v>
      </c>
      <c r="J498" s="240">
        <f t="shared" si="292"/>
      </c>
      <c r="K498" s="240">
        <f t="shared" si="352"/>
      </c>
      <c r="L498" s="240">
        <f t="shared" si="171"/>
      </c>
      <c r="M498" s="241">
        <f t="shared" si="232"/>
      </c>
      <c r="N498" s="240">
        <f t="shared" si="81"/>
      </c>
      <c r="O498" s="240">
        <f t="shared" si="111"/>
      </c>
      <c r="P498" s="241">
        <f t="shared" si="382"/>
      </c>
      <c r="Q498" s="241">
        <f t="shared" si="20"/>
      </c>
      <c r="R498" s="241">
        <f t="shared" si="262"/>
      </c>
      <c r="S498" s="241">
        <f t="shared" si="322"/>
      </c>
      <c r="T498" s="242">
        <f t="shared" si="141"/>
      </c>
      <c r="U498" s="243">
        <v>0.0378</v>
      </c>
      <c r="V498" s="244">
        <v>51</v>
      </c>
      <c r="W498" s="240">
        <f t="shared" si="50"/>
      </c>
      <c r="X498" s="242">
        <v>17164</v>
      </c>
      <c r="Y498" s="242">
        <v>576</v>
      </c>
      <c r="Z498" s="242">
        <v>91</v>
      </c>
      <c r="AA498" s="242">
        <v>825</v>
      </c>
      <c r="AB498" s="242">
        <v>69</v>
      </c>
      <c r="AC498" s="242">
        <v>13</v>
      </c>
      <c r="AD498" s="242">
        <v>1</v>
      </c>
      <c r="AE498" s="242">
        <v>18</v>
      </c>
      <c r="AF498" s="240">
        <f t="shared" si="201"/>
      </c>
      <c r="AG498" s="222" t="s">
        <v>173</v>
      </c>
      <c r="AH498" s="223" t="s">
        <v>187</v>
      </c>
      <c r="AI498" s="244">
        <v>35</v>
      </c>
    </row>
    <row r="499">
      <c r="A499" s="211"/>
      <c r="B499" s="248" t="s">
        <v>171</v>
      </c>
      <c r="C499" s="248" t="s">
        <v>182</v>
      </c>
      <c r="D499" s="261">
        <v>1788.97</v>
      </c>
      <c r="E499" s="247">
        <v>6</v>
      </c>
      <c r="F499" s="247">
        <v>5</v>
      </c>
      <c r="G499" s="247">
        <v>4</v>
      </c>
      <c r="H499" s="236">
        <v>2915</v>
      </c>
      <c r="I499" s="238">
        <v>0</v>
      </c>
      <c r="J499" s="240">
        <f t="shared" si="292"/>
      </c>
      <c r="K499" s="240">
        <f t="shared" si="352"/>
      </c>
      <c r="L499" s="240">
        <f t="shared" si="171"/>
      </c>
      <c r="M499" s="241">
        <f t="shared" si="232"/>
      </c>
      <c r="N499" s="240">
        <f t="shared" si="81"/>
      </c>
      <c r="O499" s="240">
        <f t="shared" si="111"/>
      </c>
      <c r="P499" s="241">
        <f t="shared" si="382"/>
      </c>
      <c r="Q499" s="241">
        <f t="shared" si="20"/>
      </c>
      <c r="R499" s="241">
        <f t="shared" si="262"/>
      </c>
      <c r="S499" s="241">
        <f t="shared" si="322"/>
      </c>
      <c r="T499" s="242">
        <f t="shared" si="141"/>
      </c>
      <c r="U499" s="243">
        <v>0.0293</v>
      </c>
      <c r="V499" s="244">
        <v>51</v>
      </c>
      <c r="W499" s="240">
        <f t="shared" si="50"/>
      </c>
      <c r="X499" s="242">
        <v>12393</v>
      </c>
      <c r="Y499" s="242">
        <v>553</v>
      </c>
      <c r="Z499" s="242">
        <v>75</v>
      </c>
      <c r="AA499" s="242">
        <v>827</v>
      </c>
      <c r="AB499" s="242">
        <v>39</v>
      </c>
      <c r="AC499" s="242">
        <v>8</v>
      </c>
      <c r="AD499" s="242">
        <v>3</v>
      </c>
      <c r="AE499" s="242">
        <v>15</v>
      </c>
      <c r="AF499" s="240">
        <f t="shared" si="201"/>
      </c>
      <c r="AG499" s="222" t="s">
        <v>173</v>
      </c>
      <c r="AH499" s="223" t="s">
        <v>187</v>
      </c>
      <c r="AI499" s="244">
        <v>31</v>
      </c>
    </row>
    <row r="500">
      <c r="A500" s="211"/>
      <c r="B500" s="248" t="s">
        <v>171</v>
      </c>
      <c r="C500" s="248" t="s">
        <v>192</v>
      </c>
      <c r="D500" s="261">
        <v>933.67</v>
      </c>
      <c r="E500" s="238">
        <v>1</v>
      </c>
      <c r="F500" s="238">
        <v>1</v>
      </c>
      <c r="G500" s="238">
        <v>1</v>
      </c>
      <c r="H500" s="236">
        <v>451</v>
      </c>
      <c r="I500" s="238">
        <v>0</v>
      </c>
      <c r="J500" s="240">
        <f t="shared" si="292"/>
      </c>
      <c r="K500" s="240">
        <f t="shared" si="352"/>
      </c>
      <c r="L500" s="240">
        <f t="shared" si="171"/>
      </c>
      <c r="M500" s="241">
        <f t="shared" si="232"/>
      </c>
      <c r="N500" s="240">
        <f t="shared" si="81"/>
      </c>
      <c r="O500" s="240">
        <f t="shared" si="111"/>
      </c>
      <c r="P500" s="241">
        <f t="shared" si="382"/>
      </c>
      <c r="Q500" s="241">
        <f t="shared" si="20"/>
      </c>
      <c r="R500" s="241">
        <f t="shared" si="262"/>
      </c>
      <c r="S500" s="241">
        <f t="shared" si="322"/>
      </c>
      <c r="T500" s="242">
        <f t="shared" si="141"/>
      </c>
      <c r="U500" s="243">
        <v>0.0304</v>
      </c>
      <c r="V500" s="244">
        <v>51</v>
      </c>
      <c r="W500" s="240">
        <f t="shared" si="50"/>
      </c>
      <c r="X500" s="242">
        <v>6844</v>
      </c>
      <c r="Y500" s="242">
        <v>253</v>
      </c>
      <c r="Z500" s="242">
        <v>30</v>
      </c>
      <c r="AA500" s="242">
        <v>483</v>
      </c>
      <c r="AB500" s="242">
        <v>18</v>
      </c>
      <c r="AC500" s="242">
        <v>6</v>
      </c>
      <c r="AD500" s="242">
        <v>0</v>
      </c>
      <c r="AE500" s="244">
        <v>7</v>
      </c>
      <c r="AF500" s="240">
        <f t="shared" si="201"/>
      </c>
      <c r="AG500" s="222" t="s">
        <v>173</v>
      </c>
      <c r="AH500" s="223" t="s">
        <v>187</v>
      </c>
      <c r="AI500" s="244">
        <v>13</v>
      </c>
    </row>
    <row r="501">
      <c r="A501" s="211"/>
      <c r="B501" s="249" t="s">
        <v>165</v>
      </c>
      <c r="C501" s="249"/>
      <c r="D501" s="250">
        <f>SUM(D497:D500)</f>
      </c>
      <c r="E501" s="251">
        <f>SUM(E497:E500)</f>
      </c>
      <c r="F501" s="251">
        <f>SUM(F497:F500)</f>
      </c>
      <c r="G501" s="251">
        <f>SUM(G497:G500)</f>
      </c>
      <c r="H501" s="250">
        <f>SUM(H497:H500)</f>
      </c>
      <c r="I501" s="272">
        <f>SUM(I497:I500)</f>
      </c>
      <c r="J501" s="252">
        <f t="shared" si="292"/>
      </c>
      <c r="K501" s="252">
        <f t="shared" si="352"/>
      </c>
      <c r="L501" s="252">
        <f t="shared" si="171"/>
      </c>
      <c r="M501" s="253">
        <f t="shared" si="232"/>
      </c>
      <c r="N501" s="252">
        <f t="shared" si="81"/>
      </c>
      <c r="O501" s="252">
        <f t="shared" si="111"/>
      </c>
      <c r="P501" s="253">
        <f t="shared" si="382"/>
      </c>
      <c r="Q501" s="253">
        <f t="shared" si="20"/>
      </c>
      <c r="R501" s="253">
        <f t="shared" si="262"/>
      </c>
      <c r="S501" s="253">
        <f t="shared" si="322"/>
      </c>
      <c r="T501" s="254">
        <f t="shared" si="141"/>
      </c>
      <c r="U501" s="253">
        <f>AVERAGE(U497:U500)</f>
      </c>
      <c r="V501" s="250">
        <f>AVERAGE(V497:V500)</f>
      </c>
      <c r="W501" s="252">
        <f t="shared" si="50"/>
      </c>
      <c r="X501" s="254">
        <f>SUM(X497:X500)</f>
      </c>
      <c r="Y501" s="254">
        <f>SUM(Y497:Y500)</f>
      </c>
      <c r="Z501" s="254">
        <f>SUM(Z497:Z500)</f>
      </c>
      <c r="AA501" s="254">
        <f>SUM(AA497:AA500)</f>
      </c>
      <c r="AB501" s="254">
        <f>SUM(AB497:AB500)</f>
      </c>
      <c r="AC501" s="254">
        <f>SUM(AC497:AC500)</f>
      </c>
      <c r="AD501" s="254">
        <f>SUM(AD497:AD500)</f>
      </c>
      <c r="AE501" s="254">
        <f>SUM(AE497:AE500)</f>
      </c>
      <c r="AF501" s="255">
        <f t="shared" si="201"/>
      </c>
      <c r="AG501" s="256"/>
      <c r="AH501" s="256"/>
      <c r="AI501" s="257">
        <f>SUM(AI497:AI500)</f>
      </c>
    </row>
    <row customHeight="true" ht="19.3616029822871" r="502">
      <c r="A502" s="211"/>
      <c r="B502" s="264" t="s">
        <v>183</v>
      </c>
      <c r="C502" s="264"/>
      <c r="D502" s="265">
        <f>D483+D486+D501+D496+D491</f>
      </c>
      <c r="E502" s="265">
        <f>E483+E486+E501+E496+E491</f>
      </c>
      <c r="F502" s="265">
        <f>F483+F486+F501+F496+F491</f>
      </c>
      <c r="G502" s="265">
        <f>G483+G486+G501+G496+G491</f>
      </c>
      <c r="H502" s="265">
        <f>H483+H486+H501+H496+H491</f>
      </c>
      <c r="I502" s="265">
        <f>I483+I486+I501+I496+I491</f>
      </c>
      <c r="J502" s="266">
        <f t="shared" si="292"/>
      </c>
      <c r="K502" s="267">
        <f t="shared" si="352"/>
      </c>
      <c r="L502" s="267">
        <f t="shared" si="171"/>
      </c>
      <c r="M502" s="268">
        <f t="shared" si="232"/>
      </c>
      <c r="N502" s="267">
        <f t="shared" si="81"/>
      </c>
      <c r="O502" s="267">
        <f t="shared" si="111"/>
      </c>
      <c r="P502" s="268">
        <f t="shared" si="382"/>
      </c>
      <c r="Q502" s="268">
        <f t="shared" si="20"/>
      </c>
      <c r="R502" s="268">
        <f t="shared" si="262"/>
      </c>
      <c r="S502" s="268">
        <f t="shared" si="322"/>
      </c>
      <c r="T502" s="269">
        <f t="shared" si="141"/>
      </c>
      <c r="U502" s="268">
        <f>(U491+U486+U483+U501)/4+U496</f>
      </c>
      <c r="V502" s="267">
        <f>(V491+V486+V483+V501)/4+V496</f>
      </c>
      <c r="W502" s="270">
        <f t="shared" si="50"/>
      </c>
      <c r="X502" s="269">
        <f>X483+X486+X501</f>
      </c>
      <c r="Y502" s="269">
        <f>Y483+Y486+Y501</f>
      </c>
      <c r="Z502" s="269">
        <f>Z483+Z486+Z501</f>
      </c>
      <c r="AA502" s="269">
        <f>AA483+AA486+AA501</f>
      </c>
      <c r="AB502" s="269">
        <f>AB483+AB486+AB501</f>
      </c>
      <c r="AC502" s="269">
        <f>AC483+AC486+AC501</f>
      </c>
      <c r="AD502" s="269">
        <f>AD483+AD486+AD501</f>
      </c>
      <c r="AE502" s="269">
        <f>AE496+AE483+AE486+AE501+AE491</f>
      </c>
      <c r="AF502" s="267">
        <f>AF483</f>
      </c>
      <c r="AG502" s="264"/>
      <c r="AH502" s="264"/>
      <c r="AI502" s="269">
        <f>AI483+AI486+AI491+AI496+AI501</f>
      </c>
    </row>
    <row r="503">
      <c r="A503" s="193" t="s">
        <v>120</v>
      </c>
      <c r="B503" s="194" t="s">
        <v>121</v>
      </c>
      <c r="C503" s="194"/>
      <c r="D503" s="195" t="s">
        <v>122</v>
      </c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6" t="s">
        <v>123</v>
      </c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7"/>
    </row>
    <row r="504">
      <c r="A504" s="193"/>
      <c r="B504" s="194" t="s">
        <v>124</v>
      </c>
      <c r="C504" s="198" t="s">
        <v>125</v>
      </c>
      <c r="D504" s="199" t="s">
        <v>126</v>
      </c>
      <c r="E504" s="200" t="s">
        <v>127</v>
      </c>
      <c r="F504" s="201" t="s">
        <v>128</v>
      </c>
      <c r="G504" s="201" t="s">
        <v>129</v>
      </c>
      <c r="H504" s="199" t="s">
        <v>130</v>
      </c>
      <c r="I504" s="271" t="s">
        <v>189</v>
      </c>
      <c r="J504" s="202" t="s">
        <v>131</v>
      </c>
      <c r="K504" s="202" t="s">
        <v>132</v>
      </c>
      <c r="L504" s="202" t="s">
        <v>133</v>
      </c>
      <c r="M504" s="203" t="s">
        <v>134</v>
      </c>
      <c r="N504" s="202" t="s">
        <v>135</v>
      </c>
      <c r="O504" s="204" t="s">
        <v>136</v>
      </c>
      <c r="P504" s="205" t="s">
        <v>137</v>
      </c>
      <c r="Q504" s="205" t="s">
        <v>138</v>
      </c>
      <c r="R504" s="205" t="s">
        <v>139</v>
      </c>
      <c r="S504" s="205" t="s">
        <v>140</v>
      </c>
      <c r="T504" s="206" t="s">
        <v>141</v>
      </c>
      <c r="U504" s="207" t="s">
        <v>142</v>
      </c>
      <c r="V504" s="208" t="s">
        <v>143</v>
      </c>
      <c r="W504" s="196" t="s">
        <v>144</v>
      </c>
      <c r="X504" s="209" t="s">
        <v>145</v>
      </c>
      <c r="Y504" s="209" t="s">
        <v>146</v>
      </c>
      <c r="Z504" s="209" t="s">
        <v>147</v>
      </c>
      <c r="AA504" s="209" t="s">
        <v>148</v>
      </c>
      <c r="AB504" s="209" t="s">
        <v>149</v>
      </c>
      <c r="AC504" s="209" t="s">
        <v>150</v>
      </c>
      <c r="AD504" s="209" t="s">
        <v>151</v>
      </c>
      <c r="AE504" s="209" t="s">
        <v>152</v>
      </c>
      <c r="AF504" s="196" t="s">
        <v>153</v>
      </c>
      <c r="AG504" s="210" t="s">
        <v>154</v>
      </c>
      <c r="AH504" s="210" t="s">
        <v>155</v>
      </c>
      <c r="AI504" s="197" t="s">
        <v>156</v>
      </c>
    </row>
    <row r="505">
      <c r="A505" s="211">
        <v>46195</v>
      </c>
      <c r="B505" s="212" t="s">
        <v>157</v>
      </c>
      <c r="C505" s="213" t="s">
        <v>158</v>
      </c>
      <c r="D505" s="214">
        <v>1776.79</v>
      </c>
      <c r="E505" s="215">
        <v>6</v>
      </c>
      <c r="F505" s="215">
        <v>4</v>
      </c>
      <c r="G505" s="215">
        <v>3</v>
      </c>
      <c r="H505" s="214">
        <v>2424.95</v>
      </c>
      <c r="I505" s="215">
        <v>0</v>
      </c>
      <c r="J505" s="216">
        <f t="shared" ref="J505:J526" si="293">H505/D505</f>
      </c>
      <c r="K505" s="217">
        <f t="shared" ref="K505:K526" si="353">D505/F505</f>
      </c>
      <c r="L505" s="217">
        <f t="shared" ref="L505:L526" si="172">D505/G505</f>
      </c>
      <c r="M505" s="218">
        <f t="shared" ref="M505:M526" si="233">F505/E505</f>
      </c>
      <c r="N505" s="217">
        <f t="shared" ref="N505:N526" si="82">H505/F505</f>
      </c>
      <c r="O505" s="217">
        <f t="shared" ref="O505:O526" si="112">D505/Y505</f>
      </c>
      <c r="P505" s="218">
        <f t="shared" ref="P505:P526" si="383">T505/X505*1</f>
      </c>
      <c r="Q505" s="218">
        <f t="shared" ref="Q505:Q526" si="21">Y505/X505</f>
      </c>
      <c r="R505" s="218">
        <f t="shared" ref="R505:R526" si="263">AA505/X505</f>
      </c>
      <c r="S505" s="218">
        <f t="shared" ref="S505:S526" si="323">AB505/AA505</f>
      </c>
      <c r="T505" s="219">
        <f t="shared" ref="T505:T526" si="142">Z505/U505</f>
      </c>
      <c r="U505" s="220">
        <v>0.0244</v>
      </c>
      <c r="V505" s="221">
        <v>30</v>
      </c>
      <c r="W505" s="217">
        <f t="shared" ref="W505:W526" si="51">(D505/X505)*1000</f>
      </c>
      <c r="X505" s="221">
        <v>10391</v>
      </c>
      <c r="Y505" s="221">
        <v>379</v>
      </c>
      <c r="Z505" s="219">
        <v>41</v>
      </c>
      <c r="AA505" s="219">
        <v>730</v>
      </c>
      <c r="AB505" s="219">
        <v>31</v>
      </c>
      <c r="AC505" s="219">
        <v>6</v>
      </c>
      <c r="AD505" s="221">
        <v>1</v>
      </c>
      <c r="AE505" s="221">
        <v>12</v>
      </c>
      <c r="AF505" s="217">
        <f t="shared" ref="AF505:AF525" si="202">AI505*1000/D505</f>
      </c>
      <c r="AG505" s="222" t="s">
        <v>159</v>
      </c>
      <c r="AH505" s="223" t="s">
        <v>193</v>
      </c>
      <c r="AI505" s="221">
        <v>16</v>
      </c>
    </row>
    <row r="506">
      <c r="A506" s="211"/>
      <c r="B506" s="212" t="s">
        <v>157</v>
      </c>
      <c r="C506" s="213" t="s">
        <v>161</v>
      </c>
      <c r="D506" s="214">
        <v>1276.46</v>
      </c>
      <c r="E506" s="215">
        <v>1</v>
      </c>
      <c r="F506" s="215">
        <v>1</v>
      </c>
      <c r="G506" s="215">
        <v>1</v>
      </c>
      <c r="H506" s="214">
        <v>3124</v>
      </c>
      <c r="I506" s="215">
        <v>1</v>
      </c>
      <c r="J506" s="216">
        <f t="shared" si="293"/>
      </c>
      <c r="K506" s="217">
        <f t="shared" si="353"/>
      </c>
      <c r="L506" s="217">
        <f t="shared" si="172"/>
      </c>
      <c r="M506" s="218">
        <f t="shared" si="233"/>
      </c>
      <c r="N506" s="217">
        <f t="shared" si="82"/>
      </c>
      <c r="O506" s="217">
        <f t="shared" si="112"/>
      </c>
      <c r="P506" s="218">
        <f t="shared" si="383"/>
      </c>
      <c r="Q506" s="218">
        <f t="shared" si="21"/>
      </c>
      <c r="R506" s="218">
        <f t="shared" si="263"/>
      </c>
      <c r="S506" s="218">
        <f t="shared" si="323"/>
      </c>
      <c r="T506" s="219">
        <f t="shared" si="142"/>
      </c>
      <c r="U506" s="220">
        <v>0.0525</v>
      </c>
      <c r="V506" s="221">
        <v>33</v>
      </c>
      <c r="W506" s="217">
        <f t="shared" si="51"/>
      </c>
      <c r="X506" s="221">
        <v>8431</v>
      </c>
      <c r="Y506" s="221">
        <v>283</v>
      </c>
      <c r="Z506" s="219">
        <v>47</v>
      </c>
      <c r="AA506" s="219">
        <v>590</v>
      </c>
      <c r="AB506" s="221">
        <v>28</v>
      </c>
      <c r="AC506" s="219">
        <v>1</v>
      </c>
      <c r="AD506" s="221">
        <v>0</v>
      </c>
      <c r="AE506" s="221">
        <v>14</v>
      </c>
      <c r="AF506" s="217">
        <f t="shared" si="202"/>
      </c>
      <c r="AG506" s="222" t="s">
        <v>159</v>
      </c>
      <c r="AH506" s="223" t="s">
        <v>193</v>
      </c>
      <c r="AI506" s="221">
        <v>9</v>
      </c>
    </row>
    <row r="507">
      <c r="A507" s="211"/>
      <c r="B507" s="212" t="s">
        <v>157</v>
      </c>
      <c r="C507" s="224" t="s">
        <v>162</v>
      </c>
      <c r="D507" s="214">
        <v>1575.19</v>
      </c>
      <c r="E507" s="215">
        <v>4</v>
      </c>
      <c r="F507" s="215">
        <v>4</v>
      </c>
      <c r="G507" s="215">
        <v>3</v>
      </c>
      <c r="H507" s="214">
        <v>3166.9000000000005</v>
      </c>
      <c r="I507" s="215">
        <v>1</v>
      </c>
      <c r="J507" s="216">
        <f t="shared" si="293"/>
      </c>
      <c r="K507" s="217">
        <f t="shared" si="353"/>
      </c>
      <c r="L507" s="217">
        <f t="shared" si="172"/>
      </c>
      <c r="M507" s="218">
        <f t="shared" si="233"/>
      </c>
      <c r="N507" s="217">
        <f t="shared" si="82"/>
      </c>
      <c r="O507" s="217">
        <f t="shared" si="112"/>
      </c>
      <c r="P507" s="218">
        <f t="shared" si="383"/>
      </c>
      <c r="Q507" s="218">
        <f t="shared" si="21"/>
      </c>
      <c r="R507" s="218">
        <f t="shared" si="263"/>
      </c>
      <c r="S507" s="218">
        <f t="shared" si="323"/>
      </c>
      <c r="T507" s="219">
        <f t="shared" si="142"/>
      </c>
      <c r="U507" s="220">
        <v>0.0298</v>
      </c>
      <c r="V507" s="221">
        <v>35</v>
      </c>
      <c r="W507" s="217">
        <f t="shared" si="51"/>
      </c>
      <c r="X507" s="221">
        <v>9125</v>
      </c>
      <c r="Y507" s="221">
        <v>310</v>
      </c>
      <c r="Z507" s="219">
        <v>41</v>
      </c>
      <c r="AA507" s="219">
        <v>571</v>
      </c>
      <c r="AB507" s="221">
        <v>51</v>
      </c>
      <c r="AC507" s="219">
        <v>4</v>
      </c>
      <c r="AD507" s="221">
        <v>1</v>
      </c>
      <c r="AE507" s="221">
        <v>12</v>
      </c>
      <c r="AF507" s="217">
        <f t="shared" si="202"/>
      </c>
      <c r="AG507" s="222" t="s">
        <v>159</v>
      </c>
      <c r="AH507" s="223" t="s">
        <v>193</v>
      </c>
      <c r="AI507" s="221">
        <v>21</v>
      </c>
    </row>
    <row r="508">
      <c r="A508" s="211"/>
      <c r="B508" s="212" t="s">
        <v>157</v>
      </c>
      <c r="C508" s="213" t="s">
        <v>163</v>
      </c>
      <c r="D508" s="214">
        <v>1362.85</v>
      </c>
      <c r="E508" s="215">
        <v>5</v>
      </c>
      <c r="F508" s="215">
        <v>5</v>
      </c>
      <c r="G508" s="215">
        <v>4</v>
      </c>
      <c r="H508" s="214">
        <v>3617.8999999999996</v>
      </c>
      <c r="I508" s="215">
        <v>1</v>
      </c>
      <c r="J508" s="216">
        <f t="shared" si="293"/>
      </c>
      <c r="K508" s="217">
        <f t="shared" si="353"/>
      </c>
      <c r="L508" s="217">
        <f t="shared" si="172"/>
      </c>
      <c r="M508" s="218">
        <f t="shared" si="233"/>
      </c>
      <c r="N508" s="217">
        <f t="shared" si="82"/>
      </c>
      <c r="O508" s="217">
        <f t="shared" si="112"/>
      </c>
      <c r="P508" s="218">
        <f t="shared" si="383"/>
      </c>
      <c r="Q508" s="218">
        <f t="shared" si="21"/>
      </c>
      <c r="R508" s="218">
        <f t="shared" si="263"/>
      </c>
      <c r="S508" s="218">
        <f t="shared" si="323"/>
      </c>
      <c r="T508" s="219">
        <f t="shared" si="142"/>
      </c>
      <c r="U508" s="220">
        <v>0.0261</v>
      </c>
      <c r="V508" s="221">
        <v>37</v>
      </c>
      <c r="W508" s="217">
        <f t="shared" si="51"/>
      </c>
      <c r="X508" s="221">
        <v>7923</v>
      </c>
      <c r="Y508" s="221">
        <v>300</v>
      </c>
      <c r="Z508" s="221">
        <v>36</v>
      </c>
      <c r="AA508" s="221">
        <v>574</v>
      </c>
      <c r="AB508" s="221">
        <v>42</v>
      </c>
      <c r="AC508" s="221">
        <v>6</v>
      </c>
      <c r="AD508" s="221">
        <v>0</v>
      </c>
      <c r="AE508" s="221">
        <v>10</v>
      </c>
      <c r="AF508" s="217">
        <f t="shared" si="202"/>
      </c>
      <c r="AG508" s="222" t="s">
        <v>159</v>
      </c>
      <c r="AH508" s="223" t="s">
        <v>193</v>
      </c>
      <c r="AI508" s="221">
        <v>11</v>
      </c>
    </row>
    <row r="509">
      <c r="A509" s="211"/>
      <c r="B509" s="212" t="s">
        <v>157</v>
      </c>
      <c r="C509" s="212" t="s">
        <v>164</v>
      </c>
      <c r="D509" s="225">
        <v>1656.36</v>
      </c>
      <c r="E509" s="226">
        <v>3</v>
      </c>
      <c r="F509" s="226">
        <v>3</v>
      </c>
      <c r="G509" s="226">
        <v>2</v>
      </c>
      <c r="H509" s="225">
        <v>2841.2999999999993</v>
      </c>
      <c r="I509" s="226">
        <v>1</v>
      </c>
      <c r="J509" s="217">
        <f t="shared" si="293"/>
      </c>
      <c r="K509" s="217">
        <f t="shared" si="353"/>
      </c>
      <c r="L509" s="217">
        <f t="shared" si="172"/>
      </c>
      <c r="M509" s="218">
        <f t="shared" si="233"/>
      </c>
      <c r="N509" s="217">
        <f t="shared" si="82"/>
      </c>
      <c r="O509" s="217">
        <f t="shared" si="112"/>
      </c>
      <c r="P509" s="218">
        <f t="shared" si="383"/>
      </c>
      <c r="Q509" s="218">
        <f t="shared" si="21"/>
      </c>
      <c r="R509" s="218">
        <f t="shared" si="263"/>
      </c>
      <c r="S509" s="218">
        <f t="shared" si="323"/>
      </c>
      <c r="T509" s="219">
        <f t="shared" si="142"/>
      </c>
      <c r="U509" s="220">
        <v>0.0365</v>
      </c>
      <c r="V509" s="221">
        <v>39</v>
      </c>
      <c r="W509" s="217">
        <f t="shared" si="51"/>
      </c>
      <c r="X509" s="219">
        <v>9873</v>
      </c>
      <c r="Y509" s="219">
        <v>366</v>
      </c>
      <c r="Z509" s="219">
        <v>50</v>
      </c>
      <c r="AA509" s="219">
        <v>753</v>
      </c>
      <c r="AB509" s="219">
        <v>47</v>
      </c>
      <c r="AC509" s="219">
        <v>5</v>
      </c>
      <c r="AD509" s="219">
        <v>0</v>
      </c>
      <c r="AE509" s="221">
        <v>15</v>
      </c>
      <c r="AF509" s="217">
        <f t="shared" si="202"/>
      </c>
      <c r="AG509" s="222" t="s">
        <v>159</v>
      </c>
      <c r="AH509" s="223" t="s">
        <v>193</v>
      </c>
      <c r="AI509" s="221">
        <v>19</v>
      </c>
    </row>
    <row r="510">
      <c r="A510" s="211"/>
      <c r="B510" s="227" t="s">
        <v>165</v>
      </c>
      <c r="C510" s="227"/>
      <c r="D510" s="228">
        <f>SUM(D505:D509)</f>
      </c>
      <c r="E510" s="229">
        <f>SUM(E505:E509)</f>
      </c>
      <c r="F510" s="229">
        <f>SUM(F505:F509)</f>
      </c>
      <c r="G510" s="229">
        <f>SUM(G505:G509)</f>
      </c>
      <c r="H510" s="228">
        <f>SUM(H505:H509)</f>
      </c>
      <c r="I510" s="272">
        <f>SUM(I505:I509)</f>
      </c>
      <c r="J510" s="230">
        <f t="shared" si="293"/>
      </c>
      <c r="K510" s="230">
        <f t="shared" si="353"/>
      </c>
      <c r="L510" s="230">
        <f t="shared" si="172"/>
      </c>
      <c r="M510" s="231">
        <f t="shared" si="233"/>
      </c>
      <c r="N510" s="230">
        <f t="shared" si="82"/>
      </c>
      <c r="O510" s="230">
        <f t="shared" si="112"/>
      </c>
      <c r="P510" s="231">
        <f t="shared" si="383"/>
      </c>
      <c r="Q510" s="231">
        <f t="shared" si="21"/>
      </c>
      <c r="R510" s="231">
        <f t="shared" si="263"/>
      </c>
      <c r="S510" s="231">
        <f t="shared" si="323"/>
      </c>
      <c r="T510" s="229">
        <f t="shared" si="142"/>
      </c>
      <c r="U510" s="231">
        <f>AVERAGE(U505:U509)</f>
      </c>
      <c r="V510" s="228">
        <f>AVERAGE(V505:V509)</f>
      </c>
      <c r="W510" s="230">
        <f t="shared" si="51"/>
      </c>
      <c r="X510" s="229">
        <f>SUM(X505:X509)</f>
      </c>
      <c r="Y510" s="229">
        <f>SUM(Y505:Y509)</f>
      </c>
      <c r="Z510" s="229">
        <f>SUM(Z505:Z509)</f>
      </c>
      <c r="AA510" s="229">
        <f>SUM(AA505:AA509)</f>
      </c>
      <c r="AB510" s="229">
        <f>SUM(AB505:AB509)</f>
      </c>
      <c r="AC510" s="229">
        <f>SUM(AC505:AC509)</f>
      </c>
      <c r="AD510" s="229">
        <f>SUM(AD505:AD509)</f>
      </c>
      <c r="AE510" s="229">
        <f>SUM(AE505:AE509)</f>
      </c>
      <c r="AF510" s="232">
        <f t="shared" si="202"/>
      </c>
      <c r="AG510" s="233"/>
      <c r="AH510" s="233"/>
      <c r="AI510" s="234">
        <f>SUM(AI505:AI509)</f>
      </c>
    </row>
    <row r="511">
      <c r="A511" s="211"/>
      <c r="B511" s="248" t="s">
        <v>171</v>
      </c>
      <c r="C511" s="235" t="s">
        <v>167</v>
      </c>
      <c r="D511" s="236">
        <v>1468.54</v>
      </c>
      <c r="E511" s="237">
        <v>5</v>
      </c>
      <c r="F511" s="237">
        <v>4</v>
      </c>
      <c r="G511" s="238">
        <v>4</v>
      </c>
      <c r="H511" s="239">
        <v>3603.600000000002</v>
      </c>
      <c r="I511" s="273">
        <v>2</v>
      </c>
      <c r="J511" s="240">
        <f t="shared" si="293"/>
      </c>
      <c r="K511" s="240">
        <f t="shared" si="353"/>
      </c>
      <c r="L511" s="240">
        <f t="shared" si="172"/>
      </c>
      <c r="M511" s="241">
        <f t="shared" si="233"/>
      </c>
      <c r="N511" s="240">
        <f t="shared" si="82"/>
      </c>
      <c r="O511" s="240">
        <f t="shared" si="112"/>
      </c>
      <c r="P511" s="241">
        <f t="shared" si="383"/>
      </c>
      <c r="Q511" s="241">
        <f t="shared" si="21"/>
      </c>
      <c r="R511" s="241">
        <f t="shared" si="263"/>
      </c>
      <c r="S511" s="241">
        <f t="shared" si="323"/>
      </c>
      <c r="T511" s="242">
        <f t="shared" si="142"/>
      </c>
      <c r="U511" s="243">
        <v>0.0423</v>
      </c>
      <c r="V511" s="244">
        <v>41</v>
      </c>
      <c r="W511" s="240">
        <f t="shared" si="51"/>
      </c>
      <c r="X511" s="242">
        <v>8986</v>
      </c>
      <c r="Y511" s="242">
        <v>357</v>
      </c>
      <c r="Z511" s="242">
        <v>53</v>
      </c>
      <c r="AA511" s="242">
        <v>767</v>
      </c>
      <c r="AB511" s="242">
        <v>43</v>
      </c>
      <c r="AC511" s="242">
        <v>5</v>
      </c>
      <c r="AD511" s="242">
        <v>0</v>
      </c>
      <c r="AE511" s="242">
        <v>16</v>
      </c>
      <c r="AF511" s="240">
        <f t="shared" si="202"/>
      </c>
      <c r="AG511" s="222" t="s">
        <v>159</v>
      </c>
      <c r="AH511" s="223" t="s">
        <v>193</v>
      </c>
      <c r="AI511" s="244">
        <v>18</v>
      </c>
    </row>
    <row r="512">
      <c r="A512" s="211"/>
      <c r="B512" s="248" t="s">
        <v>171</v>
      </c>
      <c r="C512" s="245" t="s">
        <v>168</v>
      </c>
      <c r="D512" s="246">
        <v>1955.94</v>
      </c>
      <c r="E512" s="247">
        <v>4</v>
      </c>
      <c r="F512" s="247">
        <v>3</v>
      </c>
      <c r="G512" s="247">
        <v>3</v>
      </c>
      <c r="H512" s="239">
        <v>1353</v>
      </c>
      <c r="I512" s="273">
        <v>0</v>
      </c>
      <c r="J512" s="240">
        <f t="shared" si="293"/>
      </c>
      <c r="K512" s="240">
        <f t="shared" si="353"/>
      </c>
      <c r="L512" s="240">
        <f t="shared" si="172"/>
      </c>
      <c r="M512" s="241">
        <f t="shared" si="233"/>
      </c>
      <c r="N512" s="240">
        <f t="shared" si="82"/>
      </c>
      <c r="O512" s="240">
        <f t="shared" si="112"/>
      </c>
      <c r="P512" s="241">
        <f t="shared" si="383"/>
      </c>
      <c r="Q512" s="241">
        <f t="shared" si="21"/>
      </c>
      <c r="R512" s="241">
        <f t="shared" si="263"/>
      </c>
      <c r="S512" s="241">
        <f t="shared" si="323"/>
      </c>
      <c r="T512" s="242">
        <f t="shared" si="142"/>
      </c>
      <c r="U512" s="243">
        <v>0.0346</v>
      </c>
      <c r="V512" s="244">
        <v>42</v>
      </c>
      <c r="W512" s="240">
        <f t="shared" si="51"/>
      </c>
      <c r="X512" s="242">
        <v>10538</v>
      </c>
      <c r="Y512" s="242">
        <v>417</v>
      </c>
      <c r="Z512" s="242">
        <v>43</v>
      </c>
      <c r="AA512" s="242">
        <v>966</v>
      </c>
      <c r="AB512" s="242">
        <v>36</v>
      </c>
      <c r="AC512" s="242">
        <v>5</v>
      </c>
      <c r="AD512" s="242">
        <v>0</v>
      </c>
      <c r="AE512" s="242">
        <v>10</v>
      </c>
      <c r="AF512" s="240">
        <f t="shared" si="202"/>
      </c>
      <c r="AG512" s="222" t="s">
        <v>159</v>
      </c>
      <c r="AH512" s="223" t="s">
        <v>193</v>
      </c>
      <c r="AI512" s="244">
        <v>14</v>
      </c>
    </row>
    <row r="513">
      <c r="A513" s="211"/>
      <c r="B513" s="248" t="s">
        <v>171</v>
      </c>
      <c r="C513" s="235" t="s">
        <v>169</v>
      </c>
      <c r="D513" s="236">
        <v>2335.74</v>
      </c>
      <c r="E513" s="247">
        <v>5</v>
      </c>
      <c r="F513" s="247">
        <v>4</v>
      </c>
      <c r="G513" s="247">
        <v>4</v>
      </c>
      <c r="H513" s="236">
        <v>4668.4000000000015</v>
      </c>
      <c r="I513" s="238">
        <v>1</v>
      </c>
      <c r="J513" s="240">
        <f t="shared" si="293"/>
      </c>
      <c r="K513" s="240">
        <f t="shared" si="353"/>
      </c>
      <c r="L513" s="240">
        <f t="shared" si="172"/>
      </c>
      <c r="M513" s="241">
        <f t="shared" si="233"/>
      </c>
      <c r="N513" s="240">
        <f t="shared" si="82"/>
      </c>
      <c r="O513" s="240">
        <f t="shared" si="112"/>
      </c>
      <c r="P513" s="241">
        <f t="shared" si="383"/>
      </c>
      <c r="Q513" s="241">
        <f t="shared" si="21"/>
      </c>
      <c r="R513" s="241">
        <f t="shared" si="263"/>
      </c>
      <c r="S513" s="241">
        <f t="shared" si="323"/>
      </c>
      <c r="T513" s="242">
        <f t="shared" si="142"/>
      </c>
      <c r="U513" s="243">
        <v>0.0599</v>
      </c>
      <c r="V513" s="244">
        <v>42</v>
      </c>
      <c r="W513" s="240">
        <f t="shared" si="51"/>
      </c>
      <c r="X513" s="242">
        <v>13512</v>
      </c>
      <c r="Y513" s="242">
        <v>426</v>
      </c>
      <c r="Z513" s="242">
        <v>72</v>
      </c>
      <c r="AA513" s="242">
        <v>1041</v>
      </c>
      <c r="AB513" s="242">
        <v>56</v>
      </c>
      <c r="AC513" s="242">
        <v>8</v>
      </c>
      <c r="AD513" s="242">
        <v>1</v>
      </c>
      <c r="AE513" s="244">
        <v>11</v>
      </c>
      <c r="AF513" s="240">
        <f t="shared" si="202"/>
      </c>
      <c r="AG513" s="222" t="s">
        <v>159</v>
      </c>
      <c r="AH513" s="223" t="s">
        <v>193</v>
      </c>
      <c r="AI513" s="244">
        <v>33</v>
      </c>
    </row>
    <row r="514">
      <c r="A514" s="211"/>
      <c r="B514" s="248" t="s">
        <v>171</v>
      </c>
      <c r="C514" s="248" t="s">
        <v>170</v>
      </c>
      <c r="D514" s="236">
        <v>2288.56</v>
      </c>
      <c r="E514" s="238">
        <v>6</v>
      </c>
      <c r="F514" s="238">
        <v>4</v>
      </c>
      <c r="G514" s="238">
        <v>3</v>
      </c>
      <c r="H514" s="236">
        <v>2134</v>
      </c>
      <c r="I514" s="238">
        <v>0</v>
      </c>
      <c r="J514" s="240">
        <f t="shared" si="293"/>
      </c>
      <c r="K514" s="240">
        <f t="shared" si="353"/>
      </c>
      <c r="L514" s="240">
        <f t="shared" si="172"/>
      </c>
      <c r="M514" s="241">
        <f t="shared" si="233"/>
      </c>
      <c r="N514" s="240">
        <f t="shared" si="82"/>
      </c>
      <c r="O514" s="240">
        <f t="shared" si="112"/>
      </c>
      <c r="P514" s="241">
        <f t="shared" si="383"/>
      </c>
      <c r="Q514" s="241">
        <f t="shared" si="21"/>
      </c>
      <c r="R514" s="241">
        <f t="shared" si="263"/>
      </c>
      <c r="S514" s="241">
        <f t="shared" si="323"/>
      </c>
      <c r="T514" s="242">
        <f t="shared" si="142"/>
      </c>
      <c r="U514" s="243">
        <v>0.0644</v>
      </c>
      <c r="V514" s="244">
        <v>42</v>
      </c>
      <c r="W514" s="240">
        <f t="shared" si="51"/>
      </c>
      <c r="X514" s="242">
        <v>14539</v>
      </c>
      <c r="Y514" s="242">
        <v>388</v>
      </c>
      <c r="Z514" s="242">
        <v>65</v>
      </c>
      <c r="AA514" s="242">
        <v>926</v>
      </c>
      <c r="AB514" s="242">
        <v>58</v>
      </c>
      <c r="AC514" s="242">
        <v>12</v>
      </c>
      <c r="AD514" s="242">
        <v>1</v>
      </c>
      <c r="AE514" s="242">
        <v>17</v>
      </c>
      <c r="AF514" s="240">
        <f t="shared" si="202"/>
      </c>
      <c r="AG514" s="222" t="s">
        <v>159</v>
      </c>
      <c r="AH514" s="223" t="s">
        <v>193</v>
      </c>
      <c r="AI514" s="244">
        <v>29</v>
      </c>
    </row>
    <row r="515">
      <c r="A515" s="211"/>
      <c r="B515" s="249" t="s">
        <v>165</v>
      </c>
      <c r="C515" s="249"/>
      <c r="D515" s="250">
        <f>SUM(D511:D514)</f>
      </c>
      <c r="E515" s="251">
        <f>SUM(E511:E514)</f>
      </c>
      <c r="F515" s="251">
        <f>SUM(F511:F514)</f>
      </c>
      <c r="G515" s="251">
        <f>SUM(G511:G514)</f>
      </c>
      <c r="H515" s="250">
        <f>SUM(H511:H514)</f>
      </c>
      <c r="I515" s="272">
        <f>SUM(I511:I514)</f>
      </c>
      <c r="J515" s="252">
        <f t="shared" si="293"/>
      </c>
      <c r="K515" s="252">
        <f t="shared" si="353"/>
      </c>
      <c r="L515" s="252">
        <f t="shared" si="172"/>
      </c>
      <c r="M515" s="253">
        <f t="shared" si="233"/>
      </c>
      <c r="N515" s="252">
        <f t="shared" si="82"/>
      </c>
      <c r="O515" s="252">
        <f t="shared" si="112"/>
      </c>
      <c r="P515" s="253">
        <f t="shared" si="383"/>
      </c>
      <c r="Q515" s="253">
        <f t="shared" si="21"/>
      </c>
      <c r="R515" s="253">
        <f t="shared" si="263"/>
      </c>
      <c r="S515" s="253">
        <f t="shared" si="323"/>
      </c>
      <c r="T515" s="254">
        <f t="shared" si="142"/>
      </c>
      <c r="U515" s="253">
        <f>AVERAGE(U511:U514)</f>
      </c>
      <c r="V515" s="250">
        <f>AVERAGE(V511:V514)</f>
      </c>
      <c r="W515" s="252">
        <f t="shared" si="51"/>
      </c>
      <c r="X515" s="254">
        <f>SUM(X511:X514)</f>
      </c>
      <c r="Y515" s="254">
        <f>SUM(Y511:Y514)</f>
      </c>
      <c r="Z515" s="254">
        <f>SUM(Z511:Z514)</f>
      </c>
      <c r="AA515" s="254">
        <f>SUM(AA511:AA514)</f>
      </c>
      <c r="AB515" s="254">
        <f>SUM(AB511:AB514)</f>
      </c>
      <c r="AC515" s="254">
        <f>SUM(AC511:AC514)</f>
      </c>
      <c r="AD515" s="254">
        <f>SUM(AD511:AD514)</f>
      </c>
      <c r="AE515" s="254">
        <f>SUM(AE511:AE514)</f>
      </c>
      <c r="AF515" s="255">
        <f t="shared" si="202"/>
      </c>
      <c r="AG515" s="256"/>
      <c r="AH515" s="256"/>
      <c r="AI515" s="257">
        <f>SUM(AI511:AI514)</f>
      </c>
    </row>
    <row r="516">
      <c r="A516" s="211"/>
      <c r="B516" s="248" t="s">
        <v>178</v>
      </c>
      <c r="C516" s="235" t="s">
        <v>172</v>
      </c>
      <c r="D516" s="212">
        <v>1821.12</v>
      </c>
      <c r="E516" s="215">
        <v>6</v>
      </c>
      <c r="F516" s="215">
        <v>3</v>
      </c>
      <c r="G516" s="215">
        <v>3</v>
      </c>
      <c r="H516" s="275">
        <v>2713.699999999997</v>
      </c>
      <c r="I516" s="215">
        <v>1</v>
      </c>
      <c r="J516" s="217">
        <f t="shared" si="293"/>
      </c>
      <c r="K516" s="217">
        <f t="shared" si="353"/>
      </c>
      <c r="L516" s="217">
        <f t="shared" si="172"/>
      </c>
      <c r="M516" s="218">
        <f t="shared" si="233"/>
      </c>
      <c r="N516" s="217">
        <f t="shared" si="82"/>
      </c>
      <c r="O516" s="217">
        <f t="shared" si="112"/>
      </c>
      <c r="P516" s="218">
        <f t="shared" si="383"/>
      </c>
      <c r="Q516" s="218">
        <f t="shared" si="21"/>
      </c>
      <c r="R516" s="218">
        <f t="shared" si="263"/>
      </c>
      <c r="S516" s="218">
        <f t="shared" si="323"/>
      </c>
      <c r="T516" s="219">
        <f t="shared" si="142"/>
      </c>
      <c r="U516" s="220">
        <v>0.0716</v>
      </c>
      <c r="V516" s="221">
        <v>42</v>
      </c>
      <c r="W516" s="217">
        <f t="shared" si="51"/>
      </c>
      <c r="X516" s="221">
        <v>12701</v>
      </c>
      <c r="Y516" s="221">
        <v>309</v>
      </c>
      <c r="Z516" s="219">
        <v>61</v>
      </c>
      <c r="AA516" s="219">
        <v>833</v>
      </c>
      <c r="AB516" s="219">
        <v>56</v>
      </c>
      <c r="AC516" s="219">
        <v>7</v>
      </c>
      <c r="AD516" s="221">
        <v>0</v>
      </c>
      <c r="AE516" s="221">
        <v>15</v>
      </c>
      <c r="AF516" s="217">
        <f t="shared" si="202"/>
      </c>
      <c r="AG516" s="222" t="s">
        <v>173</v>
      </c>
      <c r="AH516" s="223" t="s">
        <v>187</v>
      </c>
      <c r="AI516" s="221">
        <v>28</v>
      </c>
    </row>
    <row r="517">
      <c r="A517" s="211"/>
      <c r="B517" s="248" t="s">
        <v>178</v>
      </c>
      <c r="C517" s="245" t="s">
        <v>175</v>
      </c>
      <c r="D517" s="212">
        <v>2113.35</v>
      </c>
      <c r="E517" s="215">
        <v>2</v>
      </c>
      <c r="F517" s="215">
        <v>1</v>
      </c>
      <c r="G517" s="215">
        <v>1</v>
      </c>
      <c r="H517" s="275">
        <v>451</v>
      </c>
      <c r="I517" s="215">
        <v>0</v>
      </c>
      <c r="J517" s="217">
        <f t="shared" si="293"/>
      </c>
      <c r="K517" s="217">
        <f t="shared" si="353"/>
      </c>
      <c r="L517" s="217">
        <f t="shared" si="172"/>
      </c>
      <c r="M517" s="218">
        <f t="shared" si="233"/>
      </c>
      <c r="N517" s="217">
        <f t="shared" si="82"/>
      </c>
      <c r="O517" s="217">
        <f t="shared" si="112"/>
      </c>
      <c r="P517" s="218">
        <f t="shared" si="383"/>
      </c>
      <c r="Q517" s="218">
        <f t="shared" si="21"/>
      </c>
      <c r="R517" s="218">
        <f t="shared" si="263"/>
      </c>
      <c r="S517" s="218">
        <f t="shared" si="323"/>
      </c>
      <c r="T517" s="219">
        <f t="shared" si="142"/>
      </c>
      <c r="U517" s="220">
        <v>0.0892</v>
      </c>
      <c r="V517" s="221">
        <v>41</v>
      </c>
      <c r="W517" s="217">
        <f t="shared" si="51"/>
      </c>
      <c r="X517" s="219">
        <v>14766</v>
      </c>
      <c r="Y517" s="219">
        <v>352</v>
      </c>
      <c r="Z517" s="219">
        <v>78</v>
      </c>
      <c r="AA517" s="219">
        <v>799</v>
      </c>
      <c r="AB517" s="219">
        <v>63</v>
      </c>
      <c r="AC517" s="219">
        <v>4</v>
      </c>
      <c r="AD517" s="219">
        <v>1</v>
      </c>
      <c r="AE517" s="221">
        <v>16</v>
      </c>
      <c r="AF517" s="217">
        <f t="shared" si="202"/>
      </c>
      <c r="AG517" s="222" t="s">
        <v>173</v>
      </c>
      <c r="AH517" s="223" t="s">
        <v>187</v>
      </c>
      <c r="AI517" s="221">
        <v>16</v>
      </c>
    </row>
    <row r="518">
      <c r="A518" s="211"/>
      <c r="B518" s="248" t="s">
        <v>178</v>
      </c>
      <c r="C518" s="235" t="s">
        <v>176</v>
      </c>
      <c r="D518" s="212">
        <v>1925.65</v>
      </c>
      <c r="E518" s="215">
        <v>2</v>
      </c>
      <c r="F518" s="215">
        <v>1</v>
      </c>
      <c r="G518" s="215">
        <v>1</v>
      </c>
      <c r="H518" s="275">
        <v>451</v>
      </c>
      <c r="I518" s="215">
        <v>0</v>
      </c>
      <c r="J518" s="217">
        <f t="shared" si="293"/>
      </c>
      <c r="K518" s="217">
        <f t="shared" si="353"/>
      </c>
      <c r="L518" s="217">
        <f t="shared" si="172"/>
      </c>
      <c r="M518" s="218">
        <f t="shared" si="233"/>
      </c>
      <c r="N518" s="217">
        <f t="shared" si="82"/>
      </c>
      <c r="O518" s="217">
        <f t="shared" si="112"/>
      </c>
      <c r="P518" s="218">
        <f t="shared" si="383"/>
      </c>
      <c r="Q518" s="218">
        <f t="shared" si="21"/>
      </c>
      <c r="R518" s="218">
        <f t="shared" si="263"/>
      </c>
      <c r="S518" s="218">
        <f t="shared" si="323"/>
      </c>
      <c r="T518" s="219">
        <f t="shared" si="142"/>
      </c>
      <c r="U518" s="220">
        <v>0.0351</v>
      </c>
      <c r="V518" s="221">
        <v>40</v>
      </c>
      <c r="W518" s="217">
        <f t="shared" si="51"/>
      </c>
      <c r="X518" s="221">
        <v>13248</v>
      </c>
      <c r="Y518" s="221">
        <v>377</v>
      </c>
      <c r="Z518" s="221">
        <v>46</v>
      </c>
      <c r="AA518" s="221">
        <v>831</v>
      </c>
      <c r="AB518" s="221">
        <v>46</v>
      </c>
      <c r="AC518" s="221">
        <v>5</v>
      </c>
      <c r="AD518" s="221">
        <v>0</v>
      </c>
      <c r="AE518" s="221">
        <v>13</v>
      </c>
      <c r="AF518" s="217">
        <f t="shared" si="202"/>
      </c>
      <c r="AG518" s="222" t="s">
        <v>173</v>
      </c>
      <c r="AH518" s="223" t="s">
        <v>187</v>
      </c>
      <c r="AI518" s="221">
        <v>15</v>
      </c>
    </row>
    <row r="519">
      <c r="A519" s="211"/>
      <c r="B519" s="248" t="s">
        <v>178</v>
      </c>
      <c r="C519" s="235" t="s">
        <v>177</v>
      </c>
      <c r="D519" s="212">
        <v>1747.8</v>
      </c>
      <c r="E519" s="215">
        <v>3</v>
      </c>
      <c r="F519" s="215">
        <v>3</v>
      </c>
      <c r="G519" s="215">
        <v>2</v>
      </c>
      <c r="H519" s="275">
        <v>1683</v>
      </c>
      <c r="I519" s="215">
        <v>0</v>
      </c>
      <c r="J519" s="217">
        <f t="shared" si="293"/>
      </c>
      <c r="K519" s="217">
        <f t="shared" si="353"/>
      </c>
      <c r="L519" s="217">
        <f t="shared" si="172"/>
      </c>
      <c r="M519" s="218">
        <f t="shared" si="233"/>
      </c>
      <c r="N519" s="217">
        <f t="shared" si="82"/>
      </c>
      <c r="O519" s="217">
        <f t="shared" si="112"/>
      </c>
      <c r="P519" s="218">
        <f t="shared" si="383"/>
      </c>
      <c r="Q519" s="218">
        <f t="shared" si="21"/>
      </c>
      <c r="R519" s="218">
        <f t="shared" si="263"/>
      </c>
      <c r="S519" s="218">
        <f t="shared" si="323"/>
      </c>
      <c r="T519" s="219">
        <f t="shared" si="142"/>
      </c>
      <c r="U519" s="220">
        <v>0.025</v>
      </c>
      <c r="V519" s="221">
        <v>39</v>
      </c>
      <c r="W519" s="217">
        <f t="shared" si="51"/>
      </c>
      <c r="X519" s="221">
        <v>12542</v>
      </c>
      <c r="Y519" s="221">
        <v>424</v>
      </c>
      <c r="Z519" s="219">
        <v>43</v>
      </c>
      <c r="AA519" s="219">
        <v>1075</v>
      </c>
      <c r="AB519" s="219">
        <v>38</v>
      </c>
      <c r="AC519" s="219">
        <v>7</v>
      </c>
      <c r="AD519" s="221">
        <v>0</v>
      </c>
      <c r="AE519" s="221">
        <v>6</v>
      </c>
      <c r="AF519" s="217">
        <f t="shared" si="202"/>
      </c>
      <c r="AG519" s="222" t="s">
        <v>173</v>
      </c>
      <c r="AH519" s="223" t="s">
        <v>187</v>
      </c>
      <c r="AI519" s="221">
        <v>19</v>
      </c>
    </row>
    <row r="520">
      <c r="A520" s="211"/>
      <c r="B520" s="227" t="s">
        <v>165</v>
      </c>
      <c r="C520" s="227"/>
      <c r="D520" s="259">
        <f>SUM(D516:D519)</f>
      </c>
      <c r="E520" s="260">
        <f>SUM(E516:E519)</f>
      </c>
      <c r="F520" s="260">
        <f>SUM(F516:F519)</f>
      </c>
      <c r="G520" s="260">
        <f>SUM(G516:G519)</f>
      </c>
      <c r="H520" s="259">
        <f>SUM(H516:H519)</f>
      </c>
      <c r="I520" s="272">
        <f>SUM(I516:I519)</f>
      </c>
      <c r="J520" s="230">
        <f t="shared" si="293"/>
      </c>
      <c r="K520" s="230">
        <f t="shared" si="353"/>
      </c>
      <c r="L520" s="230">
        <f t="shared" si="172"/>
      </c>
      <c r="M520" s="231">
        <f t="shared" si="233"/>
      </c>
      <c r="N520" s="230">
        <f t="shared" si="82"/>
      </c>
      <c r="O520" s="230">
        <f t="shared" si="112"/>
      </c>
      <c r="P520" s="231">
        <f t="shared" si="383"/>
      </c>
      <c r="Q520" s="231">
        <f t="shared" si="21"/>
      </c>
      <c r="R520" s="231">
        <f t="shared" si="263"/>
      </c>
      <c r="S520" s="231">
        <f t="shared" si="323"/>
      </c>
      <c r="T520" s="229">
        <f t="shared" si="142"/>
      </c>
      <c r="U520" s="231">
        <f>AVERAGE(U516:U519)</f>
      </c>
      <c r="V520" s="228">
        <f>AVERAGE(V516:V519)</f>
      </c>
      <c r="W520" s="230">
        <f t="shared" si="51"/>
      </c>
      <c r="X520" s="229">
        <f>SUM(X516:X519)</f>
      </c>
      <c r="Y520" s="229">
        <f>SUM(Y516:Y519)</f>
      </c>
      <c r="Z520" s="229">
        <f>SUM(Z516:Z519)</f>
      </c>
      <c r="AA520" s="229">
        <f>SUM(AA516:AA519)</f>
      </c>
      <c r="AB520" s="229">
        <f>SUM(AB516:AB519)</f>
      </c>
      <c r="AC520" s="229">
        <f>SUM(AC516:AC519)</f>
      </c>
      <c r="AD520" s="229">
        <f>SUM(AD516:AD519)</f>
      </c>
      <c r="AE520" s="229">
        <f>SUM(AE516:AE519)</f>
      </c>
      <c r="AF520" s="232">
        <f t="shared" si="202"/>
      </c>
      <c r="AG520" s="233"/>
      <c r="AH520" s="233"/>
      <c r="AI520" s="229">
        <f>SUM(AI516:AI519)</f>
      </c>
    </row>
    <row r="521">
      <c r="A521" s="211"/>
      <c r="B521" s="235" t="s">
        <v>186</v>
      </c>
      <c r="C521" s="248" t="s">
        <v>179</v>
      </c>
      <c r="D521" s="261">
        <v>1761.96</v>
      </c>
      <c r="E521" s="237">
        <v>3</v>
      </c>
      <c r="F521" s="237">
        <v>3</v>
      </c>
      <c r="G521" s="238">
        <v>1</v>
      </c>
      <c r="H521" s="239">
        <v>1758.9000000000015</v>
      </c>
      <c r="I521" s="273">
        <v>1</v>
      </c>
      <c r="J521" s="240">
        <f t="shared" si="293"/>
      </c>
      <c r="K521" s="240">
        <f t="shared" si="353"/>
      </c>
      <c r="L521" s="240">
        <f t="shared" si="172"/>
      </c>
      <c r="M521" s="241">
        <f t="shared" si="233"/>
      </c>
      <c r="N521" s="240">
        <f t="shared" si="82"/>
      </c>
      <c r="O521" s="240">
        <f t="shared" si="112"/>
      </c>
      <c r="P521" s="241">
        <f t="shared" si="383"/>
      </c>
      <c r="Q521" s="241">
        <f t="shared" si="21"/>
      </c>
      <c r="R521" s="241">
        <f t="shared" si="263"/>
      </c>
      <c r="S521" s="241">
        <f t="shared" si="323"/>
      </c>
      <c r="T521" s="242">
        <f t="shared" si="142"/>
      </c>
      <c r="U521" s="243">
        <v>0.0412</v>
      </c>
      <c r="V521" s="244">
        <v>40</v>
      </c>
      <c r="W521" s="240">
        <f t="shared" si="51"/>
      </c>
      <c r="X521" s="242">
        <v>11821</v>
      </c>
      <c r="Y521" s="242">
        <v>491</v>
      </c>
      <c r="Z521" s="242">
        <v>73</v>
      </c>
      <c r="AA521" s="242">
        <v>992</v>
      </c>
      <c r="AB521" s="242">
        <v>75</v>
      </c>
      <c r="AC521" s="242">
        <v>6</v>
      </c>
      <c r="AD521" s="242">
        <v>0</v>
      </c>
      <c r="AE521" s="242">
        <v>8</v>
      </c>
      <c r="AF521" s="240">
        <f t="shared" si="202"/>
      </c>
      <c r="AG521" s="222" t="s">
        <v>173</v>
      </c>
      <c r="AH521" s="223" t="s">
        <v>187</v>
      </c>
      <c r="AI521" s="244">
        <v>25</v>
      </c>
    </row>
    <row r="522">
      <c r="A522" s="211"/>
      <c r="B522" s="235" t="s">
        <v>186</v>
      </c>
      <c r="C522" s="248" t="s">
        <v>180</v>
      </c>
      <c r="D522" s="262">
        <v>2220.92</v>
      </c>
      <c r="E522" s="247">
        <v>4</v>
      </c>
      <c r="F522" s="247">
        <v>4</v>
      </c>
      <c r="G522" s="247">
        <v>3</v>
      </c>
      <c r="H522" s="263">
        <v>2134</v>
      </c>
      <c r="I522" s="273">
        <v>0</v>
      </c>
      <c r="J522" s="240">
        <f t="shared" si="293"/>
      </c>
      <c r="K522" s="240">
        <f t="shared" si="353"/>
      </c>
      <c r="L522" s="240">
        <f t="shared" si="172"/>
      </c>
      <c r="M522" s="241">
        <f t="shared" si="233"/>
      </c>
      <c r="N522" s="240">
        <f t="shared" si="82"/>
      </c>
      <c r="O522" s="240">
        <f t="shared" si="112"/>
      </c>
      <c r="P522" s="241">
        <f t="shared" si="383"/>
      </c>
      <c r="Q522" s="241">
        <f t="shared" si="21"/>
      </c>
      <c r="R522" s="241">
        <f t="shared" si="263"/>
      </c>
      <c r="S522" s="241">
        <f t="shared" si="323"/>
      </c>
      <c r="T522" s="242">
        <f t="shared" si="142"/>
      </c>
      <c r="U522" s="243">
        <v>0.0443</v>
      </c>
      <c r="V522" s="244">
        <v>40</v>
      </c>
      <c r="W522" s="240">
        <f t="shared" si="51"/>
      </c>
      <c r="X522" s="242">
        <v>12319</v>
      </c>
      <c r="Y522" s="242">
        <v>547</v>
      </c>
      <c r="Z522" s="242">
        <v>78</v>
      </c>
      <c r="AA522" s="242">
        <v>1028</v>
      </c>
      <c r="AB522" s="242">
        <v>71</v>
      </c>
      <c r="AC522" s="242">
        <v>7</v>
      </c>
      <c r="AD522" s="242">
        <v>1</v>
      </c>
      <c r="AE522" s="242">
        <v>15</v>
      </c>
      <c r="AF522" s="240">
        <f t="shared" si="202"/>
      </c>
      <c r="AG522" s="222" t="s">
        <v>173</v>
      </c>
      <c r="AH522" s="223" t="s">
        <v>187</v>
      </c>
      <c r="AI522" s="244">
        <v>29</v>
      </c>
    </row>
    <row r="523">
      <c r="A523" s="211"/>
      <c r="B523" s="235" t="s">
        <v>186</v>
      </c>
      <c r="C523" s="248" t="s">
        <v>181</v>
      </c>
      <c r="D523" s="261">
        <v>2993.17</v>
      </c>
      <c r="E523" s="247">
        <v>9</v>
      </c>
      <c r="F523" s="247">
        <v>7</v>
      </c>
      <c r="G523" s="247">
        <v>7</v>
      </c>
      <c r="H523" s="236">
        <v>7837.5</v>
      </c>
      <c r="I523" s="238">
        <v>3</v>
      </c>
      <c r="J523" s="240">
        <f t="shared" si="293"/>
      </c>
      <c r="K523" s="240">
        <f t="shared" si="353"/>
      </c>
      <c r="L523" s="240">
        <f t="shared" si="172"/>
      </c>
      <c r="M523" s="241">
        <f t="shared" si="233"/>
      </c>
      <c r="N523" s="240">
        <f t="shared" si="82"/>
      </c>
      <c r="O523" s="240">
        <f t="shared" si="112"/>
      </c>
      <c r="P523" s="241">
        <f t="shared" si="383"/>
      </c>
      <c r="Q523" s="241">
        <f t="shared" si="21"/>
      </c>
      <c r="R523" s="241">
        <f t="shared" si="263"/>
      </c>
      <c r="S523" s="241">
        <f t="shared" si="323"/>
      </c>
      <c r="T523" s="242">
        <f t="shared" si="142"/>
      </c>
      <c r="U523" s="243">
        <v>0.0382</v>
      </c>
      <c r="V523" s="244">
        <v>42</v>
      </c>
      <c r="W523" s="240">
        <f t="shared" si="51"/>
      </c>
      <c r="X523" s="242">
        <v>17545</v>
      </c>
      <c r="Y523" s="242">
        <v>672</v>
      </c>
      <c r="Z523" s="242">
        <v>87</v>
      </c>
      <c r="AA523" s="242">
        <v>1322</v>
      </c>
      <c r="AB523" s="242">
        <v>105</v>
      </c>
      <c r="AC523" s="242">
        <v>12</v>
      </c>
      <c r="AD523" s="242">
        <v>1</v>
      </c>
      <c r="AE523" s="242">
        <v>19</v>
      </c>
      <c r="AF523" s="240">
        <f t="shared" si="202"/>
      </c>
      <c r="AG523" s="222" t="s">
        <v>173</v>
      </c>
      <c r="AH523" s="223" t="s">
        <v>187</v>
      </c>
      <c r="AI523" s="244">
        <v>39</v>
      </c>
    </row>
    <row r="524">
      <c r="A524" s="211"/>
      <c r="B524" s="235" t="s">
        <v>186</v>
      </c>
      <c r="C524" s="248" t="s">
        <v>182</v>
      </c>
      <c r="D524" s="261">
        <v>1695.08</v>
      </c>
      <c r="E524" s="238">
        <v>7</v>
      </c>
      <c r="F524" s="238">
        <v>6</v>
      </c>
      <c r="G524" s="238">
        <v>6</v>
      </c>
      <c r="H524" s="261">
        <v>3021.699999999997</v>
      </c>
      <c r="I524" s="238">
        <v>1</v>
      </c>
      <c r="J524" s="240">
        <f t="shared" si="293"/>
      </c>
      <c r="K524" s="240">
        <f t="shared" si="353"/>
      </c>
      <c r="L524" s="240">
        <f t="shared" si="172"/>
      </c>
      <c r="M524" s="241">
        <f t="shared" si="233"/>
      </c>
      <c r="N524" s="240">
        <f t="shared" si="82"/>
      </c>
      <c r="O524" s="240">
        <f t="shared" si="112"/>
      </c>
      <c r="P524" s="241">
        <f t="shared" si="383"/>
      </c>
      <c r="Q524" s="241">
        <f t="shared" si="21"/>
      </c>
      <c r="R524" s="241">
        <f t="shared" si="263"/>
      </c>
      <c r="S524" s="241">
        <f t="shared" si="323"/>
      </c>
      <c r="T524" s="242">
        <f t="shared" si="142"/>
      </c>
      <c r="U524" s="243">
        <v>0.0306</v>
      </c>
      <c r="V524" s="244">
        <v>43</v>
      </c>
      <c r="W524" s="240">
        <f t="shared" si="51"/>
      </c>
      <c r="X524" s="242">
        <v>15069</v>
      </c>
      <c r="Y524" s="242">
        <v>516</v>
      </c>
      <c r="Z524" s="242">
        <v>59</v>
      </c>
      <c r="AA524" s="242">
        <v>1113</v>
      </c>
      <c r="AB524" s="242">
        <v>97</v>
      </c>
      <c r="AC524" s="242">
        <v>8</v>
      </c>
      <c r="AD524" s="242">
        <v>1</v>
      </c>
      <c r="AE524" s="244">
        <v>30</v>
      </c>
      <c r="AF524" s="240">
        <f t="shared" si="202"/>
      </c>
      <c r="AG524" s="222" t="s">
        <v>173</v>
      </c>
      <c r="AH524" s="223" t="s">
        <v>187</v>
      </c>
      <c r="AI524" s="244">
        <v>29</v>
      </c>
    </row>
    <row r="525">
      <c r="A525" s="211"/>
      <c r="B525" s="249" t="s">
        <v>165</v>
      </c>
      <c r="C525" s="249"/>
      <c r="D525" s="250">
        <f>SUM(D521:D524)</f>
      </c>
      <c r="E525" s="251">
        <f>SUM(E521:E524)</f>
      </c>
      <c r="F525" s="251">
        <f>SUM(F521:F524)</f>
      </c>
      <c r="G525" s="251">
        <f>SUM(G521:G524)</f>
      </c>
      <c r="H525" s="250">
        <f>SUM(H521:H524)</f>
      </c>
      <c r="I525" s="272">
        <f>SUM(I521:I524)</f>
      </c>
      <c r="J525" s="252">
        <f t="shared" si="293"/>
      </c>
      <c r="K525" s="252">
        <f t="shared" si="353"/>
      </c>
      <c r="L525" s="252">
        <f t="shared" si="172"/>
      </c>
      <c r="M525" s="253">
        <f t="shared" si="233"/>
      </c>
      <c r="N525" s="252">
        <f t="shared" si="82"/>
      </c>
      <c r="O525" s="252">
        <f t="shared" si="112"/>
      </c>
      <c r="P525" s="253">
        <f t="shared" si="383"/>
      </c>
      <c r="Q525" s="253">
        <f t="shared" si="21"/>
      </c>
      <c r="R525" s="253">
        <f t="shared" si="263"/>
      </c>
      <c r="S525" s="253">
        <f t="shared" si="323"/>
      </c>
      <c r="T525" s="254">
        <f t="shared" si="142"/>
      </c>
      <c r="U525" s="253">
        <f>AVERAGE(U521:U524)</f>
      </c>
      <c r="V525" s="250">
        <f>AVERAGE(V521:V524)</f>
      </c>
      <c r="W525" s="252">
        <f t="shared" si="51"/>
      </c>
      <c r="X525" s="254">
        <f>SUM(X521:X524)</f>
      </c>
      <c r="Y525" s="254">
        <f>SUM(Y521:Y524)</f>
      </c>
      <c r="Z525" s="254">
        <f>SUM(Z521:Z524)</f>
      </c>
      <c r="AA525" s="254">
        <f>SUM(AA521:AA524)</f>
      </c>
      <c r="AB525" s="254">
        <f>SUM(AB521:AB524)</f>
      </c>
      <c r="AC525" s="254">
        <f>SUM(AC521:AC524)</f>
      </c>
      <c r="AD525" s="254">
        <f>SUM(AD521:AD524)</f>
      </c>
      <c r="AE525" s="254">
        <f>SUM(AE521:AE524)</f>
      </c>
      <c r="AF525" s="255">
        <f t="shared" si="202"/>
      </c>
      <c r="AG525" s="256"/>
      <c r="AH525" s="256"/>
      <c r="AI525" s="257">
        <f>SUM(AI521:AI524)</f>
      </c>
    </row>
    <row r="526">
      <c r="A526" s="211"/>
      <c r="B526" s="264" t="s">
        <v>183</v>
      </c>
      <c r="C526" s="264"/>
      <c r="D526" s="265">
        <f>D510+D515+D520+D525</f>
      </c>
      <c r="E526" s="265">
        <f>E510+E515+E520+E525</f>
      </c>
      <c r="F526" s="265">
        <f>F510+F515+F520+F525</f>
      </c>
      <c r="G526" s="265">
        <f>G510+G515+G520+G525</f>
      </c>
      <c r="H526" s="265">
        <f>H510+H515+H520+H525</f>
      </c>
      <c r="I526" s="274">
        <f>I510+I515+I520+I525</f>
      </c>
      <c r="J526" s="266">
        <f t="shared" si="293"/>
      </c>
      <c r="K526" s="267">
        <f t="shared" si="353"/>
      </c>
      <c r="L526" s="267">
        <f t="shared" si="172"/>
      </c>
      <c r="M526" s="268">
        <f t="shared" si="233"/>
      </c>
      <c r="N526" s="267">
        <f t="shared" si="82"/>
      </c>
      <c r="O526" s="267">
        <f t="shared" si="112"/>
      </c>
      <c r="P526" s="268">
        <f t="shared" si="383"/>
      </c>
      <c r="Q526" s="268">
        <f t="shared" si="21"/>
      </c>
      <c r="R526" s="268">
        <f t="shared" si="263"/>
      </c>
      <c r="S526" s="268">
        <f t="shared" si="323"/>
      </c>
      <c r="T526" s="269">
        <f t="shared" si="142"/>
      </c>
      <c r="U526" s="268">
        <f>(U510+U520+U515+U525)/4</f>
      </c>
      <c r="V526" s="267">
        <f>(V510+V520+V515+V525)/4</f>
      </c>
      <c r="W526" s="270">
        <f t="shared" si="51"/>
      </c>
      <c r="X526" s="269">
        <f>X510+X515+X520+X525</f>
      </c>
      <c r="Y526" s="269">
        <f>Y510+Y515+Y520+Y525</f>
      </c>
      <c r="Z526" s="269">
        <f>Z510+Z515+Z520+Z525</f>
      </c>
      <c r="AA526" s="269">
        <f>AA510+AA515+AA520+AA525</f>
      </c>
      <c r="AB526" s="269">
        <f>AB510+AB515+AB520+AB525</f>
      </c>
      <c r="AC526" s="269">
        <f>AC510+AC515+AC520+AC525</f>
      </c>
      <c r="AD526" s="269">
        <f>AD510+AD515+AD520+AD525</f>
      </c>
      <c r="AE526" s="269">
        <f>AE510+AE515+AE520+AE525</f>
      </c>
      <c r="AF526" s="267">
        <f>AF510</f>
      </c>
      <c r="AG526" s="264"/>
      <c r="AH526" s="264"/>
      <c r="AI526" s="269">
        <f>AI510+AI515+AI520+AI525</f>
      </c>
    </row>
    <row r="527">
      <c r="A527" s="193" t="s">
        <v>120</v>
      </c>
      <c r="B527" s="194" t="s">
        <v>121</v>
      </c>
      <c r="C527" s="194"/>
      <c r="D527" s="277" t="s">
        <v>122</v>
      </c>
      <c r="E527" s="277"/>
      <c r="F527" s="277"/>
      <c r="G527" s="277"/>
      <c r="H527" s="277"/>
      <c r="I527" s="277"/>
      <c r="J527" s="277"/>
      <c r="K527" s="277"/>
      <c r="L527" s="277"/>
      <c r="M527" s="277"/>
      <c r="N527" s="277"/>
      <c r="O527" s="196" t="s">
        <v>123</v>
      </c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7"/>
    </row>
    <row r="528">
      <c r="A528" s="193"/>
      <c r="B528" s="278" t="s">
        <v>124</v>
      </c>
      <c r="C528" s="279" t="s">
        <v>125</v>
      </c>
      <c r="D528" s="280" t="s">
        <v>126</v>
      </c>
      <c r="E528" s="281" t="s">
        <v>127</v>
      </c>
      <c r="F528" s="282" t="s">
        <v>128</v>
      </c>
      <c r="G528" s="282" t="s">
        <v>129</v>
      </c>
      <c r="H528" s="283" t="s">
        <v>130</v>
      </c>
      <c r="I528" s="271" t="s">
        <v>189</v>
      </c>
      <c r="J528" s="202" t="s">
        <v>131</v>
      </c>
      <c r="K528" s="202" t="s">
        <v>132</v>
      </c>
      <c r="L528" s="202" t="s">
        <v>133</v>
      </c>
      <c r="M528" s="203" t="s">
        <v>134</v>
      </c>
      <c r="N528" s="202" t="s">
        <v>135</v>
      </c>
      <c r="O528" s="204" t="s">
        <v>136</v>
      </c>
      <c r="P528" s="205" t="s">
        <v>137</v>
      </c>
      <c r="Q528" s="205" t="s">
        <v>138</v>
      </c>
      <c r="R528" s="205" t="s">
        <v>139</v>
      </c>
      <c r="S528" s="205" t="s">
        <v>140</v>
      </c>
      <c r="T528" s="206" t="s">
        <v>141</v>
      </c>
      <c r="U528" s="207" t="s">
        <v>142</v>
      </c>
      <c r="V528" s="208" t="s">
        <v>143</v>
      </c>
      <c r="W528" s="196" t="s">
        <v>144</v>
      </c>
      <c r="X528" s="209" t="s">
        <v>145</v>
      </c>
      <c r="Y528" s="209" t="s">
        <v>146</v>
      </c>
      <c r="Z528" s="209" t="s">
        <v>147</v>
      </c>
      <c r="AA528" s="209" t="s">
        <v>148</v>
      </c>
      <c r="AB528" s="209" t="s">
        <v>149</v>
      </c>
      <c r="AC528" s="209" t="s">
        <v>150</v>
      </c>
      <c r="AD528" s="209" t="s">
        <v>151</v>
      </c>
      <c r="AE528" s="209" t="s">
        <v>152</v>
      </c>
      <c r="AF528" s="196" t="s">
        <v>153</v>
      </c>
      <c r="AG528" s="210" t="s">
        <v>154</v>
      </c>
      <c r="AH528" s="210" t="s">
        <v>155</v>
      </c>
      <c r="AI528" s="197" t="s">
        <v>156</v>
      </c>
    </row>
    <row r="529">
      <c r="A529" s="211">
        <v>46196</v>
      </c>
      <c r="B529" s="212" t="s">
        <v>157</v>
      </c>
      <c r="C529" s="213" t="s">
        <v>158</v>
      </c>
      <c r="D529" s="246">
        <v>2360.54</v>
      </c>
      <c r="E529" s="247">
        <v>2</v>
      </c>
      <c r="F529" s="247">
        <v>2</v>
      </c>
      <c r="G529" s="247">
        <v>2</v>
      </c>
      <c r="H529" s="239">
        <v>1307.9</v>
      </c>
      <c r="I529" s="273">
        <v>1</v>
      </c>
      <c r="J529" s="240">
        <f t="shared" ref="J529:J547" si="294">H529/D529</f>
      </c>
      <c r="K529" s="240">
        <f t="shared" ref="K529:K547" si="354">D529/F529</f>
      </c>
      <c r="L529" s="240">
        <f t="shared" ref="L529:L547" si="173">D529/G529</f>
      </c>
      <c r="M529" s="241">
        <f t="shared" ref="M529:M547" si="234">F529/E529</f>
      </c>
      <c r="N529" s="240">
        <f t="shared" ref="N529:N547" si="83">H529/F529</f>
      </c>
      <c r="O529" s="240">
        <f t="shared" ref="O529:O547" si="113">D529/Y529</f>
      </c>
      <c r="P529" s="241">
        <f t="shared" ref="P529:P547" si="384">T529/X529*1</f>
      </c>
      <c r="Q529" s="241">
        <f t="shared" ref="Q529:Q547" si="22">Y529/X529</f>
      </c>
      <c r="R529" s="241">
        <f t="shared" ref="R529:R547" si="264">AA529/X529</f>
      </c>
      <c r="S529" s="241">
        <f t="shared" ref="S529:S547" si="324">AB529/AA529</f>
      </c>
      <c r="T529" s="242">
        <f t="shared" ref="T529:T547" si="143">Z529/U529</f>
      </c>
      <c r="U529" s="243">
        <v>0.0374</v>
      </c>
      <c r="V529" s="244">
        <v>32</v>
      </c>
      <c r="W529" s="240">
        <f t="shared" ref="W529:W547" si="52">(D529/X529)*1000</f>
      </c>
      <c r="X529" s="242">
        <v>14718</v>
      </c>
      <c r="Y529" s="242">
        <v>430</v>
      </c>
      <c r="Z529" s="242">
        <v>65</v>
      </c>
      <c r="AA529" s="242">
        <v>935</v>
      </c>
      <c r="AB529" s="242">
        <v>40</v>
      </c>
      <c r="AC529" s="242">
        <v>6</v>
      </c>
      <c r="AD529" s="242">
        <v>1</v>
      </c>
      <c r="AE529" s="242">
        <v>17</v>
      </c>
      <c r="AF529" s="240">
        <f t="shared" ref="AF529:AF546" si="203">AI529*1000/D529</f>
      </c>
      <c r="AG529" s="222" t="s">
        <v>159</v>
      </c>
      <c r="AH529" s="223" t="s">
        <v>193</v>
      </c>
      <c r="AI529" s="244">
        <v>20</v>
      </c>
    </row>
    <row r="530">
      <c r="A530" s="211"/>
      <c r="B530" s="212" t="s">
        <v>157</v>
      </c>
      <c r="C530" s="213" t="s">
        <v>161</v>
      </c>
      <c r="D530" s="236">
        <v>1567.64</v>
      </c>
      <c r="E530" s="247">
        <v>2</v>
      </c>
      <c r="F530" s="247">
        <v>2</v>
      </c>
      <c r="G530" s="247">
        <v>2</v>
      </c>
      <c r="H530" s="236">
        <v>902</v>
      </c>
      <c r="I530" s="238">
        <v>0</v>
      </c>
      <c r="J530" s="240">
        <f t="shared" si="294"/>
      </c>
      <c r="K530" s="240">
        <f t="shared" si="354"/>
      </c>
      <c r="L530" s="240">
        <f t="shared" si="173"/>
      </c>
      <c r="M530" s="241">
        <f t="shared" si="234"/>
      </c>
      <c r="N530" s="240">
        <f t="shared" si="83"/>
      </c>
      <c r="O530" s="240">
        <f t="shared" si="113"/>
      </c>
      <c r="P530" s="241">
        <f t="shared" si="384"/>
      </c>
      <c r="Q530" s="241">
        <f t="shared" si="22"/>
      </c>
      <c r="R530" s="241">
        <f t="shared" si="264"/>
      </c>
      <c r="S530" s="241">
        <f t="shared" si="324"/>
      </c>
      <c r="T530" s="242">
        <f t="shared" si="143"/>
      </c>
      <c r="U530" s="243">
        <v>0.0464</v>
      </c>
      <c r="V530" s="244">
        <v>38</v>
      </c>
      <c r="W530" s="240">
        <f t="shared" si="52"/>
      </c>
      <c r="X530" s="242">
        <v>9289</v>
      </c>
      <c r="Y530" s="242">
        <v>334</v>
      </c>
      <c r="Z530" s="242">
        <v>51</v>
      </c>
      <c r="AA530" s="242">
        <v>740</v>
      </c>
      <c r="AB530" s="242">
        <v>31</v>
      </c>
      <c r="AC530" s="242">
        <v>8</v>
      </c>
      <c r="AD530" s="242">
        <v>3</v>
      </c>
      <c r="AE530" s="244">
        <v>9</v>
      </c>
      <c r="AF530" s="240">
        <f t="shared" si="203"/>
      </c>
      <c r="AG530" s="222" t="s">
        <v>159</v>
      </c>
      <c r="AH530" s="223" t="s">
        <v>193</v>
      </c>
      <c r="AI530" s="244">
        <v>20</v>
      </c>
    </row>
    <row r="531">
      <c r="A531" s="211"/>
      <c r="B531" s="212" t="s">
        <v>157</v>
      </c>
      <c r="C531" s="224" t="s">
        <v>162</v>
      </c>
      <c r="D531" s="236">
        <v>896.82</v>
      </c>
      <c r="E531" s="247">
        <v>2</v>
      </c>
      <c r="F531" s="247">
        <v>2</v>
      </c>
      <c r="G531" s="247">
        <v>2</v>
      </c>
      <c r="H531" s="236">
        <v>902</v>
      </c>
      <c r="I531" s="238">
        <v>0</v>
      </c>
      <c r="J531" s="240">
        <f t="shared" si="294"/>
      </c>
      <c r="K531" s="240">
        <f t="shared" si="354"/>
      </c>
      <c r="L531" s="240">
        <f t="shared" si="173"/>
      </c>
      <c r="M531" s="241">
        <f t="shared" si="234"/>
      </c>
      <c r="N531" s="240">
        <f t="shared" si="83"/>
      </c>
      <c r="O531" s="240">
        <f t="shared" si="113"/>
      </c>
      <c r="P531" s="241">
        <f t="shared" si="384"/>
      </c>
      <c r="Q531" s="241">
        <f t="shared" si="22"/>
      </c>
      <c r="R531" s="241">
        <f t="shared" si="264"/>
      </c>
      <c r="S531" s="241">
        <f t="shared" si="324"/>
      </c>
      <c r="T531" s="242">
        <f t="shared" si="143"/>
      </c>
      <c r="U531" s="243">
        <v>0.0327</v>
      </c>
      <c r="V531" s="244">
        <v>36</v>
      </c>
      <c r="W531" s="240">
        <f t="shared" si="52"/>
      </c>
      <c r="X531" s="242">
        <v>5841</v>
      </c>
      <c r="Y531" s="242">
        <v>237</v>
      </c>
      <c r="Z531" s="242">
        <v>26</v>
      </c>
      <c r="AA531" s="242">
        <v>594</v>
      </c>
      <c r="AB531" s="242">
        <v>21</v>
      </c>
      <c r="AC531" s="242">
        <v>3</v>
      </c>
      <c r="AD531" s="242">
        <v>0</v>
      </c>
      <c r="AE531" s="244">
        <v>1</v>
      </c>
      <c r="AF531" s="240">
        <f t="shared" si="203"/>
      </c>
      <c r="AG531" s="222" t="s">
        <v>159</v>
      </c>
      <c r="AH531" s="223" t="s">
        <v>193</v>
      </c>
      <c r="AI531" s="244">
        <v>12</v>
      </c>
    </row>
    <row r="532">
      <c r="A532" s="211"/>
      <c r="B532" s="212" t="s">
        <v>157</v>
      </c>
      <c r="C532" s="213" t="s">
        <v>163</v>
      </c>
      <c r="D532" s="236">
        <v>1281.06</v>
      </c>
      <c r="E532" s="238">
        <v>6</v>
      </c>
      <c r="F532" s="238">
        <v>6</v>
      </c>
      <c r="G532" s="238">
        <v>3</v>
      </c>
      <c r="H532" s="236">
        <v>4003.4499999999994</v>
      </c>
      <c r="I532" s="238">
        <v>0</v>
      </c>
      <c r="J532" s="240">
        <f t="shared" si="294"/>
      </c>
      <c r="K532" s="240">
        <f t="shared" si="354"/>
      </c>
      <c r="L532" s="240">
        <f t="shared" si="173"/>
      </c>
      <c r="M532" s="241">
        <f t="shared" si="234"/>
      </c>
      <c r="N532" s="240">
        <f t="shared" si="83"/>
      </c>
      <c r="O532" s="240">
        <f t="shared" si="113"/>
      </c>
      <c r="P532" s="241">
        <f t="shared" si="384"/>
      </c>
      <c r="Q532" s="241">
        <f t="shared" si="22"/>
      </c>
      <c r="R532" s="241">
        <f t="shared" si="264"/>
      </c>
      <c r="S532" s="241">
        <f t="shared" si="324"/>
      </c>
      <c r="T532" s="242">
        <f t="shared" si="143"/>
      </c>
      <c r="U532" s="243">
        <v>0.0392</v>
      </c>
      <c r="V532" s="244">
        <v>37</v>
      </c>
      <c r="W532" s="240">
        <f t="shared" si="52"/>
      </c>
      <c r="X532" s="242">
        <v>8765</v>
      </c>
      <c r="Y532" s="242">
        <v>277</v>
      </c>
      <c r="Z532" s="242">
        <v>38</v>
      </c>
      <c r="AA532" s="242">
        <v>744</v>
      </c>
      <c r="AB532" s="242">
        <v>41</v>
      </c>
      <c r="AC532" s="242">
        <v>1</v>
      </c>
      <c r="AD532" s="242">
        <v>0</v>
      </c>
      <c r="AE532" s="242">
        <v>7</v>
      </c>
      <c r="AF532" s="240">
        <f t="shared" si="203"/>
      </c>
      <c r="AG532" s="222" t="s">
        <v>159</v>
      </c>
      <c r="AH532" s="223" t="s">
        <v>193</v>
      </c>
      <c r="AI532" s="244">
        <v>18</v>
      </c>
    </row>
    <row r="533">
      <c r="A533" s="211"/>
      <c r="B533" s="249" t="s">
        <v>165</v>
      </c>
      <c r="C533" s="249"/>
      <c r="D533" s="250">
        <f>SUM(D529:D532)</f>
      </c>
      <c r="E533" s="251">
        <f>SUM(E529:E532)</f>
      </c>
      <c r="F533" s="251">
        <f>SUM(F529:F532)</f>
      </c>
      <c r="G533" s="251">
        <f>SUM(G529:G532)</f>
      </c>
      <c r="H533" s="250">
        <f>SUM(H529:H532)</f>
      </c>
      <c r="I533" s="272">
        <f>SUM(I529:I532)</f>
      </c>
      <c r="J533" s="252">
        <f t="shared" si="294"/>
      </c>
      <c r="K533" s="252">
        <f t="shared" si="354"/>
      </c>
      <c r="L533" s="252">
        <f t="shared" si="173"/>
      </c>
      <c r="M533" s="253">
        <f t="shared" si="234"/>
      </c>
      <c r="N533" s="252">
        <f t="shared" si="83"/>
      </c>
      <c r="O533" s="252">
        <f t="shared" si="113"/>
      </c>
      <c r="P533" s="253">
        <f t="shared" si="384"/>
      </c>
      <c r="Q533" s="253">
        <f t="shared" si="22"/>
      </c>
      <c r="R533" s="253">
        <f t="shared" si="264"/>
      </c>
      <c r="S533" s="253">
        <f t="shared" si="324"/>
      </c>
      <c r="T533" s="254">
        <f t="shared" si="143"/>
      </c>
      <c r="U533" s="253">
        <f>AVERAGE(U529:U532)</f>
      </c>
      <c r="V533" s="250">
        <f>AVERAGE(V529:V532)</f>
      </c>
      <c r="W533" s="252">
        <f t="shared" si="52"/>
      </c>
      <c r="X533" s="254">
        <f>SUM(X529:X532)</f>
      </c>
      <c r="Y533" s="254">
        <f>SUM(Y529:Y532)</f>
      </c>
      <c r="Z533" s="254">
        <f>SUM(Z529:Z532)</f>
      </c>
      <c r="AA533" s="254">
        <f>SUM(AA529:AA532)</f>
      </c>
      <c r="AB533" s="254">
        <f>SUM(AB529:AB532)</f>
      </c>
      <c r="AC533" s="254">
        <f>SUM(AC529:AC532)</f>
      </c>
      <c r="AD533" s="254">
        <f>SUM(AD529:AD532)</f>
      </c>
      <c r="AE533" s="254">
        <f>SUM(AE529:AE532)</f>
      </c>
      <c r="AF533" s="255">
        <f t="shared" si="203"/>
      </c>
      <c r="AG533" s="256"/>
      <c r="AH533" s="256"/>
      <c r="AI533" s="257">
        <f>SUM(AI529:AI532)</f>
      </c>
    </row>
    <row r="534">
      <c r="A534" s="211"/>
      <c r="B534" s="212" t="s">
        <v>191</v>
      </c>
      <c r="C534" s="212" t="s">
        <v>164</v>
      </c>
      <c r="D534" s="212">
        <v>1597.54</v>
      </c>
      <c r="E534" s="215">
        <v>9</v>
      </c>
      <c r="F534" s="215">
        <v>9</v>
      </c>
      <c r="G534" s="215">
        <v>6</v>
      </c>
      <c r="H534" s="275">
        <v>4058.999999999999</v>
      </c>
      <c r="I534" s="215">
        <v>0</v>
      </c>
      <c r="J534" s="217">
        <f t="shared" si="294"/>
      </c>
      <c r="K534" s="217">
        <f t="shared" si="354"/>
      </c>
      <c r="L534" s="217">
        <f t="shared" si="173"/>
      </c>
      <c r="M534" s="218">
        <f t="shared" si="234"/>
      </c>
      <c r="N534" s="217">
        <f t="shared" si="83"/>
      </c>
      <c r="O534" s="217">
        <f t="shared" si="113"/>
      </c>
      <c r="P534" s="218">
        <f t="shared" si="384"/>
      </c>
      <c r="Q534" s="218">
        <f t="shared" si="22"/>
      </c>
      <c r="R534" s="218">
        <f t="shared" si="264"/>
      </c>
      <c r="S534" s="218">
        <f t="shared" si="324"/>
      </c>
      <c r="T534" s="219">
        <f t="shared" si="143"/>
      </c>
      <c r="U534" s="220">
        <v>0.0504</v>
      </c>
      <c r="V534" s="221">
        <v>40</v>
      </c>
      <c r="W534" s="217">
        <f t="shared" si="52"/>
      </c>
      <c r="X534" s="221">
        <v>10519</v>
      </c>
      <c r="Y534" s="221">
        <v>287</v>
      </c>
      <c r="Z534" s="219">
        <v>50</v>
      </c>
      <c r="AA534" s="219">
        <v>583</v>
      </c>
      <c r="AB534" s="219">
        <v>55</v>
      </c>
      <c r="AC534" s="219">
        <v>5</v>
      </c>
      <c r="AD534" s="221">
        <v>0</v>
      </c>
      <c r="AE534" s="221">
        <v>10</v>
      </c>
      <c r="AF534" s="217">
        <f t="shared" si="203"/>
      </c>
      <c r="AG534" s="222" t="s">
        <v>159</v>
      </c>
      <c r="AH534" s="223" t="s">
        <v>193</v>
      </c>
      <c r="AI534" s="221">
        <v>25</v>
      </c>
    </row>
    <row r="535">
      <c r="A535" s="211"/>
      <c r="B535" s="212" t="s">
        <v>191</v>
      </c>
      <c r="C535" s="235" t="s">
        <v>167</v>
      </c>
      <c r="D535" s="212">
        <v>1891.04</v>
      </c>
      <c r="E535" s="215">
        <v>4</v>
      </c>
      <c r="F535" s="215">
        <v>3</v>
      </c>
      <c r="G535" s="215">
        <v>2</v>
      </c>
      <c r="H535" s="275">
        <v>2119.7000000000007</v>
      </c>
      <c r="I535" s="215">
        <v>1</v>
      </c>
      <c r="J535" s="217">
        <f t="shared" si="294"/>
      </c>
      <c r="K535" s="217">
        <f t="shared" si="354"/>
      </c>
      <c r="L535" s="217">
        <f t="shared" si="173"/>
      </c>
      <c r="M535" s="218">
        <f t="shared" si="234"/>
      </c>
      <c r="N535" s="217">
        <f t="shared" si="83"/>
      </c>
      <c r="O535" s="217">
        <f t="shared" si="113"/>
      </c>
      <c r="P535" s="218">
        <f t="shared" si="384"/>
      </c>
      <c r="Q535" s="218">
        <f t="shared" si="22"/>
      </c>
      <c r="R535" s="218">
        <f t="shared" si="264"/>
      </c>
      <c r="S535" s="218">
        <f t="shared" si="324"/>
      </c>
      <c r="T535" s="219">
        <f t="shared" si="143"/>
      </c>
      <c r="U535" s="220">
        <v>0.0556</v>
      </c>
      <c r="V535" s="221">
        <v>40</v>
      </c>
      <c r="W535" s="217">
        <f t="shared" si="52"/>
      </c>
      <c r="X535" s="221">
        <v>15051</v>
      </c>
      <c r="Y535" s="221">
        <v>409</v>
      </c>
      <c r="Z535" s="219">
        <v>68</v>
      </c>
      <c r="AA535" s="219">
        <v>828</v>
      </c>
      <c r="AB535" s="219">
        <v>44</v>
      </c>
      <c r="AC535" s="219">
        <v>8</v>
      </c>
      <c r="AD535" s="221">
        <v>2</v>
      </c>
      <c r="AE535" s="221">
        <v>14</v>
      </c>
      <c r="AF535" s="217">
        <f t="shared" si="203"/>
      </c>
      <c r="AG535" s="222" t="s">
        <v>159</v>
      </c>
      <c r="AH535" s="223" t="s">
        <v>193</v>
      </c>
      <c r="AI535" s="221">
        <v>19</v>
      </c>
    </row>
    <row r="536">
      <c r="A536" s="211"/>
      <c r="B536" s="227" t="s">
        <v>165</v>
      </c>
      <c r="C536" s="227"/>
      <c r="D536" s="259">
        <f>SUM(D534:D535)</f>
      </c>
      <c r="E536" s="260">
        <f>SUM(E534:E535)</f>
      </c>
      <c r="F536" s="260">
        <f>SUM(F534:F535)</f>
      </c>
      <c r="G536" s="260">
        <f>SUM(G534:G535)</f>
      </c>
      <c r="H536" s="259">
        <v>6178.7</v>
      </c>
      <c r="I536" s="272">
        <f>SUM(I534:I535)</f>
      </c>
      <c r="J536" s="230">
        <f t="shared" si="294"/>
      </c>
      <c r="K536" s="230">
        <f t="shared" si="354"/>
      </c>
      <c r="L536" s="230">
        <f t="shared" si="173"/>
      </c>
      <c r="M536" s="231">
        <f t="shared" si="234"/>
      </c>
      <c r="N536" s="230">
        <f t="shared" si="83"/>
      </c>
      <c r="O536" s="230">
        <f t="shared" si="113"/>
      </c>
      <c r="P536" s="231">
        <f t="shared" si="384"/>
      </c>
      <c r="Q536" s="231">
        <f t="shared" si="22"/>
      </c>
      <c r="R536" s="231">
        <f t="shared" si="264"/>
      </c>
      <c r="S536" s="231">
        <f t="shared" si="324"/>
      </c>
      <c r="T536" s="229">
        <f t="shared" si="143"/>
      </c>
      <c r="U536" s="231">
        <f>AVERAGE(U534:U535)</f>
      </c>
      <c r="V536" s="228">
        <f>AVERAGE(V534:V535)</f>
      </c>
      <c r="W536" s="230">
        <f t="shared" si="52"/>
      </c>
      <c r="X536" s="229">
        <f>SUM(X534:X535)</f>
      </c>
      <c r="Y536" s="229">
        <f>SUM(Y534:Y535)</f>
      </c>
      <c r="Z536" s="229">
        <f>SUM(Z534:Z535)</f>
      </c>
      <c r="AA536" s="229">
        <f>SUM(AA534:AA535)</f>
      </c>
      <c r="AB536" s="229">
        <f>SUM(AB534:AB535)</f>
      </c>
      <c r="AC536" s="229">
        <f>SUM(AC534:AC535)</f>
      </c>
      <c r="AD536" s="229">
        <f>SUM(AD534:AD535)</f>
      </c>
      <c r="AE536" s="229">
        <f>SUM(AE534:AE535)</f>
      </c>
      <c r="AF536" s="232">
        <f t="shared" si="203"/>
      </c>
      <c r="AG536" s="233"/>
      <c r="AH536" s="233"/>
      <c r="AI536" s="229">
        <f>SUM(AI534:AI535)</f>
      </c>
    </row>
    <row r="537">
      <c r="A537" s="211"/>
      <c r="B537" s="212" t="s">
        <v>166</v>
      </c>
      <c r="C537" s="245" t="s">
        <v>168</v>
      </c>
      <c r="D537" s="212">
        <v>2453.82</v>
      </c>
      <c r="E537" s="215">
        <v>6</v>
      </c>
      <c r="F537" s="215">
        <v>5</v>
      </c>
      <c r="G537" s="215">
        <v>4</v>
      </c>
      <c r="H537" s="275">
        <v>3743.2999999999993</v>
      </c>
      <c r="I537" s="215">
        <v>2</v>
      </c>
      <c r="J537" s="217">
        <f t="shared" si="294"/>
      </c>
      <c r="K537" s="217">
        <f t="shared" si="354"/>
      </c>
      <c r="L537" s="217">
        <f t="shared" si="173"/>
      </c>
      <c r="M537" s="218">
        <f t="shared" si="234"/>
      </c>
      <c r="N537" s="217">
        <f t="shared" si="83"/>
      </c>
      <c r="O537" s="217">
        <f t="shared" si="113"/>
      </c>
      <c r="P537" s="218">
        <f t="shared" si="384"/>
      </c>
      <c r="Q537" s="218">
        <f t="shared" si="22"/>
      </c>
      <c r="R537" s="218">
        <f t="shared" si="264"/>
      </c>
      <c r="S537" s="218">
        <f t="shared" si="324"/>
      </c>
      <c r="T537" s="219">
        <f t="shared" si="143"/>
      </c>
      <c r="U537" s="220">
        <v>0.0674</v>
      </c>
      <c r="V537" s="221">
        <v>44</v>
      </c>
      <c r="W537" s="217">
        <f t="shared" si="52"/>
      </c>
      <c r="X537" s="221">
        <v>18101</v>
      </c>
      <c r="Y537" s="221">
        <v>424</v>
      </c>
      <c r="Z537" s="219">
        <v>85</v>
      </c>
      <c r="AA537" s="219">
        <v>813</v>
      </c>
      <c r="AB537" s="219">
        <v>89</v>
      </c>
      <c r="AC537" s="219">
        <v>12</v>
      </c>
      <c r="AD537" s="221">
        <v>1</v>
      </c>
      <c r="AE537" s="221">
        <v>21</v>
      </c>
      <c r="AF537" s="217">
        <f t="shared" si="203"/>
      </c>
      <c r="AG537" s="222" t="s">
        <v>159</v>
      </c>
      <c r="AH537" s="223" t="s">
        <v>193</v>
      </c>
      <c r="AI537" s="221">
        <v>28</v>
      </c>
    </row>
    <row r="538">
      <c r="A538" s="211"/>
      <c r="B538" s="212" t="s">
        <v>166</v>
      </c>
      <c r="C538" s="235" t="s">
        <v>169</v>
      </c>
      <c r="D538" s="212">
        <v>3591.57</v>
      </c>
      <c r="E538" s="215">
        <v>7</v>
      </c>
      <c r="F538" s="215">
        <v>6</v>
      </c>
      <c r="G538" s="215">
        <v>6</v>
      </c>
      <c r="H538" s="275">
        <v>3771.9000000000015</v>
      </c>
      <c r="I538" s="215">
        <v>1</v>
      </c>
      <c r="J538" s="217">
        <f t="shared" si="294"/>
      </c>
      <c r="K538" s="217">
        <f t="shared" si="354"/>
      </c>
      <c r="L538" s="217">
        <f t="shared" si="173"/>
      </c>
      <c r="M538" s="218">
        <f t="shared" si="234"/>
      </c>
      <c r="N538" s="217">
        <f t="shared" si="83"/>
      </c>
      <c r="O538" s="217">
        <f t="shared" si="113"/>
      </c>
      <c r="P538" s="218">
        <f t="shared" si="384"/>
      </c>
      <c r="Q538" s="218">
        <f t="shared" si="22"/>
      </c>
      <c r="R538" s="218">
        <f t="shared" si="264"/>
      </c>
      <c r="S538" s="218">
        <f t="shared" si="324"/>
      </c>
      <c r="T538" s="219">
        <f t="shared" si="143"/>
      </c>
      <c r="U538" s="220">
        <v>0.0832</v>
      </c>
      <c r="V538" s="221">
        <v>48</v>
      </c>
      <c r="W538" s="217">
        <f t="shared" si="52"/>
      </c>
      <c r="X538" s="219">
        <v>27463</v>
      </c>
      <c r="Y538" s="219">
        <v>539</v>
      </c>
      <c r="Z538" s="219">
        <v>117</v>
      </c>
      <c r="AA538" s="219">
        <v>861</v>
      </c>
      <c r="AB538" s="219">
        <v>75</v>
      </c>
      <c r="AC538" s="219">
        <v>10</v>
      </c>
      <c r="AD538" s="219">
        <v>0</v>
      </c>
      <c r="AE538" s="221">
        <v>40</v>
      </c>
      <c r="AF538" s="217">
        <f t="shared" si="203"/>
      </c>
      <c r="AG538" s="222" t="s">
        <v>159</v>
      </c>
      <c r="AH538" s="223" t="s">
        <v>193</v>
      </c>
      <c r="AI538" s="221">
        <v>35</v>
      </c>
    </row>
    <row r="539">
      <c r="A539" s="211"/>
      <c r="B539" s="212" t="s">
        <v>166</v>
      </c>
      <c r="C539" s="248" t="s">
        <v>170</v>
      </c>
      <c r="D539" s="212">
        <v>4007.15</v>
      </c>
      <c r="E539" s="215">
        <v>10</v>
      </c>
      <c r="F539" s="215">
        <v>9</v>
      </c>
      <c r="G539" s="215">
        <v>7</v>
      </c>
      <c r="H539" s="275">
        <v>5048.999999999996</v>
      </c>
      <c r="I539" s="215">
        <v>0</v>
      </c>
      <c r="J539" s="217">
        <f t="shared" si="294"/>
      </c>
      <c r="K539" s="217">
        <f t="shared" si="354"/>
      </c>
      <c r="L539" s="217">
        <f t="shared" si="173"/>
      </c>
      <c r="M539" s="218">
        <f t="shared" si="234"/>
      </c>
      <c r="N539" s="217">
        <f t="shared" si="83"/>
      </c>
      <c r="O539" s="217">
        <f t="shared" si="113"/>
      </c>
      <c r="P539" s="218">
        <f t="shared" si="384"/>
      </c>
      <c r="Q539" s="218">
        <f t="shared" si="22"/>
      </c>
      <c r="R539" s="218">
        <f t="shared" si="264"/>
      </c>
      <c r="S539" s="218">
        <f t="shared" si="324"/>
      </c>
      <c r="T539" s="219">
        <f t="shared" si="143"/>
      </c>
      <c r="U539" s="220">
        <v>0.0792</v>
      </c>
      <c r="V539" s="221">
        <v>50</v>
      </c>
      <c r="W539" s="217">
        <f t="shared" si="52"/>
      </c>
      <c r="X539" s="221">
        <v>32082</v>
      </c>
      <c r="Y539" s="221">
        <v>528</v>
      </c>
      <c r="Z539" s="221">
        <v>112</v>
      </c>
      <c r="AA539" s="221">
        <v>779</v>
      </c>
      <c r="AB539" s="221">
        <v>77</v>
      </c>
      <c r="AC539" s="221">
        <v>9</v>
      </c>
      <c r="AD539" s="221">
        <v>2</v>
      </c>
      <c r="AE539" s="221">
        <v>39</v>
      </c>
      <c r="AF539" s="217">
        <f t="shared" si="203"/>
      </c>
      <c r="AG539" s="222" t="s">
        <v>159</v>
      </c>
      <c r="AH539" s="223" t="s">
        <v>193</v>
      </c>
      <c r="AI539" s="221">
        <v>49</v>
      </c>
    </row>
    <row r="540">
      <c r="A540" s="211"/>
      <c r="B540" s="212" t="s">
        <v>166</v>
      </c>
      <c r="C540" s="235" t="s">
        <v>172</v>
      </c>
      <c r="D540" s="212">
        <v>3092.48</v>
      </c>
      <c r="E540" s="215">
        <v>6</v>
      </c>
      <c r="F540" s="215">
        <v>5</v>
      </c>
      <c r="G540" s="215">
        <v>5</v>
      </c>
      <c r="H540" s="275">
        <v>4634.300000000003</v>
      </c>
      <c r="I540" s="215">
        <v>2</v>
      </c>
      <c r="J540" s="217">
        <f t="shared" si="294"/>
      </c>
      <c r="K540" s="217">
        <f t="shared" si="354"/>
      </c>
      <c r="L540" s="217">
        <f t="shared" si="173"/>
      </c>
      <c r="M540" s="218">
        <f t="shared" si="234"/>
      </c>
      <c r="N540" s="217">
        <f t="shared" si="83"/>
      </c>
      <c r="O540" s="217">
        <f t="shared" si="113"/>
      </c>
      <c r="P540" s="218">
        <f t="shared" si="384"/>
      </c>
      <c r="Q540" s="218">
        <f t="shared" si="22"/>
      </c>
      <c r="R540" s="218">
        <f t="shared" si="264"/>
      </c>
      <c r="S540" s="218">
        <f t="shared" si="324"/>
      </c>
      <c r="T540" s="219">
        <f t="shared" si="143"/>
      </c>
      <c r="U540" s="220">
        <v>0.1007</v>
      </c>
      <c r="V540" s="221">
        <v>51</v>
      </c>
      <c r="W540" s="217">
        <f t="shared" si="52"/>
      </c>
      <c r="X540" s="221">
        <v>23914</v>
      </c>
      <c r="Y540" s="221">
        <v>426</v>
      </c>
      <c r="Z540" s="219">
        <v>114</v>
      </c>
      <c r="AA540" s="219">
        <v>656</v>
      </c>
      <c r="AB540" s="219">
        <v>58</v>
      </c>
      <c r="AC540" s="219">
        <v>8</v>
      </c>
      <c r="AD540" s="221">
        <v>2</v>
      </c>
      <c r="AE540" s="221">
        <v>25</v>
      </c>
      <c r="AF540" s="217">
        <f t="shared" si="203"/>
      </c>
      <c r="AG540" s="222" t="s">
        <v>173</v>
      </c>
      <c r="AH540" s="223" t="s">
        <v>187</v>
      </c>
      <c r="AI540" s="221">
        <v>36</v>
      </c>
    </row>
    <row r="541">
      <c r="A541" s="211"/>
      <c r="B541" s="227" t="s">
        <v>165</v>
      </c>
      <c r="C541" s="227"/>
      <c r="D541" s="259">
        <f>SUM(D537:D540)</f>
      </c>
      <c r="E541" s="260">
        <f>SUM(E537:E540)</f>
      </c>
      <c r="F541" s="260">
        <f>SUM(F537:F540)</f>
      </c>
      <c r="G541" s="260">
        <f>SUM(G537:G540)</f>
      </c>
      <c r="H541" s="259">
        <f>SUM(H537:H540)</f>
      </c>
      <c r="I541" s="272">
        <f>SUM(I537:I540)</f>
      </c>
      <c r="J541" s="230">
        <f t="shared" si="294"/>
      </c>
      <c r="K541" s="230">
        <f t="shared" si="354"/>
      </c>
      <c r="L541" s="230">
        <f t="shared" si="173"/>
      </c>
      <c r="M541" s="231">
        <f t="shared" si="234"/>
      </c>
      <c r="N541" s="230">
        <f t="shared" si="83"/>
      </c>
      <c r="O541" s="230">
        <f t="shared" si="113"/>
      </c>
      <c r="P541" s="231">
        <f t="shared" si="384"/>
      </c>
      <c r="Q541" s="231">
        <f t="shared" si="22"/>
      </c>
      <c r="R541" s="231">
        <f t="shared" si="264"/>
      </c>
      <c r="S541" s="231">
        <f t="shared" si="324"/>
      </c>
      <c r="T541" s="229">
        <f t="shared" si="143"/>
      </c>
      <c r="U541" s="231">
        <f>AVERAGE(U537:U540)</f>
      </c>
      <c r="V541" s="228">
        <f>AVERAGE(V537:V540)</f>
      </c>
      <c r="W541" s="230">
        <f t="shared" si="52"/>
      </c>
      <c r="X541" s="229">
        <f>SUM(X537:X540)</f>
      </c>
      <c r="Y541" s="229">
        <f>SUM(Y537:Y540)</f>
      </c>
      <c r="Z541" s="229">
        <f>SUM(Z537:Z540)</f>
      </c>
      <c r="AA541" s="229">
        <f>SUM(AA537:AA540)</f>
      </c>
      <c r="AB541" s="229">
        <f>SUM(AB537:AB540)</f>
      </c>
      <c r="AC541" s="229">
        <f>SUM(AC537:AC540)</f>
      </c>
      <c r="AD541" s="229">
        <f>SUM(AD537:AD540)</f>
      </c>
      <c r="AE541" s="229">
        <f>SUM(AE537:AE540)</f>
      </c>
      <c r="AF541" s="232">
        <f t="shared" si="203"/>
      </c>
      <c r="AG541" s="233"/>
      <c r="AH541" s="233"/>
      <c r="AI541" s="229">
        <f>SUM(AI537:AI540)</f>
      </c>
    </row>
    <row r="542">
      <c r="A542" s="211"/>
      <c r="B542" s="248" t="s">
        <v>171</v>
      </c>
      <c r="C542" s="245" t="s">
        <v>175</v>
      </c>
      <c r="D542" s="284">
        <v>2521.34</v>
      </c>
      <c r="E542" s="238">
        <v>3</v>
      </c>
      <c r="F542" s="238">
        <v>3</v>
      </c>
      <c r="G542" s="238">
        <v>3</v>
      </c>
      <c r="H542" s="285">
        <v>1353</v>
      </c>
      <c r="I542" s="238">
        <v>0</v>
      </c>
      <c r="J542" s="240">
        <f t="shared" si="294"/>
      </c>
      <c r="K542" s="240">
        <f t="shared" si="354"/>
      </c>
      <c r="L542" s="240">
        <f t="shared" si="173"/>
      </c>
      <c r="M542" s="241">
        <f t="shared" si="234"/>
      </c>
      <c r="N542" s="240">
        <f t="shared" si="83"/>
      </c>
      <c r="O542" s="240">
        <f t="shared" si="113"/>
      </c>
      <c r="P542" s="241">
        <f t="shared" si="384"/>
      </c>
      <c r="Q542" s="241">
        <f t="shared" si="22"/>
      </c>
      <c r="R542" s="241">
        <f t="shared" si="264"/>
      </c>
      <c r="S542" s="241">
        <f t="shared" si="324"/>
      </c>
      <c r="T542" s="242">
        <f t="shared" si="143"/>
      </c>
      <c r="U542" s="243">
        <v>0.0714</v>
      </c>
      <c r="V542" s="244">
        <v>51</v>
      </c>
      <c r="W542" s="240">
        <f t="shared" si="52"/>
      </c>
      <c r="X542" s="242">
        <v>16194</v>
      </c>
      <c r="Y542" s="242">
        <v>256</v>
      </c>
      <c r="Z542" s="242">
        <v>60</v>
      </c>
      <c r="AA542" s="242">
        <v>475</v>
      </c>
      <c r="AB542" s="242">
        <v>37</v>
      </c>
      <c r="AC542" s="242">
        <v>3</v>
      </c>
      <c r="AD542" s="242">
        <v>0</v>
      </c>
      <c r="AE542" s="242">
        <v>26</v>
      </c>
      <c r="AF542" s="240">
        <f t="shared" si="203"/>
      </c>
      <c r="AG542" s="286" t="s">
        <v>173</v>
      </c>
      <c r="AH542" s="223" t="s">
        <v>187</v>
      </c>
      <c r="AI542" s="244">
        <v>22</v>
      </c>
    </row>
    <row r="543">
      <c r="A543" s="211"/>
      <c r="B543" s="248" t="s">
        <v>171</v>
      </c>
      <c r="C543" s="235" t="s">
        <v>176</v>
      </c>
      <c r="D543" s="284">
        <v>2124.24</v>
      </c>
      <c r="E543" s="238">
        <v>3</v>
      </c>
      <c r="F543" s="238">
        <v>3</v>
      </c>
      <c r="G543" s="238">
        <v>3</v>
      </c>
      <c r="H543" s="285">
        <v>1353.0000000000036</v>
      </c>
      <c r="I543" s="238">
        <v>0</v>
      </c>
      <c r="J543" s="240">
        <f t="shared" si="294"/>
      </c>
      <c r="K543" s="240">
        <f t="shared" si="354"/>
      </c>
      <c r="L543" s="240">
        <f t="shared" si="173"/>
      </c>
      <c r="M543" s="241">
        <f t="shared" si="234"/>
      </c>
      <c r="N543" s="240">
        <f t="shared" si="83"/>
      </c>
      <c r="O543" s="240">
        <f t="shared" si="113"/>
      </c>
      <c r="P543" s="241">
        <f t="shared" si="384"/>
      </c>
      <c r="Q543" s="241">
        <f t="shared" si="22"/>
      </c>
      <c r="R543" s="241">
        <f t="shared" si="264"/>
      </c>
      <c r="S543" s="241">
        <f t="shared" si="324"/>
      </c>
      <c r="T543" s="242">
        <f t="shared" si="143"/>
      </c>
      <c r="U543" s="243">
        <v>0.0703</v>
      </c>
      <c r="V543" s="244">
        <v>51</v>
      </c>
      <c r="W543" s="240">
        <f t="shared" si="52"/>
      </c>
      <c r="X543" s="242">
        <v>13310</v>
      </c>
      <c r="Y543" s="242">
        <v>330</v>
      </c>
      <c r="Z543" s="242">
        <v>67</v>
      </c>
      <c r="AA543" s="242">
        <v>562</v>
      </c>
      <c r="AB543" s="242">
        <v>59</v>
      </c>
      <c r="AC543" s="242">
        <v>3</v>
      </c>
      <c r="AD543" s="242">
        <v>0</v>
      </c>
      <c r="AE543" s="242">
        <v>16</v>
      </c>
      <c r="AF543" s="240">
        <f t="shared" si="203"/>
      </c>
      <c r="AG543" s="286" t="s">
        <v>173</v>
      </c>
      <c r="AH543" s="223" t="s">
        <v>187</v>
      </c>
      <c r="AI543" s="244">
        <v>29</v>
      </c>
    </row>
    <row r="544">
      <c r="A544" s="211"/>
      <c r="B544" s="248" t="s">
        <v>171</v>
      </c>
      <c r="C544" s="235" t="s">
        <v>177</v>
      </c>
      <c r="D544" s="284">
        <v>2342.88</v>
      </c>
      <c r="E544" s="238">
        <v>3</v>
      </c>
      <c r="F544" s="238">
        <v>3</v>
      </c>
      <c r="G544" s="238">
        <v>3</v>
      </c>
      <c r="H544" s="285">
        <v>2791.7999999999956</v>
      </c>
      <c r="I544" s="238">
        <v>2</v>
      </c>
      <c r="J544" s="240">
        <f t="shared" si="294"/>
      </c>
      <c r="K544" s="240">
        <f t="shared" si="354"/>
      </c>
      <c r="L544" s="240">
        <f t="shared" si="173"/>
      </c>
      <c r="M544" s="241">
        <f t="shared" si="234"/>
      </c>
      <c r="N544" s="240">
        <f t="shared" si="83"/>
      </c>
      <c r="O544" s="240">
        <f t="shared" si="113"/>
      </c>
      <c r="P544" s="241">
        <f t="shared" si="384"/>
      </c>
      <c r="Q544" s="241">
        <f t="shared" si="22"/>
      </c>
      <c r="R544" s="241">
        <f t="shared" si="264"/>
      </c>
      <c r="S544" s="241">
        <f t="shared" si="324"/>
      </c>
      <c r="T544" s="242">
        <f t="shared" si="143"/>
      </c>
      <c r="U544" s="243">
        <v>0.0478</v>
      </c>
      <c r="V544" s="244">
        <v>51</v>
      </c>
      <c r="W544" s="240">
        <f t="shared" si="52"/>
      </c>
      <c r="X544" s="242">
        <v>16002</v>
      </c>
      <c r="Y544" s="242">
        <v>367</v>
      </c>
      <c r="Z544" s="242">
        <v>63</v>
      </c>
      <c r="AA544" s="242">
        <v>585</v>
      </c>
      <c r="AB544" s="242">
        <v>51</v>
      </c>
      <c r="AC544" s="242">
        <v>7</v>
      </c>
      <c r="AD544" s="242">
        <v>0</v>
      </c>
      <c r="AE544" s="242">
        <v>21</v>
      </c>
      <c r="AF544" s="240">
        <f t="shared" si="203"/>
      </c>
      <c r="AG544" s="286" t="s">
        <v>173</v>
      </c>
      <c r="AH544" s="223" t="s">
        <v>187</v>
      </c>
      <c r="AI544" s="244">
        <v>30</v>
      </c>
    </row>
    <row r="545">
      <c r="A545" s="211"/>
      <c r="B545" s="248" t="s">
        <v>171</v>
      </c>
      <c r="C545" s="248" t="s">
        <v>179</v>
      </c>
      <c r="D545" s="284">
        <v>3033.7200000000003</v>
      </c>
      <c r="E545" s="238">
        <v>1</v>
      </c>
      <c r="F545" s="238">
        <v>1</v>
      </c>
      <c r="G545" s="238">
        <v>1</v>
      </c>
      <c r="H545" s="285">
        <v>781</v>
      </c>
      <c r="I545" s="238">
        <v>0</v>
      </c>
      <c r="J545" s="240">
        <f t="shared" si="294"/>
      </c>
      <c r="K545" s="240">
        <f t="shared" si="354"/>
      </c>
      <c r="L545" s="240">
        <f t="shared" si="173"/>
      </c>
      <c r="M545" s="241">
        <f t="shared" si="234"/>
      </c>
      <c r="N545" s="240">
        <f t="shared" si="83"/>
      </c>
      <c r="O545" s="240">
        <f t="shared" si="113"/>
      </c>
      <c r="P545" s="241">
        <f t="shared" si="384"/>
      </c>
      <c r="Q545" s="241">
        <f t="shared" si="22"/>
      </c>
      <c r="R545" s="241">
        <f t="shared" si="264"/>
      </c>
      <c r="S545" s="241">
        <f t="shared" si="324"/>
      </c>
      <c r="T545" s="242">
        <f t="shared" si="143"/>
      </c>
      <c r="U545" s="243">
        <v>0.0544</v>
      </c>
      <c r="V545" s="244">
        <v>51</v>
      </c>
      <c r="W545" s="240">
        <f t="shared" si="52"/>
      </c>
      <c r="X545" s="242">
        <v>20125</v>
      </c>
      <c r="Y545" s="242">
        <v>384</v>
      </c>
      <c r="Z545" s="242">
        <v>73</v>
      </c>
      <c r="AA545" s="242">
        <v>591</v>
      </c>
      <c r="AB545" s="242">
        <v>33</v>
      </c>
      <c r="AC545" s="242">
        <v>6</v>
      </c>
      <c r="AD545" s="242">
        <v>0</v>
      </c>
      <c r="AE545" s="242">
        <v>27</v>
      </c>
      <c r="AF545" s="240">
        <f t="shared" si="203"/>
      </c>
      <c r="AG545" s="286" t="s">
        <v>173</v>
      </c>
      <c r="AH545" s="223" t="s">
        <v>187</v>
      </c>
      <c r="AI545" s="244">
        <v>15</v>
      </c>
    </row>
    <row r="546">
      <c r="A546" s="211"/>
      <c r="B546" s="249" t="s">
        <v>165</v>
      </c>
      <c r="C546" s="249"/>
      <c r="D546" s="289">
        <f>SUM(D542:D545)</f>
      </c>
      <c r="E546" s="290">
        <f>SUM(E542:E545)</f>
      </c>
      <c r="F546" s="290">
        <f>SUM(F542:F545)</f>
      </c>
      <c r="G546" s="290">
        <f>SUM(G542:G545)</f>
      </c>
      <c r="H546" s="289">
        <f>SUM(H542:H545)</f>
      </c>
      <c r="I546" s="251">
        <f>SUM(I542:I545)</f>
      </c>
      <c r="J546" s="252">
        <f t="shared" si="294"/>
      </c>
      <c r="K546" s="252">
        <f t="shared" si="354"/>
      </c>
      <c r="L546" s="252">
        <f t="shared" si="173"/>
      </c>
      <c r="M546" s="253">
        <f t="shared" si="234"/>
      </c>
      <c r="N546" s="252">
        <f t="shared" si="83"/>
      </c>
      <c r="O546" s="252">
        <f t="shared" si="113"/>
      </c>
      <c r="P546" s="253">
        <f t="shared" si="384"/>
      </c>
      <c r="Q546" s="253">
        <f t="shared" si="22"/>
      </c>
      <c r="R546" s="253">
        <f t="shared" si="264"/>
      </c>
      <c r="S546" s="253">
        <f t="shared" si="324"/>
      </c>
      <c r="T546" s="254">
        <f t="shared" si="143"/>
      </c>
      <c r="U546" s="253">
        <f>AVERAGE(U542:U545)</f>
      </c>
      <c r="V546" s="250">
        <f>AVERAGE(V542:V545)</f>
      </c>
      <c r="W546" s="252">
        <f t="shared" si="52"/>
      </c>
      <c r="X546" s="254">
        <f>SUM(X542:X545)</f>
      </c>
      <c r="Y546" s="254">
        <f>SUM(Y542:Y545)</f>
      </c>
      <c r="Z546" s="254">
        <f>SUM(Z542:Z545)</f>
      </c>
      <c r="AA546" s="254">
        <f>SUM(AA542:AA545)</f>
      </c>
      <c r="AB546" s="254">
        <f>SUM(AB542:AB545)</f>
      </c>
      <c r="AC546" s="254">
        <f>SUM(AC542:AC545)</f>
      </c>
      <c r="AD546" s="254">
        <f>SUM(AD542:AD545)</f>
      </c>
      <c r="AE546" s="254">
        <f>SUM(AE542:AE545)</f>
      </c>
      <c r="AF546" s="255">
        <f t="shared" si="203"/>
      </c>
      <c r="AG546" s="256"/>
      <c r="AH546" s="256"/>
      <c r="AI546" s="254">
        <f>SUM(AI542:AI545)</f>
      </c>
    </row>
    <row r="547">
      <c r="A547" s="211"/>
      <c r="B547" s="264" t="s">
        <v>183</v>
      </c>
      <c r="C547" s="264"/>
      <c r="D547" s="265">
        <f>D533+D536+D546+D541</f>
      </c>
      <c r="E547" s="265">
        <f>E533+E536+E546+E541</f>
      </c>
      <c r="F547" s="265">
        <f>F533+F536+F546+F541</f>
      </c>
      <c r="G547" s="265">
        <f>G533+G536+G546+G541</f>
      </c>
      <c r="H547" s="265">
        <f>H533+H536+H546+H541</f>
      </c>
      <c r="I547" s="265">
        <f>I533+I536+I546+I541</f>
      </c>
      <c r="J547" s="266">
        <f t="shared" si="294"/>
      </c>
      <c r="K547" s="267">
        <f t="shared" si="354"/>
      </c>
      <c r="L547" s="267">
        <f t="shared" si="173"/>
      </c>
      <c r="M547" s="268">
        <f t="shared" si="234"/>
      </c>
      <c r="N547" s="267">
        <f t="shared" si="83"/>
      </c>
      <c r="O547" s="267">
        <f t="shared" si="113"/>
      </c>
      <c r="P547" s="268">
        <f t="shared" si="384"/>
      </c>
      <c r="Q547" s="268">
        <f t="shared" si="22"/>
      </c>
      <c r="R547" s="268">
        <f t="shared" si="264"/>
      </c>
      <c r="S547" s="268">
        <f t="shared" si="324"/>
      </c>
      <c r="T547" s="269">
        <f t="shared" si="143"/>
      </c>
      <c r="U547" s="268">
        <f>(U541+U536+U533)/4+U546</f>
      </c>
      <c r="V547" s="267">
        <f>(V541+V536+V533)/4+V546</f>
      </c>
      <c r="W547" s="270">
        <f t="shared" si="52"/>
      </c>
      <c r="X547" s="269">
        <f>X533+X536+X541+X546</f>
      </c>
      <c r="Y547" s="269">
        <f>Y533+Y536+Y541+Y546</f>
      </c>
      <c r="Z547" s="269">
        <f>Z533+Z536+Z541+Z546</f>
      </c>
      <c r="AA547" s="269">
        <f>AA533+AA536+AA541+AA546</f>
      </c>
      <c r="AB547" s="269">
        <f>AB533+AB536+AB541+AB546</f>
      </c>
      <c r="AC547" s="269">
        <f>AC533+AC536+AC541+AC546</f>
      </c>
      <c r="AD547" s="269">
        <f>AD533+AD536+AD541+AD546</f>
      </c>
      <c r="AE547" s="269">
        <f>AE533+AE536+AE541+AE546</f>
      </c>
      <c r="AF547" s="267">
        <f>AF533</f>
      </c>
      <c r="AG547" s="264"/>
      <c r="AH547" s="264"/>
      <c r="AI547" s="269">
        <f>AI533+AI536+AI541+AI546</f>
      </c>
    </row>
    <row r="548">
      <c r="A548" s="193" t="s">
        <v>120</v>
      </c>
      <c r="B548" s="194" t="s">
        <v>121</v>
      </c>
      <c r="C548" s="194"/>
      <c r="D548" s="277" t="s">
        <v>122</v>
      </c>
      <c r="E548" s="277"/>
      <c r="F548" s="277"/>
      <c r="G548" s="277"/>
      <c r="H548" s="277"/>
      <c r="I548" s="277"/>
      <c r="J548" s="277"/>
      <c r="K548" s="277"/>
      <c r="L548" s="277"/>
      <c r="M548" s="277"/>
      <c r="N548" s="277"/>
      <c r="O548" s="196" t="s">
        <v>123</v>
      </c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7"/>
    </row>
    <row r="549">
      <c r="A549" s="193"/>
      <c r="B549" s="278" t="s">
        <v>124</v>
      </c>
      <c r="C549" s="279" t="s">
        <v>125</v>
      </c>
      <c r="D549" s="280" t="s">
        <v>126</v>
      </c>
      <c r="E549" s="281" t="s">
        <v>127</v>
      </c>
      <c r="F549" s="282" t="s">
        <v>128</v>
      </c>
      <c r="G549" s="282" t="s">
        <v>129</v>
      </c>
      <c r="H549" s="283" t="s">
        <v>130</v>
      </c>
      <c r="I549" s="271" t="s">
        <v>189</v>
      </c>
      <c r="J549" s="202" t="s">
        <v>131</v>
      </c>
      <c r="K549" s="202" t="s">
        <v>132</v>
      </c>
      <c r="L549" s="202" t="s">
        <v>133</v>
      </c>
      <c r="M549" s="203" t="s">
        <v>134</v>
      </c>
      <c r="N549" s="202" t="s">
        <v>135</v>
      </c>
      <c r="O549" s="204" t="s">
        <v>136</v>
      </c>
      <c r="P549" s="205" t="s">
        <v>137</v>
      </c>
      <c r="Q549" s="205" t="s">
        <v>138</v>
      </c>
      <c r="R549" s="205" t="s">
        <v>139</v>
      </c>
      <c r="S549" s="205" t="s">
        <v>140</v>
      </c>
      <c r="T549" s="206" t="s">
        <v>141</v>
      </c>
      <c r="U549" s="207" t="s">
        <v>142</v>
      </c>
      <c r="V549" s="208" t="s">
        <v>143</v>
      </c>
      <c r="W549" s="196" t="s">
        <v>144</v>
      </c>
      <c r="X549" s="209" t="s">
        <v>145</v>
      </c>
      <c r="Y549" s="209" t="s">
        <v>146</v>
      </c>
      <c r="Z549" s="209" t="s">
        <v>147</v>
      </c>
      <c r="AA549" s="209" t="s">
        <v>148</v>
      </c>
      <c r="AB549" s="209" t="s">
        <v>149</v>
      </c>
      <c r="AC549" s="209" t="s">
        <v>150</v>
      </c>
      <c r="AD549" s="209" t="s">
        <v>151</v>
      </c>
      <c r="AE549" s="209" t="s">
        <v>152</v>
      </c>
      <c r="AF549" s="196" t="s">
        <v>153</v>
      </c>
      <c r="AG549" s="210" t="s">
        <v>154</v>
      </c>
      <c r="AH549" s="210" t="s">
        <v>155</v>
      </c>
      <c r="AI549" s="197" t="s">
        <v>156</v>
      </c>
    </row>
    <row r="550">
      <c r="A550" s="211">
        <v>46197</v>
      </c>
      <c r="B550" s="212" t="s">
        <v>186</v>
      </c>
      <c r="C550" s="235" t="s">
        <v>175</v>
      </c>
      <c r="D550" s="212">
        <v>1680.46</v>
      </c>
      <c r="E550" s="215">
        <v>1</v>
      </c>
      <c r="F550" s="215">
        <v>1</v>
      </c>
      <c r="G550" s="215">
        <v>1</v>
      </c>
      <c r="H550" s="275">
        <v>451</v>
      </c>
      <c r="I550" s="215">
        <v>0</v>
      </c>
      <c r="J550" s="217">
        <f t="shared" ref="J550:J560" si="295">H550/D550</f>
      </c>
      <c r="K550" s="217">
        <f t="shared" ref="K550:K560" si="355">D550/F550</f>
      </c>
      <c r="L550" s="217">
        <f t="shared" ref="L550:L560" si="174">D550/G550</f>
      </c>
      <c r="M550" s="218">
        <f t="shared" ref="M550:M560" si="235">F550/E550</f>
      </c>
      <c r="N550" s="217">
        <f t="shared" ref="N550:N560" si="84">H550/F550</f>
      </c>
      <c r="O550" s="217">
        <f t="shared" ref="O550:O560" si="114">D550/Y550</f>
      </c>
      <c r="P550" s="218">
        <f t="shared" ref="P550:P560" si="385">T550/X550*1</f>
      </c>
      <c r="Q550" s="218">
        <f t="shared" ref="Q550:Q560" si="23">Y550/X550</f>
      </c>
      <c r="R550" s="218">
        <f t="shared" ref="R550:R560" si="265">AA550/X550</f>
      </c>
      <c r="S550" s="218">
        <f t="shared" ref="S550:S560" si="325">AB550/AA550</f>
      </c>
      <c r="T550" s="219">
        <f t="shared" ref="T550:T560" si="144">Z550/U550</f>
      </c>
      <c r="U550" s="220">
        <v>0.051</v>
      </c>
      <c r="V550" s="221">
        <v>59</v>
      </c>
      <c r="W550" s="217">
        <f t="shared" ref="W550:W560" si="53">(D550/X550)*1000</f>
      </c>
      <c r="X550" s="221">
        <v>9654</v>
      </c>
      <c r="Y550" s="221">
        <v>285</v>
      </c>
      <c r="Z550" s="219">
        <v>59</v>
      </c>
      <c r="AA550" s="219">
        <v>481</v>
      </c>
      <c r="AB550" s="219">
        <v>47</v>
      </c>
      <c r="AC550" s="219">
        <v>10</v>
      </c>
      <c r="AD550" s="221">
        <v>1</v>
      </c>
      <c r="AE550" s="221">
        <v>9</v>
      </c>
      <c r="AF550" s="217">
        <f t="shared" ref="AF550:AF559" si="204">AI550*1000/D550</f>
      </c>
      <c r="AG550" s="222" t="s">
        <v>173</v>
      </c>
      <c r="AH550" s="223" t="s">
        <v>187</v>
      </c>
      <c r="AI550" s="221">
        <v>29</v>
      </c>
    </row>
    <row r="551">
      <c r="A551" s="211"/>
      <c r="B551" s="212" t="s">
        <v>186</v>
      </c>
      <c r="C551" s="245" t="s">
        <v>176</v>
      </c>
      <c r="D551" s="212">
        <v>1020.84</v>
      </c>
      <c r="E551" s="215">
        <v>5</v>
      </c>
      <c r="F551" s="215">
        <v>3</v>
      </c>
      <c r="G551" s="215">
        <v>3</v>
      </c>
      <c r="H551" s="275">
        <v>2791.8</v>
      </c>
      <c r="I551" s="215">
        <v>2</v>
      </c>
      <c r="J551" s="217">
        <f t="shared" si="295"/>
      </c>
      <c r="K551" s="217">
        <f t="shared" si="355"/>
      </c>
      <c r="L551" s="217">
        <f t="shared" si="174"/>
      </c>
      <c r="M551" s="218">
        <f t="shared" si="235"/>
      </c>
      <c r="N551" s="217">
        <f t="shared" si="84"/>
      </c>
      <c r="O551" s="217">
        <f t="shared" si="114"/>
      </c>
      <c r="P551" s="218">
        <f t="shared" si="385"/>
      </c>
      <c r="Q551" s="218">
        <f t="shared" si="23"/>
      </c>
      <c r="R551" s="218">
        <f t="shared" si="265"/>
      </c>
      <c r="S551" s="218">
        <f t="shared" si="325"/>
      </c>
      <c r="T551" s="219">
        <f t="shared" si="144"/>
      </c>
      <c r="U551" s="220">
        <v>0.0325</v>
      </c>
      <c r="V551" s="221">
        <v>58</v>
      </c>
      <c r="W551" s="217">
        <f t="shared" si="53"/>
      </c>
      <c r="X551" s="219">
        <v>7116</v>
      </c>
      <c r="Y551" s="219">
        <v>314</v>
      </c>
      <c r="Z551" s="219">
        <v>38</v>
      </c>
      <c r="AA551" s="219">
        <v>448</v>
      </c>
      <c r="AB551" s="219">
        <v>57</v>
      </c>
      <c r="AC551" s="219">
        <v>7</v>
      </c>
      <c r="AD551" s="219">
        <v>1</v>
      </c>
      <c r="AE551" s="221">
        <v>12</v>
      </c>
      <c r="AF551" s="217">
        <f t="shared" si="204"/>
      </c>
      <c r="AG551" s="222" t="s">
        <v>173</v>
      </c>
      <c r="AH551" s="223" t="s">
        <v>187</v>
      </c>
      <c r="AI551" s="221">
        <v>20</v>
      </c>
    </row>
    <row r="552">
      <c r="A552" s="211"/>
      <c r="B552" s="212" t="s">
        <v>186</v>
      </c>
      <c r="C552" s="235" t="s">
        <v>177</v>
      </c>
      <c r="D552" s="212">
        <v>292.61</v>
      </c>
      <c r="E552" s="215">
        <v>3</v>
      </c>
      <c r="F552" s="215">
        <v>3</v>
      </c>
      <c r="G552" s="215">
        <v>2</v>
      </c>
      <c r="H552" s="275">
        <v>2343</v>
      </c>
      <c r="I552" s="215">
        <v>0</v>
      </c>
      <c r="J552" s="217">
        <f t="shared" si="295"/>
      </c>
      <c r="K552" s="217">
        <f t="shared" si="355"/>
      </c>
      <c r="L552" s="217">
        <f t="shared" si="174"/>
      </c>
      <c r="M552" s="218">
        <f t="shared" si="235"/>
      </c>
      <c r="N552" s="217">
        <f t="shared" si="84"/>
      </c>
      <c r="O552" s="217">
        <f t="shared" si="114"/>
      </c>
      <c r="P552" s="218">
        <f t="shared" si="385"/>
      </c>
      <c r="Q552" s="218">
        <f t="shared" si="23"/>
      </c>
      <c r="R552" s="218">
        <f t="shared" si="265"/>
      </c>
      <c r="S552" s="218">
        <f t="shared" si="325"/>
      </c>
      <c r="T552" s="219">
        <f t="shared" si="144"/>
      </c>
      <c r="U552" s="220">
        <v>0.0204</v>
      </c>
      <c r="V552" s="221">
        <v>64</v>
      </c>
      <c r="W552" s="217">
        <f t="shared" si="53"/>
      </c>
      <c r="X552" s="221">
        <v>2645</v>
      </c>
      <c r="Y552" s="221">
        <v>203</v>
      </c>
      <c r="Z552" s="221">
        <v>21</v>
      </c>
      <c r="AA552" s="221">
        <v>248</v>
      </c>
      <c r="AB552" s="221">
        <v>25</v>
      </c>
      <c r="AC552" s="221">
        <v>3</v>
      </c>
      <c r="AD552" s="221">
        <v>0</v>
      </c>
      <c r="AE552" s="221">
        <v>3</v>
      </c>
      <c r="AF552" s="217">
        <f t="shared" si="204"/>
      </c>
      <c r="AG552" s="222" t="s">
        <v>173</v>
      </c>
      <c r="AH552" s="223" t="s">
        <v>187</v>
      </c>
      <c r="AI552" s="221">
        <v>10</v>
      </c>
    </row>
    <row r="553">
      <c r="A553" s="211"/>
      <c r="B553" s="212" t="s">
        <v>186</v>
      </c>
      <c r="C553" s="235" t="s">
        <v>179</v>
      </c>
      <c r="D553" s="212">
        <v>1365.92</v>
      </c>
      <c r="E553" s="215">
        <v>2</v>
      </c>
      <c r="F553" s="215">
        <v>2</v>
      </c>
      <c r="G553" s="215">
        <v>2</v>
      </c>
      <c r="H553" s="275">
        <v>1232</v>
      </c>
      <c r="I553" s="215">
        <v>0</v>
      </c>
      <c r="J553" s="217">
        <f t="shared" si="295"/>
      </c>
      <c r="K553" s="217">
        <f t="shared" si="355"/>
      </c>
      <c r="L553" s="217">
        <f t="shared" si="174"/>
      </c>
      <c r="M553" s="218">
        <f t="shared" si="235"/>
      </c>
      <c r="N553" s="217">
        <f t="shared" si="84"/>
      </c>
      <c r="O553" s="217">
        <f t="shared" si="114"/>
      </c>
      <c r="P553" s="218">
        <f t="shared" si="385"/>
      </c>
      <c r="Q553" s="218">
        <f t="shared" si="23"/>
      </c>
      <c r="R553" s="218">
        <f t="shared" si="265"/>
      </c>
      <c r="S553" s="218">
        <f t="shared" si="325"/>
      </c>
      <c r="T553" s="219">
        <f t="shared" si="144"/>
      </c>
      <c r="U553" s="220">
        <v>0.0418</v>
      </c>
      <c r="V553" s="221">
        <v>60</v>
      </c>
      <c r="W553" s="217">
        <f t="shared" si="53"/>
      </c>
      <c r="X553" s="221">
        <v>6957</v>
      </c>
      <c r="Y553" s="221">
        <v>229</v>
      </c>
      <c r="Z553" s="219">
        <v>30</v>
      </c>
      <c r="AA553" s="219">
        <v>305</v>
      </c>
      <c r="AB553" s="219">
        <v>19</v>
      </c>
      <c r="AC553" s="219">
        <v>5</v>
      </c>
      <c r="AD553" s="221">
        <v>0</v>
      </c>
      <c r="AE553" s="221">
        <v>8</v>
      </c>
      <c r="AF553" s="217">
        <f t="shared" si="204"/>
      </c>
      <c r="AG553" s="222" t="s">
        <v>173</v>
      </c>
      <c r="AH553" s="223" t="s">
        <v>187</v>
      </c>
      <c r="AI553" s="221">
        <v>12</v>
      </c>
    </row>
    <row r="554">
      <c r="A554" s="211"/>
      <c r="B554" s="227" t="s">
        <v>165</v>
      </c>
      <c r="C554" s="227"/>
      <c r="D554" s="259">
        <f>SUM(D550:D553)</f>
      </c>
      <c r="E554" s="260">
        <f>SUM(E550:E553)</f>
      </c>
      <c r="F554" s="260">
        <f>SUM(F550:F553)</f>
      </c>
      <c r="G554" s="260">
        <f>SUM(G550:G553)</f>
      </c>
      <c r="H554" s="259">
        <f>SUM(H550:H553)</f>
      </c>
      <c r="I554" s="272">
        <f>SUM(I550:I553)</f>
      </c>
      <c r="J554" s="230">
        <f t="shared" si="295"/>
      </c>
      <c r="K554" s="230">
        <f t="shared" si="355"/>
      </c>
      <c r="L554" s="230">
        <f t="shared" si="174"/>
      </c>
      <c r="M554" s="231">
        <f t="shared" si="235"/>
      </c>
      <c r="N554" s="230">
        <f t="shared" si="84"/>
      </c>
      <c r="O554" s="230">
        <f t="shared" si="114"/>
      </c>
      <c r="P554" s="231">
        <f t="shared" si="385"/>
      </c>
      <c r="Q554" s="231">
        <f t="shared" si="23"/>
      </c>
      <c r="R554" s="231">
        <f t="shared" si="265"/>
      </c>
      <c r="S554" s="231">
        <f t="shared" si="325"/>
      </c>
      <c r="T554" s="229">
        <f t="shared" si="144"/>
      </c>
      <c r="U554" s="231">
        <f>AVERAGE(U550:U553)</f>
      </c>
      <c r="V554" s="228">
        <f>AVERAGE(V550:V553)</f>
      </c>
      <c r="W554" s="230">
        <f t="shared" si="53"/>
      </c>
      <c r="X554" s="229">
        <f>SUM(X550:X553)</f>
      </c>
      <c r="Y554" s="229">
        <f>SUM(Y550:Y553)</f>
      </c>
      <c r="Z554" s="229">
        <f>SUM(Z550:Z553)</f>
      </c>
      <c r="AA554" s="229">
        <f>SUM(AA550:AA553)</f>
      </c>
      <c r="AB554" s="229">
        <f>SUM(AB550:AB553)</f>
      </c>
      <c r="AC554" s="229">
        <f>SUM(AC550:AC553)</f>
      </c>
      <c r="AD554" s="229">
        <f>SUM(AD550:AD553)</f>
      </c>
      <c r="AE554" s="229">
        <f>SUM(AE550:AE553)</f>
      </c>
      <c r="AF554" s="232">
        <f t="shared" si="204"/>
      </c>
      <c r="AG554" s="233"/>
      <c r="AH554" s="233"/>
      <c r="AI554" s="229">
        <f>SUM(AI550:AI553)</f>
      </c>
    </row>
    <row r="555">
      <c r="A555" s="211"/>
      <c r="B555" s="248" t="s">
        <v>178</v>
      </c>
      <c r="C555" s="248" t="s">
        <v>180</v>
      </c>
      <c r="D555" s="261">
        <v>2146.87</v>
      </c>
      <c r="E555" s="237">
        <v>8</v>
      </c>
      <c r="F555" s="237">
        <v>6</v>
      </c>
      <c r="G555" s="238">
        <v>3</v>
      </c>
      <c r="H555" s="239">
        <v>3502.95</v>
      </c>
      <c r="I555" s="273">
        <v>1</v>
      </c>
      <c r="J555" s="240">
        <f t="shared" si="295"/>
      </c>
      <c r="K555" s="240">
        <f t="shared" si="355"/>
      </c>
      <c r="L555" s="240">
        <f t="shared" si="174"/>
      </c>
      <c r="M555" s="241">
        <f t="shared" si="235"/>
      </c>
      <c r="N555" s="240">
        <f t="shared" si="84"/>
      </c>
      <c r="O555" s="240">
        <f t="shared" si="114"/>
      </c>
      <c r="P555" s="241">
        <f t="shared" si="385"/>
      </c>
      <c r="Q555" s="241">
        <f t="shared" si="23"/>
      </c>
      <c r="R555" s="241">
        <f t="shared" si="265"/>
      </c>
      <c r="S555" s="241">
        <f t="shared" si="325"/>
      </c>
      <c r="T555" s="242">
        <f t="shared" si="144"/>
      </c>
      <c r="U555" s="243">
        <v>0.0358</v>
      </c>
      <c r="V555" s="244">
        <v>47</v>
      </c>
      <c r="W555" s="240">
        <f t="shared" si="53"/>
      </c>
      <c r="X555" s="242">
        <v>14589</v>
      </c>
      <c r="Y555" s="242">
        <v>888</v>
      </c>
      <c r="Z555" s="242">
        <v>69</v>
      </c>
      <c r="AA555" s="242">
        <v>1102</v>
      </c>
      <c r="AB555" s="242">
        <v>63</v>
      </c>
      <c r="AC555" s="242">
        <v>7</v>
      </c>
      <c r="AD555" s="242">
        <v>0</v>
      </c>
      <c r="AE555" s="242">
        <v>12</v>
      </c>
      <c r="AF555" s="240">
        <f t="shared" si="204"/>
      </c>
      <c r="AG555" s="222" t="s">
        <v>173</v>
      </c>
      <c r="AH555" s="223" t="s">
        <v>187</v>
      </c>
      <c r="AI555" s="244">
        <v>40</v>
      </c>
    </row>
    <row r="556">
      <c r="A556" s="211"/>
      <c r="B556" s="248" t="s">
        <v>178</v>
      </c>
      <c r="C556" s="248" t="s">
        <v>181</v>
      </c>
      <c r="D556" s="262">
        <v>2274.62</v>
      </c>
      <c r="E556" s="247">
        <v>4</v>
      </c>
      <c r="F556" s="247">
        <v>3</v>
      </c>
      <c r="G556" s="247">
        <v>2</v>
      </c>
      <c r="H556" s="263">
        <v>1330.4500000000007</v>
      </c>
      <c r="I556" s="273">
        <v>0</v>
      </c>
      <c r="J556" s="240">
        <f t="shared" si="295"/>
      </c>
      <c r="K556" s="240">
        <f t="shared" si="355"/>
      </c>
      <c r="L556" s="240">
        <f t="shared" si="174"/>
      </c>
      <c r="M556" s="241">
        <f t="shared" si="235"/>
      </c>
      <c r="N556" s="240">
        <f t="shared" si="84"/>
      </c>
      <c r="O556" s="240">
        <f t="shared" si="114"/>
      </c>
      <c r="P556" s="241">
        <f t="shared" si="385"/>
      </c>
      <c r="Q556" s="241">
        <f t="shared" si="23"/>
      </c>
      <c r="R556" s="241">
        <f t="shared" si="265"/>
      </c>
      <c r="S556" s="241">
        <f t="shared" si="325"/>
      </c>
      <c r="T556" s="242">
        <f t="shared" si="144"/>
      </c>
      <c r="U556" s="243">
        <v>0.0242</v>
      </c>
      <c r="V556" s="244">
        <v>41</v>
      </c>
      <c r="W556" s="240">
        <f t="shared" si="53"/>
      </c>
      <c r="X556" s="242">
        <v>16588</v>
      </c>
      <c r="Y556" s="242">
        <v>1107</v>
      </c>
      <c r="Z556" s="242">
        <v>59</v>
      </c>
      <c r="AA556" s="242">
        <v>1420</v>
      </c>
      <c r="AB556" s="242">
        <v>80</v>
      </c>
      <c r="AC556" s="242">
        <v>5</v>
      </c>
      <c r="AD556" s="242">
        <v>3</v>
      </c>
      <c r="AE556" s="242">
        <v>15</v>
      </c>
      <c r="AF556" s="240">
        <f t="shared" si="204"/>
      </c>
      <c r="AG556" s="222" t="s">
        <v>173</v>
      </c>
      <c r="AH556" s="223" t="s">
        <v>187</v>
      </c>
      <c r="AI556" s="244">
        <v>27</v>
      </c>
    </row>
    <row r="557">
      <c r="A557" s="211"/>
      <c r="B557" s="248" t="s">
        <v>178</v>
      </c>
      <c r="C557" s="248" t="s">
        <v>182</v>
      </c>
      <c r="D557" s="261">
        <v>1602.31</v>
      </c>
      <c r="E557" s="247">
        <v>1</v>
      </c>
      <c r="F557" s="247">
        <v>0</v>
      </c>
      <c r="G557" s="247">
        <v>0</v>
      </c>
      <c r="H557" s="236">
        <v>0</v>
      </c>
      <c r="I557" s="238">
        <v>0</v>
      </c>
      <c r="J557" s="240">
        <f t="shared" si="295"/>
      </c>
      <c r="K557" s="240">
        <f t="shared" si="355"/>
      </c>
      <c r="L557" s="240">
        <f t="shared" si="174"/>
      </c>
      <c r="M557" s="241">
        <f t="shared" si="235"/>
      </c>
      <c r="N557" s="240">
        <f t="shared" si="84"/>
      </c>
      <c r="O557" s="240">
        <f t="shared" si="114"/>
      </c>
      <c r="P557" s="241">
        <f t="shared" si="385"/>
      </c>
      <c r="Q557" s="241">
        <f t="shared" si="23"/>
      </c>
      <c r="R557" s="241">
        <f t="shared" si="265"/>
      </c>
      <c r="S557" s="241">
        <f t="shared" si="325"/>
      </c>
      <c r="T557" s="242">
        <f t="shared" si="144"/>
      </c>
      <c r="U557" s="243">
        <v>0.0273</v>
      </c>
      <c r="V557" s="244">
        <v>37</v>
      </c>
      <c r="W557" s="240">
        <f t="shared" si="53"/>
      </c>
      <c r="X557" s="242">
        <v>12596</v>
      </c>
      <c r="Y557" s="242">
        <v>984</v>
      </c>
      <c r="Z557" s="242">
        <v>59</v>
      </c>
      <c r="AA557" s="242">
        <v>1394</v>
      </c>
      <c r="AB557" s="242">
        <v>37</v>
      </c>
      <c r="AC557" s="242">
        <v>6</v>
      </c>
      <c r="AD557" s="242">
        <v>0</v>
      </c>
      <c r="AE557" s="242">
        <v>7</v>
      </c>
      <c r="AF557" s="240">
        <f t="shared" si="204"/>
      </c>
      <c r="AG557" s="222" t="s">
        <v>173</v>
      </c>
      <c r="AH557" s="223" t="s">
        <v>187</v>
      </c>
      <c r="AI557" s="244">
        <v>18</v>
      </c>
    </row>
    <row r="558">
      <c r="A558" s="211"/>
      <c r="B558" s="248" t="s">
        <v>178</v>
      </c>
      <c r="C558" s="248" t="s">
        <v>194</v>
      </c>
      <c r="D558" s="261">
        <v>397.16</v>
      </c>
      <c r="E558" s="238">
        <v>1</v>
      </c>
      <c r="F558" s="238">
        <v>1</v>
      </c>
      <c r="G558" s="238">
        <v>1</v>
      </c>
      <c r="H558" s="261">
        <v>781</v>
      </c>
      <c r="I558" s="238">
        <v>0</v>
      </c>
      <c r="J558" s="240">
        <f t="shared" si="295"/>
      </c>
      <c r="K558" s="240">
        <f t="shared" si="355"/>
      </c>
      <c r="L558" s="240">
        <f t="shared" si="174"/>
      </c>
      <c r="M558" s="241">
        <f t="shared" si="235"/>
      </c>
      <c r="N558" s="240">
        <f t="shared" si="84"/>
      </c>
      <c r="O558" s="240">
        <f t="shared" si="114"/>
      </c>
      <c r="P558" s="241">
        <f t="shared" si="385"/>
      </c>
      <c r="Q558" s="241">
        <f t="shared" si="23"/>
      </c>
      <c r="R558" s="241">
        <f t="shared" si="265"/>
      </c>
      <c r="S558" s="241">
        <f t="shared" si="325"/>
      </c>
      <c r="T558" s="242">
        <f t="shared" si="144"/>
      </c>
      <c r="U558" s="243">
        <v>0.0257</v>
      </c>
      <c r="V558" s="244">
        <v>38</v>
      </c>
      <c r="W558" s="240">
        <f t="shared" si="53"/>
      </c>
      <c r="X558" s="242">
        <v>2866</v>
      </c>
      <c r="Y558" s="242">
        <v>129</v>
      </c>
      <c r="Z558" s="242">
        <v>15</v>
      </c>
      <c r="AA558" s="242">
        <v>228</v>
      </c>
      <c r="AB558" s="242">
        <v>16</v>
      </c>
      <c r="AC558" s="242">
        <v>2</v>
      </c>
      <c r="AD558" s="242">
        <v>1</v>
      </c>
      <c r="AE558" s="244">
        <v>5</v>
      </c>
      <c r="AF558" s="240">
        <f t="shared" si="204"/>
      </c>
      <c r="AG558" s="222" t="s">
        <v>173</v>
      </c>
      <c r="AH558" s="223" t="s">
        <v>187</v>
      </c>
      <c r="AI558" s="244">
        <v>5</v>
      </c>
    </row>
    <row r="559">
      <c r="A559" s="211"/>
      <c r="B559" s="249" t="s">
        <v>165</v>
      </c>
      <c r="C559" s="249"/>
      <c r="D559" s="250">
        <f>SUM(D555:D558)</f>
      </c>
      <c r="E559" s="251">
        <f>SUM(E555:E558)</f>
      </c>
      <c r="F559" s="251">
        <f>SUM(F555:F558)</f>
      </c>
      <c r="G559" s="251">
        <f>SUM(G555:G558)</f>
      </c>
      <c r="H559" s="250">
        <f>SUM(H555:H558)</f>
      </c>
      <c r="I559" s="272">
        <f>SUM(I555:I558)</f>
      </c>
      <c r="J559" s="252">
        <f t="shared" si="295"/>
      </c>
      <c r="K559" s="252">
        <f t="shared" si="355"/>
      </c>
      <c r="L559" s="252">
        <f t="shared" si="174"/>
      </c>
      <c r="M559" s="253">
        <f t="shared" si="235"/>
      </c>
      <c r="N559" s="252">
        <f t="shared" si="84"/>
      </c>
      <c r="O559" s="252">
        <f t="shared" si="114"/>
      </c>
      <c r="P559" s="253">
        <f t="shared" si="385"/>
      </c>
      <c r="Q559" s="253">
        <f t="shared" si="23"/>
      </c>
      <c r="R559" s="253">
        <f t="shared" si="265"/>
      </c>
      <c r="S559" s="253">
        <f t="shared" si="325"/>
      </c>
      <c r="T559" s="254">
        <f t="shared" si="144"/>
      </c>
      <c r="U559" s="253">
        <f>AVERAGE(U555:U558)</f>
      </c>
      <c r="V559" s="250">
        <f>AVERAGE(V555:V558)</f>
      </c>
      <c r="W559" s="252">
        <f t="shared" si="53"/>
      </c>
      <c r="X559" s="254">
        <f>SUM(X555:X558)</f>
      </c>
      <c r="Y559" s="254">
        <f>SUM(Y555:Y558)</f>
      </c>
      <c r="Z559" s="254">
        <f>SUM(Z555:Z558)</f>
      </c>
      <c r="AA559" s="254">
        <f>SUM(AA555:AA558)</f>
      </c>
      <c r="AB559" s="254">
        <f>SUM(AB555:AB558)</f>
      </c>
      <c r="AC559" s="254">
        <f>SUM(AC555:AC558)</f>
      </c>
      <c r="AD559" s="254">
        <f>SUM(AD555:AD558)</f>
      </c>
      <c r="AE559" s="254">
        <f>SUM(AE555:AE558)</f>
      </c>
      <c r="AF559" s="255">
        <f t="shared" si="204"/>
      </c>
      <c r="AG559" s="256"/>
      <c r="AH559" s="256"/>
      <c r="AI559" s="257">
        <f>SUM(AI555:AI558)</f>
      </c>
    </row>
    <row r="560">
      <c r="A560" s="211"/>
      <c r="B560" s="264" t="s">
        <v>183</v>
      </c>
      <c r="C560" s="264"/>
      <c r="D560" s="265">
        <f>+D554+D559</f>
      </c>
      <c r="E560" s="265">
        <f>+E554+E559</f>
      </c>
      <c r="F560" s="265">
        <f>+F554+F559</f>
      </c>
      <c r="G560" s="265">
        <f>+G554+G559</f>
      </c>
      <c r="H560" s="265">
        <f>+H554+H559</f>
      </c>
      <c r="I560" s="265">
        <f>+I554+I559</f>
      </c>
      <c r="J560" s="266">
        <f t="shared" si="295"/>
      </c>
      <c r="K560" s="267">
        <f t="shared" si="355"/>
      </c>
      <c r="L560" s="267">
        <f t="shared" si="174"/>
      </c>
      <c r="M560" s="268">
        <f t="shared" si="235"/>
      </c>
      <c r="N560" s="267">
        <f t="shared" si="84"/>
      </c>
      <c r="O560" s="267">
        <f t="shared" si="114"/>
      </c>
      <c r="P560" s="268">
        <f t="shared" si="385"/>
      </c>
      <c r="Q560" s="268">
        <f t="shared" si="23"/>
      </c>
      <c r="R560" s="268">
        <f t="shared" si="265"/>
      </c>
      <c r="S560" s="268">
        <f t="shared" si="325"/>
      </c>
      <c r="T560" s="269">
        <f t="shared" si="144"/>
      </c>
      <c r="U560" s="268">
        <f>(U554++U559)/2</f>
      </c>
      <c r="V560" s="267">
        <f>(V554++V559)/2</f>
      </c>
      <c r="W560" s="270">
        <f t="shared" si="53"/>
      </c>
      <c r="X560" s="269">
        <f>X554+X559</f>
      </c>
      <c r="Y560" s="269">
        <f>Y554+Y559</f>
      </c>
      <c r="Z560" s="269">
        <f>Z554+Z559</f>
      </c>
      <c r="AA560" s="269">
        <f>AA554+AA559</f>
      </c>
      <c r="AB560" s="269">
        <f>AB554+AB559</f>
      </c>
      <c r="AC560" s="269">
        <f>AC554+AC559</f>
      </c>
      <c r="AD560" s="269">
        <f>AD554+AD559</f>
      </c>
      <c r="AE560" s="269">
        <f>AE554+AE559</f>
      </c>
      <c r="AF560" s="269">
        <f>AF559</f>
      </c>
      <c r="AG560" s="264"/>
      <c r="AH560" s="264"/>
      <c r="AI560" s="269">
        <f>AI554+AI559</f>
      </c>
    </row>
    <row r="561">
      <c r="A561" s="193" t="s">
        <v>120</v>
      </c>
      <c r="B561" s="194" t="s">
        <v>121</v>
      </c>
      <c r="C561" s="194"/>
      <c r="D561" s="277" t="s">
        <v>122</v>
      </c>
      <c r="E561" s="277"/>
      <c r="F561" s="277"/>
      <c r="G561" s="277"/>
      <c r="H561" s="277"/>
      <c r="I561" s="277"/>
      <c r="J561" s="277"/>
      <c r="K561" s="277"/>
      <c r="L561" s="277"/>
      <c r="M561" s="277"/>
      <c r="N561" s="277"/>
      <c r="O561" s="196" t="s">
        <v>123</v>
      </c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7"/>
    </row>
    <row r="562">
      <c r="A562" s="193"/>
      <c r="B562" s="278" t="s">
        <v>124</v>
      </c>
      <c r="C562" s="279" t="s">
        <v>125</v>
      </c>
      <c r="D562" s="280" t="s">
        <v>126</v>
      </c>
      <c r="E562" s="281" t="s">
        <v>127</v>
      </c>
      <c r="F562" s="282" t="s">
        <v>128</v>
      </c>
      <c r="G562" s="282" t="s">
        <v>129</v>
      </c>
      <c r="H562" s="283" t="s">
        <v>130</v>
      </c>
      <c r="I562" s="271" t="s">
        <v>189</v>
      </c>
      <c r="J562" s="202" t="s">
        <v>131</v>
      </c>
      <c r="K562" s="202" t="s">
        <v>132</v>
      </c>
      <c r="L562" s="202" t="s">
        <v>133</v>
      </c>
      <c r="M562" s="203" t="s">
        <v>134</v>
      </c>
      <c r="N562" s="202" t="s">
        <v>135</v>
      </c>
      <c r="O562" s="204" t="s">
        <v>136</v>
      </c>
      <c r="P562" s="205" t="s">
        <v>137</v>
      </c>
      <c r="Q562" s="205" t="s">
        <v>138</v>
      </c>
      <c r="R562" s="205" t="s">
        <v>139</v>
      </c>
      <c r="S562" s="205" t="s">
        <v>140</v>
      </c>
      <c r="T562" s="206" t="s">
        <v>141</v>
      </c>
      <c r="U562" s="207" t="s">
        <v>142</v>
      </c>
      <c r="V562" s="208" t="s">
        <v>143</v>
      </c>
      <c r="W562" s="196" t="s">
        <v>144</v>
      </c>
      <c r="X562" s="209" t="s">
        <v>145</v>
      </c>
      <c r="Y562" s="209" t="s">
        <v>146</v>
      </c>
      <c r="Z562" s="209" t="s">
        <v>147</v>
      </c>
      <c r="AA562" s="209" t="s">
        <v>148</v>
      </c>
      <c r="AB562" s="209" t="s">
        <v>149</v>
      </c>
      <c r="AC562" s="209" t="s">
        <v>150</v>
      </c>
      <c r="AD562" s="209" t="s">
        <v>151</v>
      </c>
      <c r="AE562" s="209" t="s">
        <v>152</v>
      </c>
      <c r="AF562" s="196" t="s">
        <v>153</v>
      </c>
      <c r="AG562" s="210" t="s">
        <v>154</v>
      </c>
      <c r="AH562" s="210" t="s">
        <v>155</v>
      </c>
      <c r="AI562" s="197" t="s">
        <v>156</v>
      </c>
    </row>
    <row r="563">
      <c r="A563" s="211">
        <v>46198</v>
      </c>
      <c r="B563" s="212" t="s">
        <v>166</v>
      </c>
      <c r="C563" s="213" t="s">
        <v>158</v>
      </c>
      <c r="D563" s="212">
        <v>1647.79</v>
      </c>
      <c r="E563" s="215">
        <v>2</v>
      </c>
      <c r="F563" s="215">
        <v>2</v>
      </c>
      <c r="G563" s="215">
        <v>1</v>
      </c>
      <c r="H563" s="275">
        <v>902</v>
      </c>
      <c r="I563" s="215">
        <v>0</v>
      </c>
      <c r="J563" s="217">
        <f t="shared" ref="J563:J575" si="296">H563/D563</f>
      </c>
      <c r="K563" s="217">
        <f t="shared" ref="K563:K575" si="356">D563/F563</f>
      </c>
      <c r="L563" s="217">
        <f t="shared" ref="L563:L575" si="175">D563/G563</f>
      </c>
      <c r="M563" s="218">
        <f t="shared" ref="M563:M575" si="236">F563/E563</f>
      </c>
      <c r="N563" s="217">
        <f t="shared" ref="N563:N575" si="85">H563/F563</f>
      </c>
      <c r="O563" s="217">
        <f t="shared" ref="O563:O575" si="115">D563/Y563</f>
      </c>
      <c r="P563" s="218">
        <f t="shared" ref="P563:P575" si="386">T563/X563*1</f>
      </c>
      <c r="Q563" s="218">
        <f t="shared" ref="Q563:Q575" si="24">Y563/X563</f>
      </c>
      <c r="R563" s="218">
        <f t="shared" ref="R563:R575" si="266">AA563/X563</f>
      </c>
      <c r="S563" s="218">
        <f t="shared" ref="S563:S575" si="326">AB563/AA563</f>
      </c>
      <c r="T563" s="219">
        <f t="shared" ref="T563:T575" si="145">Z563/U563</f>
      </c>
      <c r="U563" s="220">
        <v>0.023</v>
      </c>
      <c r="V563" s="221">
        <v>27</v>
      </c>
      <c r="W563" s="217">
        <f t="shared" ref="W563:W575" si="54">(D563/X563)*1000</f>
      </c>
      <c r="X563" s="221">
        <v>9966</v>
      </c>
      <c r="Y563" s="221">
        <v>396</v>
      </c>
      <c r="Z563" s="219">
        <v>46</v>
      </c>
      <c r="AA563" s="219">
        <v>824</v>
      </c>
      <c r="AB563" s="219">
        <v>39</v>
      </c>
      <c r="AC563" s="219">
        <v>2</v>
      </c>
      <c r="AD563" s="221">
        <v>0</v>
      </c>
      <c r="AE563" s="221">
        <v>4</v>
      </c>
      <c r="AF563" s="217">
        <f t="shared" ref="AF563:AF574" si="205">AI563*1000/D563</f>
      </c>
      <c r="AG563" s="222" t="s">
        <v>159</v>
      </c>
      <c r="AH563" s="223" t="s">
        <v>193</v>
      </c>
      <c r="AI563" s="221">
        <v>25</v>
      </c>
    </row>
    <row r="564">
      <c r="A564" s="211"/>
      <c r="B564" s="212" t="s">
        <v>166</v>
      </c>
      <c r="C564" s="213" t="s">
        <v>161</v>
      </c>
      <c r="D564" s="212">
        <v>1497.76</v>
      </c>
      <c r="E564" s="215">
        <v>8</v>
      </c>
      <c r="F564" s="215">
        <v>7</v>
      </c>
      <c r="G564" s="215">
        <v>7</v>
      </c>
      <c r="H564" s="275">
        <v>6559.3</v>
      </c>
      <c r="I564" s="215">
        <v>3</v>
      </c>
      <c r="J564" s="217">
        <f t="shared" si="296"/>
      </c>
      <c r="K564" s="217">
        <f t="shared" si="356"/>
      </c>
      <c r="L564" s="217">
        <f t="shared" si="175"/>
      </c>
      <c r="M564" s="218">
        <f t="shared" si="236"/>
      </c>
      <c r="N564" s="217">
        <f t="shared" si="85"/>
      </c>
      <c r="O564" s="217">
        <f t="shared" si="115"/>
      </c>
      <c r="P564" s="218">
        <f t="shared" si="386"/>
      </c>
      <c r="Q564" s="218">
        <f t="shared" si="24"/>
      </c>
      <c r="R564" s="218">
        <f t="shared" si="266"/>
      </c>
      <c r="S564" s="218">
        <f t="shared" si="326"/>
      </c>
      <c r="T564" s="219">
        <f t="shared" si="145"/>
      </c>
      <c r="U564" s="220">
        <v>0.0339</v>
      </c>
      <c r="V564" s="221">
        <v>35</v>
      </c>
      <c r="W564" s="217">
        <f t="shared" si="54"/>
      </c>
      <c r="X564" s="219">
        <v>9264</v>
      </c>
      <c r="Y564" s="219">
        <v>436</v>
      </c>
      <c r="Z564" s="219">
        <v>51</v>
      </c>
      <c r="AA564" s="219">
        <v>723</v>
      </c>
      <c r="AB564" s="219">
        <v>56</v>
      </c>
      <c r="AC564" s="219">
        <v>5</v>
      </c>
      <c r="AD564" s="219">
        <v>2</v>
      </c>
      <c r="AE564" s="221">
        <v>4</v>
      </c>
      <c r="AF564" s="217">
        <f t="shared" si="205"/>
      </c>
      <c r="AG564" s="222" t="s">
        <v>159</v>
      </c>
      <c r="AH564" s="223" t="s">
        <v>193</v>
      </c>
      <c r="AI564" s="221">
        <v>17</v>
      </c>
    </row>
    <row customHeight="true" ht="18.452380952380953" r="565">
      <c r="A565" s="211"/>
      <c r="B565" s="212" t="s">
        <v>166</v>
      </c>
      <c r="C565" s="224" t="s">
        <v>162</v>
      </c>
      <c r="D565" s="212">
        <v>1613.55</v>
      </c>
      <c r="E565" s="215">
        <v>13</v>
      </c>
      <c r="F565" s="215">
        <v>13</v>
      </c>
      <c r="G565" s="215">
        <v>6</v>
      </c>
      <c r="H565" s="275">
        <v>8287.95</v>
      </c>
      <c r="I565" s="215">
        <v>2</v>
      </c>
      <c r="J565" s="217">
        <f t="shared" si="296"/>
      </c>
      <c r="K565" s="217">
        <f t="shared" si="356"/>
      </c>
      <c r="L565" s="217">
        <f t="shared" si="175"/>
      </c>
      <c r="M565" s="218">
        <f t="shared" si="236"/>
      </c>
      <c r="N565" s="217">
        <f t="shared" si="85"/>
      </c>
      <c r="O565" s="217">
        <f t="shared" si="115"/>
      </c>
      <c r="P565" s="218">
        <f t="shared" si="386"/>
      </c>
      <c r="Q565" s="218">
        <f t="shared" si="24"/>
      </c>
      <c r="R565" s="218">
        <f t="shared" si="266"/>
      </c>
      <c r="S565" s="218">
        <f t="shared" si="326"/>
      </c>
      <c r="T565" s="219">
        <f t="shared" si="145"/>
      </c>
      <c r="U565" s="220">
        <v>0.0308</v>
      </c>
      <c r="V565" s="221">
        <v>38</v>
      </c>
      <c r="W565" s="217">
        <f t="shared" si="54"/>
      </c>
      <c r="X565" s="219">
        <v>9372</v>
      </c>
      <c r="Y565" s="219">
        <v>495</v>
      </c>
      <c r="Z565" s="219">
        <v>55</v>
      </c>
      <c r="AA565" s="219">
        <v>854</v>
      </c>
      <c r="AB565" s="219">
        <v>47</v>
      </c>
      <c r="AC565" s="219">
        <v>4</v>
      </c>
      <c r="AD565" s="219">
        <v>2</v>
      </c>
      <c r="AE565" s="221">
        <v>7</v>
      </c>
      <c r="AF565" s="217">
        <f t="shared" si="205"/>
      </c>
      <c r="AG565" s="222" t="s">
        <v>159</v>
      </c>
      <c r="AH565" s="223" t="s">
        <v>193</v>
      </c>
      <c r="AI565" s="221">
        <v>21</v>
      </c>
    </row>
    <row r="566">
      <c r="A566" s="211"/>
      <c r="B566" s="212" t="s">
        <v>166</v>
      </c>
      <c r="C566" s="213" t="s">
        <v>163</v>
      </c>
      <c r="D566" s="212">
        <v>1718.03</v>
      </c>
      <c r="E566" s="215">
        <v>4</v>
      </c>
      <c r="F566" s="215">
        <v>4</v>
      </c>
      <c r="G566" s="215">
        <v>3</v>
      </c>
      <c r="H566" s="275">
        <v>4802.5999999999985</v>
      </c>
      <c r="I566" s="215">
        <v>2</v>
      </c>
      <c r="J566" s="217">
        <f t="shared" si="296"/>
      </c>
      <c r="K566" s="217">
        <f t="shared" si="356"/>
      </c>
      <c r="L566" s="217">
        <f t="shared" si="175"/>
      </c>
      <c r="M566" s="218">
        <f t="shared" si="236"/>
      </c>
      <c r="N566" s="217">
        <f t="shared" si="85"/>
      </c>
      <c r="O566" s="217">
        <f t="shared" si="115"/>
      </c>
      <c r="P566" s="218">
        <f t="shared" si="386"/>
      </c>
      <c r="Q566" s="218">
        <f t="shared" si="24"/>
      </c>
      <c r="R566" s="218">
        <f t="shared" si="266"/>
      </c>
      <c r="S566" s="218">
        <f t="shared" si="326"/>
      </c>
      <c r="T566" s="219">
        <f t="shared" si="145"/>
      </c>
      <c r="U566" s="220">
        <v>0.0283</v>
      </c>
      <c r="V566" s="221">
        <v>37</v>
      </c>
      <c r="W566" s="217">
        <f t="shared" si="54"/>
      </c>
      <c r="X566" s="221">
        <v>11001</v>
      </c>
      <c r="Y566" s="221">
        <v>553</v>
      </c>
      <c r="Z566" s="221">
        <v>49</v>
      </c>
      <c r="AA566" s="221">
        <v>1093</v>
      </c>
      <c r="AB566" s="221">
        <v>50</v>
      </c>
      <c r="AC566" s="221">
        <v>4</v>
      </c>
      <c r="AD566" s="221">
        <v>0</v>
      </c>
      <c r="AE566" s="221">
        <v>9</v>
      </c>
      <c r="AF566" s="217">
        <f t="shared" si="205"/>
      </c>
      <c r="AG566" s="222" t="s">
        <v>159</v>
      </c>
      <c r="AH566" s="223" t="s">
        <v>193</v>
      </c>
      <c r="AI566" s="221">
        <v>23</v>
      </c>
    </row>
    <row r="567">
      <c r="A567" s="211"/>
      <c r="B567" s="212" t="s">
        <v>166</v>
      </c>
      <c r="C567" s="212" t="s">
        <v>164</v>
      </c>
      <c r="D567" s="212">
        <v>1630.85</v>
      </c>
      <c r="E567" s="215">
        <v>2</v>
      </c>
      <c r="F567" s="215">
        <v>2</v>
      </c>
      <c r="G567" s="215">
        <v>2</v>
      </c>
      <c r="H567" s="275">
        <v>1965.7000000000007</v>
      </c>
      <c r="I567" s="215">
        <v>1</v>
      </c>
      <c r="J567" s="217">
        <f t="shared" si="296"/>
      </c>
      <c r="K567" s="217">
        <f t="shared" si="356"/>
      </c>
      <c r="L567" s="217">
        <f t="shared" si="175"/>
      </c>
      <c r="M567" s="218">
        <f t="shared" si="236"/>
      </c>
      <c r="N567" s="217">
        <f t="shared" si="85"/>
      </c>
      <c r="O567" s="217">
        <f t="shared" si="115"/>
      </c>
      <c r="P567" s="218">
        <f t="shared" si="386"/>
      </c>
      <c r="Q567" s="218">
        <f t="shared" si="24"/>
      </c>
      <c r="R567" s="218">
        <f t="shared" si="266"/>
      </c>
      <c r="S567" s="218">
        <f t="shared" si="326"/>
      </c>
      <c r="T567" s="219">
        <f t="shared" si="145"/>
      </c>
      <c r="U567" s="220">
        <v>0.0294</v>
      </c>
      <c r="V567" s="221">
        <v>37</v>
      </c>
      <c r="W567" s="217">
        <f t="shared" si="54"/>
      </c>
      <c r="X567" s="221">
        <v>10796</v>
      </c>
      <c r="Y567" s="221">
        <v>494</v>
      </c>
      <c r="Z567" s="219">
        <v>43</v>
      </c>
      <c r="AA567" s="219">
        <v>992</v>
      </c>
      <c r="AB567" s="219">
        <v>51</v>
      </c>
      <c r="AC567" s="219">
        <v>8</v>
      </c>
      <c r="AD567" s="221">
        <v>1</v>
      </c>
      <c r="AE567" s="221">
        <v>8</v>
      </c>
      <c r="AF567" s="217">
        <f t="shared" si="205"/>
      </c>
      <c r="AG567" s="222" t="s">
        <v>159</v>
      </c>
      <c r="AH567" s="223" t="s">
        <v>193</v>
      </c>
      <c r="AI567" s="221">
        <v>22</v>
      </c>
    </row>
    <row r="568">
      <c r="A568" s="211"/>
      <c r="B568" s="227" t="s">
        <v>165</v>
      </c>
      <c r="C568" s="227"/>
      <c r="D568" s="259">
        <f>SUM(D563:D567)</f>
      </c>
      <c r="E568" s="260">
        <f>SUM(E563:E567)</f>
      </c>
      <c r="F568" s="260">
        <f>SUM(F563:F567)</f>
      </c>
      <c r="G568" s="260">
        <f>SUM(G563:G567)</f>
      </c>
      <c r="H568" s="259">
        <f>SUM(H563:H567)</f>
      </c>
      <c r="I568" s="272">
        <f>SUM(I563:I567)</f>
      </c>
      <c r="J568" s="230">
        <f t="shared" si="296"/>
      </c>
      <c r="K568" s="230">
        <f t="shared" si="356"/>
      </c>
      <c r="L568" s="230">
        <f t="shared" si="175"/>
      </c>
      <c r="M568" s="231">
        <f t="shared" si="236"/>
      </c>
      <c r="N568" s="230">
        <f t="shared" si="85"/>
      </c>
      <c r="O568" s="230">
        <f t="shared" si="115"/>
      </c>
      <c r="P568" s="231">
        <f t="shared" si="386"/>
      </c>
      <c r="Q568" s="231">
        <f t="shared" si="24"/>
      </c>
      <c r="R568" s="231">
        <f t="shared" si="266"/>
      </c>
      <c r="S568" s="231">
        <f t="shared" si="326"/>
      </c>
      <c r="T568" s="229">
        <f t="shared" si="145"/>
      </c>
      <c r="U568" s="231">
        <f>AVERAGE(U563:U567)</f>
      </c>
      <c r="V568" s="228">
        <f>AVERAGE(V563:V567)</f>
      </c>
      <c r="W568" s="230">
        <f t="shared" si="54"/>
      </c>
      <c r="X568" s="229">
        <f>SUM(X563:X567)</f>
      </c>
      <c r="Y568" s="229">
        <f>SUM(Y563:Y567)</f>
      </c>
      <c r="Z568" s="229">
        <f>SUM(Z563:Z567)</f>
      </c>
      <c r="AA568" s="229">
        <f>SUM(AA563:AA567)</f>
      </c>
      <c r="AB568" s="229">
        <f>SUM(AB563:AB567)</f>
      </c>
      <c r="AC568" s="229">
        <f>SUM(AC563:AC567)</f>
      </c>
      <c r="AD568" s="229">
        <f>SUM(AD563:AD567)</f>
      </c>
      <c r="AE568" s="229">
        <f>SUM(AE563:AE567)</f>
      </c>
      <c r="AF568" s="232">
        <f t="shared" si="205"/>
      </c>
      <c r="AG568" s="233"/>
      <c r="AH568" s="233"/>
      <c r="AI568" s="229">
        <f>SUM(AI563:AI567)</f>
      </c>
    </row>
    <row r="569">
      <c r="A569" s="211"/>
      <c r="B569" s="212" t="s">
        <v>186</v>
      </c>
      <c r="C569" s="235" t="s">
        <v>167</v>
      </c>
      <c r="D569" s="261">
        <v>1971.5</v>
      </c>
      <c r="E569" s="237">
        <v>5</v>
      </c>
      <c r="F569" s="237">
        <v>5</v>
      </c>
      <c r="G569" s="238">
        <v>5</v>
      </c>
      <c r="H569" s="239">
        <v>3648.7000000000007</v>
      </c>
      <c r="I569" s="273">
        <v>2</v>
      </c>
      <c r="J569" s="240">
        <f t="shared" si="296"/>
      </c>
      <c r="K569" s="240">
        <f t="shared" si="356"/>
      </c>
      <c r="L569" s="240">
        <f t="shared" si="175"/>
      </c>
      <c r="M569" s="241">
        <f t="shared" si="236"/>
      </c>
      <c r="N569" s="240">
        <f t="shared" si="85"/>
      </c>
      <c r="O569" s="240">
        <f t="shared" si="115"/>
      </c>
      <c r="P569" s="241">
        <f t="shared" si="386"/>
      </c>
      <c r="Q569" s="241">
        <f t="shared" si="24"/>
      </c>
      <c r="R569" s="241">
        <f t="shared" si="266"/>
      </c>
      <c r="S569" s="241">
        <f t="shared" si="326"/>
      </c>
      <c r="T569" s="242">
        <f t="shared" si="145"/>
      </c>
      <c r="U569" s="243">
        <v>0.0383</v>
      </c>
      <c r="V569" s="244">
        <v>38</v>
      </c>
      <c r="W569" s="240">
        <f t="shared" si="54"/>
      </c>
      <c r="X569" s="242">
        <v>12963</v>
      </c>
      <c r="Y569" s="242">
        <v>631</v>
      </c>
      <c r="Z569" s="242">
        <v>68</v>
      </c>
      <c r="AA569" s="242">
        <v>1216</v>
      </c>
      <c r="AB569" s="242">
        <v>52</v>
      </c>
      <c r="AC569" s="242">
        <v>8</v>
      </c>
      <c r="AD569" s="242">
        <v>0</v>
      </c>
      <c r="AE569" s="242">
        <v>7</v>
      </c>
      <c r="AF569" s="240">
        <f t="shared" si="205"/>
      </c>
      <c r="AG569" s="222" t="s">
        <v>159</v>
      </c>
      <c r="AH569" s="223" t="s">
        <v>193</v>
      </c>
      <c r="AI569" s="244">
        <v>18</v>
      </c>
    </row>
    <row r="570">
      <c r="A570" s="211"/>
      <c r="B570" s="212" t="s">
        <v>186</v>
      </c>
      <c r="C570" s="245" t="s">
        <v>168</v>
      </c>
      <c r="D570" s="262">
        <v>1158.01</v>
      </c>
      <c r="E570" s="247">
        <v>4</v>
      </c>
      <c r="F570" s="247">
        <v>4</v>
      </c>
      <c r="G570" s="247">
        <v>1</v>
      </c>
      <c r="H570" s="239">
        <v>1931.05</v>
      </c>
      <c r="I570" s="273">
        <v>0</v>
      </c>
      <c r="J570" s="240">
        <f t="shared" si="296"/>
      </c>
      <c r="K570" s="240">
        <f t="shared" si="356"/>
      </c>
      <c r="L570" s="240">
        <f t="shared" si="175"/>
      </c>
      <c r="M570" s="241">
        <f t="shared" si="236"/>
      </c>
      <c r="N570" s="240">
        <f t="shared" si="85"/>
      </c>
      <c r="O570" s="240">
        <f t="shared" si="115"/>
      </c>
      <c r="P570" s="241">
        <f t="shared" si="386"/>
      </c>
      <c r="Q570" s="241">
        <f t="shared" si="24"/>
      </c>
      <c r="R570" s="241">
        <f t="shared" si="266"/>
      </c>
      <c r="S570" s="241">
        <f t="shared" si="326"/>
      </c>
      <c r="T570" s="242">
        <f t="shared" si="145"/>
      </c>
      <c r="U570" s="243">
        <v>0.0299</v>
      </c>
      <c r="V570" s="244">
        <v>37</v>
      </c>
      <c r="W570" s="240">
        <f t="shared" si="54"/>
      </c>
      <c r="X570" s="242">
        <v>7495</v>
      </c>
      <c r="Y570" s="242">
        <v>233</v>
      </c>
      <c r="Z570" s="242">
        <v>26</v>
      </c>
      <c r="AA570" s="242">
        <v>516</v>
      </c>
      <c r="AB570" s="242">
        <v>25</v>
      </c>
      <c r="AC570" s="242">
        <v>5</v>
      </c>
      <c r="AD570" s="242">
        <v>0</v>
      </c>
      <c r="AE570" s="242">
        <v>9</v>
      </c>
      <c r="AF570" s="240">
        <f t="shared" si="205"/>
      </c>
      <c r="AG570" s="222" t="s">
        <v>159</v>
      </c>
      <c r="AH570" s="223" t="s">
        <v>193</v>
      </c>
      <c r="AI570" s="244">
        <v>15</v>
      </c>
    </row>
    <row customHeight="true" ht="18.452380952380953" r="571">
      <c r="A571" s="211"/>
      <c r="B571" s="212" t="s">
        <v>186</v>
      </c>
      <c r="C571" s="235" t="s">
        <v>169</v>
      </c>
      <c r="D571" s="262">
        <v>2186.87</v>
      </c>
      <c r="E571" s="247">
        <v>4</v>
      </c>
      <c r="F571" s="247">
        <v>1</v>
      </c>
      <c r="G571" s="247">
        <v>1</v>
      </c>
      <c r="H571" s="263">
        <v>451</v>
      </c>
      <c r="I571" s="273">
        <v>0</v>
      </c>
      <c r="J571" s="240">
        <f t="shared" si="296"/>
      </c>
      <c r="K571" s="240">
        <f t="shared" si="356"/>
      </c>
      <c r="L571" s="240">
        <f t="shared" si="175"/>
      </c>
      <c r="M571" s="241">
        <f t="shared" si="236"/>
      </c>
      <c r="N571" s="240">
        <f t="shared" si="85"/>
      </c>
      <c r="O571" s="240">
        <f t="shared" si="115"/>
      </c>
      <c r="P571" s="241">
        <f t="shared" si="386"/>
      </c>
      <c r="Q571" s="241">
        <f t="shared" si="24"/>
      </c>
      <c r="R571" s="241">
        <f t="shared" si="266"/>
      </c>
      <c r="S571" s="241">
        <f t="shared" si="326"/>
      </c>
      <c r="T571" s="242">
        <f t="shared" si="145"/>
      </c>
      <c r="U571" s="243">
        <v>0.031</v>
      </c>
      <c r="V571" s="244">
        <v>42</v>
      </c>
      <c r="W571" s="240">
        <f t="shared" si="54"/>
      </c>
      <c r="X571" s="242">
        <v>11249</v>
      </c>
      <c r="Y571" s="242">
        <v>422</v>
      </c>
      <c r="Z571" s="242">
        <v>51</v>
      </c>
      <c r="AA571" s="242">
        <v>955</v>
      </c>
      <c r="AB571" s="242">
        <v>64</v>
      </c>
      <c r="AC571" s="242">
        <v>8</v>
      </c>
      <c r="AD571" s="242">
        <v>1</v>
      </c>
      <c r="AE571" s="242">
        <v>6</v>
      </c>
      <c r="AF571" s="240">
        <f t="shared" si="205"/>
      </c>
      <c r="AG571" s="222" t="s">
        <v>159</v>
      </c>
      <c r="AH571" s="223" t="s">
        <v>193</v>
      </c>
      <c r="AI571" s="244">
        <v>22</v>
      </c>
    </row>
    <row r="572">
      <c r="A572" s="211"/>
      <c r="B572" s="212" t="s">
        <v>186</v>
      </c>
      <c r="C572" s="248" t="s">
        <v>170</v>
      </c>
      <c r="D572" s="261">
        <v>1669.68</v>
      </c>
      <c r="E572" s="247">
        <v>1</v>
      </c>
      <c r="F572" s="247">
        <v>1</v>
      </c>
      <c r="G572" s="247">
        <v>1</v>
      </c>
      <c r="H572" s="236">
        <v>451</v>
      </c>
      <c r="I572" s="238">
        <v>0</v>
      </c>
      <c r="J572" s="240">
        <f t="shared" si="296"/>
      </c>
      <c r="K572" s="240">
        <f t="shared" si="356"/>
      </c>
      <c r="L572" s="240">
        <f t="shared" si="175"/>
      </c>
      <c r="M572" s="241">
        <f t="shared" si="236"/>
      </c>
      <c r="N572" s="240">
        <f t="shared" si="85"/>
      </c>
      <c r="O572" s="240">
        <f t="shared" si="115"/>
      </c>
      <c r="P572" s="241">
        <f t="shared" si="386"/>
      </c>
      <c r="Q572" s="241">
        <f t="shared" si="24"/>
      </c>
      <c r="R572" s="241">
        <f t="shared" si="266"/>
      </c>
      <c r="S572" s="241">
        <f t="shared" si="326"/>
      </c>
      <c r="T572" s="242">
        <f t="shared" si="145"/>
      </c>
      <c r="U572" s="243">
        <v>0.0228</v>
      </c>
      <c r="V572" s="244">
        <v>39</v>
      </c>
      <c r="W572" s="240">
        <f t="shared" si="54"/>
      </c>
      <c r="X572" s="242">
        <v>8194</v>
      </c>
      <c r="Y572" s="242">
        <v>354</v>
      </c>
      <c r="Z572" s="242">
        <v>35</v>
      </c>
      <c r="AA572" s="242">
        <v>748</v>
      </c>
      <c r="AB572" s="242">
        <v>48</v>
      </c>
      <c r="AC572" s="242">
        <v>11</v>
      </c>
      <c r="AD572" s="242">
        <v>2</v>
      </c>
      <c r="AE572" s="242">
        <v>7</v>
      </c>
      <c r="AF572" s="240">
        <f t="shared" si="205"/>
      </c>
      <c r="AG572" s="222" t="s">
        <v>159</v>
      </c>
      <c r="AH572" s="223" t="s">
        <v>193</v>
      </c>
      <c r="AI572" s="244">
        <v>14</v>
      </c>
    </row>
    <row r="573">
      <c r="A573" s="211"/>
      <c r="B573" s="212" t="s">
        <v>186</v>
      </c>
      <c r="C573" s="235" t="s">
        <v>172</v>
      </c>
      <c r="D573" s="261">
        <v>674.64</v>
      </c>
      <c r="E573" s="238">
        <v>4</v>
      </c>
      <c r="F573" s="238">
        <v>3</v>
      </c>
      <c r="G573" s="238">
        <v>3</v>
      </c>
      <c r="H573" s="261">
        <v>2996.399999999998</v>
      </c>
      <c r="I573" s="238">
        <v>1</v>
      </c>
      <c r="J573" s="240">
        <f t="shared" si="296"/>
      </c>
      <c r="K573" s="240">
        <f t="shared" si="356"/>
      </c>
      <c r="L573" s="240">
        <f t="shared" si="175"/>
      </c>
      <c r="M573" s="241">
        <f t="shared" si="236"/>
      </c>
      <c r="N573" s="240">
        <f t="shared" si="85"/>
      </c>
      <c r="O573" s="240">
        <f t="shared" si="115"/>
      </c>
      <c r="P573" s="241">
        <f t="shared" si="386"/>
      </c>
      <c r="Q573" s="241">
        <f t="shared" si="24"/>
      </c>
      <c r="R573" s="241">
        <f t="shared" si="266"/>
      </c>
      <c r="S573" s="241">
        <f t="shared" si="326"/>
      </c>
      <c r="T573" s="242">
        <f t="shared" si="145"/>
      </c>
      <c r="U573" s="243">
        <v>0.0185</v>
      </c>
      <c r="V573" s="244">
        <v>41</v>
      </c>
      <c r="W573" s="240">
        <f t="shared" si="54"/>
      </c>
      <c r="X573" s="242">
        <v>4075</v>
      </c>
      <c r="Y573" s="242">
        <v>182</v>
      </c>
      <c r="Z573" s="242">
        <v>16</v>
      </c>
      <c r="AA573" s="242">
        <v>353</v>
      </c>
      <c r="AB573" s="242">
        <v>25</v>
      </c>
      <c r="AC573" s="242">
        <v>3</v>
      </c>
      <c r="AD573" s="242">
        <v>2</v>
      </c>
      <c r="AE573" s="244">
        <v>1</v>
      </c>
      <c r="AF573" s="240">
        <f t="shared" si="205"/>
      </c>
      <c r="AG573" s="222" t="s">
        <v>173</v>
      </c>
      <c r="AH573" s="223" t="s">
        <v>184</v>
      </c>
      <c r="AI573" s="244">
        <v>10</v>
      </c>
    </row>
    <row r="574">
      <c r="A574" s="211"/>
      <c r="B574" s="249" t="s">
        <v>165</v>
      </c>
      <c r="C574" s="249"/>
      <c r="D574" s="250">
        <f>SUM(D569:D573)</f>
      </c>
      <c r="E574" s="251">
        <f>SUM(E569:E573)</f>
      </c>
      <c r="F574" s="251">
        <f>SUM(F569:F573)</f>
      </c>
      <c r="G574" s="251">
        <f>SUM(G569:G573)</f>
      </c>
      <c r="H574" s="250">
        <f>SUM(H569:H573)</f>
      </c>
      <c r="I574" s="272">
        <f>SUM(I569:I573)</f>
      </c>
      <c r="J574" s="252">
        <f t="shared" si="296"/>
      </c>
      <c r="K574" s="252">
        <f t="shared" si="356"/>
      </c>
      <c r="L574" s="252">
        <f t="shared" si="175"/>
      </c>
      <c r="M574" s="253">
        <f t="shared" si="236"/>
      </c>
      <c r="N574" s="252">
        <f t="shared" si="85"/>
      </c>
      <c r="O574" s="252">
        <f t="shared" si="115"/>
      </c>
      <c r="P574" s="253">
        <f t="shared" si="386"/>
      </c>
      <c r="Q574" s="253">
        <f t="shared" si="24"/>
      </c>
      <c r="R574" s="253">
        <f t="shared" si="266"/>
      </c>
      <c r="S574" s="253">
        <f t="shared" si="326"/>
      </c>
      <c r="T574" s="254">
        <f t="shared" si="145"/>
      </c>
      <c r="U574" s="253">
        <f>AVERAGE(U569:U573)</f>
      </c>
      <c r="V574" s="250">
        <f>AVERAGE(V569:V573)</f>
      </c>
      <c r="W574" s="252">
        <f t="shared" si="54"/>
      </c>
      <c r="X574" s="254">
        <f>SUM(X569:X573)</f>
      </c>
      <c r="Y574" s="254">
        <f>SUM(Y569:Y573)</f>
      </c>
      <c r="Z574" s="254">
        <f>SUM(Z569:Z573)</f>
      </c>
      <c r="AA574" s="254">
        <f>SUM(AA569:AA573)</f>
      </c>
      <c r="AB574" s="254">
        <f>SUM(AB569:AB573)</f>
      </c>
      <c r="AC574" s="254">
        <f>SUM(AC569:AC573)</f>
      </c>
      <c r="AD574" s="254">
        <f>SUM(AD569:AD573)</f>
      </c>
      <c r="AE574" s="254">
        <f>SUM(AE569:AE573)</f>
      </c>
      <c r="AF574" s="255">
        <f t="shared" si="205"/>
      </c>
      <c r="AG574" s="256"/>
      <c r="AH574" s="256"/>
      <c r="AI574" s="257">
        <f>SUM(AI569:AI573)</f>
      </c>
    </row>
    <row r="575">
      <c r="A575" s="211"/>
      <c r="B575" s="264" t="s">
        <v>183</v>
      </c>
      <c r="C575" s="264"/>
      <c r="D575" s="265">
        <f>+D568+D574</f>
      </c>
      <c r="E575" s="265">
        <f>+E568+E574</f>
      </c>
      <c r="F575" s="265">
        <f>+F568+F574</f>
      </c>
      <c r="G575" s="265">
        <f>+G568+G574</f>
      </c>
      <c r="H575" s="265">
        <f>+H568+H574</f>
      </c>
      <c r="I575" s="265">
        <f>+I568+I574</f>
      </c>
      <c r="J575" s="266">
        <f t="shared" si="296"/>
      </c>
      <c r="K575" s="267">
        <f t="shared" si="356"/>
      </c>
      <c r="L575" s="267">
        <f t="shared" si="175"/>
      </c>
      <c r="M575" s="268">
        <f t="shared" si="236"/>
      </c>
      <c r="N575" s="267">
        <f t="shared" si="85"/>
      </c>
      <c r="O575" s="267">
        <f t="shared" si="115"/>
      </c>
      <c r="P575" s="268">
        <f t="shared" si="386"/>
      </c>
      <c r="Q575" s="268">
        <f t="shared" si="24"/>
      </c>
      <c r="R575" s="268">
        <f t="shared" si="266"/>
      </c>
      <c r="S575" s="268">
        <f t="shared" si="326"/>
      </c>
      <c r="T575" s="269">
        <f t="shared" si="145"/>
      </c>
      <c r="U575" s="268">
        <f>(U568++U574)/2</f>
      </c>
      <c r="V575" s="267">
        <f>(V568++V574)/2</f>
      </c>
      <c r="W575" s="270">
        <f t="shared" si="54"/>
      </c>
      <c r="X575" s="269">
        <f>X568+X574</f>
      </c>
      <c r="Y575" s="269">
        <f>Y568+Y574</f>
      </c>
      <c r="Z575" s="269">
        <f>Z568+Z574</f>
      </c>
      <c r="AA575" s="269">
        <f>AA568+AA574</f>
      </c>
      <c r="AB575" s="269">
        <f>AB568+AB574</f>
      </c>
      <c r="AC575" s="269">
        <f>AC568+AC574</f>
      </c>
      <c r="AD575" s="269">
        <f>AD568+AD574</f>
      </c>
      <c r="AE575" s="269">
        <f>AE568+AE574</f>
      </c>
      <c r="AF575" s="269">
        <f>AF574</f>
      </c>
      <c r="AG575" s="264"/>
      <c r="AH575" s="264"/>
      <c r="AI575" s="269">
        <f>AI568+AI574</f>
      </c>
    </row>
    <row r="576">
      <c r="A576" s="193" t="s">
        <v>120</v>
      </c>
      <c r="B576" s="194" t="s">
        <v>121</v>
      </c>
      <c r="C576" s="194"/>
      <c r="D576" s="277" t="s">
        <v>122</v>
      </c>
      <c r="E576" s="277"/>
      <c r="F576" s="277"/>
      <c r="G576" s="277"/>
      <c r="H576" s="277"/>
      <c r="I576" s="277"/>
      <c r="J576" s="277"/>
      <c r="K576" s="277"/>
      <c r="L576" s="277"/>
      <c r="M576" s="277"/>
      <c r="N576" s="277"/>
      <c r="O576" s="196" t="s">
        <v>123</v>
      </c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7"/>
    </row>
    <row r="577">
      <c r="A577" s="193"/>
      <c r="B577" s="278" t="s">
        <v>124</v>
      </c>
      <c r="C577" s="279" t="s">
        <v>125</v>
      </c>
      <c r="D577" s="280" t="s">
        <v>126</v>
      </c>
      <c r="E577" s="281" t="s">
        <v>127</v>
      </c>
      <c r="F577" s="282" t="s">
        <v>128</v>
      </c>
      <c r="G577" s="282" t="s">
        <v>129</v>
      </c>
      <c r="H577" s="283" t="s">
        <v>130</v>
      </c>
      <c r="I577" s="271" t="s">
        <v>189</v>
      </c>
      <c r="J577" s="202" t="s">
        <v>131</v>
      </c>
      <c r="K577" s="202" t="s">
        <v>132</v>
      </c>
      <c r="L577" s="202" t="s">
        <v>133</v>
      </c>
      <c r="M577" s="203" t="s">
        <v>134</v>
      </c>
      <c r="N577" s="202" t="s">
        <v>135</v>
      </c>
      <c r="O577" s="204" t="s">
        <v>136</v>
      </c>
      <c r="P577" s="205" t="s">
        <v>137</v>
      </c>
      <c r="Q577" s="205" t="s">
        <v>138</v>
      </c>
      <c r="R577" s="205" t="s">
        <v>139</v>
      </c>
      <c r="S577" s="205" t="s">
        <v>140</v>
      </c>
      <c r="T577" s="206" t="s">
        <v>141</v>
      </c>
      <c r="U577" s="207" t="s">
        <v>142</v>
      </c>
      <c r="V577" s="208" t="s">
        <v>143</v>
      </c>
      <c r="W577" s="196" t="s">
        <v>144</v>
      </c>
      <c r="X577" s="209" t="s">
        <v>145</v>
      </c>
      <c r="Y577" s="209" t="s">
        <v>146</v>
      </c>
      <c r="Z577" s="209" t="s">
        <v>147</v>
      </c>
      <c r="AA577" s="209" t="s">
        <v>148</v>
      </c>
      <c r="AB577" s="209" t="s">
        <v>149</v>
      </c>
      <c r="AC577" s="209" t="s">
        <v>150</v>
      </c>
      <c r="AD577" s="209" t="s">
        <v>151</v>
      </c>
      <c r="AE577" s="209" t="s">
        <v>152</v>
      </c>
      <c r="AF577" s="196" t="s">
        <v>153</v>
      </c>
      <c r="AG577" s="210" t="s">
        <v>154</v>
      </c>
      <c r="AH577" s="210" t="s">
        <v>155</v>
      </c>
      <c r="AI577" s="197" t="s">
        <v>156</v>
      </c>
    </row>
    <row r="578">
      <c r="A578" s="211">
        <v>46199</v>
      </c>
      <c r="B578" s="212" t="s">
        <v>186</v>
      </c>
      <c r="C578" s="213" t="s">
        <v>158</v>
      </c>
      <c r="D578" s="246">
        <v>2206.54</v>
      </c>
      <c r="E578" s="247">
        <v>2</v>
      </c>
      <c r="F578" s="247">
        <v>2</v>
      </c>
      <c r="G578" s="247">
        <v>2</v>
      </c>
      <c r="H578" s="239">
        <v>902</v>
      </c>
      <c r="I578" s="273">
        <v>0</v>
      </c>
      <c r="J578" s="240">
        <f t="shared" ref="J578:J591" si="297">H578/D578</f>
      </c>
      <c r="K578" s="240">
        <f t="shared" ref="K578:K591" si="357">D578/F578</f>
      </c>
      <c r="L578" s="240">
        <f t="shared" ref="L578:L591" si="176">D578/G578</f>
      </c>
      <c r="M578" s="241">
        <f t="shared" ref="M578:M591" si="237">F578/E578</f>
      </c>
      <c r="N578" s="240">
        <f t="shared" ref="N578:N591" si="86">H578/F578</f>
      </c>
      <c r="O578" s="240">
        <f t="shared" ref="O578:O591" si="116">D578/Y578</f>
      </c>
      <c r="P578" s="241">
        <f t="shared" ref="P578:P591" si="387">T578/X578*1</f>
      </c>
      <c r="Q578" s="241">
        <f t="shared" ref="Q578:Q591" si="25">Y578/X578</f>
      </c>
      <c r="R578" s="241">
        <f t="shared" ref="R578:R591" si="267">AA578/X578</f>
      </c>
      <c r="S578" s="241">
        <f t="shared" ref="S578:S591" si="327">AB578/AA578</f>
      </c>
      <c r="T578" s="242">
        <f t="shared" ref="T578:T591" si="146">Z578/U578</f>
      </c>
      <c r="U578" s="243">
        <v>0.0337</v>
      </c>
      <c r="V578" s="244">
        <v>40</v>
      </c>
      <c r="W578" s="240">
        <f t="shared" ref="W578:W591" si="55">(D578/X578)*1000</f>
      </c>
      <c r="X578" s="242">
        <v>10108</v>
      </c>
      <c r="Y578" s="242">
        <v>424</v>
      </c>
      <c r="Z578" s="242">
        <v>63</v>
      </c>
      <c r="AA578" s="242">
        <v>849</v>
      </c>
      <c r="AB578" s="242">
        <v>38</v>
      </c>
      <c r="AC578" s="242">
        <v>7</v>
      </c>
      <c r="AD578" s="242">
        <v>0</v>
      </c>
      <c r="AE578" s="242">
        <v>10</v>
      </c>
      <c r="AF578" s="240">
        <f t="shared" ref="AF578:AF590" si="206">AI578*1000/D578</f>
      </c>
      <c r="AG578" s="222" t="s">
        <v>159</v>
      </c>
      <c r="AH578" s="223" t="s">
        <v>193</v>
      </c>
      <c r="AI578" s="244">
        <v>24</v>
      </c>
    </row>
    <row r="579">
      <c r="A579" s="211"/>
      <c r="B579" s="212" t="s">
        <v>186</v>
      </c>
      <c r="C579" s="213" t="s">
        <v>161</v>
      </c>
      <c r="D579" s="236">
        <v>1971.61</v>
      </c>
      <c r="E579" s="247">
        <v>4</v>
      </c>
      <c r="F579" s="247">
        <v>2</v>
      </c>
      <c r="G579" s="247">
        <v>2</v>
      </c>
      <c r="H579" s="236">
        <v>902</v>
      </c>
      <c r="I579" s="238">
        <v>0</v>
      </c>
      <c r="J579" s="240">
        <f t="shared" si="297"/>
      </c>
      <c r="K579" s="240">
        <f t="shared" si="357"/>
      </c>
      <c r="L579" s="240">
        <f t="shared" si="176"/>
      </c>
      <c r="M579" s="241">
        <f t="shared" si="237"/>
      </c>
      <c r="N579" s="240">
        <f t="shared" si="86"/>
      </c>
      <c r="O579" s="240">
        <f t="shared" si="116"/>
      </c>
      <c r="P579" s="241">
        <f t="shared" si="387"/>
      </c>
      <c r="Q579" s="241">
        <f t="shared" si="25"/>
      </c>
      <c r="R579" s="241">
        <f t="shared" si="267"/>
      </c>
      <c r="S579" s="241">
        <f t="shared" si="327"/>
      </c>
      <c r="T579" s="242">
        <f t="shared" si="146"/>
      </c>
      <c r="U579" s="243">
        <v>0.04</v>
      </c>
      <c r="V579" s="244">
        <v>48</v>
      </c>
      <c r="W579" s="240">
        <f t="shared" si="55"/>
      </c>
      <c r="X579" s="242">
        <v>10859</v>
      </c>
      <c r="Y579" s="242">
        <v>362</v>
      </c>
      <c r="Z579" s="242">
        <v>62</v>
      </c>
      <c r="AA579" s="242">
        <v>702</v>
      </c>
      <c r="AB579" s="242">
        <v>44</v>
      </c>
      <c r="AC579" s="242">
        <v>14</v>
      </c>
      <c r="AD579" s="242">
        <v>1</v>
      </c>
      <c r="AE579" s="244">
        <v>13</v>
      </c>
      <c r="AF579" s="240">
        <f t="shared" si="206"/>
      </c>
      <c r="AG579" s="222" t="s">
        <v>159</v>
      </c>
      <c r="AH579" s="223" t="s">
        <v>193</v>
      </c>
      <c r="AI579" s="244">
        <v>23</v>
      </c>
    </row>
    <row customHeight="true" ht="18.452380952380953" r="580">
      <c r="A580" s="211"/>
      <c r="B580" s="212" t="s">
        <v>186</v>
      </c>
      <c r="C580" s="224" t="s">
        <v>162</v>
      </c>
      <c r="D580" s="236">
        <v>1491</v>
      </c>
      <c r="E580" s="247">
        <v>6</v>
      </c>
      <c r="F580" s="247">
        <v>5</v>
      </c>
      <c r="G580" s="247">
        <v>3</v>
      </c>
      <c r="H580" s="236">
        <v>3351.7</v>
      </c>
      <c r="I580" s="238">
        <v>1</v>
      </c>
      <c r="J580" s="240">
        <f t="shared" si="297"/>
      </c>
      <c r="K580" s="240">
        <f t="shared" si="357"/>
      </c>
      <c r="L580" s="240">
        <f t="shared" si="176"/>
      </c>
      <c r="M580" s="241">
        <f t="shared" si="237"/>
      </c>
      <c r="N580" s="240">
        <f t="shared" si="86"/>
      </c>
      <c r="O580" s="240">
        <f t="shared" si="116"/>
      </c>
      <c r="P580" s="241">
        <f t="shared" si="387"/>
      </c>
      <c r="Q580" s="241">
        <f t="shared" si="25"/>
      </c>
      <c r="R580" s="241">
        <f t="shared" si="267"/>
      </c>
      <c r="S580" s="241">
        <f t="shared" si="327"/>
      </c>
      <c r="T580" s="242">
        <f t="shared" si="146"/>
      </c>
      <c r="U580" s="243">
        <v>0.0506</v>
      </c>
      <c r="V580" s="244">
        <v>59</v>
      </c>
      <c r="W580" s="240">
        <f t="shared" si="55"/>
      </c>
      <c r="X580" s="242">
        <v>8480</v>
      </c>
      <c r="Y580" s="242">
        <v>269</v>
      </c>
      <c r="Z580" s="242">
        <v>54</v>
      </c>
      <c r="AA580" s="242">
        <v>485</v>
      </c>
      <c r="AB580" s="242">
        <v>72</v>
      </c>
      <c r="AC580" s="242">
        <v>7</v>
      </c>
      <c r="AD580" s="242">
        <v>1</v>
      </c>
      <c r="AE580" s="244">
        <v>7</v>
      </c>
      <c r="AF580" s="240">
        <f t="shared" si="206"/>
      </c>
      <c r="AG580" s="222" t="s">
        <v>159</v>
      </c>
      <c r="AH580" s="223" t="s">
        <v>193</v>
      </c>
      <c r="AI580" s="244">
        <v>26</v>
      </c>
    </row>
    <row r="581">
      <c r="A581" s="211"/>
      <c r="B581" s="212" t="s">
        <v>186</v>
      </c>
      <c r="C581" s="213" t="s">
        <v>163</v>
      </c>
      <c r="D581" s="236">
        <v>1565.23</v>
      </c>
      <c r="E581" s="238">
        <v>2</v>
      </c>
      <c r="F581" s="238">
        <v>2</v>
      </c>
      <c r="G581" s="238">
        <v>2</v>
      </c>
      <c r="H581" s="236">
        <v>1700.6000000000004</v>
      </c>
      <c r="I581" s="238">
        <v>1</v>
      </c>
      <c r="J581" s="240">
        <f t="shared" si="297"/>
      </c>
      <c r="K581" s="240">
        <f t="shared" si="357"/>
      </c>
      <c r="L581" s="240">
        <f t="shared" si="176"/>
      </c>
      <c r="M581" s="241">
        <f t="shared" si="237"/>
      </c>
      <c r="N581" s="240">
        <f t="shared" si="86"/>
      </c>
      <c r="O581" s="240">
        <f t="shared" si="116"/>
      </c>
      <c r="P581" s="241">
        <f t="shared" si="387"/>
      </c>
      <c r="Q581" s="241">
        <f t="shared" si="25"/>
      </c>
      <c r="R581" s="241">
        <f t="shared" si="267"/>
      </c>
      <c r="S581" s="241">
        <f t="shared" si="327"/>
      </c>
      <c r="T581" s="242">
        <f t="shared" si="146"/>
      </c>
      <c r="U581" s="243">
        <v>0.0487</v>
      </c>
      <c r="V581" s="244">
        <v>63</v>
      </c>
      <c r="W581" s="240">
        <f t="shared" si="55"/>
      </c>
      <c r="X581" s="242">
        <v>7874</v>
      </c>
      <c r="Y581" s="242">
        <v>292</v>
      </c>
      <c r="Z581" s="242">
        <v>57</v>
      </c>
      <c r="AA581" s="242">
        <v>523</v>
      </c>
      <c r="AB581" s="242">
        <v>64</v>
      </c>
      <c r="AC581" s="242">
        <v>6</v>
      </c>
      <c r="AD581" s="242">
        <v>0</v>
      </c>
      <c r="AE581" s="242">
        <v>4</v>
      </c>
      <c r="AF581" s="240">
        <f t="shared" si="206"/>
      </c>
      <c r="AG581" s="222" t="s">
        <v>159</v>
      </c>
      <c r="AH581" s="223" t="s">
        <v>193</v>
      </c>
      <c r="AI581" s="244">
        <v>18</v>
      </c>
    </row>
    <row r="582">
      <c r="A582" s="211"/>
      <c r="B582" s="249" t="s">
        <v>165</v>
      </c>
      <c r="C582" s="249"/>
      <c r="D582" s="250">
        <f>SUM(D578:D581)</f>
      </c>
      <c r="E582" s="251">
        <f>SUM(E578:E581)</f>
      </c>
      <c r="F582" s="251">
        <f>SUM(F578:F581)</f>
      </c>
      <c r="G582" s="251">
        <f>SUM(G578:G581)</f>
      </c>
      <c r="H582" s="250">
        <f>SUM(H578:H581)</f>
      </c>
      <c r="I582" s="272">
        <f>SUM(I578:I581)</f>
      </c>
      <c r="J582" s="252">
        <f t="shared" si="297"/>
      </c>
      <c r="K582" s="252">
        <f t="shared" si="357"/>
      </c>
      <c r="L582" s="252">
        <f t="shared" si="176"/>
      </c>
      <c r="M582" s="253">
        <f t="shared" si="237"/>
      </c>
      <c r="N582" s="252">
        <f t="shared" si="86"/>
      </c>
      <c r="O582" s="252">
        <f t="shared" si="116"/>
      </c>
      <c r="P582" s="253">
        <f t="shared" si="387"/>
      </c>
      <c r="Q582" s="253">
        <f t="shared" si="25"/>
      </c>
      <c r="R582" s="253">
        <f t="shared" si="267"/>
      </c>
      <c r="S582" s="253">
        <f t="shared" si="327"/>
      </c>
      <c r="T582" s="254">
        <f t="shared" si="146"/>
      </c>
      <c r="U582" s="253">
        <f>AVERAGE(U578:U581)</f>
      </c>
      <c r="V582" s="250">
        <f>AVERAGE(V578:V581)</f>
      </c>
      <c r="W582" s="252">
        <f t="shared" si="55"/>
      </c>
      <c r="X582" s="254">
        <f>SUM(X578:X581)</f>
      </c>
      <c r="Y582" s="254">
        <f>SUM(Y578:Y581)</f>
      </c>
      <c r="Z582" s="254">
        <f>SUM(Z578:Z581)</f>
      </c>
      <c r="AA582" s="254">
        <f>SUM(AA578:AA581)</f>
      </c>
      <c r="AB582" s="254">
        <f>SUM(AB578:AB581)</f>
      </c>
      <c r="AC582" s="254">
        <f>SUM(AC578:AC581)</f>
      </c>
      <c r="AD582" s="254">
        <f>SUM(AD578:AD581)</f>
      </c>
      <c r="AE582" s="254">
        <f>SUM(AE578:AE581)</f>
      </c>
      <c r="AF582" s="255">
        <f t="shared" si="206"/>
      </c>
      <c r="AG582" s="256"/>
      <c r="AH582" s="256"/>
      <c r="AI582" s="257">
        <f>SUM(AI578:AI581)</f>
      </c>
    </row>
    <row r="583">
      <c r="A583" s="211"/>
      <c r="B583" s="212" t="s">
        <v>157</v>
      </c>
      <c r="C583" s="212" t="s">
        <v>164</v>
      </c>
      <c r="D583" s="212">
        <v>1599.93</v>
      </c>
      <c r="E583" s="215">
        <v>4</v>
      </c>
      <c r="F583" s="215">
        <v>4</v>
      </c>
      <c r="G583" s="215">
        <v>1</v>
      </c>
      <c r="H583" s="275">
        <v>4656.299999999998</v>
      </c>
      <c r="I583" s="215">
        <v>2</v>
      </c>
      <c r="J583" s="217">
        <f t="shared" si="297"/>
      </c>
      <c r="K583" s="217">
        <f t="shared" si="357"/>
      </c>
      <c r="L583" s="217">
        <f t="shared" si="176"/>
      </c>
      <c r="M583" s="218">
        <f t="shared" si="237"/>
      </c>
      <c r="N583" s="217">
        <f t="shared" si="86"/>
      </c>
      <c r="O583" s="217">
        <f t="shared" si="116"/>
      </c>
      <c r="P583" s="218">
        <f t="shared" si="387"/>
      </c>
      <c r="Q583" s="218">
        <f t="shared" si="25"/>
      </c>
      <c r="R583" s="218">
        <f t="shared" si="267"/>
      </c>
      <c r="S583" s="218">
        <f t="shared" si="327"/>
      </c>
      <c r="T583" s="219">
        <f t="shared" si="146"/>
      </c>
      <c r="U583" s="220">
        <v>0.0444</v>
      </c>
      <c r="V583" s="221">
        <v>64</v>
      </c>
      <c r="W583" s="217">
        <f t="shared" si="55"/>
      </c>
      <c r="X583" s="221">
        <v>8418</v>
      </c>
      <c r="Y583" s="221">
        <v>263</v>
      </c>
      <c r="Z583" s="219">
        <v>57</v>
      </c>
      <c r="AA583" s="219">
        <v>583</v>
      </c>
      <c r="AB583" s="219">
        <v>62</v>
      </c>
      <c r="AC583" s="219">
        <v>6</v>
      </c>
      <c r="AD583" s="221">
        <v>0</v>
      </c>
      <c r="AE583" s="221">
        <v>8</v>
      </c>
      <c r="AF583" s="217">
        <f t="shared" si="206"/>
      </c>
      <c r="AG583" s="222" t="s">
        <v>173</v>
      </c>
      <c r="AH583" s="223" t="s">
        <v>193</v>
      </c>
      <c r="AI583" s="221">
        <v>21</v>
      </c>
    </row>
    <row r="584">
      <c r="A584" s="211"/>
      <c r="B584" s="212" t="s">
        <v>157</v>
      </c>
      <c r="C584" s="235" t="s">
        <v>167</v>
      </c>
      <c r="D584" s="212">
        <v>1551.78</v>
      </c>
      <c r="E584" s="215">
        <v>3</v>
      </c>
      <c r="F584" s="215">
        <v>3</v>
      </c>
      <c r="G584" s="215">
        <v>3</v>
      </c>
      <c r="H584" s="275">
        <v>2631.09</v>
      </c>
      <c r="I584" s="215">
        <v>2</v>
      </c>
      <c r="J584" s="217">
        <f t="shared" si="297"/>
      </c>
      <c r="K584" s="217">
        <f t="shared" si="357"/>
      </c>
      <c r="L584" s="217">
        <f t="shared" si="176"/>
      </c>
      <c r="M584" s="218">
        <f t="shared" si="237"/>
      </c>
      <c r="N584" s="217">
        <f t="shared" si="86"/>
      </c>
      <c r="O584" s="217">
        <f t="shared" si="116"/>
      </c>
      <c r="P584" s="218">
        <f t="shared" si="387"/>
      </c>
      <c r="Q584" s="218">
        <f t="shared" si="25"/>
      </c>
      <c r="R584" s="218">
        <f t="shared" si="267"/>
      </c>
      <c r="S584" s="218">
        <f t="shared" si="327"/>
      </c>
      <c r="T584" s="219">
        <f t="shared" si="146"/>
      </c>
      <c r="U584" s="220">
        <v>0.0369</v>
      </c>
      <c r="V584" s="221">
        <v>61</v>
      </c>
      <c r="W584" s="217">
        <f t="shared" si="55"/>
      </c>
      <c r="X584" s="219">
        <v>9771</v>
      </c>
      <c r="Y584" s="219">
        <v>352</v>
      </c>
      <c r="Z584" s="219">
        <v>54</v>
      </c>
      <c r="AA584" s="219">
        <v>790</v>
      </c>
      <c r="AB584" s="219">
        <v>64</v>
      </c>
      <c r="AC584" s="219">
        <v>5</v>
      </c>
      <c r="AD584" s="219">
        <v>0</v>
      </c>
      <c r="AE584" s="221">
        <v>6</v>
      </c>
      <c r="AF584" s="217">
        <f t="shared" si="206"/>
      </c>
      <c r="AG584" s="222" t="s">
        <v>173</v>
      </c>
      <c r="AH584" s="223" t="s">
        <v>193</v>
      </c>
      <c r="AI584" s="221">
        <v>23</v>
      </c>
    </row>
    <row r="585">
      <c r="A585" s="211"/>
      <c r="B585" s="212" t="s">
        <v>157</v>
      </c>
      <c r="C585" s="245" t="s">
        <v>168</v>
      </c>
      <c r="D585" s="212">
        <v>1323.08</v>
      </c>
      <c r="E585" s="215">
        <v>2</v>
      </c>
      <c r="F585" s="215">
        <v>2</v>
      </c>
      <c r="G585" s="215">
        <v>1</v>
      </c>
      <c r="H585" s="275">
        <v>902</v>
      </c>
      <c r="I585" s="215">
        <v>0</v>
      </c>
      <c r="J585" s="217">
        <f t="shared" si="297"/>
      </c>
      <c r="K585" s="217">
        <f t="shared" si="357"/>
      </c>
      <c r="L585" s="217">
        <f t="shared" si="176"/>
      </c>
      <c r="M585" s="218">
        <f t="shared" si="237"/>
      </c>
      <c r="N585" s="217">
        <f t="shared" si="86"/>
      </c>
      <c r="O585" s="217">
        <f t="shared" si="116"/>
      </c>
      <c r="P585" s="218">
        <f t="shared" si="387"/>
      </c>
      <c r="Q585" s="218">
        <f t="shared" si="25"/>
      </c>
      <c r="R585" s="218">
        <f t="shared" si="267"/>
      </c>
      <c r="S585" s="218">
        <f t="shared" si="327"/>
      </c>
      <c r="T585" s="219">
        <f t="shared" si="146"/>
      </c>
      <c r="U585" s="220">
        <v>0.0313</v>
      </c>
      <c r="V585" s="221">
        <v>58</v>
      </c>
      <c r="W585" s="217">
        <f t="shared" si="55"/>
      </c>
      <c r="X585" s="221">
        <v>8297</v>
      </c>
      <c r="Y585" s="221">
        <v>329</v>
      </c>
      <c r="Z585" s="221">
        <v>44</v>
      </c>
      <c r="AA585" s="221">
        <v>678</v>
      </c>
      <c r="AB585" s="221">
        <v>33</v>
      </c>
      <c r="AC585" s="221">
        <v>2</v>
      </c>
      <c r="AD585" s="221">
        <v>0</v>
      </c>
      <c r="AE585" s="221">
        <v>8</v>
      </c>
      <c r="AF585" s="217">
        <f t="shared" si="206"/>
      </c>
      <c r="AG585" s="222" t="s">
        <v>173</v>
      </c>
      <c r="AH585" s="223" t="s">
        <v>193</v>
      </c>
      <c r="AI585" s="221">
        <v>17</v>
      </c>
    </row>
    <row r="586">
      <c r="A586" s="211"/>
      <c r="B586" s="212" t="s">
        <v>157</v>
      </c>
      <c r="C586" s="235" t="s">
        <v>169</v>
      </c>
      <c r="D586" s="212">
        <v>1225.2</v>
      </c>
      <c r="E586" s="215">
        <v>3</v>
      </c>
      <c r="F586" s="215">
        <v>1</v>
      </c>
      <c r="G586" s="215">
        <v>1</v>
      </c>
      <c r="H586" s="275">
        <v>451</v>
      </c>
      <c r="I586" s="215">
        <v>0</v>
      </c>
      <c r="J586" s="217">
        <f t="shared" si="297"/>
      </c>
      <c r="K586" s="217">
        <f t="shared" si="357"/>
      </c>
      <c r="L586" s="217">
        <f t="shared" si="176"/>
      </c>
      <c r="M586" s="218">
        <f t="shared" si="237"/>
      </c>
      <c r="N586" s="217">
        <f t="shared" si="86"/>
      </c>
      <c r="O586" s="217">
        <f t="shared" si="116"/>
      </c>
      <c r="P586" s="218">
        <f t="shared" si="387"/>
      </c>
      <c r="Q586" s="218">
        <f t="shared" si="25"/>
      </c>
      <c r="R586" s="218">
        <f t="shared" si="267"/>
      </c>
      <c r="S586" s="218">
        <f t="shared" si="327"/>
      </c>
      <c r="T586" s="219">
        <f t="shared" si="146"/>
      </c>
      <c r="U586" s="220">
        <v>0.0544</v>
      </c>
      <c r="V586" s="221">
        <v>57</v>
      </c>
      <c r="W586" s="217">
        <f t="shared" si="55"/>
      </c>
      <c r="X586" s="221">
        <v>6892</v>
      </c>
      <c r="Y586" s="221">
        <v>241</v>
      </c>
      <c r="Z586" s="219">
        <v>46</v>
      </c>
      <c r="AA586" s="219">
        <v>453</v>
      </c>
      <c r="AB586" s="219">
        <v>27</v>
      </c>
      <c r="AC586" s="219">
        <v>4</v>
      </c>
      <c r="AD586" s="221">
        <v>2</v>
      </c>
      <c r="AE586" s="221">
        <v>7</v>
      </c>
      <c r="AF586" s="217">
        <f t="shared" si="206"/>
      </c>
      <c r="AG586" s="222" t="s">
        <v>173</v>
      </c>
      <c r="AH586" s="223" t="s">
        <v>193</v>
      </c>
      <c r="AI586" s="221">
        <v>14</v>
      </c>
    </row>
    <row r="587">
      <c r="A587" s="211"/>
      <c r="B587" s="227" t="s">
        <v>165</v>
      </c>
      <c r="C587" s="227"/>
      <c r="D587" s="259">
        <f>SUM(D583:D586)</f>
      </c>
      <c r="E587" s="260">
        <f>SUM(E583:E586)</f>
      </c>
      <c r="F587" s="260">
        <f>SUM(F583:F586)</f>
      </c>
      <c r="G587" s="260">
        <f>SUM(G583:G586)</f>
      </c>
      <c r="H587" s="259">
        <f>SUM(H583:H586)</f>
      </c>
      <c r="I587" s="272">
        <f>SUM(I583:I586)</f>
      </c>
      <c r="J587" s="230">
        <f t="shared" si="297"/>
      </c>
      <c r="K587" s="230">
        <f t="shared" si="357"/>
      </c>
      <c r="L587" s="230">
        <f t="shared" si="176"/>
      </c>
      <c r="M587" s="231">
        <f t="shared" si="237"/>
      </c>
      <c r="N587" s="230">
        <f t="shared" si="86"/>
      </c>
      <c r="O587" s="230">
        <f t="shared" si="116"/>
      </c>
      <c r="P587" s="231">
        <f t="shared" si="387"/>
      </c>
      <c r="Q587" s="231">
        <f t="shared" si="25"/>
      </c>
      <c r="R587" s="231">
        <f t="shared" si="267"/>
      </c>
      <c r="S587" s="231">
        <f t="shared" si="327"/>
      </c>
      <c r="T587" s="229">
        <f t="shared" si="146"/>
      </c>
      <c r="U587" s="231">
        <f>AVERAGE(U583:U586)</f>
      </c>
      <c r="V587" s="228">
        <f>AVERAGE(V583:V586)</f>
      </c>
      <c r="W587" s="230">
        <f t="shared" si="55"/>
      </c>
      <c r="X587" s="229">
        <f>SUM(X583:X586)</f>
      </c>
      <c r="Y587" s="229">
        <f>SUM(Y583:Y586)</f>
      </c>
      <c r="Z587" s="229">
        <f>SUM(Z583:Z586)</f>
      </c>
      <c r="AA587" s="229">
        <f>SUM(AA583:AA586)</f>
      </c>
      <c r="AB587" s="229">
        <f>SUM(AB583:AB586)</f>
      </c>
      <c r="AC587" s="229">
        <f>SUM(AC583:AC586)</f>
      </c>
      <c r="AD587" s="229">
        <f>SUM(AD583:AD586)</f>
      </c>
      <c r="AE587" s="229">
        <f>SUM(AE583:AE586)</f>
      </c>
      <c r="AF587" s="232">
        <f t="shared" si="206"/>
      </c>
      <c r="AG587" s="233"/>
      <c r="AH587" s="233"/>
      <c r="AI587" s="229">
        <f>SUM(AI583:AI586)</f>
      </c>
    </row>
    <row r="588">
      <c r="A588" s="211"/>
      <c r="B588" s="248" t="s">
        <v>191</v>
      </c>
      <c r="C588" s="248" t="s">
        <v>170</v>
      </c>
      <c r="D588" s="261">
        <v>1112.15</v>
      </c>
      <c r="E588" s="237">
        <v>3</v>
      </c>
      <c r="F588" s="237">
        <v>1</v>
      </c>
      <c r="G588" s="238">
        <v>1</v>
      </c>
      <c r="H588" s="239">
        <v>1811.7000000000007</v>
      </c>
      <c r="I588" s="273">
        <v>1</v>
      </c>
      <c r="J588" s="240">
        <f t="shared" si="297"/>
      </c>
      <c r="K588" s="240">
        <f t="shared" si="357"/>
      </c>
      <c r="L588" s="240">
        <f t="shared" si="176"/>
      </c>
      <c r="M588" s="241">
        <f t="shared" si="237"/>
      </c>
      <c r="N588" s="240">
        <f t="shared" si="86"/>
      </c>
      <c r="O588" s="240">
        <f t="shared" si="116"/>
      </c>
      <c r="P588" s="241">
        <f t="shared" si="387"/>
      </c>
      <c r="Q588" s="241">
        <f t="shared" si="25"/>
      </c>
      <c r="R588" s="241">
        <f t="shared" si="267"/>
      </c>
      <c r="S588" s="241">
        <f t="shared" si="327"/>
      </c>
      <c r="T588" s="242">
        <f t="shared" si="146"/>
      </c>
      <c r="U588" s="243">
        <v>0.0442</v>
      </c>
      <c r="V588" s="244">
        <v>57</v>
      </c>
      <c r="W588" s="240">
        <f t="shared" si="55"/>
      </c>
      <c r="X588" s="242">
        <v>6483</v>
      </c>
      <c r="Y588" s="242">
        <v>227</v>
      </c>
      <c r="Z588" s="242">
        <v>35</v>
      </c>
      <c r="AA588" s="242">
        <v>458</v>
      </c>
      <c r="AB588" s="242">
        <v>34</v>
      </c>
      <c r="AC588" s="242">
        <v>2</v>
      </c>
      <c r="AD588" s="242">
        <v>1</v>
      </c>
      <c r="AE588" s="242">
        <v>5</v>
      </c>
      <c r="AF588" s="240">
        <f t="shared" si="206"/>
      </c>
      <c r="AG588" s="222" t="s">
        <v>173</v>
      </c>
      <c r="AH588" s="223" t="s">
        <v>193</v>
      </c>
      <c r="AI588" s="244">
        <v>20</v>
      </c>
    </row>
    <row r="589">
      <c r="A589" s="211"/>
      <c r="B589" s="248" t="s">
        <v>191</v>
      </c>
      <c r="C589" s="235" t="s">
        <v>172</v>
      </c>
      <c r="D589" s="261">
        <v>386.83</v>
      </c>
      <c r="E589" s="238">
        <v>0</v>
      </c>
      <c r="F589" s="238">
        <v>0</v>
      </c>
      <c r="G589" s="238">
        <v>0</v>
      </c>
      <c r="H589" s="236">
        <v>0</v>
      </c>
      <c r="I589" s="238">
        <v>0</v>
      </c>
      <c r="J589" s="240">
        <f t="shared" si="297"/>
      </c>
      <c r="K589" s="240">
        <f t="shared" si="357"/>
      </c>
      <c r="L589" s="240">
        <f t="shared" si="176"/>
      </c>
      <c r="M589" s="241">
        <f t="shared" si="237"/>
      </c>
      <c r="N589" s="240">
        <f t="shared" si="86"/>
      </c>
      <c r="O589" s="240">
        <f t="shared" si="116"/>
      </c>
      <c r="P589" s="241">
        <f t="shared" si="387"/>
      </c>
      <c r="Q589" s="241">
        <f t="shared" si="25"/>
      </c>
      <c r="R589" s="241">
        <f t="shared" si="267"/>
      </c>
      <c r="S589" s="241">
        <f t="shared" si="327"/>
      </c>
      <c r="T589" s="242">
        <f t="shared" si="146"/>
      </c>
      <c r="U589" s="243">
        <v>0.0545</v>
      </c>
      <c r="V589" s="244">
        <v>57</v>
      </c>
      <c r="W589" s="240">
        <f t="shared" si="55"/>
      </c>
      <c r="X589" s="242">
        <v>2549</v>
      </c>
      <c r="Y589" s="242">
        <v>110</v>
      </c>
      <c r="Z589" s="242">
        <v>25</v>
      </c>
      <c r="AA589" s="242">
        <v>219</v>
      </c>
      <c r="AB589" s="242">
        <v>18</v>
      </c>
      <c r="AC589" s="242">
        <v>2</v>
      </c>
      <c r="AD589" s="242">
        <v>1</v>
      </c>
      <c r="AE589" s="244">
        <v>3</v>
      </c>
      <c r="AF589" s="240">
        <f t="shared" si="206"/>
      </c>
      <c r="AG589" s="222" t="s">
        <v>173</v>
      </c>
      <c r="AH589" s="223" t="s">
        <v>193</v>
      </c>
      <c r="AI589" s="244">
        <v>3</v>
      </c>
    </row>
    <row r="590">
      <c r="A590" s="211"/>
      <c r="B590" s="249" t="s">
        <v>165</v>
      </c>
      <c r="C590" s="249"/>
      <c r="D590" s="250">
        <f>SUM(D588:D589)</f>
      </c>
      <c r="E590" s="251">
        <f>SUM(E588:E589)</f>
      </c>
      <c r="F590" s="251">
        <f>SUM(F588:F589)</f>
      </c>
      <c r="G590" s="251">
        <f>SUM(G588:G589)</f>
      </c>
      <c r="H590" s="250">
        <f>SUM(H588:H589)</f>
      </c>
      <c r="I590" s="272">
        <f>SUM(I588:I589)</f>
      </c>
      <c r="J590" s="252">
        <f t="shared" si="297"/>
      </c>
      <c r="K590" s="252">
        <f t="shared" si="357"/>
      </c>
      <c r="L590" s="252">
        <f t="shared" si="176"/>
      </c>
      <c r="M590" s="253">
        <f t="shared" si="237"/>
      </c>
      <c r="N590" s="252">
        <f t="shared" si="86"/>
      </c>
      <c r="O590" s="252">
        <f t="shared" si="116"/>
      </c>
      <c r="P590" s="253">
        <f t="shared" si="387"/>
      </c>
      <c r="Q590" s="253">
        <f t="shared" si="25"/>
      </c>
      <c r="R590" s="253">
        <f t="shared" si="267"/>
      </c>
      <c r="S590" s="253">
        <f t="shared" si="327"/>
      </c>
      <c r="T590" s="254">
        <f t="shared" si="146"/>
      </c>
      <c r="U590" s="253">
        <f>AVERAGE(U588:U589)</f>
      </c>
      <c r="V590" s="250">
        <f>AVERAGE(V588:V589)</f>
      </c>
      <c r="W590" s="252">
        <f t="shared" si="55"/>
      </c>
      <c r="X590" s="254">
        <f>SUM(X588:X589)</f>
      </c>
      <c r="Y590" s="254">
        <f>SUM(Y588:Y589)</f>
      </c>
      <c r="Z590" s="254">
        <f>SUM(Z588:Z589)</f>
      </c>
      <c r="AA590" s="254">
        <f>SUM(AA588:AA589)</f>
      </c>
      <c r="AB590" s="254">
        <f>SUM(AB588:AB589)</f>
      </c>
      <c r="AC590" s="254">
        <f>SUM(AC588:AC589)</f>
      </c>
      <c r="AD590" s="254">
        <f>SUM(AD588:AD589)</f>
      </c>
      <c r="AE590" s="254">
        <f>SUM(AE588:AE589)</f>
      </c>
      <c r="AF590" s="255">
        <f t="shared" si="206"/>
      </c>
      <c r="AG590" s="256"/>
      <c r="AH590" s="256"/>
      <c r="AI590" s="257">
        <f>SUM(AI588:AI589)</f>
      </c>
    </row>
    <row r="591">
      <c r="A591" s="211"/>
      <c r="B591" s="264" t="s">
        <v>183</v>
      </c>
      <c r="C591" s="264"/>
      <c r="D591" s="265">
        <f>D582+D587+D590</f>
      </c>
      <c r="E591" s="265">
        <f>E582+E587+E590</f>
      </c>
      <c r="F591" s="265">
        <f>F582+F587+F590</f>
      </c>
      <c r="G591" s="265">
        <f>G582+G587+G590</f>
      </c>
      <c r="H591" s="265">
        <f>H582+H587+H590</f>
      </c>
      <c r="I591" s="265">
        <f>I582+I587+I590</f>
      </c>
      <c r="J591" s="266">
        <f t="shared" si="297"/>
      </c>
      <c r="K591" s="267">
        <f t="shared" si="357"/>
      </c>
      <c r="L591" s="267">
        <f t="shared" si="176"/>
      </c>
      <c r="M591" s="268">
        <f t="shared" si="237"/>
      </c>
      <c r="N591" s="267">
        <f t="shared" si="86"/>
      </c>
      <c r="O591" s="267">
        <f t="shared" si="116"/>
      </c>
      <c r="P591" s="268">
        <f t="shared" si="387"/>
      </c>
      <c r="Q591" s="268">
        <f t="shared" si="25"/>
      </c>
      <c r="R591" s="268">
        <f t="shared" si="267"/>
      </c>
      <c r="S591" s="268">
        <f t="shared" si="327"/>
      </c>
      <c r="T591" s="269">
        <f t="shared" si="146"/>
      </c>
      <c r="U591" s="268">
        <f>(U587+U582+U590)/4</f>
      </c>
      <c r="V591" s="267">
        <f>(V587+V582+V590)/4</f>
      </c>
      <c r="W591" s="270">
        <f t="shared" si="55"/>
      </c>
      <c r="X591" s="269">
        <f>X582+X587+X590</f>
      </c>
      <c r="Y591" s="269">
        <f>Y582+Y587+Y590</f>
      </c>
      <c r="Z591" s="269">
        <f>Z582+Z587+Z590</f>
      </c>
      <c r="AA591" s="269">
        <f>AA582+AA587+AA590</f>
      </c>
      <c r="AB591" s="269">
        <f>AB582+AB587+AB590</f>
      </c>
      <c r="AC591" s="269">
        <f>AC582+AC587+AC590</f>
      </c>
      <c r="AD591" s="269">
        <f>AD582+AD587+AD590</f>
      </c>
      <c r="AE591" s="269">
        <f>AE590+AE582+AE587+AE590</f>
      </c>
      <c r="AF591" s="269">
        <f>AF590</f>
      </c>
      <c r="AG591" s="264"/>
      <c r="AH591" s="264"/>
      <c r="AI591" s="269">
        <f>AI582+AI587+AI590</f>
      </c>
    </row>
    <row r="592">
      <c r="A592" s="193" t="s">
        <v>120</v>
      </c>
      <c r="B592" s="194" t="s">
        <v>121</v>
      </c>
      <c r="C592" s="194"/>
      <c r="D592" s="277" t="s">
        <v>122</v>
      </c>
      <c r="E592" s="277"/>
      <c r="F592" s="277"/>
      <c r="G592" s="277"/>
      <c r="H592" s="277"/>
      <c r="I592" s="277"/>
      <c r="J592" s="277"/>
      <c r="K592" s="277"/>
      <c r="L592" s="277"/>
      <c r="M592" s="277"/>
      <c r="N592" s="277"/>
      <c r="O592" s="196" t="s">
        <v>123</v>
      </c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7"/>
    </row>
    <row r="593">
      <c r="A593" s="193"/>
      <c r="B593" s="278" t="s">
        <v>124</v>
      </c>
      <c r="C593" s="279" t="s">
        <v>125</v>
      </c>
      <c r="D593" s="280" t="s">
        <v>126</v>
      </c>
      <c r="E593" s="281" t="s">
        <v>127</v>
      </c>
      <c r="F593" s="282" t="s">
        <v>128</v>
      </c>
      <c r="G593" s="282" t="s">
        <v>129</v>
      </c>
      <c r="H593" s="283" t="s">
        <v>130</v>
      </c>
      <c r="I593" s="271" t="s">
        <v>189</v>
      </c>
      <c r="J593" s="202" t="s">
        <v>131</v>
      </c>
      <c r="K593" s="202" t="s">
        <v>132</v>
      </c>
      <c r="L593" s="202" t="s">
        <v>133</v>
      </c>
      <c r="M593" s="203" t="s">
        <v>134</v>
      </c>
      <c r="N593" s="202" t="s">
        <v>135</v>
      </c>
      <c r="O593" s="204" t="s">
        <v>136</v>
      </c>
      <c r="P593" s="205" t="s">
        <v>137</v>
      </c>
      <c r="Q593" s="205" t="s">
        <v>138</v>
      </c>
      <c r="R593" s="205" t="s">
        <v>139</v>
      </c>
      <c r="S593" s="205" t="s">
        <v>140</v>
      </c>
      <c r="T593" s="206" t="s">
        <v>141</v>
      </c>
      <c r="U593" s="207" t="s">
        <v>142</v>
      </c>
      <c r="V593" s="208" t="s">
        <v>143</v>
      </c>
      <c r="W593" s="196" t="s">
        <v>144</v>
      </c>
      <c r="X593" s="209" t="s">
        <v>145</v>
      </c>
      <c r="Y593" s="209" t="s">
        <v>146</v>
      </c>
      <c r="Z593" s="209" t="s">
        <v>147</v>
      </c>
      <c r="AA593" s="209" t="s">
        <v>148</v>
      </c>
      <c r="AB593" s="209" t="s">
        <v>149</v>
      </c>
      <c r="AC593" s="209" t="s">
        <v>150</v>
      </c>
      <c r="AD593" s="209" t="s">
        <v>151</v>
      </c>
      <c r="AE593" s="209" t="s">
        <v>152</v>
      </c>
      <c r="AF593" s="196" t="s">
        <v>153</v>
      </c>
      <c r="AG593" s="210" t="s">
        <v>154</v>
      </c>
      <c r="AH593" s="210" t="s">
        <v>155</v>
      </c>
      <c r="AI593" s="197" t="s">
        <v>156</v>
      </c>
    </row>
    <row r="594">
      <c r="A594" s="211">
        <v>46200</v>
      </c>
      <c r="B594" s="212" t="s">
        <v>166</v>
      </c>
      <c r="C594" s="213" t="s">
        <v>158</v>
      </c>
      <c r="D594" s="246">
        <v>1873.79</v>
      </c>
      <c r="E594" s="247">
        <v>2</v>
      </c>
      <c r="F594" s="247">
        <v>2</v>
      </c>
      <c r="G594" s="247">
        <v>2</v>
      </c>
      <c r="H594" s="239">
        <v>902</v>
      </c>
      <c r="I594" s="273">
        <v>0</v>
      </c>
      <c r="J594" s="240">
        <f t="shared" ref="J594:J607" si="298">H594/D594</f>
      </c>
      <c r="K594" s="240">
        <f t="shared" ref="K594:K607" si="358">D594/F594</f>
      </c>
      <c r="L594" s="240">
        <f t="shared" ref="L594:L607" si="177">D594/G594</f>
      </c>
      <c r="M594" s="241">
        <f t="shared" ref="M594:M607" si="238">F594/E594</f>
      </c>
      <c r="N594" s="240">
        <f t="shared" ref="N594:N607" si="87">H594/F594</f>
      </c>
      <c r="O594" s="240">
        <f t="shared" ref="O594:O607" si="117">D594/Y594</f>
      </c>
      <c r="P594" s="241">
        <f t="shared" ref="P594:P607" si="388">T594/X594*1</f>
      </c>
      <c r="Q594" s="241">
        <f t="shared" ref="Q594:Q607" si="26">Y594/X594</f>
      </c>
      <c r="R594" s="241">
        <f t="shared" ref="R594:R607" si="268">AA594/X594</f>
      </c>
      <c r="S594" s="241">
        <f t="shared" ref="S594:S607" si="328">AB594/AA594</f>
      </c>
      <c r="T594" s="242">
        <f t="shared" ref="T594:T607" si="147">Z594/U594</f>
      </c>
      <c r="U594" s="243">
        <v>0.0369</v>
      </c>
      <c r="V594" s="244">
        <v>45</v>
      </c>
      <c r="W594" s="240">
        <f t="shared" ref="W594:W607" si="56">(D594/X594)*1000</f>
      </c>
      <c r="X594" s="242">
        <v>11484</v>
      </c>
      <c r="Y594" s="242">
        <v>444</v>
      </c>
      <c r="Z594" s="242">
        <v>85</v>
      </c>
      <c r="AA594" s="242">
        <v>859</v>
      </c>
      <c r="AB594" s="242">
        <v>58</v>
      </c>
      <c r="AC594" s="242">
        <v>10</v>
      </c>
      <c r="AD594" s="242">
        <v>0</v>
      </c>
      <c r="AE594" s="242">
        <v>6</v>
      </c>
      <c r="AF594" s="240">
        <f t="shared" ref="AF594:AF606" si="207">AI594*1000/D594</f>
      </c>
      <c r="AG594" s="222" t="s">
        <v>159</v>
      </c>
      <c r="AH594" s="223" t="s">
        <v>184</v>
      </c>
      <c r="AI594" s="244">
        <v>35</v>
      </c>
    </row>
    <row r="595">
      <c r="A595" s="211"/>
      <c r="B595" s="212" t="s">
        <v>166</v>
      </c>
      <c r="C595" s="213" t="s">
        <v>161</v>
      </c>
      <c r="D595" s="236">
        <v>2359.22</v>
      </c>
      <c r="E595" s="247">
        <v>5</v>
      </c>
      <c r="F595" s="247">
        <v>3</v>
      </c>
      <c r="G595" s="247">
        <v>2</v>
      </c>
      <c r="H595" s="236">
        <v>1683</v>
      </c>
      <c r="I595" s="238">
        <v>0</v>
      </c>
      <c r="J595" s="240">
        <f t="shared" si="298"/>
      </c>
      <c r="K595" s="240">
        <f t="shared" si="358"/>
      </c>
      <c r="L595" s="240">
        <f t="shared" si="177"/>
      </c>
      <c r="M595" s="241">
        <f t="shared" si="238"/>
      </c>
      <c r="N595" s="240">
        <f t="shared" si="87"/>
      </c>
      <c r="O595" s="240">
        <f t="shared" si="117"/>
      </c>
      <c r="P595" s="241">
        <f t="shared" si="388"/>
      </c>
      <c r="Q595" s="241">
        <f t="shared" si="26"/>
      </c>
      <c r="R595" s="241">
        <f t="shared" si="268"/>
      </c>
      <c r="S595" s="241">
        <f t="shared" si="328"/>
      </c>
      <c r="T595" s="242">
        <f t="shared" si="147"/>
      </c>
      <c r="U595" s="243">
        <v>0.0498</v>
      </c>
      <c r="V595" s="244">
        <v>51</v>
      </c>
      <c r="W595" s="240">
        <f t="shared" si="56"/>
      </c>
      <c r="X595" s="242">
        <v>14898</v>
      </c>
      <c r="Y595" s="242">
        <v>432</v>
      </c>
      <c r="Z595" s="242">
        <v>78</v>
      </c>
      <c r="AA595" s="242">
        <v>776</v>
      </c>
      <c r="AB595" s="242">
        <v>69</v>
      </c>
      <c r="AC595" s="242">
        <v>12</v>
      </c>
      <c r="AD595" s="242">
        <v>1</v>
      </c>
      <c r="AE595" s="244">
        <v>9</v>
      </c>
      <c r="AF595" s="240">
        <f t="shared" si="207"/>
      </c>
      <c r="AG595" s="222" t="s">
        <v>159</v>
      </c>
      <c r="AH595" s="223" t="s">
        <v>184</v>
      </c>
      <c r="AI595" s="244">
        <v>29</v>
      </c>
    </row>
    <row r="596">
      <c r="A596" s="211"/>
      <c r="B596" s="212" t="s">
        <v>166</v>
      </c>
      <c r="C596" s="224" t="s">
        <v>162</v>
      </c>
      <c r="D596" s="236">
        <v>2821.63</v>
      </c>
      <c r="E596" s="247">
        <v>8</v>
      </c>
      <c r="F596" s="247">
        <v>8</v>
      </c>
      <c r="G596" s="247">
        <v>7</v>
      </c>
      <c r="H596" s="236">
        <v>7432.7</v>
      </c>
      <c r="I596" s="238">
        <v>3</v>
      </c>
      <c r="J596" s="240">
        <f t="shared" si="298"/>
      </c>
      <c r="K596" s="240">
        <f t="shared" si="358"/>
      </c>
      <c r="L596" s="240">
        <f t="shared" si="177"/>
      </c>
      <c r="M596" s="241">
        <f t="shared" si="238"/>
      </c>
      <c r="N596" s="240">
        <f t="shared" si="87"/>
      </c>
      <c r="O596" s="240">
        <f t="shared" si="117"/>
      </c>
      <c r="P596" s="241">
        <f t="shared" si="388"/>
      </c>
      <c r="Q596" s="241">
        <f t="shared" si="26"/>
      </c>
      <c r="R596" s="241">
        <f t="shared" si="268"/>
      </c>
      <c r="S596" s="241">
        <f t="shared" si="328"/>
      </c>
      <c r="T596" s="242">
        <f t="shared" si="147"/>
      </c>
      <c r="U596" s="243">
        <v>0.0559</v>
      </c>
      <c r="V596" s="244">
        <v>54</v>
      </c>
      <c r="W596" s="240">
        <f t="shared" si="56"/>
      </c>
      <c r="X596" s="242">
        <v>18316</v>
      </c>
      <c r="Y596" s="242">
        <v>402</v>
      </c>
      <c r="Z596" s="242">
        <v>84</v>
      </c>
      <c r="AA596" s="242">
        <v>698</v>
      </c>
      <c r="AB596" s="242">
        <v>74</v>
      </c>
      <c r="AC596" s="242">
        <v>7</v>
      </c>
      <c r="AD596" s="242">
        <v>2</v>
      </c>
      <c r="AE596" s="244">
        <v>16</v>
      </c>
      <c r="AF596" s="240">
        <f t="shared" si="207"/>
      </c>
      <c r="AG596" s="222" t="s">
        <v>159</v>
      </c>
      <c r="AH596" s="223" t="s">
        <v>184</v>
      </c>
      <c r="AI596" s="244">
        <v>18</v>
      </c>
    </row>
    <row r="597">
      <c r="A597" s="211"/>
      <c r="B597" s="212" t="s">
        <v>166</v>
      </c>
      <c r="C597" s="213" t="s">
        <v>163</v>
      </c>
      <c r="D597" s="236">
        <v>2563.44</v>
      </c>
      <c r="E597" s="238">
        <v>8</v>
      </c>
      <c r="F597" s="238">
        <v>6</v>
      </c>
      <c r="G597" s="238">
        <v>5</v>
      </c>
      <c r="H597" s="236">
        <v>3366</v>
      </c>
      <c r="I597" s="238">
        <v>0</v>
      </c>
      <c r="J597" s="240">
        <f t="shared" si="298"/>
      </c>
      <c r="K597" s="240">
        <f t="shared" si="358"/>
      </c>
      <c r="L597" s="240">
        <f t="shared" si="177"/>
      </c>
      <c r="M597" s="241">
        <f t="shared" si="238"/>
      </c>
      <c r="N597" s="240">
        <f t="shared" si="87"/>
      </c>
      <c r="O597" s="240">
        <f t="shared" si="117"/>
      </c>
      <c r="P597" s="241">
        <f t="shared" si="388"/>
      </c>
      <c r="Q597" s="241">
        <f t="shared" si="26"/>
      </c>
      <c r="R597" s="241">
        <f t="shared" si="268"/>
      </c>
      <c r="S597" s="241">
        <f t="shared" si="328"/>
      </c>
      <c r="T597" s="242">
        <f t="shared" si="147"/>
      </c>
      <c r="U597" s="243">
        <v>0.0431</v>
      </c>
      <c r="V597" s="244">
        <v>52</v>
      </c>
      <c r="W597" s="240">
        <f t="shared" si="56"/>
      </c>
      <c r="X597" s="242">
        <v>17428</v>
      </c>
      <c r="Y597" s="242">
        <v>445</v>
      </c>
      <c r="Z597" s="242">
        <v>72</v>
      </c>
      <c r="AA597" s="242">
        <v>711</v>
      </c>
      <c r="AB597" s="242">
        <v>42</v>
      </c>
      <c r="AC597" s="242">
        <v>7</v>
      </c>
      <c r="AD597" s="242">
        <v>0</v>
      </c>
      <c r="AE597" s="242">
        <v>14</v>
      </c>
      <c r="AF597" s="240">
        <f t="shared" si="207"/>
      </c>
      <c r="AG597" s="222" t="s">
        <v>159</v>
      </c>
      <c r="AH597" s="223" t="s">
        <v>184</v>
      </c>
      <c r="AI597" s="244">
        <v>21</v>
      </c>
    </row>
    <row r="598">
      <c r="A598" s="211"/>
      <c r="B598" s="249" t="s">
        <v>165</v>
      </c>
      <c r="C598" s="249"/>
      <c r="D598" s="250">
        <f>SUM(D594:D597)</f>
      </c>
      <c r="E598" s="251">
        <f>SUM(E594:E597)</f>
      </c>
      <c r="F598" s="251">
        <f>SUM(F594:F597)</f>
      </c>
      <c r="G598" s="251">
        <f>SUM(G594:G597)</f>
      </c>
      <c r="H598" s="250">
        <f>SUM(H594:H597)</f>
      </c>
      <c r="I598" s="272">
        <f>SUM(I594:I597)</f>
      </c>
      <c r="J598" s="252">
        <f t="shared" si="298"/>
      </c>
      <c r="K598" s="252">
        <f t="shared" si="358"/>
      </c>
      <c r="L598" s="252">
        <f t="shared" si="177"/>
      </c>
      <c r="M598" s="253">
        <f t="shared" si="238"/>
      </c>
      <c r="N598" s="252">
        <f t="shared" si="87"/>
      </c>
      <c r="O598" s="252">
        <f t="shared" si="117"/>
      </c>
      <c r="P598" s="253">
        <f t="shared" si="388"/>
      </c>
      <c r="Q598" s="253">
        <f t="shared" si="26"/>
      </c>
      <c r="R598" s="253">
        <f t="shared" si="268"/>
      </c>
      <c r="S598" s="253">
        <f t="shared" si="328"/>
      </c>
      <c r="T598" s="254">
        <f t="shared" si="147"/>
      </c>
      <c r="U598" s="253">
        <f>AVERAGE(U594:U597)</f>
      </c>
      <c r="V598" s="250">
        <f>AVERAGE(V594:V597)</f>
      </c>
      <c r="W598" s="252">
        <f t="shared" si="56"/>
      </c>
      <c r="X598" s="254">
        <f>SUM(X594:X597)</f>
      </c>
      <c r="Y598" s="254">
        <f>SUM(Y594:Y597)</f>
      </c>
      <c r="Z598" s="254">
        <f>SUM(Z594:Z597)</f>
      </c>
      <c r="AA598" s="254">
        <f>SUM(AA594:AA597)</f>
      </c>
      <c r="AB598" s="254">
        <f>SUM(AB594:AB597)</f>
      </c>
      <c r="AC598" s="254">
        <f>SUM(AC594:AC597)</f>
      </c>
      <c r="AD598" s="254">
        <f>SUM(AD594:AD597)</f>
      </c>
      <c r="AE598" s="254">
        <f>SUM(AE594:AE597)</f>
      </c>
      <c r="AF598" s="255">
        <f t="shared" si="207"/>
      </c>
      <c r="AG598" s="256"/>
      <c r="AH598" s="256"/>
      <c r="AI598" s="257">
        <f>SUM(AI594:AI597)</f>
      </c>
    </row>
    <row r="599">
      <c r="A599" s="211"/>
      <c r="B599" s="212" t="s">
        <v>157</v>
      </c>
      <c r="C599" s="212" t="s">
        <v>164</v>
      </c>
      <c r="D599" s="212">
        <v>2160.32</v>
      </c>
      <c r="E599" s="215">
        <v>5</v>
      </c>
      <c r="F599" s="215">
        <v>4</v>
      </c>
      <c r="G599" s="215">
        <v>4</v>
      </c>
      <c r="H599" s="275">
        <v>4090.8999999999996</v>
      </c>
      <c r="I599" s="215">
        <v>0</v>
      </c>
      <c r="J599" s="217">
        <f t="shared" si="298"/>
      </c>
      <c r="K599" s="217">
        <f t="shared" si="358"/>
      </c>
      <c r="L599" s="217">
        <f t="shared" si="177"/>
      </c>
      <c r="M599" s="218">
        <f t="shared" si="238"/>
      </c>
      <c r="N599" s="217">
        <f t="shared" si="87"/>
      </c>
      <c r="O599" s="217">
        <f t="shared" si="117"/>
      </c>
      <c r="P599" s="218">
        <f t="shared" si="388"/>
      </c>
      <c r="Q599" s="218">
        <f t="shared" si="26"/>
      </c>
      <c r="R599" s="218">
        <f t="shared" si="268"/>
      </c>
      <c r="S599" s="218">
        <f t="shared" si="328"/>
      </c>
      <c r="T599" s="219">
        <f t="shared" si="147"/>
      </c>
      <c r="U599" s="220">
        <v>0.0491</v>
      </c>
      <c r="V599" s="221">
        <v>51</v>
      </c>
      <c r="W599" s="217">
        <f t="shared" si="56"/>
      </c>
      <c r="X599" s="221">
        <v>14451</v>
      </c>
      <c r="Y599" s="221">
        <v>417</v>
      </c>
      <c r="Z599" s="219">
        <v>75</v>
      </c>
      <c r="AA599" s="219">
        <v>789</v>
      </c>
      <c r="AB599" s="219">
        <v>78</v>
      </c>
      <c r="AC599" s="219">
        <v>8</v>
      </c>
      <c r="AD599" s="221">
        <v>2</v>
      </c>
      <c r="AE599" s="221">
        <v>9</v>
      </c>
      <c r="AF599" s="217">
        <f t="shared" si="207"/>
      </c>
      <c r="AG599" s="222" t="s">
        <v>159</v>
      </c>
      <c r="AH599" s="223" t="s">
        <v>184</v>
      </c>
      <c r="AI599" s="221">
        <v>26</v>
      </c>
    </row>
    <row r="600">
      <c r="A600" s="211"/>
      <c r="B600" s="212" t="s">
        <v>157</v>
      </c>
      <c r="C600" s="235" t="s">
        <v>167</v>
      </c>
      <c r="D600" s="212">
        <v>1474.55</v>
      </c>
      <c r="E600" s="215">
        <v>2</v>
      </c>
      <c r="F600" s="215">
        <v>2</v>
      </c>
      <c r="G600" s="215">
        <v>2</v>
      </c>
      <c r="H600" s="275">
        <v>879.4500000000007</v>
      </c>
      <c r="I600" s="215">
        <v>0</v>
      </c>
      <c r="J600" s="217">
        <f t="shared" si="298"/>
      </c>
      <c r="K600" s="217">
        <f t="shared" si="358"/>
      </c>
      <c r="L600" s="217">
        <f t="shared" si="177"/>
      </c>
      <c r="M600" s="218">
        <f t="shared" si="238"/>
      </c>
      <c r="N600" s="217">
        <f t="shared" si="87"/>
      </c>
      <c r="O600" s="217">
        <f t="shared" si="117"/>
      </c>
      <c r="P600" s="218">
        <f t="shared" si="388"/>
      </c>
      <c r="Q600" s="218">
        <f t="shared" si="26"/>
      </c>
      <c r="R600" s="218">
        <f t="shared" si="268"/>
      </c>
      <c r="S600" s="218">
        <f t="shared" si="328"/>
      </c>
      <c r="T600" s="219">
        <f t="shared" si="147"/>
      </c>
      <c r="U600" s="220">
        <v>0.0368</v>
      </c>
      <c r="V600" s="221">
        <v>50</v>
      </c>
      <c r="W600" s="217">
        <f t="shared" si="56"/>
      </c>
      <c r="X600" s="219">
        <v>10535</v>
      </c>
      <c r="Y600" s="219">
        <v>355</v>
      </c>
      <c r="Z600" s="219">
        <v>49</v>
      </c>
      <c r="AA600" s="219">
        <v>852</v>
      </c>
      <c r="AB600" s="219">
        <v>43</v>
      </c>
      <c r="AC600" s="219">
        <v>5</v>
      </c>
      <c r="AD600" s="219">
        <v>1</v>
      </c>
      <c r="AE600" s="221">
        <v>9</v>
      </c>
      <c r="AF600" s="217">
        <f t="shared" si="207"/>
      </c>
      <c r="AG600" s="222" t="s">
        <v>159</v>
      </c>
      <c r="AH600" s="223" t="s">
        <v>184</v>
      </c>
      <c r="AI600" s="221">
        <v>13</v>
      </c>
    </row>
    <row r="601">
      <c r="A601" s="211"/>
      <c r="B601" s="212" t="s">
        <v>157</v>
      </c>
      <c r="C601" s="245" t="s">
        <v>168</v>
      </c>
      <c r="D601" s="212">
        <v>1374.94</v>
      </c>
      <c r="E601" s="215">
        <v>7</v>
      </c>
      <c r="F601" s="215">
        <v>6</v>
      </c>
      <c r="G601" s="215">
        <v>5</v>
      </c>
      <c r="H601" s="275">
        <v>3036</v>
      </c>
      <c r="I601" s="215">
        <v>0</v>
      </c>
      <c r="J601" s="217">
        <f t="shared" si="298"/>
      </c>
      <c r="K601" s="217">
        <f t="shared" si="358"/>
      </c>
      <c r="L601" s="217">
        <f t="shared" si="177"/>
      </c>
      <c r="M601" s="218">
        <f t="shared" si="238"/>
      </c>
      <c r="N601" s="217">
        <f t="shared" si="87"/>
      </c>
      <c r="O601" s="217">
        <f t="shared" si="117"/>
      </c>
      <c r="P601" s="218">
        <f t="shared" si="388"/>
      </c>
      <c r="Q601" s="218">
        <f t="shared" si="26"/>
      </c>
      <c r="R601" s="218">
        <f t="shared" si="268"/>
      </c>
      <c r="S601" s="218">
        <f t="shared" si="328"/>
      </c>
      <c r="T601" s="219">
        <f t="shared" si="147"/>
      </c>
      <c r="U601" s="220">
        <v>0.0446</v>
      </c>
      <c r="V601" s="221">
        <v>52</v>
      </c>
      <c r="W601" s="217">
        <f t="shared" si="56"/>
      </c>
      <c r="X601" s="221">
        <v>8390</v>
      </c>
      <c r="Y601" s="221">
        <v>348</v>
      </c>
      <c r="Z601" s="221">
        <v>60</v>
      </c>
      <c r="AA601" s="221">
        <v>758</v>
      </c>
      <c r="AB601" s="221">
        <v>64</v>
      </c>
      <c r="AC601" s="221">
        <v>5</v>
      </c>
      <c r="AD601" s="221">
        <v>1</v>
      </c>
      <c r="AE601" s="221">
        <v>8</v>
      </c>
      <c r="AF601" s="217">
        <f t="shared" si="207"/>
      </c>
      <c r="AG601" s="222" t="s">
        <v>159</v>
      </c>
      <c r="AH601" s="223" t="s">
        <v>184</v>
      </c>
      <c r="AI601" s="221">
        <v>24</v>
      </c>
    </row>
    <row r="602">
      <c r="A602" s="211"/>
      <c r="B602" s="212" t="s">
        <v>157</v>
      </c>
      <c r="C602" s="235" t="s">
        <v>169</v>
      </c>
      <c r="D602" s="212">
        <v>2128.19</v>
      </c>
      <c r="E602" s="215">
        <v>5</v>
      </c>
      <c r="F602" s="215">
        <v>4</v>
      </c>
      <c r="G602" s="215">
        <v>4</v>
      </c>
      <c r="H602" s="275">
        <v>3230.7000000000007</v>
      </c>
      <c r="I602" s="215">
        <v>1</v>
      </c>
      <c r="J602" s="217">
        <f t="shared" si="298"/>
      </c>
      <c r="K602" s="217">
        <f t="shared" si="358"/>
      </c>
      <c r="L602" s="217">
        <f t="shared" si="177"/>
      </c>
      <c r="M602" s="218">
        <f t="shared" si="238"/>
      </c>
      <c r="N602" s="217">
        <f t="shared" si="87"/>
      </c>
      <c r="O602" s="217">
        <f t="shared" si="117"/>
      </c>
      <c r="P602" s="218">
        <f t="shared" si="388"/>
      </c>
      <c r="Q602" s="218">
        <f t="shared" si="26"/>
      </c>
      <c r="R602" s="218">
        <f t="shared" si="268"/>
      </c>
      <c r="S602" s="218">
        <f t="shared" si="328"/>
      </c>
      <c r="T602" s="219">
        <f t="shared" si="147"/>
      </c>
      <c r="U602" s="220">
        <v>0.0446</v>
      </c>
      <c r="V602" s="221">
        <v>52</v>
      </c>
      <c r="W602" s="217">
        <f t="shared" si="56"/>
      </c>
      <c r="X602" s="221">
        <v>12913</v>
      </c>
      <c r="Y602" s="221">
        <v>431</v>
      </c>
      <c r="Z602" s="219">
        <v>69</v>
      </c>
      <c r="AA602" s="219">
        <v>841</v>
      </c>
      <c r="AB602" s="219">
        <v>47</v>
      </c>
      <c r="AC602" s="219">
        <v>14</v>
      </c>
      <c r="AD602" s="221">
        <v>0</v>
      </c>
      <c r="AE602" s="221">
        <v>8</v>
      </c>
      <c r="AF602" s="217">
        <f t="shared" si="207"/>
      </c>
      <c r="AG602" s="222" t="s">
        <v>159</v>
      </c>
      <c r="AH602" s="223" t="s">
        <v>184</v>
      </c>
      <c r="AI602" s="221">
        <v>21</v>
      </c>
    </row>
    <row r="603">
      <c r="A603" s="211"/>
      <c r="B603" s="227" t="s">
        <v>165</v>
      </c>
      <c r="C603" s="227"/>
      <c r="D603" s="259">
        <f>SUM(D599:D602)</f>
      </c>
      <c r="E603" s="260">
        <f>SUM(E599:E602)</f>
      </c>
      <c r="F603" s="260">
        <f>SUM(F599:F602)</f>
      </c>
      <c r="G603" s="260">
        <f>SUM(G599:G602)</f>
      </c>
      <c r="H603" s="259">
        <f>SUM(H599:H602)</f>
      </c>
      <c r="I603" s="272">
        <f>SUM(I599:I602)</f>
      </c>
      <c r="J603" s="230">
        <f t="shared" si="298"/>
      </c>
      <c r="K603" s="230">
        <f t="shared" si="358"/>
      </c>
      <c r="L603" s="230">
        <f t="shared" si="177"/>
      </c>
      <c r="M603" s="231">
        <f t="shared" si="238"/>
      </c>
      <c r="N603" s="230">
        <f t="shared" si="87"/>
      </c>
      <c r="O603" s="230">
        <f t="shared" si="117"/>
      </c>
      <c r="P603" s="231">
        <f t="shared" si="388"/>
      </c>
      <c r="Q603" s="231">
        <f t="shared" si="26"/>
      </c>
      <c r="R603" s="231">
        <f t="shared" si="268"/>
      </c>
      <c r="S603" s="231">
        <f t="shared" si="328"/>
      </c>
      <c r="T603" s="229">
        <f t="shared" si="147"/>
      </c>
      <c r="U603" s="231">
        <f>AVERAGE(U599:U602)</f>
      </c>
      <c r="V603" s="228">
        <f>AVERAGE(V599:V602)</f>
      </c>
      <c r="W603" s="230">
        <f t="shared" si="56"/>
      </c>
      <c r="X603" s="229">
        <f>SUM(X599:X602)</f>
      </c>
      <c r="Y603" s="229">
        <f>SUM(Y599:Y602)</f>
      </c>
      <c r="Z603" s="229">
        <f>SUM(Z599:Z602)</f>
      </c>
      <c r="AA603" s="229">
        <f>SUM(AA599:AA602)</f>
      </c>
      <c r="AB603" s="229">
        <f>SUM(AB599:AB602)</f>
      </c>
      <c r="AC603" s="229">
        <f>SUM(AC599:AC602)</f>
      </c>
      <c r="AD603" s="229">
        <f>SUM(AD599:AD602)</f>
      </c>
      <c r="AE603" s="229">
        <f>SUM(AE599:AE602)</f>
      </c>
      <c r="AF603" s="232">
        <f t="shared" si="207"/>
      </c>
      <c r="AG603" s="233"/>
      <c r="AH603" s="233"/>
      <c r="AI603" s="229">
        <f>SUM(AI599:AI602)</f>
      </c>
    </row>
    <row r="604">
      <c r="A604" s="211"/>
      <c r="B604" s="248" t="s">
        <v>191</v>
      </c>
      <c r="C604" s="248" t="s">
        <v>170</v>
      </c>
      <c r="D604" s="261">
        <v>2055.76</v>
      </c>
      <c r="E604" s="237">
        <v>2</v>
      </c>
      <c r="F604" s="237">
        <v>2</v>
      </c>
      <c r="G604" s="238">
        <v>2</v>
      </c>
      <c r="H604" s="239">
        <v>902</v>
      </c>
      <c r="I604" s="273">
        <v>0</v>
      </c>
      <c r="J604" s="240">
        <f t="shared" si="298"/>
      </c>
      <c r="K604" s="240">
        <f t="shared" si="358"/>
      </c>
      <c r="L604" s="240">
        <f t="shared" si="177"/>
      </c>
      <c r="M604" s="241">
        <f t="shared" si="238"/>
      </c>
      <c r="N604" s="240">
        <f t="shared" si="87"/>
      </c>
      <c r="O604" s="240">
        <f t="shared" si="117"/>
      </c>
      <c r="P604" s="241">
        <f t="shared" si="388"/>
      </c>
      <c r="Q604" s="241">
        <f t="shared" si="26"/>
      </c>
      <c r="R604" s="241">
        <f t="shared" si="268"/>
      </c>
      <c r="S604" s="241">
        <f t="shared" si="328"/>
      </c>
      <c r="T604" s="242">
        <f t="shared" si="147"/>
      </c>
      <c r="U604" s="243">
        <v>0.0364</v>
      </c>
      <c r="V604" s="244">
        <v>52</v>
      </c>
      <c r="W604" s="240">
        <f t="shared" si="56"/>
      </c>
      <c r="X604" s="242">
        <v>9949</v>
      </c>
      <c r="Y604" s="242">
        <v>468</v>
      </c>
      <c r="Z604" s="242">
        <v>68</v>
      </c>
      <c r="AA604" s="242">
        <v>799</v>
      </c>
      <c r="AB604" s="242">
        <v>47</v>
      </c>
      <c r="AC604" s="242">
        <v>6</v>
      </c>
      <c r="AD604" s="242">
        <v>0</v>
      </c>
      <c r="AE604" s="242">
        <v>7</v>
      </c>
      <c r="AF604" s="240">
        <f t="shared" si="207"/>
      </c>
      <c r="AG604" s="222" t="s">
        <v>159</v>
      </c>
      <c r="AH604" s="223" t="s">
        <v>184</v>
      </c>
      <c r="AI604" s="244">
        <v>18</v>
      </c>
    </row>
    <row r="605">
      <c r="A605" s="211"/>
      <c r="B605" s="248" t="s">
        <v>191</v>
      </c>
      <c r="C605" s="235" t="s">
        <v>172</v>
      </c>
      <c r="D605" s="261">
        <v>1089.7199999999998</v>
      </c>
      <c r="E605" s="238">
        <v>8</v>
      </c>
      <c r="F605" s="238">
        <v>6</v>
      </c>
      <c r="G605" s="238">
        <v>4</v>
      </c>
      <c r="H605" s="236">
        <v>4171.75</v>
      </c>
      <c r="I605" s="238">
        <v>2</v>
      </c>
      <c r="J605" s="240">
        <f t="shared" si="298"/>
      </c>
      <c r="K605" s="240">
        <f t="shared" si="358"/>
      </c>
      <c r="L605" s="240">
        <f t="shared" si="177"/>
      </c>
      <c r="M605" s="241">
        <f t="shared" si="238"/>
      </c>
      <c r="N605" s="240">
        <f t="shared" si="87"/>
      </c>
      <c r="O605" s="240">
        <f t="shared" si="117"/>
      </c>
      <c r="P605" s="241">
        <f t="shared" si="388"/>
      </c>
      <c r="Q605" s="241">
        <f t="shared" si="26"/>
      </c>
      <c r="R605" s="241">
        <f t="shared" si="268"/>
      </c>
      <c r="S605" s="241">
        <f t="shared" si="328"/>
      </c>
      <c r="T605" s="242">
        <f t="shared" si="147"/>
      </c>
      <c r="U605" s="243">
        <v>0.0331</v>
      </c>
      <c r="V605" s="244">
        <v>53</v>
      </c>
      <c r="W605" s="240">
        <f t="shared" si="56"/>
      </c>
      <c r="X605" s="242">
        <v>5659</v>
      </c>
      <c r="Y605" s="242">
        <v>242</v>
      </c>
      <c r="Z605" s="242">
        <v>35</v>
      </c>
      <c r="AA605" s="242">
        <v>381</v>
      </c>
      <c r="AB605" s="242">
        <v>54</v>
      </c>
      <c r="AC605" s="242">
        <v>8</v>
      </c>
      <c r="AD605" s="242">
        <v>2</v>
      </c>
      <c r="AE605" s="244">
        <v>2</v>
      </c>
      <c r="AF605" s="240">
        <f t="shared" si="207"/>
      </c>
      <c r="AG605" s="222" t="s">
        <v>173</v>
      </c>
      <c r="AH605" s="223" t="s">
        <v>184</v>
      </c>
      <c r="AI605" s="244">
        <v>7</v>
      </c>
    </row>
    <row r="606">
      <c r="A606" s="211"/>
      <c r="B606" s="249" t="s">
        <v>165</v>
      </c>
      <c r="C606" s="249"/>
      <c r="D606" s="250">
        <f>SUM(D604:D605)</f>
      </c>
      <c r="E606" s="251">
        <f>SUM(E604:E605)</f>
      </c>
      <c r="F606" s="251">
        <f>SUM(F604:F605)</f>
      </c>
      <c r="G606" s="251">
        <f>SUM(G604:G605)</f>
      </c>
      <c r="H606" s="250">
        <f>SUM(H604:H605)</f>
      </c>
      <c r="I606" s="272">
        <f>SUM(I604:I605)</f>
      </c>
      <c r="J606" s="252">
        <f t="shared" si="298"/>
      </c>
      <c r="K606" s="252">
        <f t="shared" si="358"/>
      </c>
      <c r="L606" s="252">
        <f t="shared" si="177"/>
      </c>
      <c r="M606" s="253">
        <f t="shared" si="238"/>
      </c>
      <c r="N606" s="252">
        <f t="shared" si="87"/>
      </c>
      <c r="O606" s="252">
        <f t="shared" si="117"/>
      </c>
      <c r="P606" s="253">
        <f t="shared" si="388"/>
      </c>
      <c r="Q606" s="253">
        <f t="shared" si="26"/>
      </c>
      <c r="R606" s="253">
        <f t="shared" si="268"/>
      </c>
      <c r="S606" s="253">
        <f t="shared" si="328"/>
      </c>
      <c r="T606" s="254">
        <f t="shared" si="147"/>
      </c>
      <c r="U606" s="253">
        <f>AVERAGE(U604:U605)</f>
      </c>
      <c r="V606" s="250">
        <f>AVERAGE(V604:V605)</f>
      </c>
      <c r="W606" s="252">
        <f t="shared" si="56"/>
      </c>
      <c r="X606" s="254">
        <f>SUM(X604:X605)</f>
      </c>
      <c r="Y606" s="254">
        <f>SUM(Y604:Y605)</f>
      </c>
      <c r="Z606" s="254">
        <f>SUM(Z604:Z605)</f>
      </c>
      <c r="AA606" s="254">
        <f>SUM(AA604:AA605)</f>
      </c>
      <c r="AB606" s="254">
        <f>SUM(AB604:AB605)</f>
      </c>
      <c r="AC606" s="254">
        <f>SUM(AC604:AC605)</f>
      </c>
      <c r="AD606" s="254">
        <f>SUM(AD604:AD605)</f>
      </c>
      <c r="AE606" s="254">
        <f>SUM(AE604:AE605)</f>
      </c>
      <c r="AF606" s="255">
        <f t="shared" si="207"/>
      </c>
      <c r="AG606" s="256"/>
      <c r="AH606" s="256"/>
      <c r="AI606" s="257">
        <f>SUM(AI604:AI605)</f>
      </c>
    </row>
    <row r="607">
      <c r="A607" s="211"/>
      <c r="B607" s="264" t="s">
        <v>183</v>
      </c>
      <c r="C607" s="264"/>
      <c r="D607" s="265">
        <f>D598+D603+D606</f>
      </c>
      <c r="E607" s="265">
        <f>E598+E603+E606</f>
      </c>
      <c r="F607" s="265">
        <f>F598+F603+F606</f>
      </c>
      <c r="G607" s="265">
        <f>G598+G603+G606</f>
      </c>
      <c r="H607" s="265">
        <f>H598+H603+H606</f>
      </c>
      <c r="I607" s="265">
        <f>I598+I603+I606</f>
      </c>
      <c r="J607" s="266">
        <f t="shared" si="298"/>
      </c>
      <c r="K607" s="267">
        <f t="shared" si="358"/>
      </c>
      <c r="L607" s="267">
        <f t="shared" si="177"/>
      </c>
      <c r="M607" s="268">
        <f t="shared" si="238"/>
      </c>
      <c r="N607" s="267">
        <f t="shared" si="87"/>
      </c>
      <c r="O607" s="267">
        <f t="shared" si="117"/>
      </c>
      <c r="P607" s="268">
        <f t="shared" si="388"/>
      </c>
      <c r="Q607" s="268">
        <f t="shared" si="26"/>
      </c>
      <c r="R607" s="268">
        <f t="shared" si="268"/>
      </c>
      <c r="S607" s="268">
        <f t="shared" si="328"/>
      </c>
      <c r="T607" s="269">
        <f t="shared" si="147"/>
      </c>
      <c r="U607" s="268">
        <f>(U603+U598+U606)/4</f>
      </c>
      <c r="V607" s="267">
        <f>(V603+V598+V606)/4</f>
      </c>
      <c r="W607" s="270">
        <f t="shared" si="56"/>
      </c>
      <c r="X607" s="269">
        <f>X598+X603+X606</f>
      </c>
      <c r="Y607" s="269">
        <f>Y598+Y603+Y606</f>
      </c>
      <c r="Z607" s="269">
        <f>Z598+Z603+Z606</f>
      </c>
      <c r="AA607" s="269">
        <f>AA598+AA603+AA606</f>
      </c>
      <c r="AB607" s="269">
        <f>AB598+AB603+AB606</f>
      </c>
      <c r="AC607" s="269">
        <f>AC598+AC603+AC606</f>
      </c>
      <c r="AD607" s="269">
        <f>AD598+AD603+AD606</f>
      </c>
      <c r="AE607" s="269">
        <f>AE606+AE598+AE603+AE606</f>
      </c>
      <c r="AF607" s="269">
        <f>AF606</f>
      </c>
      <c r="AG607" s="264"/>
      <c r="AH607" s="264"/>
      <c r="AI607" s="269">
        <f>AI598+AI603+AI606</f>
      </c>
    </row>
    <row r="608">
      <c r="A608" s="193" t="s">
        <v>120</v>
      </c>
      <c r="B608" s="194" t="s">
        <v>121</v>
      </c>
      <c r="C608" s="194"/>
      <c r="D608" s="277" t="s">
        <v>122</v>
      </c>
      <c r="E608" s="277"/>
      <c r="F608" s="277"/>
      <c r="G608" s="277"/>
      <c r="H608" s="277"/>
      <c r="I608" s="277"/>
      <c r="J608" s="277"/>
      <c r="K608" s="277"/>
      <c r="L608" s="277"/>
      <c r="M608" s="277"/>
      <c r="N608" s="277"/>
      <c r="O608" s="196" t="s">
        <v>123</v>
      </c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7"/>
    </row>
    <row r="609">
      <c r="A609" s="193"/>
      <c r="B609" s="278" t="s">
        <v>124</v>
      </c>
      <c r="C609" s="279" t="s">
        <v>125</v>
      </c>
      <c r="D609" s="280" t="s">
        <v>126</v>
      </c>
      <c r="E609" s="281" t="s">
        <v>127</v>
      </c>
      <c r="F609" s="282" t="s">
        <v>128</v>
      </c>
      <c r="G609" s="282" t="s">
        <v>129</v>
      </c>
      <c r="H609" s="283" t="s">
        <v>130</v>
      </c>
      <c r="I609" s="271" t="s">
        <v>189</v>
      </c>
      <c r="J609" s="202" t="s">
        <v>131</v>
      </c>
      <c r="K609" s="202" t="s">
        <v>132</v>
      </c>
      <c r="L609" s="202" t="s">
        <v>133</v>
      </c>
      <c r="M609" s="203" t="s">
        <v>134</v>
      </c>
      <c r="N609" s="202" t="s">
        <v>135</v>
      </c>
      <c r="O609" s="204" t="s">
        <v>136</v>
      </c>
      <c r="P609" s="205" t="s">
        <v>137</v>
      </c>
      <c r="Q609" s="205" t="s">
        <v>138</v>
      </c>
      <c r="R609" s="205" t="s">
        <v>139</v>
      </c>
      <c r="S609" s="205" t="s">
        <v>140</v>
      </c>
      <c r="T609" s="206" t="s">
        <v>141</v>
      </c>
      <c r="U609" s="207" t="s">
        <v>142</v>
      </c>
      <c r="V609" s="208" t="s">
        <v>143</v>
      </c>
      <c r="W609" s="196" t="s">
        <v>144</v>
      </c>
      <c r="X609" s="209" t="s">
        <v>145</v>
      </c>
      <c r="Y609" s="209" t="s">
        <v>146</v>
      </c>
      <c r="Z609" s="209" t="s">
        <v>147</v>
      </c>
      <c r="AA609" s="209" t="s">
        <v>148</v>
      </c>
      <c r="AB609" s="209" t="s">
        <v>149</v>
      </c>
      <c r="AC609" s="209" t="s">
        <v>150</v>
      </c>
      <c r="AD609" s="209" t="s">
        <v>151</v>
      </c>
      <c r="AE609" s="209" t="s">
        <v>152</v>
      </c>
      <c r="AF609" s="196" t="s">
        <v>153</v>
      </c>
      <c r="AG609" s="210" t="s">
        <v>154</v>
      </c>
      <c r="AH609" s="210" t="s">
        <v>155</v>
      </c>
      <c r="AI609" s="197" t="s">
        <v>156</v>
      </c>
    </row>
    <row r="610">
      <c r="A610" s="211">
        <v>46201</v>
      </c>
      <c r="B610" s="212" t="s">
        <v>157</v>
      </c>
      <c r="C610" s="213" t="s">
        <v>158</v>
      </c>
      <c r="D610" s="246">
        <v>1887.61</v>
      </c>
      <c r="E610" s="247">
        <v>3</v>
      </c>
      <c r="F610" s="247">
        <v>1</v>
      </c>
      <c r="G610" s="247">
        <v>1</v>
      </c>
      <c r="H610" s="239">
        <v>451</v>
      </c>
      <c r="I610" s="273">
        <v>0</v>
      </c>
      <c r="J610" s="240">
        <f t="shared" ref="J610:J623" si="299">H610/D610</f>
      </c>
      <c r="K610" s="240">
        <f t="shared" ref="K610:K623" si="359">D610/F610</f>
      </c>
      <c r="L610" s="240">
        <f t="shared" ref="L610:L623" si="178">D610/G610</f>
      </c>
      <c r="M610" s="241">
        <f t="shared" ref="M610:M623" si="239">F610/E610</f>
      </c>
      <c r="N610" s="240">
        <f t="shared" ref="N610:N623" si="88">H610/F610</f>
      </c>
      <c r="O610" s="240">
        <f t="shared" ref="O610:O623" si="118">D610/Y610</f>
      </c>
      <c r="P610" s="241">
        <f t="shared" ref="P610:P623" si="389">T610/X610*1</f>
      </c>
      <c r="Q610" s="241">
        <f t="shared" ref="Q610:Q623" si="27">Y610/X610</f>
      </c>
      <c r="R610" s="241">
        <f t="shared" ref="R610:R623" si="269">AA610/X610</f>
      </c>
      <c r="S610" s="241">
        <f t="shared" ref="S610:S623" si="329">AB610/AA610</f>
      </c>
      <c r="T610" s="242">
        <f t="shared" ref="T610:T623" si="148">Z610/U610</f>
      </c>
      <c r="U610" s="243">
        <v>0.027</v>
      </c>
      <c r="V610" s="244">
        <v>39</v>
      </c>
      <c r="W610" s="240">
        <f t="shared" ref="W610:W623" si="57">(D610/X610)*1000</f>
      </c>
      <c r="X610" s="242">
        <v>11223</v>
      </c>
      <c r="Y610" s="242">
        <v>514</v>
      </c>
      <c r="Z610" s="242">
        <v>73</v>
      </c>
      <c r="AA610" s="242">
        <v>1021</v>
      </c>
      <c r="AB610" s="242">
        <v>54</v>
      </c>
      <c r="AC610" s="242">
        <v>11</v>
      </c>
      <c r="AD610" s="242">
        <v>0</v>
      </c>
      <c r="AE610" s="244">
        <v>5</v>
      </c>
      <c r="AF610" s="240">
        <f t="shared" ref="AF610:AF622" si="208">AI610*1000/D610</f>
      </c>
      <c r="AG610" s="222" t="s">
        <v>159</v>
      </c>
      <c r="AH610" s="223" t="s">
        <v>195</v>
      </c>
      <c r="AI610" s="244">
        <v>42</v>
      </c>
    </row>
    <row r="611">
      <c r="A611" s="211"/>
      <c r="B611" s="212" t="s">
        <v>157</v>
      </c>
      <c r="C611" s="213" t="s">
        <v>161</v>
      </c>
      <c r="D611" s="236">
        <v>1533.63</v>
      </c>
      <c r="E611" s="247">
        <v>0</v>
      </c>
      <c r="F611" s="247">
        <v>0</v>
      </c>
      <c r="G611" s="247">
        <v>0</v>
      </c>
      <c r="H611" s="236">
        <v>0</v>
      </c>
      <c r="I611" s="238">
        <v>0</v>
      </c>
      <c r="J611" s="240">
        <f t="shared" si="299"/>
      </c>
      <c r="K611" s="240">
        <f t="shared" si="359"/>
      </c>
      <c r="L611" s="240">
        <f t="shared" si="178"/>
      </c>
      <c r="M611" s="241">
        <f t="shared" si="239"/>
      </c>
      <c r="N611" s="240">
        <f t="shared" si="88"/>
      </c>
      <c r="O611" s="240">
        <f t="shared" si="118"/>
      </c>
      <c r="P611" s="241">
        <f t="shared" si="389"/>
      </c>
      <c r="Q611" s="241">
        <f t="shared" si="27"/>
      </c>
      <c r="R611" s="241">
        <f t="shared" si="269"/>
      </c>
      <c r="S611" s="241">
        <f t="shared" si="329"/>
      </c>
      <c r="T611" s="242">
        <f t="shared" si="148"/>
      </c>
      <c r="U611" s="243">
        <v>0.0303</v>
      </c>
      <c r="V611" s="244">
        <v>37</v>
      </c>
      <c r="W611" s="240">
        <f t="shared" si="57"/>
      </c>
      <c r="X611" s="242">
        <v>8925</v>
      </c>
      <c r="Y611" s="242">
        <v>470</v>
      </c>
      <c r="Z611" s="242">
        <v>62</v>
      </c>
      <c r="AA611" s="242">
        <v>926</v>
      </c>
      <c r="AB611" s="242">
        <v>47</v>
      </c>
      <c r="AC611" s="242">
        <v>13</v>
      </c>
      <c r="AD611" s="242">
        <v>2</v>
      </c>
      <c r="AE611" s="244">
        <v>4</v>
      </c>
      <c r="AF611" s="240">
        <f t="shared" si="208"/>
      </c>
      <c r="AG611" s="222" t="s">
        <v>159</v>
      </c>
      <c r="AH611" s="223" t="s">
        <v>195</v>
      </c>
      <c r="AI611" s="244">
        <v>19</v>
      </c>
    </row>
    <row r="612">
      <c r="A612" s="211"/>
      <c r="B612" s="212" t="s">
        <v>157</v>
      </c>
      <c r="C612" s="224" t="s">
        <v>162</v>
      </c>
      <c r="D612" s="236">
        <v>1214.98</v>
      </c>
      <c r="E612" s="247">
        <v>2</v>
      </c>
      <c r="F612" s="247">
        <v>0</v>
      </c>
      <c r="G612" s="247">
        <v>0</v>
      </c>
      <c r="H612" s="236">
        <v>0</v>
      </c>
      <c r="I612" s="238">
        <v>0</v>
      </c>
      <c r="J612" s="240">
        <f t="shared" si="299"/>
      </c>
      <c r="K612" s="240">
        <f t="shared" si="359"/>
      </c>
      <c r="L612" s="240">
        <f t="shared" si="178"/>
      </c>
      <c r="M612" s="241">
        <f t="shared" si="239"/>
      </c>
      <c r="N612" s="240">
        <f t="shared" si="88"/>
      </c>
      <c r="O612" s="240">
        <f t="shared" si="118"/>
      </c>
      <c r="P612" s="241">
        <f t="shared" si="389"/>
      </c>
      <c r="Q612" s="241">
        <f t="shared" si="27"/>
      </c>
      <c r="R612" s="241">
        <f t="shared" si="269"/>
      </c>
      <c r="S612" s="241">
        <f t="shared" si="329"/>
      </c>
      <c r="T612" s="242">
        <f t="shared" si="148"/>
      </c>
      <c r="U612" s="243">
        <v>0.0292</v>
      </c>
      <c r="V612" s="244">
        <v>37</v>
      </c>
      <c r="W612" s="240">
        <f t="shared" si="57"/>
      </c>
      <c r="X612" s="242">
        <v>6765</v>
      </c>
      <c r="Y612" s="242">
        <v>382</v>
      </c>
      <c r="Z612" s="242">
        <v>44</v>
      </c>
      <c r="AA612" s="242">
        <v>727</v>
      </c>
      <c r="AB612" s="242">
        <v>40</v>
      </c>
      <c r="AC612" s="242">
        <v>2</v>
      </c>
      <c r="AD612" s="242">
        <v>0</v>
      </c>
      <c r="AE612" s="244">
        <v>5</v>
      </c>
      <c r="AF612" s="240">
        <f t="shared" si="208"/>
      </c>
      <c r="AG612" s="222" t="s">
        <v>159</v>
      </c>
      <c r="AH612" s="223" t="s">
        <v>195</v>
      </c>
      <c r="AI612" s="244">
        <v>26</v>
      </c>
    </row>
    <row r="613">
      <c r="A613" s="211"/>
      <c r="B613" s="212" t="s">
        <v>157</v>
      </c>
      <c r="C613" s="213" t="s">
        <v>163</v>
      </c>
      <c r="D613" s="236">
        <v>1181.71</v>
      </c>
      <c r="E613" s="238">
        <v>0</v>
      </c>
      <c r="F613" s="238">
        <v>2</v>
      </c>
      <c r="G613" s="238">
        <v>2</v>
      </c>
      <c r="H613" s="236">
        <v>1621.4</v>
      </c>
      <c r="I613" s="238">
        <v>1</v>
      </c>
      <c r="J613" s="240">
        <f t="shared" si="299"/>
      </c>
      <c r="K613" s="240">
        <f t="shared" si="359"/>
      </c>
      <c r="L613" s="240">
        <f t="shared" si="178"/>
      </c>
      <c r="M613" s="241">
        <f t="shared" si="239"/>
      </c>
      <c r="N613" s="240">
        <f t="shared" si="88"/>
      </c>
      <c r="O613" s="240">
        <f t="shared" si="118"/>
      </c>
      <c r="P613" s="241">
        <f t="shared" si="389"/>
      </c>
      <c r="Q613" s="241">
        <f t="shared" si="27"/>
      </c>
      <c r="R613" s="241">
        <f t="shared" si="269"/>
      </c>
      <c r="S613" s="241">
        <f t="shared" si="329"/>
      </c>
      <c r="T613" s="242">
        <f t="shared" si="148"/>
      </c>
      <c r="U613" s="243">
        <v>0.0358</v>
      </c>
      <c r="V613" s="244">
        <v>38</v>
      </c>
      <c r="W613" s="240">
        <f t="shared" si="57"/>
      </c>
      <c r="X613" s="242">
        <v>6228</v>
      </c>
      <c r="Y613" s="242">
        <v>339</v>
      </c>
      <c r="Z613" s="242">
        <v>44</v>
      </c>
      <c r="AA613" s="242">
        <v>569</v>
      </c>
      <c r="AB613" s="242">
        <v>61</v>
      </c>
      <c r="AC613" s="242">
        <v>1</v>
      </c>
      <c r="AD613" s="242">
        <v>0</v>
      </c>
      <c r="AE613" s="242">
        <v>1</v>
      </c>
      <c r="AF613" s="240">
        <f t="shared" si="208"/>
      </c>
      <c r="AG613" s="222" t="s">
        <v>159</v>
      </c>
      <c r="AH613" s="223" t="s">
        <v>195</v>
      </c>
      <c r="AI613" s="244">
        <v>28</v>
      </c>
    </row>
    <row r="614">
      <c r="A614" s="211"/>
      <c r="B614" s="249" t="s">
        <v>165</v>
      </c>
      <c r="C614" s="249"/>
      <c r="D614" s="250">
        <f>SUM(D610:D613)</f>
      </c>
      <c r="E614" s="251">
        <f>SUM(E610:E613)</f>
      </c>
      <c r="F614" s="251">
        <f>SUM(F610:F613)</f>
      </c>
      <c r="G614" s="251">
        <f>SUM(G610:G613)</f>
      </c>
      <c r="H614" s="250">
        <f>SUM(H610:H613)</f>
      </c>
      <c r="I614" s="272">
        <f>SUM(I610:I613)</f>
      </c>
      <c r="J614" s="252">
        <f t="shared" si="299"/>
      </c>
      <c r="K614" s="252">
        <f t="shared" si="359"/>
      </c>
      <c r="L614" s="252">
        <f t="shared" si="178"/>
      </c>
      <c r="M614" s="253">
        <f t="shared" si="239"/>
      </c>
      <c r="N614" s="252">
        <f t="shared" si="88"/>
      </c>
      <c r="O614" s="252">
        <f t="shared" si="118"/>
      </c>
      <c r="P614" s="253">
        <f t="shared" si="389"/>
      </c>
      <c r="Q614" s="253">
        <f t="shared" si="27"/>
      </c>
      <c r="R614" s="253">
        <f t="shared" si="269"/>
      </c>
      <c r="S614" s="253">
        <f t="shared" si="329"/>
      </c>
      <c r="T614" s="254">
        <f t="shared" si="148"/>
      </c>
      <c r="U614" s="253">
        <f>AVERAGE(U610:U613)</f>
      </c>
      <c r="V614" s="250">
        <f>AVERAGE(V610:V613)</f>
      </c>
      <c r="W614" s="252">
        <f t="shared" si="57"/>
      </c>
      <c r="X614" s="254">
        <f>SUM(X610:X613)</f>
      </c>
      <c r="Y614" s="254">
        <f>SUM(Y610:Y613)</f>
      </c>
      <c r="Z614" s="254">
        <f>SUM(Z610:Z613)</f>
      </c>
      <c r="AA614" s="254">
        <f>SUM(AA610:AA613)</f>
      </c>
      <c r="AB614" s="254">
        <f>SUM(AB610:AB613)</f>
      </c>
      <c r="AC614" s="254">
        <f>SUM(AC610:AC613)</f>
      </c>
      <c r="AD614" s="254">
        <f>SUM(AD610:AD613)</f>
      </c>
      <c r="AE614" s="254">
        <f>SUM(AE610:AE613)</f>
      </c>
      <c r="AF614" s="255">
        <f t="shared" si="208"/>
      </c>
      <c r="AG614" s="256"/>
      <c r="AH614" s="256"/>
      <c r="AI614" s="257">
        <f>SUM(AI610:AI613)</f>
      </c>
    </row>
    <row r="615">
      <c r="A615" s="211"/>
      <c r="B615" s="212" t="s">
        <v>178</v>
      </c>
      <c r="C615" s="212" t="s">
        <v>164</v>
      </c>
      <c r="D615" s="212">
        <v>568.12</v>
      </c>
      <c r="E615" s="215">
        <v>0</v>
      </c>
      <c r="F615" s="215">
        <v>0</v>
      </c>
      <c r="G615" s="215">
        <v>0</v>
      </c>
      <c r="H615" s="275">
        <v>0</v>
      </c>
      <c r="I615" s="215">
        <v>0</v>
      </c>
      <c r="J615" s="217">
        <f t="shared" si="299"/>
      </c>
      <c r="K615" s="217">
        <f t="shared" si="359"/>
      </c>
      <c r="L615" s="217">
        <f t="shared" si="178"/>
      </c>
      <c r="M615" s="218">
        <f t="shared" si="239"/>
      </c>
      <c r="N615" s="217">
        <f t="shared" si="88"/>
      </c>
      <c r="O615" s="217">
        <f t="shared" si="118"/>
      </c>
      <c r="P615" s="218">
        <f t="shared" si="389"/>
      </c>
      <c r="Q615" s="218">
        <f t="shared" si="27"/>
      </c>
      <c r="R615" s="218">
        <f t="shared" si="269"/>
      </c>
      <c r="S615" s="218">
        <f t="shared" si="329"/>
      </c>
      <c r="T615" s="219">
        <f t="shared" si="148"/>
      </c>
      <c r="U615" s="220">
        <v>0.0099</v>
      </c>
      <c r="V615" s="221">
        <v>31</v>
      </c>
      <c r="W615" s="217">
        <f t="shared" si="57"/>
      </c>
      <c r="X615" s="221">
        <v>2829</v>
      </c>
      <c r="Y615" s="221">
        <v>194</v>
      </c>
      <c r="Z615" s="219">
        <v>9</v>
      </c>
      <c r="AA615" s="219">
        <v>404</v>
      </c>
      <c r="AB615" s="219">
        <v>14</v>
      </c>
      <c r="AC615" s="219">
        <v>1</v>
      </c>
      <c r="AD615" s="221">
        <v>0</v>
      </c>
      <c r="AE615" s="221">
        <v>1</v>
      </c>
      <c r="AF615" s="217">
        <f t="shared" si="208"/>
      </c>
      <c r="AG615" s="222" t="s">
        <v>159</v>
      </c>
      <c r="AH615" s="223" t="s">
        <v>195</v>
      </c>
      <c r="AI615" s="221">
        <v>5</v>
      </c>
    </row>
    <row r="616">
      <c r="A616" s="211"/>
      <c r="B616" s="212" t="s">
        <v>178</v>
      </c>
      <c r="C616" s="235" t="s">
        <v>167</v>
      </c>
      <c r="D616" s="212">
        <v>522.43</v>
      </c>
      <c r="E616" s="215">
        <v>1</v>
      </c>
      <c r="F616" s="215">
        <v>1</v>
      </c>
      <c r="G616" s="215">
        <v>0</v>
      </c>
      <c r="H616" s="275">
        <v>451</v>
      </c>
      <c r="I616" s="215">
        <v>0</v>
      </c>
      <c r="J616" s="217">
        <f t="shared" si="299"/>
      </c>
      <c r="K616" s="217">
        <f t="shared" si="359"/>
      </c>
      <c r="L616" s="217">
        <f t="shared" si="178"/>
      </c>
      <c r="M616" s="218">
        <f t="shared" si="239"/>
      </c>
      <c r="N616" s="217">
        <f t="shared" si="88"/>
      </c>
      <c r="O616" s="217">
        <f t="shared" si="118"/>
      </c>
      <c r="P616" s="218">
        <f t="shared" si="389"/>
      </c>
      <c r="Q616" s="218">
        <f t="shared" si="27"/>
      </c>
      <c r="R616" s="218">
        <f t="shared" si="269"/>
      </c>
      <c r="S616" s="218">
        <f t="shared" si="329"/>
      </c>
      <c r="T616" s="219">
        <f t="shared" si="148"/>
      </c>
      <c r="U616" s="220">
        <v>0.0229</v>
      </c>
      <c r="V616" s="221">
        <v>32</v>
      </c>
      <c r="W616" s="217">
        <f t="shared" si="57"/>
      </c>
      <c r="X616" s="219">
        <v>3424</v>
      </c>
      <c r="Y616" s="219">
        <v>260</v>
      </c>
      <c r="Z616" s="219">
        <v>23</v>
      </c>
      <c r="AA616" s="219">
        <v>499</v>
      </c>
      <c r="AB616" s="219">
        <v>6</v>
      </c>
      <c r="AC616" s="219">
        <v>4</v>
      </c>
      <c r="AD616" s="219">
        <v>0</v>
      </c>
      <c r="AE616" s="221">
        <v>1</v>
      </c>
      <c r="AF616" s="217">
        <f t="shared" si="208"/>
      </c>
      <c r="AG616" s="222" t="s">
        <v>159</v>
      </c>
      <c r="AH616" s="223" t="s">
        <v>195</v>
      </c>
      <c r="AI616" s="221">
        <v>7</v>
      </c>
    </row>
    <row r="617">
      <c r="A617" s="211"/>
      <c r="B617" s="212" t="s">
        <v>178</v>
      </c>
      <c r="C617" s="245" t="s">
        <v>168</v>
      </c>
      <c r="D617" s="212">
        <v>848.25</v>
      </c>
      <c r="E617" s="215">
        <v>6</v>
      </c>
      <c r="F617" s="215">
        <v>1</v>
      </c>
      <c r="G617" s="215">
        <v>1</v>
      </c>
      <c r="H617" s="275">
        <v>2789.6</v>
      </c>
      <c r="I617" s="215">
        <v>1</v>
      </c>
      <c r="J617" s="217">
        <f t="shared" si="299"/>
      </c>
      <c r="K617" s="217">
        <f t="shared" si="359"/>
      </c>
      <c r="L617" s="217">
        <f t="shared" si="178"/>
      </c>
      <c r="M617" s="218">
        <f t="shared" si="239"/>
      </c>
      <c r="N617" s="217">
        <f t="shared" si="88"/>
      </c>
      <c r="O617" s="217">
        <f t="shared" si="118"/>
      </c>
      <c r="P617" s="218">
        <f t="shared" si="389"/>
      </c>
      <c r="Q617" s="218">
        <f t="shared" si="27"/>
      </c>
      <c r="R617" s="218">
        <f t="shared" si="269"/>
      </c>
      <c r="S617" s="218">
        <f t="shared" si="329"/>
      </c>
      <c r="T617" s="219">
        <f t="shared" si="148"/>
      </c>
      <c r="U617" s="220">
        <v>0.0381</v>
      </c>
      <c r="V617" s="221">
        <v>41</v>
      </c>
      <c r="W617" s="217">
        <f t="shared" si="57"/>
      </c>
      <c r="X617" s="221">
        <v>4501</v>
      </c>
      <c r="Y617" s="221">
        <v>302</v>
      </c>
      <c r="Z617" s="221">
        <v>39</v>
      </c>
      <c r="AA617" s="221">
        <v>521</v>
      </c>
      <c r="AB617" s="221">
        <v>27</v>
      </c>
      <c r="AC617" s="221">
        <v>4</v>
      </c>
      <c r="AD617" s="221">
        <v>0</v>
      </c>
      <c r="AE617" s="221">
        <v>5</v>
      </c>
      <c r="AF617" s="217">
        <f t="shared" si="208"/>
      </c>
      <c r="AG617" s="222" t="s">
        <v>159</v>
      </c>
      <c r="AH617" s="223" t="s">
        <v>195</v>
      </c>
      <c r="AI617" s="221">
        <v>9</v>
      </c>
    </row>
    <row r="618">
      <c r="A618" s="211"/>
      <c r="B618" s="212" t="s">
        <v>178</v>
      </c>
      <c r="C618" s="235" t="s">
        <v>169</v>
      </c>
      <c r="D618" s="212">
        <v>761.85</v>
      </c>
      <c r="E618" s="215">
        <v>1</v>
      </c>
      <c r="F618" s="215">
        <v>1</v>
      </c>
      <c r="G618" s="215">
        <v>1</v>
      </c>
      <c r="H618" s="275">
        <v>781</v>
      </c>
      <c r="I618" s="215">
        <v>1</v>
      </c>
      <c r="J618" s="217">
        <f t="shared" si="299"/>
      </c>
      <c r="K618" s="217">
        <f t="shared" si="359"/>
      </c>
      <c r="L618" s="217">
        <f t="shared" si="178"/>
      </c>
      <c r="M618" s="218">
        <f t="shared" si="239"/>
      </c>
      <c r="N618" s="217">
        <f t="shared" si="88"/>
      </c>
      <c r="O618" s="217">
        <f t="shared" si="118"/>
      </c>
      <c r="P618" s="218">
        <f t="shared" si="389"/>
      </c>
      <c r="Q618" s="218">
        <f t="shared" si="27"/>
      </c>
      <c r="R618" s="218">
        <f t="shared" si="269"/>
      </c>
      <c r="S618" s="218">
        <f t="shared" si="329"/>
      </c>
      <c r="T618" s="219">
        <f t="shared" si="148"/>
      </c>
      <c r="U618" s="220">
        <v>0.0318</v>
      </c>
      <c r="V618" s="221">
        <v>43</v>
      </c>
      <c r="W618" s="217">
        <f t="shared" si="57"/>
      </c>
      <c r="X618" s="221">
        <v>4220</v>
      </c>
      <c r="Y618" s="221">
        <v>284</v>
      </c>
      <c r="Z618" s="219">
        <v>26</v>
      </c>
      <c r="AA618" s="219">
        <v>515</v>
      </c>
      <c r="AB618" s="219">
        <v>20</v>
      </c>
      <c r="AC618" s="219">
        <v>2</v>
      </c>
      <c r="AD618" s="221">
        <v>0</v>
      </c>
      <c r="AE618" s="221">
        <v>2</v>
      </c>
      <c r="AF618" s="217">
        <f t="shared" si="208"/>
      </c>
      <c r="AG618" s="222" t="s">
        <v>159</v>
      </c>
      <c r="AH618" s="223" t="s">
        <v>195</v>
      </c>
      <c r="AI618" s="221">
        <v>9</v>
      </c>
    </row>
    <row r="619">
      <c r="A619" s="211"/>
      <c r="B619" s="227" t="s">
        <v>165</v>
      </c>
      <c r="C619" s="227"/>
      <c r="D619" s="259">
        <f>SUM(D615:D618)</f>
      </c>
      <c r="E619" s="260">
        <f>SUM(E615:E618)</f>
      </c>
      <c r="F619" s="260">
        <f>SUM(F615:F618)</f>
      </c>
      <c r="G619" s="260">
        <f>SUM(G615:G618)</f>
      </c>
      <c r="H619" s="259">
        <f>SUM(H615:H618)</f>
      </c>
      <c r="I619" s="272">
        <f>SUM(I615:I618)</f>
      </c>
      <c r="J619" s="230">
        <f t="shared" si="299"/>
      </c>
      <c r="K619" s="230">
        <f t="shared" si="359"/>
      </c>
      <c r="L619" s="230">
        <f t="shared" si="178"/>
      </c>
      <c r="M619" s="231">
        <f t="shared" si="239"/>
      </c>
      <c r="N619" s="230">
        <f t="shared" si="88"/>
      </c>
      <c r="O619" s="230">
        <f t="shared" si="118"/>
      </c>
      <c r="P619" s="231">
        <f t="shared" si="389"/>
      </c>
      <c r="Q619" s="231">
        <f t="shared" si="27"/>
      </c>
      <c r="R619" s="231">
        <f t="shared" si="269"/>
      </c>
      <c r="S619" s="231">
        <f t="shared" si="329"/>
      </c>
      <c r="T619" s="229">
        <f t="shared" si="148"/>
      </c>
      <c r="U619" s="231">
        <f>AVERAGE(U615:U618)</f>
      </c>
      <c r="V619" s="228">
        <f>AVERAGE(V615:V618)</f>
      </c>
      <c r="W619" s="230">
        <f t="shared" si="57"/>
      </c>
      <c r="X619" s="229">
        <f>SUM(X615:X618)</f>
      </c>
      <c r="Y619" s="229">
        <f>SUM(Y615:Y618)</f>
      </c>
      <c r="Z619" s="229">
        <f>SUM(Z615:Z618)</f>
      </c>
      <c r="AA619" s="229">
        <f>SUM(AA615:AA618)</f>
      </c>
      <c r="AB619" s="229">
        <f>SUM(AB615:AB618)</f>
      </c>
      <c r="AC619" s="229">
        <f>SUM(AC615:AC618)</f>
      </c>
      <c r="AD619" s="229">
        <f>SUM(AD615:AD618)</f>
      </c>
      <c r="AE619" s="229">
        <f>SUM(AE615:AE618)</f>
      </c>
      <c r="AF619" s="232">
        <f t="shared" si="208"/>
      </c>
      <c r="AG619" s="233"/>
      <c r="AH619" s="233"/>
      <c r="AI619" s="229">
        <f>SUM(AI615:AI618)</f>
      </c>
    </row>
    <row r="620">
      <c r="A620" s="211"/>
      <c r="B620" s="248" t="s">
        <v>191</v>
      </c>
      <c r="C620" s="248" t="s">
        <v>170</v>
      </c>
      <c r="D620" s="261">
        <v>813.71</v>
      </c>
      <c r="E620" s="237">
        <v>2</v>
      </c>
      <c r="F620" s="237">
        <v>2</v>
      </c>
      <c r="G620" s="238">
        <v>2</v>
      </c>
      <c r="H620" s="239">
        <v>1621.3999999999996</v>
      </c>
      <c r="I620" s="273">
        <v>1</v>
      </c>
      <c r="J620" s="240">
        <f t="shared" si="299"/>
      </c>
      <c r="K620" s="240">
        <f t="shared" si="359"/>
      </c>
      <c r="L620" s="240">
        <f t="shared" si="178"/>
      </c>
      <c r="M620" s="241">
        <f t="shared" si="239"/>
      </c>
      <c r="N620" s="240">
        <f t="shared" si="88"/>
      </c>
      <c r="O620" s="240">
        <f t="shared" si="118"/>
      </c>
      <c r="P620" s="241">
        <f t="shared" si="389"/>
      </c>
      <c r="Q620" s="241">
        <f t="shared" si="27"/>
      </c>
      <c r="R620" s="241">
        <f t="shared" si="269"/>
      </c>
      <c r="S620" s="241">
        <f t="shared" si="329"/>
      </c>
      <c r="T620" s="242">
        <f t="shared" si="148"/>
      </c>
      <c r="U620" s="243">
        <v>0.0452</v>
      </c>
      <c r="V620" s="244">
        <v>47</v>
      </c>
      <c r="W620" s="240">
        <f t="shared" si="57"/>
      </c>
      <c r="X620" s="242">
        <v>4044</v>
      </c>
      <c r="Y620" s="242">
        <v>218</v>
      </c>
      <c r="Z620" s="242">
        <v>34</v>
      </c>
      <c r="AA620" s="242">
        <v>394</v>
      </c>
      <c r="AB620" s="242">
        <v>25</v>
      </c>
      <c r="AC620" s="242">
        <v>1</v>
      </c>
      <c r="AD620" s="242">
        <v>1</v>
      </c>
      <c r="AE620" s="242">
        <v>1</v>
      </c>
      <c r="AF620" s="240">
        <f t="shared" si="208"/>
      </c>
      <c r="AG620" s="222" t="s">
        <v>159</v>
      </c>
      <c r="AH620" s="223" t="s">
        <v>195</v>
      </c>
      <c r="AI620" s="244">
        <v>10</v>
      </c>
    </row>
    <row r="621">
      <c r="A621" s="211"/>
      <c r="B621" s="248" t="s">
        <v>191</v>
      </c>
      <c r="C621" s="235" t="s">
        <v>172</v>
      </c>
      <c r="D621" s="261">
        <f>490.24+11.76</f>
      </c>
      <c r="E621" s="238">
        <v>1</v>
      </c>
      <c r="F621" s="238">
        <v>1</v>
      </c>
      <c r="G621" s="238">
        <v>1</v>
      </c>
      <c r="H621" s="236">
        <v>451</v>
      </c>
      <c r="I621" s="295">
        <v>0</v>
      </c>
      <c r="J621" s="296">
        <f t="shared" si="299"/>
      </c>
      <c r="K621" s="240">
        <f t="shared" si="359"/>
      </c>
      <c r="L621" s="240">
        <f t="shared" si="178"/>
      </c>
      <c r="M621" s="241">
        <f t="shared" si="239"/>
      </c>
      <c r="N621" s="240">
        <f t="shared" si="88"/>
      </c>
      <c r="O621" s="240">
        <f t="shared" si="118"/>
      </c>
      <c r="P621" s="241">
        <f t="shared" si="389"/>
      </c>
      <c r="Q621" s="241">
        <f t="shared" si="27"/>
      </c>
      <c r="R621" s="241">
        <f t="shared" si="269"/>
      </c>
      <c r="S621" s="241">
        <f t="shared" si="329"/>
      </c>
      <c r="T621" s="242">
        <f t="shared" si="148"/>
      </c>
      <c r="U621" s="243">
        <v>0.0485</v>
      </c>
      <c r="V621" s="244">
        <v>48</v>
      </c>
      <c r="W621" s="240">
        <f t="shared" si="57"/>
      </c>
      <c r="X621" s="242">
        <v>2756</v>
      </c>
      <c r="Y621" s="242">
        <v>126</v>
      </c>
      <c r="Z621" s="242">
        <v>21</v>
      </c>
      <c r="AA621" s="242">
        <v>213</v>
      </c>
      <c r="AB621" s="242">
        <v>11</v>
      </c>
      <c r="AC621" s="242">
        <v>2</v>
      </c>
      <c r="AD621" s="242">
        <v>0</v>
      </c>
      <c r="AE621" s="244">
        <v>1</v>
      </c>
      <c r="AF621" s="240">
        <f t="shared" si="208"/>
      </c>
      <c r="AG621" s="222" t="s">
        <v>173</v>
      </c>
      <c r="AH621" s="223" t="s">
        <v>195</v>
      </c>
      <c r="AI621" s="244">
        <v>5</v>
      </c>
    </row>
    <row r="622">
      <c r="A622" s="211"/>
      <c r="B622" s="249" t="s">
        <v>165</v>
      </c>
      <c r="C622" s="249"/>
      <c r="D622" s="250">
        <f>SUM(D620:D621)</f>
      </c>
      <c r="E622" s="251">
        <f>SUM(E620:E621)</f>
      </c>
      <c r="F622" s="251">
        <f>SUM(F620:F621)</f>
      </c>
      <c r="G622" s="251">
        <f>SUM(G620:G621)</f>
      </c>
      <c r="H622" s="297">
        <f>SUM(H620:H621)</f>
      </c>
      <c r="I622" s="272">
        <f>SUM(I620:I621)</f>
      </c>
      <c r="J622" s="230">
        <f t="shared" si="299"/>
      </c>
      <c r="K622" s="298">
        <f t="shared" si="359"/>
      </c>
      <c r="L622" s="252">
        <f t="shared" si="178"/>
      </c>
      <c r="M622" s="253">
        <f t="shared" si="239"/>
      </c>
      <c r="N622" s="252">
        <f t="shared" si="88"/>
      </c>
      <c r="O622" s="252">
        <f t="shared" si="118"/>
      </c>
      <c r="P622" s="253">
        <f t="shared" si="389"/>
      </c>
      <c r="Q622" s="253">
        <f t="shared" si="27"/>
      </c>
      <c r="R622" s="253">
        <f t="shared" si="269"/>
      </c>
      <c r="S622" s="253">
        <f t="shared" si="329"/>
      </c>
      <c r="T622" s="254">
        <f t="shared" si="148"/>
      </c>
      <c r="U622" s="253">
        <f>AVERAGE(U620:U621)</f>
      </c>
      <c r="V622" s="250">
        <f>AVERAGE(V620:V621)</f>
      </c>
      <c r="W622" s="252">
        <f t="shared" si="57"/>
      </c>
      <c r="X622" s="254">
        <f>SUM(X620:X621)</f>
      </c>
      <c r="Y622" s="254">
        <f>SUM(Y620:Y621)</f>
      </c>
      <c r="Z622" s="254">
        <f>SUM(Z620:Z621)</f>
      </c>
      <c r="AA622" s="254">
        <f>SUM(AA620:AA621)</f>
      </c>
      <c r="AB622" s="254">
        <f>SUM(AB620:AB621)</f>
      </c>
      <c r="AC622" s="254">
        <f>SUM(AC620:AC621)</f>
      </c>
      <c r="AD622" s="254">
        <f>SUM(AD620:AD621)</f>
      </c>
      <c r="AE622" s="254">
        <f>SUM(AE620:AE621)</f>
      </c>
      <c r="AF622" s="255">
        <f t="shared" si="208"/>
      </c>
      <c r="AG622" s="256"/>
      <c r="AH622" s="256"/>
      <c r="AI622" s="257">
        <f>SUM(AI620:AI621)</f>
      </c>
    </row>
    <row r="623">
      <c r="A623" s="211"/>
      <c r="B623" s="264" t="s">
        <v>183</v>
      </c>
      <c r="C623" s="264"/>
      <c r="D623" s="265">
        <f>D614+D619+D622</f>
      </c>
      <c r="E623" s="299">
        <f>E614+E619+E622</f>
      </c>
      <c r="F623" s="299">
        <f>F614+F619+F622</f>
      </c>
      <c r="G623" s="299">
        <f>G614+G619+G622</f>
      </c>
      <c r="H623" s="265">
        <f>H614+H619+H622</f>
      </c>
      <c r="I623" s="300">
        <f>I614+I619+I622</f>
      </c>
      <c r="J623" s="267">
        <f t="shared" si="299"/>
      </c>
      <c r="K623" s="266">
        <f t="shared" si="359"/>
      </c>
      <c r="L623" s="267">
        <f t="shared" si="178"/>
      </c>
      <c r="M623" s="268">
        <f t="shared" si="239"/>
      </c>
      <c r="N623" s="267">
        <f t="shared" si="88"/>
      </c>
      <c r="O623" s="267">
        <f t="shared" si="118"/>
      </c>
      <c r="P623" s="268">
        <f t="shared" si="389"/>
      </c>
      <c r="Q623" s="268">
        <f t="shared" si="27"/>
      </c>
      <c r="R623" s="268">
        <f t="shared" si="269"/>
      </c>
      <c r="S623" s="268">
        <f t="shared" si="329"/>
      </c>
      <c r="T623" s="269">
        <f t="shared" si="148"/>
      </c>
      <c r="U623" s="268">
        <f>(U619+U614+U622)/4</f>
      </c>
      <c r="V623" s="267">
        <f>(V619+V614+V622)/4</f>
      </c>
      <c r="W623" s="270">
        <f t="shared" si="57"/>
      </c>
      <c r="X623" s="269">
        <f>X614+X619+X622</f>
      </c>
      <c r="Y623" s="269">
        <f>Y614+Y619+Y622</f>
      </c>
      <c r="Z623" s="269">
        <f>Z614+Z619+Z622</f>
      </c>
      <c r="AA623" s="269">
        <f>AA614+AA619+AA622</f>
      </c>
      <c r="AB623" s="269">
        <f>AB614+AB619+AB622</f>
      </c>
      <c r="AC623" s="269">
        <f>AC614+AC619+AC622</f>
      </c>
      <c r="AD623" s="269">
        <f>AD614+AD619+AD622</f>
      </c>
      <c r="AE623" s="269">
        <f>AE622+AE614+AE619+AE622</f>
      </c>
      <c r="AF623" s="269">
        <f>AF622</f>
      </c>
      <c r="AG623" s="264"/>
      <c r="AH623" s="264"/>
      <c r="AI623" s="269">
        <f>AI614+AI619+AI622</f>
      </c>
    </row>
    <row r="624">
      <c r="A624" s="301" t="s">
        <v>120</v>
      </c>
      <c r="B624" s="302" t="s">
        <v>121</v>
      </c>
      <c r="C624" s="302"/>
      <c r="D624" s="303" t="s">
        <v>122</v>
      </c>
      <c r="E624" s="303"/>
      <c r="F624" s="303"/>
      <c r="G624" s="303"/>
      <c r="H624" s="303"/>
      <c r="I624" s="303"/>
      <c r="J624" s="303"/>
      <c r="K624" s="303"/>
      <c r="L624" s="303"/>
      <c r="M624" s="303"/>
      <c r="N624" s="303"/>
      <c r="O624" s="304" t="s">
        <v>123</v>
      </c>
      <c r="P624" s="304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  <c r="AH624" s="304"/>
      <c r="AI624" s="305"/>
    </row>
    <row r="625">
      <c r="A625" s="301"/>
      <c r="B625" s="306" t="s">
        <v>124</v>
      </c>
      <c r="C625" s="307" t="s">
        <v>125</v>
      </c>
      <c r="D625" s="308" t="s">
        <v>126</v>
      </c>
      <c r="E625" s="309" t="s">
        <v>127</v>
      </c>
      <c r="F625" s="310" t="s">
        <v>128</v>
      </c>
      <c r="G625" s="310" t="s">
        <v>129</v>
      </c>
      <c r="H625" s="311" t="s">
        <v>130</v>
      </c>
      <c r="I625" s="312" t="s">
        <v>189</v>
      </c>
      <c r="J625" s="313" t="s">
        <v>131</v>
      </c>
      <c r="K625" s="313" t="s">
        <v>132</v>
      </c>
      <c r="L625" s="313" t="s">
        <v>133</v>
      </c>
      <c r="M625" s="313" t="s">
        <v>134</v>
      </c>
      <c r="N625" s="313" t="s">
        <v>135</v>
      </c>
      <c r="O625" s="314" t="s">
        <v>136</v>
      </c>
      <c r="P625" s="315" t="s">
        <v>137</v>
      </c>
      <c r="Q625" s="315" t="s">
        <v>138</v>
      </c>
      <c r="R625" s="315" t="s">
        <v>139</v>
      </c>
      <c r="S625" s="315" t="s">
        <v>140</v>
      </c>
      <c r="T625" s="316" t="s">
        <v>141</v>
      </c>
      <c r="U625" s="317" t="s">
        <v>142</v>
      </c>
      <c r="V625" s="318" t="s">
        <v>143</v>
      </c>
      <c r="W625" s="304" t="s">
        <v>144</v>
      </c>
      <c r="X625" s="319" t="s">
        <v>145</v>
      </c>
      <c r="Y625" s="319" t="s">
        <v>146</v>
      </c>
      <c r="Z625" s="319" t="s">
        <v>147</v>
      </c>
      <c r="AA625" s="319" t="s">
        <v>148</v>
      </c>
      <c r="AB625" s="319" t="s">
        <v>149</v>
      </c>
      <c r="AC625" s="319" t="s">
        <v>150</v>
      </c>
      <c r="AD625" s="319" t="s">
        <v>151</v>
      </c>
      <c r="AE625" s="319" t="s">
        <v>152</v>
      </c>
      <c r="AF625" s="304" t="s">
        <v>153</v>
      </c>
      <c r="AG625" s="320" t="s">
        <v>154</v>
      </c>
      <c r="AH625" s="320" t="s">
        <v>155</v>
      </c>
      <c r="AI625" s="305" t="s">
        <v>156</v>
      </c>
    </row>
    <row r="626">
      <c r="A626" s="321">
        <v>46202</v>
      </c>
      <c r="B626" s="235" t="s">
        <v>157</v>
      </c>
      <c r="C626" s="322" t="s">
        <v>158</v>
      </c>
      <c r="D626" s="262">
        <v>1364.71</v>
      </c>
      <c r="E626" s="323">
        <v>1</v>
      </c>
      <c r="F626" s="323">
        <v>0</v>
      </c>
      <c r="G626" s="323">
        <v>0</v>
      </c>
      <c r="H626" s="263">
        <v>0</v>
      </c>
      <c r="I626" s="324">
        <v>0</v>
      </c>
      <c r="J626" s="240">
        <f t="shared" ref="J626:J639" si="300">H626/D626</f>
      </c>
      <c r="K626" s="240">
        <f t="shared" ref="K626:K639" si="360">D626/F626</f>
      </c>
      <c r="L626" s="240">
        <f t="shared" ref="L626:L639" si="179">D626/G626</f>
      </c>
      <c r="M626" s="241">
        <f t="shared" ref="M626:M639" si="240">F626/E626</f>
      </c>
      <c r="N626" s="240">
        <f t="shared" ref="N626:N639" si="89">H626/F626</f>
      </c>
      <c r="O626" s="240">
        <f t="shared" ref="O626:O639" si="119">D626/Y626</f>
      </c>
      <c r="P626" s="241">
        <f t="shared" ref="P626:P639" si="390">T626/X626*1</f>
      </c>
      <c r="Q626" s="241">
        <f t="shared" ref="Q626:Q639" si="28">Y626/X626</f>
      </c>
      <c r="R626" s="241">
        <f t="shared" ref="R626:R639" si="270">AA626/X626</f>
      </c>
      <c r="S626" s="241">
        <f t="shared" ref="S626:S639" si="330">AB626/AA626</f>
      </c>
      <c r="T626" s="242">
        <f t="shared" ref="T626:T639" si="149">Z626/U626</f>
      </c>
      <c r="U626" s="241">
        <v>0.0251</v>
      </c>
      <c r="V626" s="242">
        <v>33</v>
      </c>
      <c r="W626" s="240">
        <f t="shared" ref="W626:W633" si="58">(D626/X626)*1000</f>
      </c>
      <c r="X626" s="242">
        <v>8624</v>
      </c>
      <c r="Y626" s="242">
        <v>303</v>
      </c>
      <c r="Z626" s="242">
        <v>47</v>
      </c>
      <c r="AA626" s="242">
        <v>628</v>
      </c>
      <c r="AB626" s="242">
        <v>39</v>
      </c>
      <c r="AC626" s="242">
        <v>8</v>
      </c>
      <c r="AD626" s="242">
        <v>1</v>
      </c>
      <c r="AE626" s="242">
        <v>4</v>
      </c>
      <c r="AF626" s="240">
        <f t="shared" ref="AF626:AF633" si="209">AI626*1000/D626</f>
      </c>
      <c r="AG626" s="286" t="s">
        <v>159</v>
      </c>
      <c r="AH626" s="286" t="s">
        <v>184</v>
      </c>
      <c r="AI626" s="242">
        <v>17</v>
      </c>
    </row>
    <row r="627">
      <c r="A627" s="321"/>
      <c r="B627" s="235" t="s">
        <v>157</v>
      </c>
      <c r="C627" s="322" t="s">
        <v>161</v>
      </c>
      <c r="D627" s="261">
        <v>1015.77</v>
      </c>
      <c r="E627" s="323">
        <v>3</v>
      </c>
      <c r="F627" s="323">
        <v>3</v>
      </c>
      <c r="G627" s="323">
        <v>3</v>
      </c>
      <c r="H627" s="261">
        <v>4078.8</v>
      </c>
      <c r="I627" s="288">
        <v>2</v>
      </c>
      <c r="J627" s="240">
        <f t="shared" si="300"/>
      </c>
      <c r="K627" s="240">
        <f t="shared" si="360"/>
      </c>
      <c r="L627" s="240">
        <f t="shared" si="179"/>
      </c>
      <c r="M627" s="241">
        <f t="shared" si="240"/>
      </c>
      <c r="N627" s="240">
        <f t="shared" si="89"/>
      </c>
      <c r="O627" s="240">
        <f t="shared" si="119"/>
      </c>
      <c r="P627" s="241">
        <f t="shared" si="390"/>
      </c>
      <c r="Q627" s="241">
        <f t="shared" si="28"/>
      </c>
      <c r="R627" s="241">
        <f t="shared" si="270"/>
      </c>
      <c r="S627" s="241">
        <f t="shared" si="330"/>
      </c>
      <c r="T627" s="242">
        <f t="shared" si="149"/>
      </c>
      <c r="U627" s="241">
        <v>0.0336</v>
      </c>
      <c r="V627" s="242">
        <v>40</v>
      </c>
      <c r="W627" s="240">
        <f t="shared" si="58"/>
      </c>
      <c r="X627" s="242">
        <v>7512</v>
      </c>
      <c r="Y627" s="242">
        <v>263</v>
      </c>
      <c r="Z627" s="242">
        <v>36</v>
      </c>
      <c r="AA627" s="242">
        <v>551</v>
      </c>
      <c r="AB627" s="242">
        <v>66</v>
      </c>
      <c r="AC627" s="242">
        <v>4</v>
      </c>
      <c r="AD627" s="242">
        <v>0</v>
      </c>
      <c r="AE627" s="242">
        <v>6</v>
      </c>
      <c r="AF627" s="240">
        <f t="shared" si="209"/>
      </c>
      <c r="AG627" s="286" t="s">
        <v>159</v>
      </c>
      <c r="AH627" s="286" t="s">
        <v>184</v>
      </c>
      <c r="AI627" s="242">
        <v>17</v>
      </c>
    </row>
    <row r="628">
      <c r="A628" s="321"/>
      <c r="B628" s="235" t="s">
        <v>157</v>
      </c>
      <c r="C628" s="325" t="s">
        <v>162</v>
      </c>
      <c r="D628" s="261">
        <v>1424.02</v>
      </c>
      <c r="E628" s="323">
        <v>4</v>
      </c>
      <c r="F628" s="323">
        <v>4</v>
      </c>
      <c r="G628" s="323">
        <v>4</v>
      </c>
      <c r="H628" s="261">
        <v>2134</v>
      </c>
      <c r="I628" s="288">
        <v>0</v>
      </c>
      <c r="J628" s="240">
        <f t="shared" si="300"/>
      </c>
      <c r="K628" s="240">
        <f t="shared" si="360"/>
      </c>
      <c r="L628" s="240">
        <f t="shared" si="179"/>
      </c>
      <c r="M628" s="241">
        <f t="shared" si="240"/>
      </c>
      <c r="N628" s="240">
        <f t="shared" si="89"/>
      </c>
      <c r="O628" s="240">
        <f t="shared" si="119"/>
      </c>
      <c r="P628" s="241">
        <f t="shared" si="390"/>
      </c>
      <c r="Q628" s="241">
        <f t="shared" si="28"/>
      </c>
      <c r="R628" s="241">
        <f t="shared" si="270"/>
      </c>
      <c r="S628" s="241">
        <f t="shared" si="330"/>
      </c>
      <c r="T628" s="242">
        <f t="shared" si="149"/>
      </c>
      <c r="U628" s="241">
        <v>0.0464</v>
      </c>
      <c r="V628" s="242">
        <v>39</v>
      </c>
      <c r="W628" s="240">
        <f t="shared" si="58"/>
      </c>
      <c r="X628" s="242">
        <v>8317</v>
      </c>
      <c r="Y628" s="242">
        <v>289</v>
      </c>
      <c r="Z628" s="242">
        <v>43</v>
      </c>
      <c r="AA628" s="242">
        <v>560</v>
      </c>
      <c r="AB628" s="242">
        <v>33</v>
      </c>
      <c r="AC628" s="242">
        <v>3</v>
      </c>
      <c r="AD628" s="242">
        <v>0</v>
      </c>
      <c r="AE628" s="242">
        <v>5</v>
      </c>
      <c r="AF628" s="240">
        <f t="shared" si="209"/>
      </c>
      <c r="AG628" s="286" t="s">
        <v>159</v>
      </c>
      <c r="AH628" s="286" t="s">
        <v>184</v>
      </c>
      <c r="AI628" s="242">
        <v>16</v>
      </c>
    </row>
    <row r="629">
      <c r="A629" s="321"/>
      <c r="B629" s="235" t="s">
        <v>157</v>
      </c>
      <c r="C629" s="322" t="s">
        <v>163</v>
      </c>
      <c r="D629" s="261">
        <v>1909.5</v>
      </c>
      <c r="E629" s="288">
        <v>6</v>
      </c>
      <c r="F629" s="288">
        <v>6</v>
      </c>
      <c r="G629" s="288">
        <v>6</v>
      </c>
      <c r="H629" s="261">
        <v>4885.099999999999</v>
      </c>
      <c r="I629" s="288">
        <v>2</v>
      </c>
      <c r="J629" s="240">
        <f t="shared" si="300"/>
      </c>
      <c r="K629" s="240">
        <f t="shared" si="360"/>
      </c>
      <c r="L629" s="240">
        <f t="shared" si="179"/>
      </c>
      <c r="M629" s="241">
        <f t="shared" si="240"/>
      </c>
      <c r="N629" s="240">
        <f t="shared" si="89"/>
      </c>
      <c r="O629" s="240">
        <f t="shared" si="119"/>
      </c>
      <c r="P629" s="241">
        <f t="shared" si="390"/>
      </c>
      <c r="Q629" s="241">
        <f t="shared" si="28"/>
      </c>
      <c r="R629" s="241">
        <f t="shared" si="270"/>
      </c>
      <c r="S629" s="241">
        <f t="shared" si="330"/>
      </c>
      <c r="T629" s="242">
        <f t="shared" si="149"/>
      </c>
      <c r="U629" s="241">
        <v>0.0559</v>
      </c>
      <c r="V629" s="242">
        <v>43</v>
      </c>
      <c r="W629" s="240">
        <f t="shared" si="58"/>
      </c>
      <c r="X629" s="242">
        <v>12378</v>
      </c>
      <c r="Y629" s="242">
        <v>319</v>
      </c>
      <c r="Z629" s="242">
        <v>52</v>
      </c>
      <c r="AA629" s="242">
        <v>625</v>
      </c>
      <c r="AB629" s="242">
        <v>31</v>
      </c>
      <c r="AC629" s="242">
        <v>5</v>
      </c>
      <c r="AD629" s="242">
        <v>0</v>
      </c>
      <c r="AE629" s="242">
        <v>21</v>
      </c>
      <c r="AF629" s="240">
        <f t="shared" si="209"/>
      </c>
      <c r="AG629" s="286" t="s">
        <v>159</v>
      </c>
      <c r="AH629" s="286" t="s">
        <v>184</v>
      </c>
      <c r="AI629" s="242">
        <v>17</v>
      </c>
    </row>
    <row r="630">
      <c r="A630" s="321"/>
      <c r="B630" s="249" t="s">
        <v>165</v>
      </c>
      <c r="C630" s="249"/>
      <c r="D630" s="250">
        <f>SUM(D626:D629)</f>
      </c>
      <c r="E630" s="251">
        <f>SUM(E626:E629)</f>
      </c>
      <c r="F630" s="251">
        <f>SUM(F626:F629)</f>
      </c>
      <c r="G630" s="251">
        <f>SUM(G626:G629)</f>
      </c>
      <c r="H630" s="250">
        <f>SUM(H626:H629)</f>
      </c>
      <c r="I630" s="251">
        <f>SUM(I626:I629)</f>
      </c>
      <c r="J630" s="252">
        <f t="shared" si="300"/>
      </c>
      <c r="K630" s="252">
        <f t="shared" si="360"/>
      </c>
      <c r="L630" s="252">
        <f t="shared" si="179"/>
      </c>
      <c r="M630" s="253">
        <f t="shared" si="240"/>
      </c>
      <c r="N630" s="252">
        <f t="shared" si="89"/>
      </c>
      <c r="O630" s="252">
        <f t="shared" si="119"/>
      </c>
      <c r="P630" s="253">
        <f t="shared" si="390"/>
      </c>
      <c r="Q630" s="253">
        <f t="shared" si="28"/>
      </c>
      <c r="R630" s="253">
        <f t="shared" si="270"/>
      </c>
      <c r="S630" s="253">
        <f t="shared" si="330"/>
      </c>
      <c r="T630" s="254">
        <f t="shared" si="149"/>
      </c>
      <c r="U630" s="253">
        <f>AVERAGE(U626:U629)</f>
      </c>
      <c r="V630" s="250">
        <f>AVERAGE(V626:V629)</f>
      </c>
      <c r="W630" s="252">
        <f t="shared" si="58"/>
      </c>
      <c r="X630" s="254">
        <f>SUM(X626:X629)</f>
      </c>
      <c r="Y630" s="254">
        <f>SUM(Y626:Y629)</f>
      </c>
      <c r="Z630" s="254">
        <f>SUM(Z626:Z629)</f>
      </c>
      <c r="AA630" s="254">
        <f>SUM(AA626:AA629)</f>
      </c>
      <c r="AB630" s="254">
        <f>SUM(AB626:AB629)</f>
      </c>
      <c r="AC630" s="254">
        <f>SUM(AC626:AC629)</f>
      </c>
      <c r="AD630" s="254">
        <f>SUM(AD626:AD629)</f>
      </c>
      <c r="AE630" s="254">
        <f>SUM(AE626:AE629)</f>
      </c>
      <c r="AF630" s="255">
        <f t="shared" si="209"/>
      </c>
      <c r="AG630" s="256"/>
      <c r="AH630" s="256"/>
      <c r="AI630" s="257">
        <f>SUM(AI626:AI629)</f>
      </c>
    </row>
    <row r="631">
      <c r="A631" s="321"/>
      <c r="B631" s="235" t="s">
        <v>178</v>
      </c>
      <c r="C631" s="235" t="s">
        <v>164</v>
      </c>
      <c r="D631" s="235">
        <v>2091.03</v>
      </c>
      <c r="E631" s="288">
        <v>2</v>
      </c>
      <c r="F631" s="238">
        <v>3</v>
      </c>
      <c r="G631" s="288">
        <v>2</v>
      </c>
      <c r="H631" s="294">
        <v>1353</v>
      </c>
      <c r="I631" s="288">
        <v>0</v>
      </c>
      <c r="J631" s="240">
        <f t="shared" si="300"/>
      </c>
      <c r="K631" s="240">
        <f t="shared" si="360"/>
      </c>
      <c r="L631" s="240">
        <f t="shared" si="179"/>
      </c>
      <c r="M631" s="241">
        <f t="shared" si="240"/>
      </c>
      <c r="N631" s="240">
        <f t="shared" si="89"/>
      </c>
      <c r="O631" s="240">
        <f t="shared" si="119"/>
      </c>
      <c r="P631" s="241">
        <f t="shared" si="390"/>
      </c>
      <c r="Q631" s="241">
        <f t="shared" si="28"/>
      </c>
      <c r="R631" s="241">
        <f t="shared" si="270"/>
      </c>
      <c r="S631" s="241">
        <f t="shared" si="330"/>
      </c>
      <c r="T631" s="242">
        <f t="shared" si="149"/>
      </c>
      <c r="U631" s="241">
        <v>0.0495</v>
      </c>
      <c r="V631" s="242">
        <v>43</v>
      </c>
      <c r="W631" s="240">
        <f t="shared" si="58"/>
      </c>
      <c r="X631" s="242">
        <v>14633</v>
      </c>
      <c r="Y631" s="242">
        <v>342</v>
      </c>
      <c r="Z631" s="242">
        <v>67</v>
      </c>
      <c r="AA631" s="242">
        <v>634</v>
      </c>
      <c r="AB631" s="242">
        <v>71</v>
      </c>
      <c r="AC631" s="242">
        <v>4</v>
      </c>
      <c r="AD631" s="242">
        <v>0</v>
      </c>
      <c r="AE631" s="242">
        <v>11</v>
      </c>
      <c r="AF631" s="240">
        <f t="shared" si="209"/>
      </c>
      <c r="AG631" s="286" t="s">
        <v>159</v>
      </c>
      <c r="AH631" s="286" t="s">
        <v>184</v>
      </c>
      <c r="AI631" s="242">
        <v>20</v>
      </c>
    </row>
    <row r="632">
      <c r="A632" s="321"/>
      <c r="B632" s="235" t="s">
        <v>178</v>
      </c>
      <c r="C632" s="235" t="s">
        <v>167</v>
      </c>
      <c r="D632" s="235">
        <v>2061.76</v>
      </c>
      <c r="E632" s="288">
        <v>3</v>
      </c>
      <c r="F632" s="288">
        <v>1</v>
      </c>
      <c r="G632" s="288">
        <v>1</v>
      </c>
      <c r="H632" s="285">
        <v>781</v>
      </c>
      <c r="I632" s="288">
        <v>0</v>
      </c>
      <c r="J632" s="240">
        <f t="shared" si="300"/>
      </c>
      <c r="K632" s="240">
        <f t="shared" si="360"/>
      </c>
      <c r="L632" s="240">
        <f t="shared" si="179"/>
      </c>
      <c r="M632" s="241">
        <f t="shared" si="240"/>
      </c>
      <c r="N632" s="240">
        <f t="shared" si="89"/>
      </c>
      <c r="O632" s="240">
        <f t="shared" si="119"/>
      </c>
      <c r="P632" s="241">
        <f t="shared" si="390"/>
      </c>
      <c r="Q632" s="241">
        <f t="shared" si="28"/>
      </c>
      <c r="R632" s="241">
        <f t="shared" si="270"/>
      </c>
      <c r="S632" s="241">
        <f t="shared" si="330"/>
      </c>
      <c r="T632" s="242">
        <f t="shared" si="149"/>
      </c>
      <c r="U632" s="241">
        <v>0.041</v>
      </c>
      <c r="V632" s="242">
        <v>45</v>
      </c>
      <c r="W632" s="240">
        <f t="shared" si="58"/>
      </c>
      <c r="X632" s="242">
        <v>14347</v>
      </c>
      <c r="Y632" s="242">
        <v>376</v>
      </c>
      <c r="Z632" s="242">
        <v>62</v>
      </c>
      <c r="AA632" s="242">
        <v>661</v>
      </c>
      <c r="AB632" s="242">
        <v>48</v>
      </c>
      <c r="AC632" s="242">
        <v>10</v>
      </c>
      <c r="AD632" s="242">
        <v>0</v>
      </c>
      <c r="AE632" s="242">
        <v>12</v>
      </c>
      <c r="AF632" s="240">
        <f t="shared" si="209"/>
      </c>
      <c r="AG632" s="286" t="s">
        <v>159</v>
      </c>
      <c r="AH632" s="286" t="s">
        <v>184</v>
      </c>
      <c r="AI632" s="242">
        <v>19</v>
      </c>
    </row>
    <row r="633">
      <c r="A633" s="321"/>
      <c r="B633" s="235" t="s">
        <v>178</v>
      </c>
      <c r="C633" s="245" t="s">
        <v>168</v>
      </c>
      <c r="D633" s="235">
        <v>1684.4</v>
      </c>
      <c r="E633" s="288">
        <v>2</v>
      </c>
      <c r="F633" s="288">
        <v>2</v>
      </c>
      <c r="G633" s="288">
        <v>2</v>
      </c>
      <c r="H633" s="285">
        <v>902</v>
      </c>
      <c r="I633" s="288">
        <v>0</v>
      </c>
      <c r="J633" s="240">
        <f t="shared" si="300"/>
      </c>
      <c r="K633" s="240">
        <f t="shared" si="360"/>
      </c>
      <c r="L633" s="240">
        <f t="shared" si="179"/>
      </c>
      <c r="M633" s="241">
        <f t="shared" si="240"/>
      </c>
      <c r="N633" s="240">
        <f t="shared" si="89"/>
      </c>
      <c r="O633" s="240">
        <f t="shared" si="119"/>
      </c>
      <c r="P633" s="241">
        <f t="shared" si="390"/>
      </c>
      <c r="Q633" s="241">
        <f t="shared" si="28"/>
      </c>
      <c r="R633" s="241">
        <f t="shared" si="270"/>
      </c>
      <c r="S633" s="241">
        <f t="shared" si="330"/>
      </c>
      <c r="T633" s="242">
        <f t="shared" si="149"/>
      </c>
      <c r="U633" s="241">
        <v>0.0366</v>
      </c>
      <c r="V633" s="242">
        <v>44</v>
      </c>
      <c r="W633" s="240">
        <f t="shared" si="58"/>
      </c>
      <c r="X633" s="242">
        <v>12334</v>
      </c>
      <c r="Y633" s="242">
        <v>308</v>
      </c>
      <c r="Z633" s="242">
        <v>38</v>
      </c>
      <c r="AA633" s="242">
        <v>597</v>
      </c>
      <c r="AB633" s="242">
        <v>56</v>
      </c>
      <c r="AC633" s="242">
        <v>5</v>
      </c>
      <c r="AD633" s="242">
        <v>0</v>
      </c>
      <c r="AE633" s="242">
        <v>12</v>
      </c>
      <c r="AF633" s="240">
        <f t="shared" si="209"/>
      </c>
      <c r="AG633" s="286" t="s">
        <v>159</v>
      </c>
      <c r="AH633" s="286" t="s">
        <v>184</v>
      </c>
      <c r="AI633" s="242">
        <v>18</v>
      </c>
    </row>
    <row r="634">
      <c r="A634" s="321"/>
      <c r="B634" s="235" t="s">
        <v>178</v>
      </c>
      <c r="C634" s="235" t="s">
        <v>169</v>
      </c>
      <c r="D634" s="235">
        <v>1923.51</v>
      </c>
      <c r="E634" s="288">
        <v>5</v>
      </c>
      <c r="F634" s="288">
        <v>4</v>
      </c>
      <c r="G634" s="288">
        <v>4</v>
      </c>
      <c r="H634" s="285">
        <v>2134</v>
      </c>
      <c r="I634" s="288">
        <v>0</v>
      </c>
      <c r="J634" s="240">
        <f t="shared" si="300"/>
      </c>
      <c r="K634" s="240">
        <f t="shared" si="360"/>
      </c>
      <c r="L634" s="240">
        <f t="shared" si="179"/>
      </c>
      <c r="M634" s="241">
        <f t="shared" si="240"/>
      </c>
      <c r="N634" s="240">
        <f t="shared" si="89"/>
      </c>
      <c r="O634" s="240">
        <f t="shared" si="119"/>
      </c>
      <c r="P634" s="241">
        <f t="shared" si="390"/>
      </c>
      <c r="Q634" s="241">
        <f t="shared" si="28"/>
      </c>
      <c r="R634" s="241">
        <f t="shared" si="270"/>
      </c>
      <c r="S634" s="241">
        <f t="shared" si="330"/>
      </c>
      <c r="T634" s="242">
        <f t="shared" si="149"/>
      </c>
      <c r="U634" s="241">
        <v>0.0617</v>
      </c>
      <c r="V634" s="242">
        <v>44</v>
      </c>
      <c r="W634" s="240">
        <v>132.80240265120133</v>
      </c>
      <c r="X634" s="242">
        <v>14484</v>
      </c>
      <c r="Y634" s="242">
        <v>283</v>
      </c>
      <c r="Z634" s="242">
        <v>59</v>
      </c>
      <c r="AA634" s="242">
        <v>523</v>
      </c>
      <c r="AB634" s="242">
        <v>50</v>
      </c>
      <c r="AC634" s="242">
        <v>3</v>
      </c>
      <c r="AD634" s="242">
        <v>0</v>
      </c>
      <c r="AE634" s="242">
        <v>17</v>
      </c>
      <c r="AF634" s="240">
        <v>9.357892602585897</v>
      </c>
      <c r="AG634" s="286" t="s">
        <v>159</v>
      </c>
      <c r="AH634" s="286" t="s">
        <v>184</v>
      </c>
      <c r="AI634" s="242">
        <v>18</v>
      </c>
    </row>
    <row r="635">
      <c r="A635" s="321"/>
      <c r="B635" s="249" t="s">
        <v>165</v>
      </c>
      <c r="C635" s="249"/>
      <c r="D635" s="289">
        <f>SUM(D631:D634)</f>
      </c>
      <c r="E635" s="290">
        <f>SUM(E631:E634)</f>
      </c>
      <c r="F635" s="290">
        <f>SUM(F631:F634)</f>
      </c>
      <c r="G635" s="290">
        <f>SUM(G631:G634)</f>
      </c>
      <c r="H635" s="289">
        <f>SUM(H631:H634)</f>
      </c>
      <c r="I635" s="251">
        <f>SUM(I631:I634)</f>
      </c>
      <c r="J635" s="252">
        <f t="shared" si="300"/>
      </c>
      <c r="K635" s="252">
        <f t="shared" si="360"/>
      </c>
      <c r="L635" s="252">
        <f t="shared" si="179"/>
      </c>
      <c r="M635" s="253">
        <f t="shared" si="240"/>
      </c>
      <c r="N635" s="252">
        <f t="shared" si="89"/>
      </c>
      <c r="O635" s="252">
        <f t="shared" si="119"/>
      </c>
      <c r="P635" s="253">
        <f t="shared" si="390"/>
      </c>
      <c r="Q635" s="253">
        <f t="shared" si="28"/>
      </c>
      <c r="R635" s="253">
        <f t="shared" si="270"/>
      </c>
      <c r="S635" s="253">
        <f t="shared" si="330"/>
      </c>
      <c r="T635" s="254">
        <f t="shared" si="149"/>
      </c>
      <c r="U635" s="253">
        <f>AVERAGE(U631:U634)</f>
      </c>
      <c r="V635" s="250">
        <f>AVERAGE(V631:V634)</f>
      </c>
      <c r="W635" s="252">
        <f t="shared" ref="W635:W639" si="59">(D635/X635)*1000</f>
      </c>
      <c r="X635" s="254">
        <f>SUM(X631:X634)</f>
      </c>
      <c r="Y635" s="254">
        <f>SUM(Y631:Y634)</f>
      </c>
      <c r="Z635" s="254">
        <f>SUM(Z631:Z634)</f>
      </c>
      <c r="AA635" s="254">
        <f>SUM(AA631:AA634)</f>
      </c>
      <c r="AB635" s="254">
        <f>SUM(AB631:AB634)</f>
      </c>
      <c r="AC635" s="254">
        <f>SUM(AC631:AC634)</f>
      </c>
      <c r="AD635" s="254">
        <f>SUM(AD631:AD634)</f>
      </c>
      <c r="AE635" s="254">
        <f>SUM(AE631:AE634)</f>
      </c>
      <c r="AF635" s="255">
        <f t="shared" ref="AF635:AF638" si="210">AI635*1000/D635</f>
      </c>
      <c r="AG635" s="256"/>
      <c r="AH635" s="256"/>
      <c r="AI635" s="254">
        <f>SUM(AI631:AI634)</f>
      </c>
    </row>
    <row r="636">
      <c r="A636" s="321"/>
      <c r="B636" s="235" t="s">
        <v>196</v>
      </c>
      <c r="C636" s="235" t="s">
        <v>170</v>
      </c>
      <c r="D636" s="261">
        <v>1547.91</v>
      </c>
      <c r="E636" s="326">
        <v>3</v>
      </c>
      <c r="F636" s="326">
        <v>2</v>
      </c>
      <c r="G636" s="288">
        <v>1</v>
      </c>
      <c r="H636" s="263">
        <v>902</v>
      </c>
      <c r="I636" s="324">
        <v>0</v>
      </c>
      <c r="J636" s="240">
        <f t="shared" si="300"/>
      </c>
      <c r="K636" s="240">
        <f t="shared" si="360"/>
      </c>
      <c r="L636" s="240">
        <f t="shared" si="179"/>
      </c>
      <c r="M636" s="241">
        <f t="shared" si="240"/>
      </c>
      <c r="N636" s="240">
        <f t="shared" si="89"/>
      </c>
      <c r="O636" s="240">
        <f t="shared" si="119"/>
      </c>
      <c r="P636" s="241">
        <f t="shared" si="390"/>
      </c>
      <c r="Q636" s="241">
        <f t="shared" si="28"/>
      </c>
      <c r="R636" s="241">
        <f t="shared" si="270"/>
      </c>
      <c r="S636" s="241">
        <f t="shared" si="330"/>
      </c>
      <c r="T636" s="242">
        <f t="shared" si="149"/>
      </c>
      <c r="U636" s="241">
        <v>0.0535</v>
      </c>
      <c r="V636" s="242">
        <v>44</v>
      </c>
      <c r="W636" s="240">
        <f t="shared" si="59"/>
      </c>
      <c r="X636" s="242">
        <v>10767</v>
      </c>
      <c r="Y636" s="242">
        <v>243</v>
      </c>
      <c r="Z636" s="242">
        <v>47</v>
      </c>
      <c r="AA636" s="242">
        <v>452</v>
      </c>
      <c r="AB636" s="242">
        <v>35</v>
      </c>
      <c r="AC636" s="242">
        <v>3</v>
      </c>
      <c r="AD636" s="242">
        <v>1</v>
      </c>
      <c r="AE636" s="242">
        <v>13</v>
      </c>
      <c r="AF636" s="240">
        <f t="shared" si="210"/>
      </c>
      <c r="AG636" s="286" t="s">
        <v>159</v>
      </c>
      <c r="AH636" s="286" t="s">
        <v>184</v>
      </c>
      <c r="AI636" s="242">
        <v>19</v>
      </c>
    </row>
    <row r="637">
      <c r="A637" s="321"/>
      <c r="B637" s="235" t="s">
        <v>196</v>
      </c>
      <c r="C637" s="235" t="s">
        <v>172</v>
      </c>
      <c r="D637" s="261">
        <v>537.27</v>
      </c>
      <c r="E637" s="238">
        <v>3</v>
      </c>
      <c r="F637" s="238">
        <v>2</v>
      </c>
      <c r="G637" s="238">
        <v>1</v>
      </c>
      <c r="H637" s="236">
        <v>1621.4</v>
      </c>
      <c r="I637" s="295">
        <v>0</v>
      </c>
      <c r="J637" s="296">
        <f t="shared" si="300"/>
      </c>
      <c r="K637" s="240">
        <f t="shared" si="360"/>
      </c>
      <c r="L637" s="240">
        <f t="shared" si="179"/>
      </c>
      <c r="M637" s="241">
        <f t="shared" si="240"/>
      </c>
      <c r="N637" s="240">
        <f t="shared" si="89"/>
      </c>
      <c r="O637" s="240">
        <f t="shared" si="119"/>
      </c>
      <c r="P637" s="241">
        <f t="shared" si="390"/>
      </c>
      <c r="Q637" s="241">
        <f t="shared" si="28"/>
      </c>
      <c r="R637" s="241">
        <f t="shared" si="270"/>
      </c>
      <c r="S637" s="241">
        <f t="shared" si="330"/>
      </c>
      <c r="T637" s="242">
        <f t="shared" si="149"/>
      </c>
      <c r="U637" s="243">
        <v>0.0512</v>
      </c>
      <c r="V637" s="244">
        <v>46</v>
      </c>
      <c r="W637" s="240">
        <f t="shared" si="59"/>
      </c>
      <c r="X637" s="242">
        <v>3684</v>
      </c>
      <c r="Y637" s="242">
        <v>126</v>
      </c>
      <c r="Z637" s="242">
        <v>24</v>
      </c>
      <c r="AA637" s="242">
        <v>235</v>
      </c>
      <c r="AB637" s="242">
        <v>23</v>
      </c>
      <c r="AC637" s="242">
        <v>2</v>
      </c>
      <c r="AD637" s="242">
        <v>0</v>
      </c>
      <c r="AE637" s="242">
        <v>6</v>
      </c>
      <c r="AF637" s="240">
        <f t="shared" si="210"/>
      </c>
      <c r="AG637" s="286" t="s">
        <v>173</v>
      </c>
      <c r="AH637" s="286" t="s">
        <v>184</v>
      </c>
      <c r="AI637" s="244">
        <v>6</v>
      </c>
    </row>
    <row r="638">
      <c r="A638" s="321"/>
      <c r="B638" s="249" t="s">
        <v>165</v>
      </c>
      <c r="C638" s="249"/>
      <c r="D638" s="250">
        <f>SUM(D636:D637)</f>
      </c>
      <c r="E638" s="251">
        <f>SUM(E636:E637)</f>
      </c>
      <c r="F638" s="251">
        <f>SUM(F636:F637)</f>
      </c>
      <c r="G638" s="251">
        <f>SUM(G636:G637)</f>
      </c>
      <c r="H638" s="297">
        <f>SUM(H636:H637)</f>
      </c>
      <c r="I638" s="251">
        <f>SUM(I636:I637)</f>
      </c>
      <c r="J638" s="252">
        <f t="shared" si="300"/>
      </c>
      <c r="K638" s="298">
        <f t="shared" si="360"/>
      </c>
      <c r="L638" s="252">
        <f t="shared" si="179"/>
      </c>
      <c r="M638" s="253">
        <f t="shared" si="240"/>
      </c>
      <c r="N638" s="252">
        <f t="shared" si="89"/>
      </c>
      <c r="O638" s="252">
        <f t="shared" si="119"/>
      </c>
      <c r="P638" s="253">
        <f t="shared" si="390"/>
      </c>
      <c r="Q638" s="253">
        <f t="shared" si="28"/>
      </c>
      <c r="R638" s="253">
        <f t="shared" si="270"/>
      </c>
      <c r="S638" s="253">
        <f t="shared" si="330"/>
      </c>
      <c r="T638" s="254">
        <f t="shared" si="149"/>
      </c>
      <c r="U638" s="253">
        <f>AVERAGE(U636:U637)</f>
      </c>
      <c r="V638" s="250">
        <f>AVERAGE(V636:V637)</f>
      </c>
      <c r="W638" s="252">
        <f t="shared" si="59"/>
      </c>
      <c r="X638" s="254">
        <f>SUM(X636:X637)</f>
      </c>
      <c r="Y638" s="254">
        <f>SUM(Y636:Y637)</f>
      </c>
      <c r="Z638" s="254">
        <f>SUM(Z636:Z637)</f>
      </c>
      <c r="AA638" s="254">
        <f>SUM(AA636:AA637)</f>
      </c>
      <c r="AB638" s="254">
        <f>SUM(AB636:AB637)</f>
      </c>
      <c r="AC638" s="254">
        <f>SUM(AC636:AC637)</f>
      </c>
      <c r="AD638" s="254">
        <f>SUM(AD636:AD637)</f>
      </c>
      <c r="AE638" s="254">
        <f>SUM(AE636:AE637)</f>
      </c>
      <c r="AF638" s="255">
        <f t="shared" si="210"/>
      </c>
      <c r="AG638" s="256"/>
      <c r="AH638" s="256"/>
      <c r="AI638" s="257">
        <f>SUM(AI636:AI637)</f>
      </c>
    </row>
    <row r="639">
      <c r="A639" s="321"/>
      <c r="B639" s="327" t="s">
        <v>183</v>
      </c>
      <c r="C639" s="327"/>
      <c r="D639" s="328">
        <f>D630+D635+D638</f>
      </c>
      <c r="E639" s="329">
        <f>E630+E635+E638</f>
      </c>
      <c r="F639" s="329">
        <f>F630+F635+F638</f>
      </c>
      <c r="G639" s="329">
        <f>G630+G635+G638</f>
      </c>
      <c r="H639" s="328">
        <f>H630+H635+H638</f>
      </c>
      <c r="I639" s="330">
        <f>I630+I635+I638</f>
      </c>
      <c r="J639" s="331">
        <f t="shared" si="300"/>
      </c>
      <c r="K639" s="332">
        <f t="shared" si="360"/>
      </c>
      <c r="L639" s="331">
        <f t="shared" si="179"/>
      </c>
      <c r="M639" s="333">
        <f t="shared" si="240"/>
      </c>
      <c r="N639" s="331">
        <f t="shared" si="89"/>
      </c>
      <c r="O639" s="331">
        <f t="shared" si="119"/>
      </c>
      <c r="P639" s="333">
        <f t="shared" si="390"/>
      </c>
      <c r="Q639" s="333">
        <f t="shared" si="28"/>
      </c>
      <c r="R639" s="333">
        <f t="shared" si="270"/>
      </c>
      <c r="S639" s="333">
        <f t="shared" si="330"/>
      </c>
      <c r="T639" s="334">
        <f t="shared" si="149"/>
      </c>
      <c r="U639" s="333">
        <f>(U635+U630+U638)/4</f>
      </c>
      <c r="V639" s="331">
        <f>(V635+V630+V638)/4</f>
      </c>
      <c r="W639" s="335">
        <f t="shared" si="59"/>
      </c>
      <c r="X639" s="334">
        <f>X630+X635+X638</f>
      </c>
      <c r="Y639" s="334">
        <f>Y630+Y635+Y638</f>
      </c>
      <c r="Z639" s="334">
        <f>Z630+Z635+Z638</f>
      </c>
      <c r="AA639" s="334">
        <f>AA630+AA635+AA638</f>
      </c>
      <c r="AB639" s="334">
        <f>AB630+AB635+AB638</f>
      </c>
      <c r="AC639" s="334">
        <f>AC630+AC635+AC638</f>
      </c>
      <c r="AD639" s="334">
        <f>AD630+AD635+AD638</f>
      </c>
      <c r="AE639" s="334">
        <f>AE638+AE630+AE635+AE638</f>
      </c>
      <c r="AF639" s="334">
        <f>AF638</f>
      </c>
      <c r="AG639" s="327"/>
      <c r="AH639" s="327"/>
      <c r="AI639" s="334">
        <f>AI630+AI635+AI638</f>
      </c>
    </row>
    <row r="640">
      <c r="A640" s="193" t="s">
        <v>120</v>
      </c>
      <c r="B640" s="194" t="s">
        <v>121</v>
      </c>
      <c r="C640" s="194"/>
      <c r="D640" s="277" t="s">
        <v>122</v>
      </c>
      <c r="E640" s="277"/>
      <c r="F640" s="277"/>
      <c r="G640" s="277"/>
      <c r="H640" s="277"/>
      <c r="I640" s="277"/>
      <c r="J640" s="277"/>
      <c r="K640" s="277"/>
      <c r="L640" s="277"/>
      <c r="M640" s="277"/>
      <c r="N640" s="277"/>
      <c r="O640" s="196" t="s">
        <v>123</v>
      </c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7"/>
    </row>
    <row r="641">
      <c r="A641" s="193"/>
      <c r="B641" s="278" t="s">
        <v>124</v>
      </c>
      <c r="C641" s="279" t="s">
        <v>125</v>
      </c>
      <c r="D641" s="280" t="s">
        <v>126</v>
      </c>
      <c r="E641" s="281" t="s">
        <v>127</v>
      </c>
      <c r="F641" s="282" t="s">
        <v>128</v>
      </c>
      <c r="G641" s="282" t="s">
        <v>129</v>
      </c>
      <c r="H641" s="283" t="s">
        <v>130</v>
      </c>
      <c r="I641" s="271" t="s">
        <v>189</v>
      </c>
      <c r="J641" s="202" t="s">
        <v>131</v>
      </c>
      <c r="K641" s="202" t="s">
        <v>132</v>
      </c>
      <c r="L641" s="202" t="s">
        <v>133</v>
      </c>
      <c r="M641" s="203" t="s">
        <v>134</v>
      </c>
      <c r="N641" s="202" t="s">
        <v>135</v>
      </c>
      <c r="O641" s="204" t="s">
        <v>136</v>
      </c>
      <c r="P641" s="205" t="s">
        <v>137</v>
      </c>
      <c r="Q641" s="205" t="s">
        <v>138</v>
      </c>
      <c r="R641" s="205" t="s">
        <v>139</v>
      </c>
      <c r="S641" s="205" t="s">
        <v>140</v>
      </c>
      <c r="T641" s="206" t="s">
        <v>141</v>
      </c>
      <c r="U641" s="207" t="s">
        <v>142</v>
      </c>
      <c r="V641" s="208" t="s">
        <v>143</v>
      </c>
      <c r="W641" s="196" t="s">
        <v>144</v>
      </c>
      <c r="X641" s="209" t="s">
        <v>145</v>
      </c>
      <c r="Y641" s="209" t="s">
        <v>146</v>
      </c>
      <c r="Z641" s="209" t="s">
        <v>147</v>
      </c>
      <c r="AA641" s="209" t="s">
        <v>148</v>
      </c>
      <c r="AB641" s="209" t="s">
        <v>149</v>
      </c>
      <c r="AC641" s="209" t="s">
        <v>150</v>
      </c>
      <c r="AD641" s="209" t="s">
        <v>151</v>
      </c>
      <c r="AE641" s="209" t="s">
        <v>152</v>
      </c>
      <c r="AF641" s="196" t="s">
        <v>153</v>
      </c>
      <c r="AG641" s="210" t="s">
        <v>154</v>
      </c>
      <c r="AH641" s="210" t="s">
        <v>155</v>
      </c>
      <c r="AI641" s="197" t="s">
        <v>156</v>
      </c>
    </row>
    <row r="642">
      <c r="A642" s="211">
        <v>46203</v>
      </c>
      <c r="B642" s="235" t="s">
        <v>157</v>
      </c>
      <c r="C642" s="213" t="s">
        <v>158</v>
      </c>
      <c r="D642" s="212">
        <v>2352.86</v>
      </c>
      <c r="E642" s="215">
        <v>7</v>
      </c>
      <c r="F642" s="215">
        <v>5</v>
      </c>
      <c r="G642" s="215">
        <v>4</v>
      </c>
      <c r="H642" s="275">
        <v>2915</v>
      </c>
      <c r="I642" s="215">
        <v>0</v>
      </c>
      <c r="J642" s="217">
        <f t="shared" ref="J642:J654" si="301">H642/D642</f>
      </c>
      <c r="K642" s="217">
        <f t="shared" ref="K642:K654" si="361">D642/F642</f>
      </c>
      <c r="L642" s="217">
        <f t="shared" ref="L642:L654" si="180">D642/G642</f>
      </c>
      <c r="M642" s="218">
        <f t="shared" ref="M642:M654" si="241">F642/E642</f>
      </c>
      <c r="N642" s="217">
        <f t="shared" ref="N642:N654" si="90">H642/F642</f>
      </c>
      <c r="O642" s="217">
        <f t="shared" ref="O642:O654" si="120">D642/Y642</f>
      </c>
      <c r="P642" s="218">
        <f t="shared" ref="P642:P654" si="391">T642/X642*1</f>
      </c>
      <c r="Q642" s="218">
        <f t="shared" ref="Q642:Q654" si="29">Y642/X642</f>
      </c>
      <c r="R642" s="218">
        <f t="shared" ref="R642:R654" si="271">AA642/X642</f>
      </c>
      <c r="S642" s="218">
        <f t="shared" ref="S642:S654" si="331">AB642/AA642</f>
      </c>
      <c r="T642" s="219">
        <f t="shared" ref="T642:T654" si="150">Z642/U642</f>
      </c>
      <c r="U642" s="220">
        <v>0.0253</v>
      </c>
      <c r="V642" s="221">
        <v>37</v>
      </c>
      <c r="W642" s="217">
        <f t="shared" ref="W642:W654" si="60">(D642/X642)*1000</f>
      </c>
      <c r="X642" s="221">
        <v>15014</v>
      </c>
      <c r="Y642" s="221">
        <v>500</v>
      </c>
      <c r="Z642" s="219">
        <v>75</v>
      </c>
      <c r="AA642" s="219">
        <v>849</v>
      </c>
      <c r="AB642" s="219">
        <v>32</v>
      </c>
      <c r="AC642" s="219">
        <v>10</v>
      </c>
      <c r="AD642" s="221">
        <v>3</v>
      </c>
      <c r="AE642" s="221">
        <v>16</v>
      </c>
      <c r="AF642" s="217">
        <f t="shared" ref="AF642:AF653" si="211">AI642*1000/D642</f>
      </c>
      <c r="AG642" s="222" t="s">
        <v>159</v>
      </c>
      <c r="AH642" s="286" t="s">
        <v>184</v>
      </c>
      <c r="AI642" s="221">
        <v>26</v>
      </c>
    </row>
    <row r="643">
      <c r="A643" s="211"/>
      <c r="B643" s="235" t="s">
        <v>157</v>
      </c>
      <c r="C643" s="213" t="s">
        <v>161</v>
      </c>
      <c r="D643" s="212">
        <v>1832.58</v>
      </c>
      <c r="E643" s="215">
        <v>3</v>
      </c>
      <c r="F643" s="215">
        <v>3</v>
      </c>
      <c r="G643" s="215">
        <v>3</v>
      </c>
      <c r="H643" s="275">
        <v>1353</v>
      </c>
      <c r="I643" s="215">
        <v>0</v>
      </c>
      <c r="J643" s="217">
        <f t="shared" si="301"/>
      </c>
      <c r="K643" s="217">
        <f t="shared" si="361"/>
      </c>
      <c r="L643" s="217">
        <f t="shared" si="180"/>
      </c>
      <c r="M643" s="218">
        <f t="shared" si="241"/>
      </c>
      <c r="N643" s="217">
        <f t="shared" si="90"/>
      </c>
      <c r="O643" s="217">
        <f t="shared" si="120"/>
      </c>
      <c r="P643" s="218">
        <f t="shared" si="391"/>
      </c>
      <c r="Q643" s="218">
        <f t="shared" si="29"/>
      </c>
      <c r="R643" s="218">
        <f t="shared" si="271"/>
      </c>
      <c r="S643" s="218">
        <f t="shared" si="331"/>
      </c>
      <c r="T643" s="219">
        <f t="shared" si="150"/>
      </c>
      <c r="U643" s="220">
        <v>0.0249</v>
      </c>
      <c r="V643" s="221">
        <v>37</v>
      </c>
      <c r="W643" s="217">
        <f t="shared" si="60"/>
      </c>
      <c r="X643" s="219">
        <v>11238</v>
      </c>
      <c r="Y643" s="219">
        <v>469</v>
      </c>
      <c r="Z643" s="219">
        <v>55</v>
      </c>
      <c r="AA643" s="219">
        <v>964</v>
      </c>
      <c r="AB643" s="219">
        <v>50</v>
      </c>
      <c r="AC643" s="219">
        <v>9</v>
      </c>
      <c r="AD643" s="219">
        <v>0</v>
      </c>
      <c r="AE643" s="221">
        <v>12</v>
      </c>
      <c r="AF643" s="217">
        <f t="shared" si="211"/>
      </c>
      <c r="AG643" s="222" t="s">
        <v>159</v>
      </c>
      <c r="AH643" s="286" t="s">
        <v>184</v>
      </c>
      <c r="AI643" s="221">
        <v>20</v>
      </c>
    </row>
    <row r="644">
      <c r="A644" s="211"/>
      <c r="B644" s="235" t="s">
        <v>157</v>
      </c>
      <c r="C644" s="224" t="s">
        <v>162</v>
      </c>
      <c r="D644" s="212">
        <v>1433.07</v>
      </c>
      <c r="E644" s="215">
        <v>3</v>
      </c>
      <c r="F644" s="215">
        <v>2</v>
      </c>
      <c r="G644" s="215">
        <v>2</v>
      </c>
      <c r="H644" s="275">
        <v>902</v>
      </c>
      <c r="I644" s="215">
        <v>0</v>
      </c>
      <c r="J644" s="217">
        <f t="shared" si="301"/>
      </c>
      <c r="K644" s="217">
        <f t="shared" si="361"/>
      </c>
      <c r="L644" s="217">
        <f t="shared" si="180"/>
      </c>
      <c r="M644" s="218">
        <f t="shared" si="241"/>
      </c>
      <c r="N644" s="217">
        <f t="shared" si="90"/>
      </c>
      <c r="O644" s="217">
        <f t="shared" si="120"/>
      </c>
      <c r="P644" s="218">
        <f t="shared" si="391"/>
      </c>
      <c r="Q644" s="218">
        <f t="shared" si="29"/>
      </c>
      <c r="R644" s="218">
        <f t="shared" si="271"/>
      </c>
      <c r="S644" s="218">
        <f t="shared" si="331"/>
      </c>
      <c r="T644" s="219">
        <f t="shared" si="150"/>
      </c>
      <c r="U644" s="220">
        <v>0.0335</v>
      </c>
      <c r="V644" s="221">
        <v>39</v>
      </c>
      <c r="W644" s="217">
        <f t="shared" si="60"/>
      </c>
      <c r="X644" s="219">
        <v>9343</v>
      </c>
      <c r="Y644" s="219">
        <v>354</v>
      </c>
      <c r="Z644" s="219">
        <v>51</v>
      </c>
      <c r="AA644" s="219">
        <v>787</v>
      </c>
      <c r="AB644" s="219">
        <v>62</v>
      </c>
      <c r="AC644" s="219">
        <v>7</v>
      </c>
      <c r="AD644" s="219">
        <v>0</v>
      </c>
      <c r="AE644" s="221">
        <v>8</v>
      </c>
      <c r="AF644" s="217">
        <f t="shared" si="211"/>
      </c>
      <c r="AG644" s="222" t="s">
        <v>159</v>
      </c>
      <c r="AH644" s="286" t="s">
        <v>184</v>
      </c>
      <c r="AI644" s="221">
        <v>14</v>
      </c>
    </row>
    <row r="645">
      <c r="A645" s="211"/>
      <c r="B645" s="235" t="s">
        <v>157</v>
      </c>
      <c r="C645" s="213" t="s">
        <v>163</v>
      </c>
      <c r="D645" s="212">
        <v>1477.85</v>
      </c>
      <c r="E645" s="215">
        <v>3</v>
      </c>
      <c r="F645" s="215">
        <v>2</v>
      </c>
      <c r="G645" s="215">
        <v>2</v>
      </c>
      <c r="H645" s="275">
        <v>1307.8999999999996</v>
      </c>
      <c r="I645" s="215">
        <v>0</v>
      </c>
      <c r="J645" s="217">
        <f t="shared" si="301"/>
      </c>
      <c r="K645" s="217">
        <f t="shared" si="361"/>
      </c>
      <c r="L645" s="217">
        <f t="shared" si="180"/>
      </c>
      <c r="M645" s="218">
        <f t="shared" si="241"/>
      </c>
      <c r="N645" s="217">
        <f t="shared" si="90"/>
      </c>
      <c r="O645" s="217">
        <f t="shared" si="120"/>
      </c>
      <c r="P645" s="218">
        <f t="shared" si="391"/>
      </c>
      <c r="Q645" s="218">
        <f t="shared" si="29"/>
      </c>
      <c r="R645" s="218">
        <f t="shared" si="271"/>
      </c>
      <c r="S645" s="218">
        <f t="shared" si="331"/>
      </c>
      <c r="T645" s="219">
        <f t="shared" si="150"/>
      </c>
      <c r="U645" s="220">
        <v>0.0369</v>
      </c>
      <c r="V645" s="221">
        <v>43</v>
      </c>
      <c r="W645" s="217">
        <f t="shared" si="60"/>
      </c>
      <c r="X645" s="221">
        <v>9614</v>
      </c>
      <c r="Y645" s="221">
        <v>311</v>
      </c>
      <c r="Z645" s="221">
        <v>53</v>
      </c>
      <c r="AA645" s="221">
        <v>691</v>
      </c>
      <c r="AB645" s="221">
        <v>39</v>
      </c>
      <c r="AC645" s="221">
        <v>3</v>
      </c>
      <c r="AD645" s="221">
        <v>0</v>
      </c>
      <c r="AE645" s="221">
        <v>10</v>
      </c>
      <c r="AF645" s="217">
        <f t="shared" si="211"/>
      </c>
      <c r="AG645" s="222" t="s">
        <v>159</v>
      </c>
      <c r="AH645" s="286" t="s">
        <v>184</v>
      </c>
      <c r="AI645" s="221">
        <v>18</v>
      </c>
    </row>
    <row r="646">
      <c r="A646" s="211"/>
      <c r="B646" s="235" t="s">
        <v>157</v>
      </c>
      <c r="C646" s="212" t="s">
        <v>164</v>
      </c>
      <c r="D646" s="212">
        <v>1082.05</v>
      </c>
      <c r="E646" s="215">
        <v>0</v>
      </c>
      <c r="F646" s="215">
        <v>0</v>
      </c>
      <c r="G646" s="215">
        <v>0</v>
      </c>
      <c r="H646" s="275">
        <v>0</v>
      </c>
      <c r="I646" s="215">
        <v>0</v>
      </c>
      <c r="J646" s="217">
        <f t="shared" si="301"/>
      </c>
      <c r="K646" s="217">
        <f t="shared" si="361"/>
      </c>
      <c r="L646" s="217">
        <f t="shared" si="180"/>
      </c>
      <c r="M646" s="218">
        <f t="shared" si="241"/>
      </c>
      <c r="N646" s="217">
        <f t="shared" si="90"/>
      </c>
      <c r="O646" s="217">
        <f t="shared" si="120"/>
      </c>
      <c r="P646" s="218">
        <f t="shared" si="391"/>
      </c>
      <c r="Q646" s="218">
        <f t="shared" si="29"/>
      </c>
      <c r="R646" s="218">
        <f t="shared" si="271"/>
      </c>
      <c r="S646" s="218">
        <f t="shared" si="331"/>
      </c>
      <c r="T646" s="219">
        <f t="shared" si="150"/>
      </c>
      <c r="U646" s="220">
        <v>0.0354</v>
      </c>
      <c r="V646" s="221">
        <v>46</v>
      </c>
      <c r="W646" s="217">
        <f t="shared" si="60"/>
      </c>
      <c r="X646" s="221">
        <v>7106</v>
      </c>
      <c r="Y646" s="221">
        <v>251</v>
      </c>
      <c r="Z646" s="219">
        <v>41</v>
      </c>
      <c r="AA646" s="219">
        <v>503</v>
      </c>
      <c r="AB646" s="219">
        <v>36</v>
      </c>
      <c r="AC646" s="219">
        <v>2</v>
      </c>
      <c r="AD646" s="221">
        <v>0</v>
      </c>
      <c r="AE646" s="221">
        <v>4</v>
      </c>
      <c r="AF646" s="217">
        <f t="shared" si="211"/>
      </c>
      <c r="AG646" s="222" t="s">
        <v>159</v>
      </c>
      <c r="AH646" s="286" t="s">
        <v>184</v>
      </c>
      <c r="AI646" s="221">
        <v>15</v>
      </c>
    </row>
    <row r="647">
      <c r="A647" s="211"/>
      <c r="B647" s="227" t="s">
        <v>165</v>
      </c>
      <c r="C647" s="227"/>
      <c r="D647" s="259">
        <f>SUM(D642:D646)</f>
      </c>
      <c r="E647" s="260">
        <f>SUM(E642:E646)</f>
      </c>
      <c r="F647" s="260">
        <f>SUM(F642:F646)</f>
      </c>
      <c r="G647" s="260">
        <f>SUM(G642:G646)</f>
      </c>
      <c r="H647" s="259">
        <f>SUM(H642:H646)</f>
      </c>
      <c r="I647" s="272">
        <f>SUM(I642:I646)</f>
      </c>
      <c r="J647" s="230">
        <f t="shared" si="301"/>
      </c>
      <c r="K647" s="230">
        <f t="shared" si="361"/>
      </c>
      <c r="L647" s="230">
        <f t="shared" si="180"/>
      </c>
      <c r="M647" s="231">
        <f t="shared" si="241"/>
      </c>
      <c r="N647" s="230">
        <f t="shared" si="90"/>
      </c>
      <c r="O647" s="230">
        <f t="shared" si="120"/>
      </c>
      <c r="P647" s="231">
        <f t="shared" si="391"/>
      </c>
      <c r="Q647" s="231">
        <f t="shared" si="29"/>
      </c>
      <c r="R647" s="231">
        <f t="shared" si="271"/>
      </c>
      <c r="S647" s="231">
        <f t="shared" si="331"/>
      </c>
      <c r="T647" s="229">
        <f t="shared" si="150"/>
      </c>
      <c r="U647" s="231">
        <f>AVERAGE(U642:U646)</f>
      </c>
      <c r="V647" s="228">
        <f>AVERAGE(V642:V646)</f>
      </c>
      <c r="W647" s="230">
        <f t="shared" si="60"/>
      </c>
      <c r="X647" s="229">
        <f>SUM(X642:X646)</f>
      </c>
      <c r="Y647" s="229">
        <f>SUM(Y642:Y646)</f>
      </c>
      <c r="Z647" s="229">
        <f>SUM(Z642:Z646)</f>
      </c>
      <c r="AA647" s="229">
        <f>SUM(AA642:AA646)</f>
      </c>
      <c r="AB647" s="229">
        <f>SUM(AB642:AB646)</f>
      </c>
      <c r="AC647" s="229">
        <f>SUM(AC642:AC646)</f>
      </c>
      <c r="AD647" s="229">
        <f>SUM(AD642:AD646)</f>
      </c>
      <c r="AE647" s="229">
        <f>SUM(AE642:AE646)</f>
      </c>
      <c r="AF647" s="232">
        <f t="shared" si="211"/>
      </c>
      <c r="AG647" s="233"/>
      <c r="AH647" s="233"/>
      <c r="AI647" s="229">
        <f>SUM(AI642:AI646)</f>
      </c>
    </row>
    <row r="648">
      <c r="A648" s="211"/>
      <c r="B648" s="248" t="s">
        <v>191</v>
      </c>
      <c r="C648" s="235" t="s">
        <v>167</v>
      </c>
      <c r="D648" s="261">
        <v>1000.43</v>
      </c>
      <c r="E648" s="237">
        <v>0</v>
      </c>
      <c r="F648" s="237">
        <v>0</v>
      </c>
      <c r="G648" s="238">
        <v>0</v>
      </c>
      <c r="H648" s="239">
        <v>0</v>
      </c>
      <c r="I648" s="273">
        <v>0</v>
      </c>
      <c r="J648" s="240">
        <f t="shared" si="301"/>
      </c>
      <c r="K648" s="240">
        <f t="shared" si="361"/>
      </c>
      <c r="L648" s="240">
        <f t="shared" si="180"/>
      </c>
      <c r="M648" s="241">
        <f t="shared" si="241"/>
      </c>
      <c r="N648" s="240">
        <f t="shared" si="90"/>
      </c>
      <c r="O648" s="240">
        <f t="shared" si="120"/>
      </c>
      <c r="P648" s="241">
        <f t="shared" si="391"/>
      </c>
      <c r="Q648" s="241">
        <f t="shared" si="29"/>
      </c>
      <c r="R648" s="241">
        <f t="shared" si="271"/>
      </c>
      <c r="S648" s="241">
        <f t="shared" si="331"/>
      </c>
      <c r="T648" s="242">
        <f t="shared" si="150"/>
      </c>
      <c r="U648" s="243">
        <v>0.0304</v>
      </c>
      <c r="V648" s="244">
        <v>46</v>
      </c>
      <c r="W648" s="240">
        <f t="shared" si="60"/>
      </c>
      <c r="X648" s="242">
        <v>7088</v>
      </c>
      <c r="Y648" s="242">
        <v>396</v>
      </c>
      <c r="Z648" s="242">
        <v>41</v>
      </c>
      <c r="AA648" s="242">
        <v>663</v>
      </c>
      <c r="AB648" s="242">
        <v>51</v>
      </c>
      <c r="AC648" s="242">
        <v>1</v>
      </c>
      <c r="AD648" s="242">
        <v>1</v>
      </c>
      <c r="AE648" s="242">
        <v>3</v>
      </c>
      <c r="AF648" s="240">
        <f t="shared" si="211"/>
      </c>
      <c r="AG648" s="222" t="s">
        <v>159</v>
      </c>
      <c r="AH648" s="286" t="s">
        <v>184</v>
      </c>
      <c r="AI648" s="244">
        <v>18</v>
      </c>
    </row>
    <row r="649">
      <c r="A649" s="211"/>
      <c r="B649" s="248" t="s">
        <v>191</v>
      </c>
      <c r="C649" s="245" t="s">
        <v>168</v>
      </c>
      <c r="D649" s="262">
        <v>1574.99</v>
      </c>
      <c r="E649" s="247">
        <v>4</v>
      </c>
      <c r="F649" s="247">
        <v>2</v>
      </c>
      <c r="G649" s="247">
        <v>2</v>
      </c>
      <c r="H649" s="263">
        <v>1232</v>
      </c>
      <c r="I649" s="273">
        <v>0</v>
      </c>
      <c r="J649" s="240">
        <f t="shared" si="301"/>
      </c>
      <c r="K649" s="240">
        <f t="shared" si="361"/>
      </c>
      <c r="L649" s="240">
        <f t="shared" si="180"/>
      </c>
      <c r="M649" s="241">
        <f t="shared" si="241"/>
      </c>
      <c r="N649" s="240">
        <f t="shared" si="90"/>
      </c>
      <c r="O649" s="240">
        <f t="shared" si="120"/>
      </c>
      <c r="P649" s="241">
        <f t="shared" si="391"/>
      </c>
      <c r="Q649" s="241">
        <f t="shared" si="29"/>
      </c>
      <c r="R649" s="241">
        <f t="shared" si="271"/>
      </c>
      <c r="S649" s="241">
        <f t="shared" si="331"/>
      </c>
      <c r="T649" s="242">
        <f t="shared" si="150"/>
      </c>
      <c r="U649" s="243">
        <v>0.037</v>
      </c>
      <c r="V649" s="244">
        <v>45</v>
      </c>
      <c r="W649" s="240">
        <f t="shared" si="60"/>
      </c>
      <c r="X649" s="242">
        <v>12528</v>
      </c>
      <c r="Y649" s="242">
        <v>646</v>
      </c>
      <c r="Z649" s="242">
        <v>53</v>
      </c>
      <c r="AA649" s="242">
        <v>925</v>
      </c>
      <c r="AB649" s="242">
        <v>39</v>
      </c>
      <c r="AC649" s="242">
        <v>6</v>
      </c>
      <c r="AD649" s="242">
        <v>0</v>
      </c>
      <c r="AE649" s="242">
        <v>12</v>
      </c>
      <c r="AF649" s="240">
        <f t="shared" si="211"/>
      </c>
      <c r="AG649" s="222" t="s">
        <v>159</v>
      </c>
      <c r="AH649" s="286" t="s">
        <v>184</v>
      </c>
      <c r="AI649" s="244">
        <v>18</v>
      </c>
    </row>
    <row r="650">
      <c r="A650" s="211"/>
      <c r="B650" s="248" t="s">
        <v>191</v>
      </c>
      <c r="C650" s="235" t="s">
        <v>169</v>
      </c>
      <c r="D650" s="262">
        <v>1553.95</v>
      </c>
      <c r="E650" s="247">
        <v>4</v>
      </c>
      <c r="F650" s="247">
        <v>3</v>
      </c>
      <c r="G650" s="247">
        <v>3</v>
      </c>
      <c r="H650" s="263">
        <v>1353</v>
      </c>
      <c r="I650" s="273">
        <v>0</v>
      </c>
      <c r="J650" s="240">
        <f t="shared" si="301"/>
      </c>
      <c r="K650" s="240">
        <f t="shared" si="361"/>
      </c>
      <c r="L650" s="240">
        <f t="shared" si="180"/>
      </c>
      <c r="M650" s="241">
        <f t="shared" si="241"/>
      </c>
      <c r="N650" s="240">
        <f t="shared" si="90"/>
      </c>
      <c r="O650" s="240">
        <f t="shared" si="120"/>
      </c>
      <c r="P650" s="241">
        <f t="shared" si="391"/>
      </c>
      <c r="Q650" s="241">
        <f t="shared" si="29"/>
      </c>
      <c r="R650" s="241">
        <f t="shared" si="271"/>
      </c>
      <c r="S650" s="241">
        <f t="shared" si="331"/>
      </c>
      <c r="T650" s="242">
        <f t="shared" si="150"/>
      </c>
      <c r="U650" s="243">
        <v>0.05</v>
      </c>
      <c r="V650" s="244">
        <v>44</v>
      </c>
      <c r="W650" s="240">
        <f t="shared" si="60"/>
      </c>
      <c r="X650" s="242">
        <v>11962</v>
      </c>
      <c r="Y650" s="242">
        <v>570</v>
      </c>
      <c r="Z650" s="242">
        <v>56</v>
      </c>
      <c r="AA650" s="242">
        <v>768</v>
      </c>
      <c r="AB650" s="242">
        <v>63</v>
      </c>
      <c r="AC650" s="242">
        <v>10</v>
      </c>
      <c r="AD650" s="242">
        <v>0</v>
      </c>
      <c r="AE650" s="242">
        <v>14</v>
      </c>
      <c r="AF650" s="240">
        <f t="shared" si="211"/>
      </c>
      <c r="AG650" s="222" t="s">
        <v>159</v>
      </c>
      <c r="AH650" s="286" t="s">
        <v>184</v>
      </c>
      <c r="AI650" s="244">
        <v>15</v>
      </c>
    </row>
    <row r="651">
      <c r="A651" s="211"/>
      <c r="B651" s="248" t="s">
        <v>191</v>
      </c>
      <c r="C651" s="248" t="s">
        <v>170</v>
      </c>
      <c r="D651" s="261">
        <v>1331.16</v>
      </c>
      <c r="E651" s="247">
        <v>7</v>
      </c>
      <c r="F651" s="247">
        <v>4</v>
      </c>
      <c r="G651" s="247">
        <v>4</v>
      </c>
      <c r="H651" s="236">
        <v>2570.699999999999</v>
      </c>
      <c r="I651" s="238">
        <v>1</v>
      </c>
      <c r="J651" s="240">
        <f t="shared" si="301"/>
      </c>
      <c r="K651" s="240">
        <f t="shared" si="361"/>
      </c>
      <c r="L651" s="240">
        <f t="shared" si="180"/>
      </c>
      <c r="M651" s="241">
        <f t="shared" si="241"/>
      </c>
      <c r="N651" s="240">
        <f t="shared" si="90"/>
      </c>
      <c r="O651" s="240">
        <f t="shared" si="120"/>
      </c>
      <c r="P651" s="241">
        <f t="shared" si="391"/>
      </c>
      <c r="Q651" s="241">
        <f t="shared" si="29"/>
      </c>
      <c r="R651" s="241">
        <f t="shared" si="271"/>
      </c>
      <c r="S651" s="241">
        <f t="shared" si="331"/>
      </c>
      <c r="T651" s="242">
        <f t="shared" si="150"/>
      </c>
      <c r="U651" s="243">
        <v>0.0441</v>
      </c>
      <c r="V651" s="244">
        <v>44</v>
      </c>
      <c r="W651" s="240">
        <f t="shared" si="60"/>
      </c>
      <c r="X651" s="242">
        <v>9943</v>
      </c>
      <c r="Y651" s="242">
        <v>435</v>
      </c>
      <c r="Z651" s="242">
        <v>47</v>
      </c>
      <c r="AA651" s="242">
        <v>700</v>
      </c>
      <c r="AB651" s="242">
        <v>48</v>
      </c>
      <c r="AC651" s="242">
        <v>3</v>
      </c>
      <c r="AD651" s="242">
        <v>1</v>
      </c>
      <c r="AE651" s="242">
        <v>16</v>
      </c>
      <c r="AF651" s="240">
        <f t="shared" si="211"/>
      </c>
      <c r="AG651" s="222" t="s">
        <v>159</v>
      </c>
      <c r="AH651" s="286" t="s">
        <v>184</v>
      </c>
      <c r="AI651" s="244">
        <v>17</v>
      </c>
    </row>
    <row r="652">
      <c r="A652" s="211"/>
      <c r="B652" s="248" t="s">
        <v>191</v>
      </c>
      <c r="C652" s="235" t="s">
        <v>172</v>
      </c>
      <c r="D652" s="236">
        <v>1037.09</v>
      </c>
      <c r="E652" s="238">
        <v>10</v>
      </c>
      <c r="F652" s="238">
        <v>8</v>
      </c>
      <c r="G652" s="238">
        <v>6</v>
      </c>
      <c r="H652" s="261">
        <v>4304.850000000002</v>
      </c>
      <c r="I652" s="238">
        <v>1</v>
      </c>
      <c r="J652" s="240">
        <f t="shared" si="301"/>
      </c>
      <c r="K652" s="240">
        <f t="shared" si="361"/>
      </c>
      <c r="L652" s="240">
        <f t="shared" si="180"/>
      </c>
      <c r="M652" s="241">
        <f t="shared" si="241"/>
      </c>
      <c r="N652" s="240">
        <f t="shared" si="90"/>
      </c>
      <c r="O652" s="240">
        <f t="shared" si="120"/>
      </c>
      <c r="P652" s="241">
        <f t="shared" si="391"/>
      </c>
      <c r="Q652" s="241">
        <f t="shared" si="29"/>
      </c>
      <c r="R652" s="241">
        <f t="shared" si="271"/>
      </c>
      <c r="S652" s="241">
        <f t="shared" si="331"/>
      </c>
      <c r="T652" s="242">
        <f t="shared" si="150"/>
      </c>
      <c r="U652" s="243">
        <v>0.0744</v>
      </c>
      <c r="V652" s="244">
        <v>44</v>
      </c>
      <c r="W652" s="240">
        <f t="shared" si="60"/>
      </c>
      <c r="X652" s="242">
        <v>8190</v>
      </c>
      <c r="Y652" s="242">
        <v>322</v>
      </c>
      <c r="Z652" s="242">
        <v>53</v>
      </c>
      <c r="AA652" s="242">
        <v>497</v>
      </c>
      <c r="AB652" s="242">
        <v>49</v>
      </c>
      <c r="AC652" s="242">
        <v>2</v>
      </c>
      <c r="AD652" s="242">
        <v>1</v>
      </c>
      <c r="AE652" s="244">
        <v>5</v>
      </c>
      <c r="AF652" s="240">
        <f t="shared" si="211"/>
      </c>
      <c r="AG652" s="222" t="s">
        <v>173</v>
      </c>
      <c r="AH652" s="286" t="s">
        <v>184</v>
      </c>
      <c r="AI652" s="244">
        <v>14</v>
      </c>
    </row>
    <row r="653">
      <c r="A653" s="211"/>
      <c r="B653" s="249" t="s">
        <v>165</v>
      </c>
      <c r="C653" s="249"/>
      <c r="D653" s="250">
        <f>SUM(D648:D652)</f>
      </c>
      <c r="E653" s="251">
        <f>SUM(E648:E652)</f>
      </c>
      <c r="F653" s="251">
        <f>SUM(F648:F652)</f>
      </c>
      <c r="G653" s="251">
        <f>SUM(G648:G652)</f>
      </c>
      <c r="H653" s="250">
        <f>SUM(H648:H652)</f>
      </c>
      <c r="I653" s="272">
        <f>SUM(I648:I652)</f>
      </c>
      <c r="J653" s="252">
        <f t="shared" si="301"/>
      </c>
      <c r="K653" s="252">
        <f t="shared" si="361"/>
      </c>
      <c r="L653" s="252">
        <f t="shared" si="180"/>
      </c>
      <c r="M653" s="253">
        <f t="shared" si="241"/>
      </c>
      <c r="N653" s="252">
        <f t="shared" si="90"/>
      </c>
      <c r="O653" s="252">
        <f t="shared" si="120"/>
      </c>
      <c r="P653" s="253">
        <f t="shared" si="391"/>
      </c>
      <c r="Q653" s="253">
        <f t="shared" si="29"/>
      </c>
      <c r="R653" s="253">
        <f t="shared" si="271"/>
      </c>
      <c r="S653" s="253">
        <f t="shared" si="331"/>
      </c>
      <c r="T653" s="254">
        <f t="shared" si="150"/>
      </c>
      <c r="U653" s="253">
        <f>AVERAGE(U648:U652)</f>
      </c>
      <c r="V653" s="250">
        <f>AVERAGE(V648:V652)</f>
      </c>
      <c r="W653" s="252">
        <f t="shared" si="60"/>
      </c>
      <c r="X653" s="254">
        <f>SUM(X648:X652)</f>
      </c>
      <c r="Y653" s="254">
        <f>SUM(Y648:Y652)</f>
      </c>
      <c r="Z653" s="254">
        <f>SUM(Z648:Z652)</f>
      </c>
      <c r="AA653" s="254">
        <f>SUM(AA648:AA652)</f>
      </c>
      <c r="AB653" s="254">
        <f>SUM(AB648:AB652)</f>
      </c>
      <c r="AC653" s="254">
        <f>SUM(AC648:AC652)</f>
      </c>
      <c r="AD653" s="254">
        <f>SUM(AD648:AD652)</f>
      </c>
      <c r="AE653" s="254">
        <f>SUM(AE648:AE652)</f>
      </c>
      <c r="AF653" s="255">
        <f t="shared" si="211"/>
      </c>
      <c r="AG653" s="256"/>
      <c r="AH653" s="256"/>
      <c r="AI653" s="257">
        <f>SUM(AI648:AI652)</f>
      </c>
    </row>
    <row r="654">
      <c r="A654" s="211"/>
      <c r="B654" s="264" t="s">
        <v>183</v>
      </c>
      <c r="C654" s="264"/>
      <c r="D654" s="265">
        <f>+D647+D653</f>
      </c>
      <c r="E654" s="265">
        <f>+E647+E653</f>
      </c>
      <c r="F654" s="265">
        <f>+F647+F653</f>
      </c>
      <c r="G654" s="265">
        <f>+G647+G653</f>
      </c>
      <c r="H654" s="265">
        <f>+H647+H653</f>
      </c>
      <c r="I654" s="265">
        <f>+I647+I653</f>
      </c>
      <c r="J654" s="266">
        <f t="shared" si="301"/>
      </c>
      <c r="K654" s="267">
        <f t="shared" si="361"/>
      </c>
      <c r="L654" s="267">
        <f t="shared" si="180"/>
      </c>
      <c r="M654" s="268">
        <f t="shared" si="241"/>
      </c>
      <c r="N654" s="267">
        <f t="shared" si="90"/>
      </c>
      <c r="O654" s="267">
        <f t="shared" si="120"/>
      </c>
      <c r="P654" s="268">
        <f t="shared" si="391"/>
      </c>
      <c r="Q654" s="268">
        <f t="shared" si="29"/>
      </c>
      <c r="R654" s="268">
        <f t="shared" si="271"/>
      </c>
      <c r="S654" s="268">
        <f t="shared" si="331"/>
      </c>
      <c r="T654" s="269">
        <f t="shared" si="150"/>
      </c>
      <c r="U654" s="268">
        <f>(U647++U653)/2</f>
      </c>
      <c r="V654" s="267">
        <f>(V647++V653)/2</f>
      </c>
      <c r="W654" s="270">
        <f t="shared" si="60"/>
      </c>
      <c r="X654" s="269">
        <f>X647+X653</f>
      </c>
      <c r="Y654" s="269">
        <f>Y647+Y653</f>
      </c>
      <c r="Z654" s="269">
        <f>Z647+Z653</f>
      </c>
      <c r="AA654" s="269">
        <f>AA647+AA653</f>
      </c>
      <c r="AB654" s="269">
        <f>AB647+AB653</f>
      </c>
      <c r="AC654" s="269">
        <f>AC647+AC653</f>
      </c>
      <c r="AD654" s="269">
        <f>AD647+AD653</f>
      </c>
      <c r="AE654" s="269">
        <f>AE647+AE653</f>
      </c>
      <c r="AF654" s="269">
        <f>AF653</f>
      </c>
      <c r="AG654" s="264"/>
      <c r="AH654" s="264"/>
      <c r="AI654" s="269">
        <f>AI647+AI653</f>
      </c>
    </row>
    <row r="655">
      <c r="H655">
        <f>H656-H654</f>
      </c>
      <c r="AI655">
        <f>AI656-AI654</f>
      </c>
    </row>
    <row r="656">
      <c r="H656">
        <v>97083.8</v>
      </c>
      <c r="AI656" s="336">
        <v>175</v>
      </c>
    </row>
  </sheetData>
  <autoFilter ref="A360:AI752"/>
  <mergeCells>
    <mergeCell ref="B654:C654"/>
    <mergeCell ref="B653:C653"/>
    <mergeCell ref="B647:C647"/>
    <mergeCell ref="A642:A654"/>
    <mergeCell ref="D640:N640"/>
    <mergeCell ref="O640:AH640"/>
    <mergeCell ref="B640:C640"/>
    <mergeCell ref="A640:A641"/>
    <mergeCell ref="B639:C639"/>
    <mergeCell ref="B638:C638"/>
    <mergeCell ref="B635:C635"/>
    <mergeCell ref="B630:C630"/>
    <mergeCell ref="A626:A639"/>
    <mergeCell ref="O624:AH624"/>
    <mergeCell ref="D624:N624"/>
    <mergeCell ref="B624:C624"/>
    <mergeCell ref="A624:A625"/>
    <mergeCell ref="B623:C623"/>
    <mergeCell ref="B622:C622"/>
    <mergeCell ref="B619:C619"/>
    <mergeCell ref="B614:C614"/>
    <mergeCell ref="A610:A623"/>
    <mergeCell ref="D608:N608"/>
    <mergeCell ref="O608:AH608"/>
    <mergeCell ref="B608:C608"/>
    <mergeCell ref="A608:A609"/>
    <mergeCell ref="B607:C607"/>
    <mergeCell ref="B606:C606"/>
    <mergeCell ref="B603:C603"/>
    <mergeCell ref="B598:C598"/>
    <mergeCell ref="A594:A607"/>
    <mergeCell ref="D592:N592"/>
    <mergeCell ref="O592:AH592"/>
    <mergeCell ref="B592:C592"/>
    <mergeCell ref="A592:A593"/>
    <mergeCell ref="B560:C560"/>
    <mergeCell ref="B559:C559"/>
    <mergeCell ref="B554:C554"/>
    <mergeCell ref="D548:N548"/>
    <mergeCell ref="O548:AH548"/>
    <mergeCell ref="B548:C548"/>
    <mergeCell ref="A548:A549"/>
    <mergeCell ref="A529:A547"/>
    <mergeCell ref="A453:A476"/>
    <mergeCell ref="B462:C462"/>
    <mergeCell ref="B465:C465"/>
    <mergeCell ref="B470:C470"/>
    <mergeCell ref="B475:C475"/>
    <mergeCell ref="B476:C476"/>
    <mergeCell ref="B457:C457"/>
    <mergeCell ref="D451:N451"/>
    <mergeCell ref="O451:AH451"/>
    <mergeCell ref="B451:C451"/>
    <mergeCell ref="A451:A452"/>
    <mergeCell ref="B431:C431"/>
    <mergeCell ref="B434:C434"/>
    <mergeCell ref="B439:C439"/>
    <mergeCell ref="B450:C450"/>
    <mergeCell ref="B449:C449"/>
    <mergeCell ref="A427:A450"/>
    <mergeCell ref="B444:C444"/>
    <mergeCell ref="D425:N425"/>
    <mergeCell ref="O425:AH425"/>
    <mergeCell ref="B425:C425"/>
    <mergeCell ref="A425:A426"/>
    <mergeCell ref="B424:C424"/>
    <mergeCell ref="B423:C423"/>
    <mergeCell ref="B418:C418"/>
    <mergeCell ref="B413:C413"/>
    <mergeCell ref="A410:A424"/>
    <mergeCell ref="D408:N408"/>
    <mergeCell ref="O408:AH408"/>
    <mergeCell ref="B408:C408"/>
    <mergeCell ref="A408:A409"/>
    <mergeCell ref="B407:C407"/>
    <mergeCell ref="B406:C406"/>
    <mergeCell ref="B401:C401"/>
    <mergeCell ref="B396:C396"/>
    <mergeCell ref="B391:C391"/>
    <mergeCell ref="A386:A407"/>
    <mergeCell ref="D384:N384"/>
    <mergeCell ref="O384:AH384"/>
    <mergeCell ref="B384:C384"/>
    <mergeCell ref="A384:A385"/>
    <mergeCell ref="B383:C383"/>
    <mergeCell ref="B382:C382"/>
    <mergeCell ref="B377:C377"/>
    <mergeCell ref="B372:C372"/>
    <mergeCell ref="B367:C367"/>
    <mergeCell ref="A362:A383"/>
    <mergeCell ref="D360:N360"/>
    <mergeCell ref="O360:AH360"/>
    <mergeCell ref="B360:C360"/>
    <mergeCell ref="A360:A361"/>
    <mergeCell ref="B359:C359"/>
    <mergeCell ref="B358:C358"/>
    <mergeCell ref="B353:C353"/>
    <mergeCell ref="B348:C348"/>
    <mergeCell ref="B343:C343"/>
    <mergeCell ref="A338:A359"/>
    <mergeCell ref="D336:N336"/>
    <mergeCell ref="O336:AH336"/>
    <mergeCell ref="B336:C336"/>
    <mergeCell ref="A336:A337"/>
    <mergeCell ref="B335:C335"/>
    <mergeCell ref="B334:C334"/>
    <mergeCell ref="B329:C329"/>
    <mergeCell ref="B324:C324"/>
    <mergeCell ref="B319:C319"/>
    <mergeCell ref="A314:A335"/>
    <mergeCell ref="D312:N312"/>
    <mergeCell ref="O312:AH312"/>
    <mergeCell ref="B312:C312"/>
    <mergeCell ref="A312:A313"/>
    <mergeCell ref="B311:C311"/>
    <mergeCell ref="B310:C310"/>
    <mergeCell ref="B305:C305"/>
    <mergeCell ref="B300:C300"/>
    <mergeCell ref="B295:C295"/>
    <mergeCell ref="A290:A311"/>
    <mergeCell ref="D288:N288"/>
    <mergeCell ref="O288:AH288"/>
    <mergeCell ref="B288:C288"/>
    <mergeCell ref="A288:A289"/>
    <mergeCell ref="D1:N1"/>
    <mergeCell ref="O1:AH1"/>
    <mergeCell ref="D25:N25"/>
    <mergeCell ref="O25:AH25"/>
    <mergeCell ref="D49:N49"/>
    <mergeCell ref="O49:AH49"/>
    <mergeCell ref="D73:N73"/>
    <mergeCell ref="O73:AH73"/>
    <mergeCell ref="D97:N97"/>
    <mergeCell ref="O97:AH97"/>
    <mergeCell ref="D121:N121"/>
    <mergeCell ref="O121:AH121"/>
    <mergeCell ref="D145:N145"/>
    <mergeCell ref="O145:AH145"/>
    <mergeCell ref="D169:N169"/>
    <mergeCell ref="O169:AH169"/>
    <mergeCell ref="D193:N193"/>
    <mergeCell ref="O193:AH193"/>
    <mergeCell ref="D216:N216"/>
    <mergeCell ref="O216:AH216"/>
    <mergeCell ref="D240:N240"/>
    <mergeCell ref="O240:AH240"/>
    <mergeCell ref="D264:N264"/>
    <mergeCell ref="O264:AH264"/>
    <mergeCell ref="B287:C287"/>
    <mergeCell ref="B286:C286"/>
    <mergeCell ref="B281:C281"/>
    <mergeCell ref="B276:C276"/>
    <mergeCell ref="B271:C271"/>
    <mergeCell ref="A266:A287"/>
    <mergeCell ref="B264:C264"/>
    <mergeCell ref="A264:A265"/>
    <mergeCell ref="B263:C263"/>
    <mergeCell ref="B262:C262"/>
    <mergeCell ref="B257:C257"/>
    <mergeCell ref="B252:C252"/>
    <mergeCell ref="B247:C247"/>
    <mergeCell ref="A242:A263"/>
    <mergeCell ref="B240:C240"/>
    <mergeCell ref="A240:A241"/>
    <mergeCell ref="B239:C239"/>
    <mergeCell ref="B238:C238"/>
    <mergeCell ref="B233:C233"/>
    <mergeCell ref="B228:C228"/>
    <mergeCell ref="B223:C223"/>
    <mergeCell ref="A218:A239"/>
    <mergeCell ref="B216:C216"/>
    <mergeCell ref="A216:A217"/>
    <mergeCell ref="A193:A194"/>
    <mergeCell ref="A195:A215"/>
    <mergeCell ref="B204:C204"/>
    <mergeCell ref="B199:C199"/>
    <mergeCell ref="B193:C193"/>
    <mergeCell ref="B192:C192"/>
    <mergeCell ref="B191:C191"/>
    <mergeCell ref="B186:C186"/>
    <mergeCell ref="B181:C181"/>
    <mergeCell ref="B176:C176"/>
    <mergeCell ref="A171:A192"/>
    <mergeCell ref="B169:C169"/>
    <mergeCell ref="A169:A170"/>
    <mergeCell ref="B168:C168"/>
    <mergeCell ref="B167:C167"/>
    <mergeCell ref="B162:C162"/>
    <mergeCell ref="B157:C157"/>
    <mergeCell ref="B152:C152"/>
    <mergeCell ref="A147:A168"/>
    <mergeCell ref="B145:C145"/>
    <mergeCell ref="A145:A146"/>
    <mergeCell ref="B143:C143"/>
    <mergeCell ref="B144:C144"/>
    <mergeCell ref="B138:C138"/>
    <mergeCell ref="B133:C133"/>
    <mergeCell ref="B128:C128"/>
    <mergeCell ref="A123:A144"/>
    <mergeCell ref="B121:C121"/>
    <mergeCell ref="A121:A122"/>
    <mergeCell ref="B120:C120"/>
    <mergeCell ref="B119:C119"/>
    <mergeCell ref="B114:C114"/>
    <mergeCell ref="B109:C109"/>
    <mergeCell ref="B104:C104"/>
    <mergeCell ref="A99:A120"/>
    <mergeCell ref="B97:C97"/>
    <mergeCell ref="A97:A98"/>
    <mergeCell ref="B96:C96"/>
    <mergeCell ref="B95:C95"/>
    <mergeCell ref="B90:C90"/>
    <mergeCell ref="B85:C85"/>
    <mergeCell ref="B80:C80"/>
    <mergeCell ref="A75:A96"/>
    <mergeCell ref="B73:C73"/>
    <mergeCell ref="A73:A74"/>
    <mergeCell ref="B72:C72"/>
    <mergeCell ref="B71:C71"/>
    <mergeCell ref="B66:C66"/>
    <mergeCell ref="B61:C61"/>
    <mergeCell ref="B56:C56"/>
    <mergeCell ref="A51:A72"/>
    <mergeCell ref="B49:C49"/>
    <mergeCell ref="A49:A50"/>
    <mergeCell ref="B48:C48"/>
    <mergeCell ref="B47:C47"/>
    <mergeCell ref="B42:C42"/>
    <mergeCell ref="B37:C37"/>
    <mergeCell ref="B32:C32"/>
    <mergeCell ref="A27:A48"/>
    <mergeCell ref="B25:C25"/>
    <mergeCell ref="A25:A26"/>
    <mergeCell ref="B24:C24"/>
    <mergeCell ref="B23:C23"/>
    <mergeCell ref="B18:C18"/>
    <mergeCell ref="B13:C13"/>
    <mergeCell ref="B8:C8"/>
    <mergeCell ref="A3:A24"/>
    <mergeCell ref="B1:C1"/>
    <mergeCell ref="A1:A2"/>
    <mergeCell ref="B209:C209"/>
    <mergeCell ref="B214:C214"/>
    <mergeCell ref="B215:C215"/>
    <mergeCell ref="D477:N477"/>
    <mergeCell ref="O477:AH477"/>
    <mergeCell ref="B477:C477"/>
    <mergeCell ref="A477:A478"/>
    <mergeCell ref="A479:A502"/>
    <mergeCell ref="B483:C483"/>
    <mergeCell ref="B486:C486"/>
    <mergeCell ref="B491:C491"/>
    <mergeCell ref="B496:C496"/>
    <mergeCell ref="B501:C501"/>
    <mergeCell ref="B502:C502"/>
    <mergeCell ref="D503:N503"/>
    <mergeCell ref="O503:AH503"/>
    <mergeCell ref="B503:C503"/>
    <mergeCell ref="A503:A504"/>
    <mergeCell ref="A505:A526"/>
    <mergeCell ref="B510:C510"/>
    <mergeCell ref="B515:C515"/>
    <mergeCell ref="B520:C520"/>
    <mergeCell ref="B525:C525"/>
    <mergeCell ref="B526:C526"/>
    <mergeCell ref="D527:N527"/>
    <mergeCell ref="O527:AH527"/>
    <mergeCell ref="B527:C527"/>
    <mergeCell ref="A527:A528"/>
    <mergeCell ref="B533:C533"/>
    <mergeCell ref="B536:C536"/>
    <mergeCell ref="B541:C541"/>
    <mergeCell ref="B546:C546"/>
    <mergeCell ref="B547:C547"/>
    <mergeCell ref="A550:A560"/>
    <mergeCell ref="D561:N561"/>
    <mergeCell ref="O561:AH561"/>
    <mergeCell ref="B561:C561"/>
    <mergeCell ref="A561:A562"/>
    <mergeCell ref="B568:C568"/>
    <mergeCell ref="A563:A575"/>
    <mergeCell ref="B574:C574"/>
    <mergeCell ref="B575:C575"/>
    <mergeCell ref="D576:N576"/>
    <mergeCell ref="O576:AH576"/>
    <mergeCell ref="B576:C576"/>
    <mergeCell ref="A576:A577"/>
    <mergeCell ref="B591:C591"/>
    <mergeCell ref="B590:C590"/>
    <mergeCell ref="B587:C587"/>
    <mergeCell ref="B582:C582"/>
    <mergeCell ref="A578:A59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0.376139188069585"/>
    <col collapsed="false" customWidth="true" hidden="false" max="15" min="15" style="0" width="10.691705790297343"/>
    <col collapsed="false" customWidth="true" hidden="false" max="23" min="23" style="0" width="10.635367762128302"/>
    <col collapsed="false" customWidth="true" hidden="false" max="31" min="31" style="0" width="10.654147104851342"/>
    <col collapsed="false" customWidth="true" hidden="false" max="6" min="6" style="0" width="10.25683512841755"/>
    <col collapsed="false" customWidth="true" hidden="false" max="14" min="14" style="0" width="10.629107981220674"/>
    <col collapsed="false" customWidth="true" hidden="false" max="30" min="30" style="0" width="10.347417840375604"/>
    <col collapsed="false" customWidth="true" hidden="false" max="5" min="5" style="0" width="10.296603148301573"/>
    <col collapsed="false" customWidth="true" hidden="false" max="29" min="29" style="0" width="10.564304876030317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0.622848200312994"/>
    <col collapsed="false" customWidth="true" hidden="false" max="3" min="3" style="0" width="10.866979655712052"/>
    <col collapsed="false" customWidth="true" hidden="false" max="11" min="11" style="0" width="10.67292644757433"/>
    <col collapsed="false" customWidth="true" hidden="false" max="19" min="19" style="0" width="10.516431924882621"/>
    <col collapsed="false" customWidth="true" hidden="false" max="27" min="27" style="0" width="11.211267605633802"/>
    <col collapsed="false" customWidth="true" hidden="false" max="34" min="34" style="0" width="10.36399188698498"/>
    <col collapsed="false" customWidth="true" hidden="false" max="2" min="2" style="0" width="10.183927091963541"/>
    <col collapsed="false" customWidth="true" hidden="false" max="10" min="10" style="0" width="10.67292644757433"/>
    <col collapsed="false" customWidth="true" hidden="false" max="18" min="18" style="0" width="10.5602503912363"/>
    <col collapsed="false" customWidth="true" hidden="false" max="26" min="26" style="0" width="11.211267605633802"/>
    <col collapsed="false" customWidth="true" hidden="false" max="33" min="33" style="0" width="9.558685446009406"/>
    <col collapsed="false" customWidth="true" hidden="false" max="1" min="1" style="0" width="9.441590720795359"/>
    <col collapsed="false" customWidth="true" hidden="false" max="9" min="9" style="0" width="10.309859154929566"/>
    <col collapsed="false" customWidth="true" hidden="false" max="25" min="25" style="0" width="10.297339593114218"/>
    <col collapsed="false" customWidth="true" hidden="false" max="8" min="8" style="0" width="10.804381846635371"/>
    <col collapsed="false" customWidth="true" hidden="false" max="16" min="16" style="0" width="10.441314553990619"/>
    <col collapsed="false" customWidth="true" hidden="false" max="24" min="24" style="0" width="10.904538341158066"/>
    <col collapsed="false" customWidth="true" hidden="false" max="32" min="32" style="0" width="8.995305164319214"/>
  </cols>
  <sheetData>
    <row r="1">
      <c r="A1" s="337" t="s">
        <v>197</v>
      </c>
      <c r="B1" s="337" t="s">
        <v>198</v>
      </c>
      <c r="C1" s="337"/>
      <c r="D1" s="338" t="s">
        <v>199</v>
      </c>
      <c r="E1" s="338"/>
      <c r="F1" s="338"/>
      <c r="G1" s="338"/>
      <c r="H1" s="338"/>
      <c r="I1" s="338"/>
      <c r="J1" s="338"/>
      <c r="K1" s="338"/>
      <c r="L1" s="338"/>
      <c r="M1" s="338"/>
      <c r="N1" s="339" t="s">
        <v>200</v>
      </c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40"/>
    </row>
    <row r="2">
      <c r="A2" s="337"/>
      <c r="B2" s="337" t="s">
        <v>201</v>
      </c>
      <c r="C2" s="337" t="s">
        <v>202</v>
      </c>
      <c r="D2" s="338" t="s">
        <v>203</v>
      </c>
      <c r="E2" s="341"/>
      <c r="F2" s="341" t="s">
        <v>204</v>
      </c>
      <c r="G2" s="341" t="s">
        <v>205</v>
      </c>
      <c r="H2" s="338" t="s">
        <v>206</v>
      </c>
      <c r="I2" s="342" t="s">
        <v>207</v>
      </c>
      <c r="J2" s="342" t="s">
        <v>208</v>
      </c>
      <c r="K2" s="342" t="s">
        <v>209</v>
      </c>
      <c r="L2" s="342"/>
      <c r="M2" s="342" t="s">
        <v>210</v>
      </c>
      <c r="N2" s="343" t="s">
        <v>211</v>
      </c>
      <c r="O2" s="344" t="s">
        <v>212</v>
      </c>
      <c r="P2" s="344" t="s">
        <v>213</v>
      </c>
      <c r="Q2" s="344" t="s">
        <v>214</v>
      </c>
      <c r="R2" s="344" t="s">
        <v>215</v>
      </c>
      <c r="S2" s="345" t="s">
        <v>216</v>
      </c>
      <c r="T2" s="344" t="s">
        <v>217</v>
      </c>
      <c r="U2" s="345" t="s">
        <v>218</v>
      </c>
      <c r="V2" s="339" t="s">
        <v>219</v>
      </c>
      <c r="W2" s="340" t="s">
        <v>220</v>
      </c>
      <c r="X2" s="340" t="s">
        <v>221</v>
      </c>
      <c r="Y2" s="340" t="s">
        <v>222</v>
      </c>
      <c r="Z2" s="340" t="s">
        <v>223</v>
      </c>
      <c r="AA2" s="340" t="s">
        <v>224</v>
      </c>
      <c r="AB2" s="340" t="s">
        <v>225</v>
      </c>
      <c r="AC2" s="340" t="s">
        <v>226</v>
      </c>
      <c r="AD2" s="340" t="s">
        <v>227</v>
      </c>
      <c r="AE2" s="339" t="s">
        <v>228</v>
      </c>
      <c r="AF2" s="346" t="s">
        <v>229</v>
      </c>
      <c r="AG2" s="346" t="s">
        <v>230</v>
      </c>
      <c r="AH2" s="340" t="s">
        <v>231</v>
      </c>
    </row>
    <row r="3">
      <c r="A3" s="347">
        <v>46144</v>
      </c>
      <c r="B3" s="348" t="s">
        <v>232</v>
      </c>
      <c r="C3" s="348" t="s">
        <v>233</v>
      </c>
      <c r="D3" s="349">
        <v>118.99</v>
      </c>
      <c r="E3" s="350"/>
      <c r="F3" s="350">
        <v>1</v>
      </c>
      <c r="G3" s="350">
        <v>1</v>
      </c>
      <c r="H3" s="349">
        <v>451</v>
      </c>
      <c r="I3" s="351">
        <f t="shared" ref="I3:I9" si="186">H3/D3</f>
      </c>
      <c r="J3" s="351">
        <f t="shared" ref="J3:J9" si="246">D3/F3</f>
      </c>
      <c r="K3" s="351">
        <f t="shared" ref="K3:K9" si="306">D3/G3</f>
      </c>
      <c r="L3" s="351"/>
      <c r="M3" s="351">
        <f t="shared" ref="M3:M9" si="0">H3/F3</f>
      </c>
      <c r="N3" s="351">
        <f t="shared" ref="N3:N9" si="66">D3/X3</f>
      </c>
      <c r="O3" s="352">
        <f t="shared" ref="O3:O9" si="96">S3/W3*1</f>
      </c>
      <c r="P3" s="352">
        <f t="shared" ref="P3:P9" si="126">X3/W3</f>
      </c>
      <c r="Q3" s="352">
        <f t="shared" ref="Q3:Q9" si="156">Z3/W3</f>
      </c>
      <c r="R3" s="352">
        <f t="shared" ref="R3:R9" si="216">AA3/Z3</f>
      </c>
      <c r="S3" s="353">
        <f t="shared" ref="S3:S9" si="276">Y3/T3</f>
      </c>
      <c r="T3" s="354">
        <v>0.0606</v>
      </c>
      <c r="U3" s="355">
        <v>30</v>
      </c>
      <c r="V3" s="351">
        <f t="shared" ref="V3:V9" si="336">(D3/W3)*1000</f>
      </c>
      <c r="W3" s="353">
        <v>1334</v>
      </c>
      <c r="X3" s="355">
        <v>85</v>
      </c>
      <c r="Y3" s="355">
        <v>30</v>
      </c>
      <c r="Z3" s="355">
        <v>321</v>
      </c>
      <c r="AA3" s="355">
        <v>4</v>
      </c>
      <c r="AB3" s="355">
        <v>1</v>
      </c>
      <c r="AC3" s="355">
        <v>0</v>
      </c>
      <c r="AD3" s="355">
        <v>2</v>
      </c>
      <c r="AE3" s="351">
        <f t="shared" ref="AE3:AE8" si="30">AH3*1000/D3</f>
      </c>
      <c r="AF3" s="356" t="s">
        <v>234</v>
      </c>
      <c r="AG3" s="357" t="s">
        <v>235</v>
      </c>
      <c r="AH3" s="355">
        <v>13</v>
      </c>
    </row>
    <row r="4">
      <c r="A4" s="358"/>
      <c r="B4" s="348" t="s">
        <v>232</v>
      </c>
      <c r="C4" s="348" t="s">
        <v>236</v>
      </c>
      <c r="D4" s="359">
        <v>3012.7900000000004</v>
      </c>
      <c r="E4" s="350"/>
      <c r="F4" s="350">
        <v>2</v>
      </c>
      <c r="G4" s="350">
        <v>2</v>
      </c>
      <c r="H4" s="349">
        <v>902</v>
      </c>
      <c r="I4" s="351">
        <f t="shared" si="186"/>
      </c>
      <c r="J4" s="351">
        <f t="shared" si="246"/>
      </c>
      <c r="K4" s="351">
        <f t="shared" si="306"/>
      </c>
      <c r="L4" s="351"/>
      <c r="M4" s="351">
        <f t="shared" si="0"/>
      </c>
      <c r="N4" s="351">
        <f t="shared" si="66"/>
      </c>
      <c r="O4" s="352">
        <f t="shared" si="96"/>
      </c>
      <c r="P4" s="352">
        <f t="shared" si="126"/>
      </c>
      <c r="Q4" s="352">
        <f t="shared" si="156"/>
      </c>
      <c r="R4" s="352">
        <f t="shared" si="216"/>
      </c>
      <c r="S4" s="353">
        <f t="shared" si="276"/>
      </c>
      <c r="T4" s="354">
        <v>0.0998</v>
      </c>
      <c r="U4" s="355">
        <v>60</v>
      </c>
      <c r="V4" s="351">
        <f t="shared" si="336"/>
      </c>
      <c r="W4" s="355">
        <v>19014</v>
      </c>
      <c r="X4" s="355">
        <v>421</v>
      </c>
      <c r="Y4" s="355">
        <v>56</v>
      </c>
      <c r="Z4" s="355">
        <v>267</v>
      </c>
      <c r="AA4" s="355">
        <v>60</v>
      </c>
      <c r="AB4" s="355">
        <v>5</v>
      </c>
      <c r="AC4" s="355">
        <v>0</v>
      </c>
      <c r="AD4" s="355">
        <v>2</v>
      </c>
      <c r="AE4" s="351">
        <f t="shared" si="30"/>
      </c>
      <c r="AF4" s="356" t="s">
        <v>234</v>
      </c>
      <c r="AG4" s="357" t="s">
        <v>235</v>
      </c>
      <c r="AH4" s="355">
        <v>18</v>
      </c>
    </row>
    <row r="5">
      <c r="A5" s="358"/>
      <c r="B5" s="348" t="s">
        <v>232</v>
      </c>
      <c r="C5" s="348" t="s">
        <v>237</v>
      </c>
      <c r="D5" s="349">
        <v>3609.62</v>
      </c>
      <c r="E5" s="350"/>
      <c r="F5" s="350">
        <v>12</v>
      </c>
      <c r="G5" s="350">
        <v>11</v>
      </c>
      <c r="H5" s="349">
        <v>8712</v>
      </c>
      <c r="I5" s="351">
        <f t="shared" si="186"/>
      </c>
      <c r="J5" s="351">
        <f t="shared" si="246"/>
      </c>
      <c r="K5" s="351">
        <f t="shared" si="306"/>
      </c>
      <c r="L5" s="351"/>
      <c r="M5" s="351">
        <f t="shared" si="0"/>
      </c>
      <c r="N5" s="351">
        <f t="shared" si="66"/>
      </c>
      <c r="O5" s="352">
        <f t="shared" si="96"/>
      </c>
      <c r="P5" s="352">
        <f t="shared" si="126"/>
      </c>
      <c r="Q5" s="352">
        <f t="shared" si="156"/>
      </c>
      <c r="R5" s="352">
        <f t="shared" si="216"/>
      </c>
      <c r="S5" s="353">
        <f t="shared" si="276"/>
      </c>
      <c r="T5" s="354">
        <v>0.0734</v>
      </c>
      <c r="U5" s="355">
        <v>60</v>
      </c>
      <c r="V5" s="351">
        <f t="shared" si="336"/>
      </c>
      <c r="W5" s="355">
        <v>32242</v>
      </c>
      <c r="X5" s="355">
        <v>633</v>
      </c>
      <c r="Y5" s="355">
        <v>128</v>
      </c>
      <c r="Z5" s="355">
        <v>719</v>
      </c>
      <c r="AA5" s="353">
        <v>126</v>
      </c>
      <c r="AB5" s="353">
        <v>15</v>
      </c>
      <c r="AC5" s="355">
        <v>1</v>
      </c>
      <c r="AD5" s="355">
        <v>4</v>
      </c>
      <c r="AE5" s="351">
        <f t="shared" si="30"/>
      </c>
      <c r="AF5" s="356" t="s">
        <v>234</v>
      </c>
      <c r="AG5" s="357" t="s">
        <v>235</v>
      </c>
      <c r="AH5" s="355">
        <v>30</v>
      </c>
    </row>
    <row r="6">
      <c r="A6" s="358"/>
      <c r="B6" s="348" t="s">
        <v>232</v>
      </c>
      <c r="C6" s="348" t="s">
        <v>238</v>
      </c>
      <c r="D6" s="349">
        <v>1761.34</v>
      </c>
      <c r="E6" s="350"/>
      <c r="F6" s="350">
        <v>3</v>
      </c>
      <c r="G6" s="350">
        <v>2</v>
      </c>
      <c r="H6" s="349">
        <v>3498</v>
      </c>
      <c r="I6" s="351">
        <f t="shared" si="186"/>
      </c>
      <c r="J6" s="351">
        <f t="shared" si="246"/>
      </c>
      <c r="K6" s="351">
        <f t="shared" si="306"/>
      </c>
      <c r="L6" s="351"/>
      <c r="M6" s="351">
        <f t="shared" si="0"/>
      </c>
      <c r="N6" s="351">
        <f t="shared" si="66"/>
      </c>
      <c r="O6" s="352">
        <f t="shared" si="96"/>
      </c>
      <c r="P6" s="352">
        <f t="shared" si="126"/>
      </c>
      <c r="Q6" s="352">
        <f t="shared" si="156"/>
      </c>
      <c r="R6" s="352">
        <f t="shared" si="216"/>
      </c>
      <c r="S6" s="353">
        <f t="shared" si="276"/>
      </c>
      <c r="T6" s="354">
        <v>0.0544</v>
      </c>
      <c r="U6" s="355">
        <v>56</v>
      </c>
      <c r="V6" s="351">
        <f t="shared" si="336"/>
      </c>
      <c r="W6" s="355">
        <v>20344</v>
      </c>
      <c r="X6" s="355">
        <v>741</v>
      </c>
      <c r="Y6" s="353">
        <v>91</v>
      </c>
      <c r="Z6" s="353">
        <v>807</v>
      </c>
      <c r="AA6" s="353">
        <v>55</v>
      </c>
      <c r="AB6" s="353">
        <v>9</v>
      </c>
      <c r="AC6" s="355">
        <v>1</v>
      </c>
      <c r="AD6" s="355">
        <v>5</v>
      </c>
      <c r="AE6" s="351">
        <f t="shared" si="30"/>
      </c>
      <c r="AF6" s="356" t="s">
        <v>234</v>
      </c>
      <c r="AG6" s="357" t="s">
        <v>235</v>
      </c>
      <c r="AH6" s="355">
        <v>27</v>
      </c>
    </row>
    <row r="7">
      <c r="A7" s="358"/>
      <c r="B7" s="348" t="s">
        <v>232</v>
      </c>
      <c r="C7" s="348" t="s">
        <v>239</v>
      </c>
      <c r="D7" s="349">
        <v>1739.66</v>
      </c>
      <c r="E7" s="350"/>
      <c r="F7" s="350">
        <v>5</v>
      </c>
      <c r="G7" s="350">
        <v>5</v>
      </c>
      <c r="H7" s="349">
        <v>4304.300000000003</v>
      </c>
      <c r="I7" s="351">
        <f t="shared" si="186"/>
      </c>
      <c r="J7" s="351">
        <f t="shared" si="246"/>
      </c>
      <c r="K7" s="351">
        <f t="shared" si="306"/>
      </c>
      <c r="L7" s="351"/>
      <c r="M7" s="351">
        <f t="shared" si="0"/>
      </c>
      <c r="N7" s="351">
        <f t="shared" si="66"/>
      </c>
      <c r="O7" s="352">
        <f t="shared" si="96"/>
      </c>
      <c r="P7" s="352">
        <f t="shared" si="126"/>
      </c>
      <c r="Q7" s="352">
        <f t="shared" si="156"/>
      </c>
      <c r="R7" s="352">
        <f t="shared" si="216"/>
      </c>
      <c r="S7" s="353">
        <f t="shared" si="276"/>
      </c>
      <c r="T7" s="354">
        <v>0.0534</v>
      </c>
      <c r="U7" s="355">
        <v>60</v>
      </c>
      <c r="V7" s="351">
        <f t="shared" si="336"/>
      </c>
      <c r="W7" s="355">
        <v>19019</v>
      </c>
      <c r="X7" s="355">
        <v>175</v>
      </c>
      <c r="Y7" s="355">
        <v>48</v>
      </c>
      <c r="Z7" s="355">
        <v>181</v>
      </c>
      <c r="AA7" s="355">
        <v>44</v>
      </c>
      <c r="AB7" s="355">
        <v>2</v>
      </c>
      <c r="AC7" s="355">
        <v>1</v>
      </c>
      <c r="AD7" s="355">
        <v>1</v>
      </c>
      <c r="AE7" s="351">
        <f t="shared" si="30"/>
      </c>
      <c r="AF7" s="356" t="s">
        <v>234</v>
      </c>
      <c r="AG7" s="357" t="s">
        <v>235</v>
      </c>
      <c r="AH7" s="355">
        <v>13</v>
      </c>
    </row>
    <row r="8">
      <c r="A8" s="358"/>
      <c r="B8" s="360" t="s">
        <v>240</v>
      </c>
      <c r="C8" s="360"/>
      <c r="D8" s="361">
        <f>SUM(D3:D7)</f>
      </c>
      <c r="E8" s="362"/>
      <c r="F8" s="362">
        <f>SUM(F3:F7)</f>
      </c>
      <c r="G8" s="362">
        <f>SUM(G3:G7)</f>
      </c>
      <c r="H8" s="361">
        <f>SUM(H3:H7)</f>
      </c>
      <c r="I8" s="363">
        <f t="shared" si="186"/>
      </c>
      <c r="J8" s="363">
        <f t="shared" si="246"/>
      </c>
      <c r="K8" s="363">
        <f t="shared" si="306"/>
      </c>
      <c r="L8" s="363"/>
      <c r="M8" s="363">
        <f t="shared" si="0"/>
      </c>
      <c r="N8" s="363">
        <f t="shared" si="66"/>
      </c>
      <c r="O8" s="364">
        <f t="shared" si="96"/>
      </c>
      <c r="P8" s="364">
        <f t="shared" si="126"/>
      </c>
      <c r="Q8" s="364">
        <f t="shared" si="156"/>
      </c>
      <c r="R8" s="364">
        <f t="shared" si="216"/>
      </c>
      <c r="S8" s="365">
        <f t="shared" si="276"/>
      </c>
      <c r="T8" s="364">
        <f>AVERAGE(T3:T7)</f>
      </c>
      <c r="U8" s="361">
        <f>AVERAGE(U3:U7)</f>
      </c>
      <c r="V8" s="363">
        <f t="shared" si="336"/>
      </c>
      <c r="W8" s="365">
        <f>SUM(W3:W7)</f>
      </c>
      <c r="X8" s="365">
        <f>SUM(X3:X7)</f>
      </c>
      <c r="Y8" s="365">
        <f>SUM(Y3:Y7)</f>
      </c>
      <c r="Z8" s="365">
        <f>SUM(Z3:Z7)</f>
      </c>
      <c r="AA8" s="365">
        <f>SUM(AA3:AA7)</f>
      </c>
      <c r="AB8" s="365">
        <f>SUM(AB3:AB7)</f>
      </c>
      <c r="AC8" s="365">
        <f>SUM(AC3:AC7)</f>
      </c>
      <c r="AD8" s="365">
        <f>SUM(AD3:AD7)</f>
      </c>
      <c r="AE8" s="366">
        <f t="shared" si="30"/>
      </c>
      <c r="AF8" s="367"/>
      <c r="AG8" s="367"/>
      <c r="AH8" s="368">
        <f>SUM(AH3:AH7)</f>
      </c>
    </row>
    <row r="9">
      <c r="A9" s="358"/>
      <c r="B9" s="369" t="s">
        <v>241</v>
      </c>
      <c r="C9" s="369"/>
      <c r="D9" s="370">
        <f>D8</f>
      </c>
      <c r="E9" s="370"/>
      <c r="F9" s="370">
        <f>F8</f>
      </c>
      <c r="G9" s="371">
        <f>G8</f>
      </c>
      <c r="H9" s="370">
        <f>H8</f>
      </c>
      <c r="I9" s="372">
        <f t="shared" si="186"/>
      </c>
      <c r="J9" s="372">
        <f t="shared" si="246"/>
      </c>
      <c r="K9" s="372">
        <f t="shared" si="306"/>
      </c>
      <c r="L9" s="372"/>
      <c r="M9" s="372">
        <f t="shared" si="0"/>
      </c>
      <c r="N9" s="372">
        <f t="shared" si="66"/>
      </c>
      <c r="O9" s="373">
        <f t="shared" si="96"/>
      </c>
      <c r="P9" s="373">
        <f t="shared" si="126"/>
      </c>
      <c r="Q9" s="373">
        <f t="shared" si="156"/>
      </c>
      <c r="R9" s="373">
        <f t="shared" si="216"/>
      </c>
      <c r="S9" s="374">
        <f t="shared" si="276"/>
      </c>
      <c r="T9" s="373">
        <f>(T8)/2</f>
      </c>
      <c r="U9" s="370">
        <f>(U8)/2</f>
      </c>
      <c r="V9" s="370">
        <f t="shared" si="336"/>
      </c>
      <c r="W9" s="374">
        <f>W8</f>
      </c>
      <c r="X9" s="374">
        <f>X8</f>
      </c>
      <c r="Y9" s="374">
        <f>Y8</f>
      </c>
      <c r="Z9" s="374">
        <f>Z8</f>
      </c>
      <c r="AA9" s="374">
        <f>AA8</f>
      </c>
      <c r="AB9" s="374">
        <f>AB8</f>
      </c>
      <c r="AC9" s="374">
        <f>AC8</f>
      </c>
      <c r="AD9" s="374">
        <f>AD8</f>
      </c>
      <c r="AE9" s="372">
        <f>AE8</f>
      </c>
      <c r="AF9" s="369"/>
      <c r="AG9" s="369"/>
      <c r="AH9" s="374">
        <f>AH8</f>
      </c>
    </row>
    <row r="10">
      <c r="A10" s="337" t="s">
        <v>197</v>
      </c>
      <c r="B10" s="337" t="s">
        <v>198</v>
      </c>
      <c r="C10" s="337"/>
      <c r="D10" s="338" t="s">
        <v>199</v>
      </c>
      <c r="E10" s="338"/>
      <c r="F10" s="338"/>
      <c r="G10" s="338"/>
      <c r="H10" s="338"/>
      <c r="I10" s="338"/>
      <c r="J10" s="338"/>
      <c r="K10" s="338"/>
      <c r="L10" s="338"/>
      <c r="M10" s="338"/>
      <c r="N10" s="339" t="s">
        <v>200</v>
      </c>
      <c r="O10" s="339"/>
      <c r="P10" s="339"/>
      <c r="Q10" s="339"/>
      <c r="R10" s="339"/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40"/>
    </row>
    <row r="11">
      <c r="A11" s="337"/>
      <c r="B11" s="337" t="s">
        <v>201</v>
      </c>
      <c r="C11" s="337" t="s">
        <v>202</v>
      </c>
      <c r="D11" s="338" t="s">
        <v>203</v>
      </c>
      <c r="E11" s="341"/>
      <c r="F11" s="341" t="s">
        <v>204</v>
      </c>
      <c r="G11" s="341" t="s">
        <v>205</v>
      </c>
      <c r="H11" s="338" t="s">
        <v>206</v>
      </c>
      <c r="I11" s="342" t="s">
        <v>207</v>
      </c>
      <c r="J11" s="342" t="s">
        <v>208</v>
      </c>
      <c r="K11" s="342" t="s">
        <v>209</v>
      </c>
      <c r="L11" s="342"/>
      <c r="M11" s="342" t="s">
        <v>210</v>
      </c>
      <c r="N11" s="343" t="s">
        <v>211</v>
      </c>
      <c r="O11" s="344" t="s">
        <v>212</v>
      </c>
      <c r="P11" s="344" t="s">
        <v>213</v>
      </c>
      <c r="Q11" s="344" t="s">
        <v>214</v>
      </c>
      <c r="R11" s="344" t="s">
        <v>215</v>
      </c>
      <c r="S11" s="345" t="s">
        <v>216</v>
      </c>
      <c r="T11" s="344" t="s">
        <v>217</v>
      </c>
      <c r="U11" s="345" t="s">
        <v>218</v>
      </c>
      <c r="V11" s="339" t="s">
        <v>219</v>
      </c>
      <c r="W11" s="340" t="s">
        <v>220</v>
      </c>
      <c r="X11" s="340" t="s">
        <v>221</v>
      </c>
      <c r="Y11" s="340" t="s">
        <v>222</v>
      </c>
      <c r="Z11" s="340" t="s">
        <v>223</v>
      </c>
      <c r="AA11" s="340" t="s">
        <v>224</v>
      </c>
      <c r="AB11" s="340" t="s">
        <v>225</v>
      </c>
      <c r="AC11" s="340" t="s">
        <v>226</v>
      </c>
      <c r="AD11" s="340" t="s">
        <v>227</v>
      </c>
      <c r="AE11" s="339" t="s">
        <v>228</v>
      </c>
      <c r="AF11" s="346" t="s">
        <v>229</v>
      </c>
      <c r="AG11" s="346" t="s">
        <v>230</v>
      </c>
      <c r="AH11" s="340" t="s">
        <v>231</v>
      </c>
    </row>
    <row r="12">
      <c r="A12" s="347">
        <v>46145</v>
      </c>
      <c r="B12" s="348" t="s">
        <v>242</v>
      </c>
      <c r="C12" s="348" t="s">
        <v>243</v>
      </c>
      <c r="D12" s="349">
        <v>207.48</v>
      </c>
      <c r="E12" s="350"/>
      <c r="F12" s="350">
        <v>0</v>
      </c>
      <c r="G12" s="350">
        <v>0</v>
      </c>
      <c r="H12" s="349">
        <v>0</v>
      </c>
      <c r="I12" s="351">
        <f t="shared" ref="I12:I22" si="187">H12/D12</f>
      </c>
      <c r="J12" s="351">
        <f t="shared" ref="J12:J22" si="247">D12/F12</f>
      </c>
      <c r="K12" s="351">
        <f t="shared" ref="K12:K22" si="307">D12/G12</f>
      </c>
      <c r="L12" s="351"/>
      <c r="M12" s="351">
        <f t="shared" ref="M12:M22" si="1">H12/F12</f>
      </c>
      <c r="N12" s="351">
        <f t="shared" ref="N12:N22" si="67">D12/X12</f>
      </c>
      <c r="O12" s="352">
        <f t="shared" ref="O12:O22" si="97">S12/W12*1</f>
      </c>
      <c r="P12" s="352">
        <f t="shared" ref="P12:P22" si="127">X12/W12</f>
      </c>
      <c r="Q12" s="352">
        <f t="shared" ref="Q12:Q22" si="157">Z12/W12</f>
      </c>
      <c r="R12" s="352">
        <f t="shared" ref="R12:R22" si="217">AA12/Z12</f>
      </c>
      <c r="S12" s="353">
        <f t="shared" ref="S12:S22" si="277">Y12/T12</f>
      </c>
      <c r="T12" s="354">
        <v>0.0197</v>
      </c>
      <c r="U12" s="355">
        <v>17</v>
      </c>
      <c r="V12" s="351">
        <f t="shared" ref="V12:V22" si="337">(D12/W12)*1000</f>
      </c>
      <c r="W12" s="355">
        <v>1555</v>
      </c>
      <c r="X12" s="355">
        <v>97</v>
      </c>
      <c r="Y12" s="353">
        <v>3</v>
      </c>
      <c r="Z12" s="353">
        <v>151</v>
      </c>
      <c r="AA12" s="353">
        <v>14</v>
      </c>
      <c r="AB12" s="353">
        <v>3</v>
      </c>
      <c r="AC12" s="353">
        <v>0</v>
      </c>
      <c r="AD12" s="355">
        <v>0</v>
      </c>
      <c r="AE12" s="351">
        <f t="shared" ref="AE12:AE21" si="31">AH12*1000/D12</f>
      </c>
      <c r="AF12" s="356" t="s">
        <v>234</v>
      </c>
      <c r="AG12" s="357" t="s">
        <v>235</v>
      </c>
      <c r="AH12" s="355">
        <v>1</v>
      </c>
    </row>
    <row r="13">
      <c r="A13" s="358"/>
      <c r="B13" s="348" t="s">
        <v>242</v>
      </c>
      <c r="C13" s="348" t="s">
        <v>244</v>
      </c>
      <c r="D13" s="349">
        <v>3343.57</v>
      </c>
      <c r="E13" s="350"/>
      <c r="F13" s="350">
        <v>0</v>
      </c>
      <c r="G13" s="350">
        <v>0</v>
      </c>
      <c r="H13" s="349">
        <v>0</v>
      </c>
      <c r="I13" s="351">
        <f t="shared" si="187"/>
      </c>
      <c r="J13" s="351">
        <f t="shared" si="247"/>
      </c>
      <c r="K13" s="351">
        <f t="shared" si="307"/>
      </c>
      <c r="L13" s="351"/>
      <c r="M13" s="351">
        <f t="shared" si="1"/>
      </c>
      <c r="N13" s="351">
        <f t="shared" si="67"/>
      </c>
      <c r="O13" s="352">
        <f t="shared" si="97"/>
      </c>
      <c r="P13" s="352">
        <f t="shared" si="127"/>
      </c>
      <c r="Q13" s="352">
        <f t="shared" si="157"/>
      </c>
      <c r="R13" s="352">
        <f t="shared" si="217"/>
      </c>
      <c r="S13" s="353">
        <f t="shared" si="277"/>
      </c>
      <c r="T13" s="354">
        <v>0.0395</v>
      </c>
      <c r="U13" s="355">
        <v>40</v>
      </c>
      <c r="V13" s="351">
        <f t="shared" si="337"/>
      </c>
      <c r="W13" s="355">
        <v>25901</v>
      </c>
      <c r="X13" s="355">
        <v>510</v>
      </c>
      <c r="Y13" s="353">
        <v>115</v>
      </c>
      <c r="Z13" s="353">
        <v>758</v>
      </c>
      <c r="AA13" s="355">
        <v>34</v>
      </c>
      <c r="AB13" s="353">
        <v>19</v>
      </c>
      <c r="AC13" s="355">
        <v>3</v>
      </c>
      <c r="AD13" s="355">
        <v>10</v>
      </c>
      <c r="AE13" s="351">
        <f t="shared" si="31"/>
      </c>
      <c r="AF13" s="356" t="s">
        <v>234</v>
      </c>
      <c r="AG13" s="357" t="s">
        <v>235</v>
      </c>
      <c r="AH13" s="355">
        <v>44</v>
      </c>
    </row>
    <row r="14">
      <c r="A14" s="358"/>
      <c r="B14" s="348" t="s">
        <v>242</v>
      </c>
      <c r="C14" s="348" t="s">
        <v>245</v>
      </c>
      <c r="D14" s="349">
        <v>3614.31</v>
      </c>
      <c r="E14" s="350"/>
      <c r="F14" s="350">
        <v>8</v>
      </c>
      <c r="G14" s="350">
        <v>6</v>
      </c>
      <c r="H14" s="359">
        <v>5001.7</v>
      </c>
      <c r="I14" s="351">
        <f t="shared" si="187"/>
      </c>
      <c r="J14" s="351">
        <f t="shared" si="247"/>
      </c>
      <c r="K14" s="351">
        <f t="shared" si="307"/>
      </c>
      <c r="L14" s="351"/>
      <c r="M14" s="351">
        <f t="shared" si="1"/>
      </c>
      <c r="N14" s="351">
        <f t="shared" si="67"/>
      </c>
      <c r="O14" s="352">
        <f t="shared" si="97"/>
      </c>
      <c r="P14" s="352">
        <f t="shared" si="127"/>
      </c>
      <c r="Q14" s="352">
        <f t="shared" si="157"/>
      </c>
      <c r="R14" s="352">
        <f t="shared" si="217"/>
      </c>
      <c r="S14" s="353">
        <f t="shared" si="277"/>
      </c>
      <c r="T14" s="354">
        <v>0.0374</v>
      </c>
      <c r="U14" s="355">
        <v>45</v>
      </c>
      <c r="V14" s="351">
        <f t="shared" si="337"/>
      </c>
      <c r="W14" s="355">
        <v>33075</v>
      </c>
      <c r="X14" s="355">
        <v>734</v>
      </c>
      <c r="Y14" s="355">
        <v>69</v>
      </c>
      <c r="Z14" s="355">
        <v>588</v>
      </c>
      <c r="AA14" s="355">
        <v>9</v>
      </c>
      <c r="AB14" s="355">
        <v>8</v>
      </c>
      <c r="AC14" s="355">
        <v>7</v>
      </c>
      <c r="AD14" s="355">
        <v>4</v>
      </c>
      <c r="AE14" s="351">
        <f t="shared" si="31"/>
      </c>
      <c r="AF14" s="356" t="s">
        <v>234</v>
      </c>
      <c r="AG14" s="357" t="s">
        <v>235</v>
      </c>
      <c r="AH14" s="355">
        <v>32</v>
      </c>
    </row>
    <row r="15">
      <c r="A15" s="358"/>
      <c r="B15" s="348" t="s">
        <v>242</v>
      </c>
      <c r="C15" s="348" t="s">
        <v>233</v>
      </c>
      <c r="D15" s="349">
        <v>2705.99</v>
      </c>
      <c r="E15" s="350"/>
      <c r="F15" s="350">
        <v>3</v>
      </c>
      <c r="G15" s="350">
        <v>3</v>
      </c>
      <c r="H15" s="349">
        <v>1353</v>
      </c>
      <c r="I15" s="351">
        <f t="shared" si="187"/>
      </c>
      <c r="J15" s="351">
        <f t="shared" si="247"/>
      </c>
      <c r="K15" s="351">
        <f t="shared" si="307"/>
      </c>
      <c r="L15" s="351"/>
      <c r="M15" s="351">
        <f t="shared" si="1"/>
      </c>
      <c r="N15" s="351">
        <f t="shared" si="67"/>
      </c>
      <c r="O15" s="352">
        <f t="shared" si="97"/>
      </c>
      <c r="P15" s="352">
        <f t="shared" si="127"/>
      </c>
      <c r="Q15" s="352">
        <f t="shared" si="157"/>
      </c>
      <c r="R15" s="352">
        <f t="shared" si="217"/>
      </c>
      <c r="S15" s="353">
        <f t="shared" si="277"/>
      </c>
      <c r="T15" s="354">
        <v>0.0275</v>
      </c>
      <c r="U15" s="355">
        <v>46</v>
      </c>
      <c r="V15" s="351">
        <f t="shared" si="337"/>
      </c>
      <c r="W15" s="353">
        <v>25982</v>
      </c>
      <c r="X15" s="353">
        <v>695</v>
      </c>
      <c r="Y15" s="353">
        <v>66</v>
      </c>
      <c r="Z15" s="353">
        <v>750</v>
      </c>
      <c r="AA15" s="353">
        <v>155</v>
      </c>
      <c r="AB15" s="353">
        <v>12</v>
      </c>
      <c r="AC15" s="353">
        <v>0</v>
      </c>
      <c r="AD15" s="353">
        <v>2</v>
      </c>
      <c r="AE15" s="351">
        <f t="shared" si="31"/>
      </c>
      <c r="AF15" s="356" t="s">
        <v>234</v>
      </c>
      <c r="AG15" s="357" t="s">
        <v>235</v>
      </c>
      <c r="AH15" s="355">
        <v>30</v>
      </c>
    </row>
    <row r="16">
      <c r="A16" s="358"/>
      <c r="B16" s="360" t="s">
        <v>240</v>
      </c>
      <c r="C16" s="360"/>
      <c r="D16" s="361">
        <f>SUM(D12:D15)</f>
      </c>
      <c r="E16" s="362"/>
      <c r="F16" s="362">
        <f>SUM(F12:F15)</f>
      </c>
      <c r="G16" s="362">
        <f>SUM(G12:G15)</f>
      </c>
      <c r="H16" s="361">
        <f>SUM(H12:H15)</f>
      </c>
      <c r="I16" s="363">
        <f t="shared" si="187"/>
      </c>
      <c r="J16" s="363">
        <f t="shared" si="247"/>
      </c>
      <c r="K16" s="363">
        <f t="shared" si="307"/>
      </c>
      <c r="L16" s="363"/>
      <c r="M16" s="363">
        <f t="shared" si="1"/>
      </c>
      <c r="N16" s="363">
        <f t="shared" si="67"/>
      </c>
      <c r="O16" s="364">
        <f t="shared" si="97"/>
      </c>
      <c r="P16" s="364">
        <f t="shared" si="127"/>
      </c>
      <c r="Q16" s="364">
        <f t="shared" si="157"/>
      </c>
      <c r="R16" s="364">
        <f t="shared" si="217"/>
      </c>
      <c r="S16" s="365">
        <f t="shared" si="277"/>
      </c>
      <c r="T16" s="364">
        <f>AVERAGE(T12:T15)</f>
      </c>
      <c r="U16" s="361">
        <f>AVERAGE(U12:U15)</f>
      </c>
      <c r="V16" s="363">
        <f t="shared" si="337"/>
      </c>
      <c r="W16" s="365">
        <f>SUM(W12:W15)</f>
      </c>
      <c r="X16" s="365">
        <f>SUM(X12:X15)</f>
      </c>
      <c r="Y16" s="365">
        <f>SUM(Y12:Y15)</f>
      </c>
      <c r="Z16" s="365">
        <f>SUM(Z12:Z15)</f>
      </c>
      <c r="AA16" s="365">
        <f>SUM(AA12:AA15)</f>
      </c>
      <c r="AB16" s="365">
        <f>SUM(AB12:AB15)</f>
      </c>
      <c r="AC16" s="365">
        <f>SUM(AC12:AC15)</f>
      </c>
      <c r="AD16" s="365">
        <f>SUM(AD12:AD15)</f>
      </c>
      <c r="AE16" s="366">
        <f t="shared" si="31"/>
      </c>
      <c r="AF16" s="367"/>
      <c r="AG16" s="367"/>
      <c r="AH16" s="368">
        <f>SUM(AH12:AH15)</f>
      </c>
    </row>
    <row r="17">
      <c r="A17" s="358"/>
      <c r="B17" s="375" t="s">
        <v>246</v>
      </c>
      <c r="C17" s="348" t="s">
        <v>236</v>
      </c>
      <c r="D17" s="359">
        <v>2436.029999999999</v>
      </c>
      <c r="E17" s="350"/>
      <c r="F17" s="350">
        <v>5</v>
      </c>
      <c r="G17" s="350">
        <v>5</v>
      </c>
      <c r="H17" s="349">
        <v>5251.4</v>
      </c>
      <c r="I17" s="351">
        <f t="shared" si="187"/>
      </c>
      <c r="J17" s="351">
        <f t="shared" si="247"/>
      </c>
      <c r="K17" s="351">
        <f t="shared" si="307"/>
      </c>
      <c r="L17" s="351"/>
      <c r="M17" s="351">
        <f t="shared" si="1"/>
      </c>
      <c r="N17" s="351">
        <f t="shared" si="67"/>
      </c>
      <c r="O17" s="352">
        <f t="shared" si="97"/>
      </c>
      <c r="P17" s="352">
        <f t="shared" si="127"/>
      </c>
      <c r="Q17" s="352">
        <f t="shared" si="157"/>
      </c>
      <c r="R17" s="352">
        <f t="shared" si="217"/>
      </c>
      <c r="S17" s="353">
        <f t="shared" si="277"/>
      </c>
      <c r="T17" s="354">
        <v>0.025</v>
      </c>
      <c r="U17" s="355">
        <v>45</v>
      </c>
      <c r="V17" s="351">
        <f t="shared" si="337"/>
      </c>
      <c r="W17" s="355">
        <v>23645</v>
      </c>
      <c r="X17" s="355">
        <v>954</v>
      </c>
      <c r="Y17" s="353">
        <v>87</v>
      </c>
      <c r="Z17" s="353">
        <v>1047</v>
      </c>
      <c r="AA17" s="353">
        <v>78</v>
      </c>
      <c r="AB17" s="353">
        <v>14</v>
      </c>
      <c r="AC17" s="355">
        <v>2</v>
      </c>
      <c r="AD17" s="355">
        <v>4</v>
      </c>
      <c r="AE17" s="351">
        <f t="shared" si="31"/>
      </c>
      <c r="AF17" s="356" t="s">
        <v>234</v>
      </c>
      <c r="AG17" s="357" t="s">
        <v>235</v>
      </c>
      <c r="AH17" s="355">
        <v>30</v>
      </c>
    </row>
    <row r="18">
      <c r="A18" s="358"/>
      <c r="B18" s="375" t="s">
        <v>246</v>
      </c>
      <c r="C18" s="348" t="s">
        <v>237</v>
      </c>
      <c r="D18" s="359">
        <v>3384.58</v>
      </c>
      <c r="E18" s="350"/>
      <c r="F18" s="350">
        <v>3</v>
      </c>
      <c r="G18" s="350">
        <v>3</v>
      </c>
      <c r="H18" s="349">
        <v>1353</v>
      </c>
      <c r="I18" s="351">
        <f t="shared" si="187"/>
      </c>
      <c r="J18" s="351">
        <f t="shared" si="247"/>
      </c>
      <c r="K18" s="351">
        <f t="shared" si="307"/>
      </c>
      <c r="L18" s="351"/>
      <c r="M18" s="351">
        <f t="shared" si="1"/>
      </c>
      <c r="N18" s="351">
        <f t="shared" si="67"/>
      </c>
      <c r="O18" s="352">
        <f t="shared" si="97"/>
      </c>
      <c r="P18" s="352">
        <f t="shared" si="127"/>
      </c>
      <c r="Q18" s="352">
        <f t="shared" si="157"/>
      </c>
      <c r="R18" s="352">
        <f t="shared" si="217"/>
      </c>
      <c r="S18" s="353">
        <f t="shared" si="277"/>
      </c>
      <c r="T18" s="354">
        <v>0.021</v>
      </c>
      <c r="U18" s="355">
        <v>40</v>
      </c>
      <c r="V18" s="351">
        <f t="shared" si="337"/>
      </c>
      <c r="W18" s="353">
        <v>26796</v>
      </c>
      <c r="X18" s="353">
        <v>1253</v>
      </c>
      <c r="Y18" s="353">
        <v>84</v>
      </c>
      <c r="Z18" s="353">
        <v>1408</v>
      </c>
      <c r="AA18" s="353">
        <v>42</v>
      </c>
      <c r="AB18" s="353">
        <v>8</v>
      </c>
      <c r="AC18" s="353">
        <v>18</v>
      </c>
      <c r="AD18" s="355">
        <v>5</v>
      </c>
      <c r="AE18" s="351">
        <f t="shared" si="31"/>
      </c>
      <c r="AF18" s="356" t="s">
        <v>234</v>
      </c>
      <c r="AG18" s="357" t="s">
        <v>235</v>
      </c>
      <c r="AH18" s="355">
        <v>25</v>
      </c>
    </row>
    <row r="19">
      <c r="A19" s="358"/>
      <c r="B19" s="375" t="s">
        <v>246</v>
      </c>
      <c r="C19" s="348" t="s">
        <v>238</v>
      </c>
      <c r="D19" s="349">
        <v>2243.8</v>
      </c>
      <c r="E19" s="350"/>
      <c r="F19" s="350">
        <v>1</v>
      </c>
      <c r="G19" s="350">
        <v>1</v>
      </c>
      <c r="H19" s="349">
        <v>451</v>
      </c>
      <c r="I19" s="351">
        <f t="shared" si="187"/>
      </c>
      <c r="J19" s="351">
        <f t="shared" si="247"/>
      </c>
      <c r="K19" s="351">
        <f t="shared" si="307"/>
      </c>
      <c r="L19" s="351"/>
      <c r="M19" s="351">
        <f t="shared" si="1"/>
      </c>
      <c r="N19" s="351">
        <f t="shared" si="67"/>
      </c>
      <c r="O19" s="352">
        <f t="shared" si="97"/>
      </c>
      <c r="P19" s="352">
        <f t="shared" si="127"/>
      </c>
      <c r="Q19" s="352">
        <f t="shared" si="157"/>
      </c>
      <c r="R19" s="352">
        <f t="shared" si="217"/>
      </c>
      <c r="S19" s="353">
        <f t="shared" si="277"/>
      </c>
      <c r="T19" s="354">
        <v>0.0179</v>
      </c>
      <c r="U19" s="355">
        <v>39</v>
      </c>
      <c r="V19" s="351">
        <f t="shared" si="337"/>
      </c>
      <c r="W19" s="355">
        <v>16616</v>
      </c>
      <c r="X19" s="355">
        <v>1271</v>
      </c>
      <c r="Y19" s="353">
        <v>69</v>
      </c>
      <c r="Z19" s="353">
        <v>1513</v>
      </c>
      <c r="AA19" s="353">
        <v>48</v>
      </c>
      <c r="AB19" s="353">
        <v>13</v>
      </c>
      <c r="AC19" s="353">
        <v>4</v>
      </c>
      <c r="AD19" s="355">
        <v>10</v>
      </c>
      <c r="AE19" s="351">
        <f t="shared" si="31"/>
      </c>
      <c r="AF19" s="356" t="s">
        <v>234</v>
      </c>
      <c r="AG19" s="357" t="s">
        <v>235</v>
      </c>
      <c r="AH19" s="355">
        <v>34</v>
      </c>
    </row>
    <row r="20">
      <c r="A20" s="358"/>
      <c r="B20" s="375" t="s">
        <v>246</v>
      </c>
      <c r="C20" s="348" t="s">
        <v>239</v>
      </c>
      <c r="D20" s="349">
        <v>1111.89</v>
      </c>
      <c r="E20" s="350"/>
      <c r="F20" s="350">
        <v>2</v>
      </c>
      <c r="G20" s="350">
        <v>1</v>
      </c>
      <c r="H20" s="349">
        <v>1307.9</v>
      </c>
      <c r="I20" s="351">
        <f t="shared" si="187"/>
      </c>
      <c r="J20" s="351">
        <f t="shared" si="247"/>
      </c>
      <c r="K20" s="351">
        <f t="shared" si="307"/>
      </c>
      <c r="L20" s="351"/>
      <c r="M20" s="351">
        <f t="shared" si="1"/>
      </c>
      <c r="N20" s="351">
        <f t="shared" si="67"/>
      </c>
      <c r="O20" s="352">
        <f t="shared" si="97"/>
      </c>
      <c r="P20" s="352">
        <f t="shared" si="127"/>
      </c>
      <c r="Q20" s="352">
        <f t="shared" si="157"/>
      </c>
      <c r="R20" s="352">
        <f t="shared" si="217"/>
      </c>
      <c r="S20" s="353">
        <f t="shared" si="277"/>
      </c>
      <c r="T20" s="354">
        <v>0.0162</v>
      </c>
      <c r="U20" s="355">
        <v>39</v>
      </c>
      <c r="V20" s="351">
        <f t="shared" si="337"/>
      </c>
      <c r="W20" s="355">
        <v>10645</v>
      </c>
      <c r="X20" s="355">
        <v>657</v>
      </c>
      <c r="Y20" s="353">
        <v>35</v>
      </c>
      <c r="Z20" s="353">
        <v>703</v>
      </c>
      <c r="AA20" s="353">
        <v>38</v>
      </c>
      <c r="AB20" s="353">
        <v>2</v>
      </c>
      <c r="AC20" s="355">
        <v>0</v>
      </c>
      <c r="AD20" s="355">
        <v>2</v>
      </c>
      <c r="AE20" s="351">
        <f t="shared" si="31"/>
      </c>
      <c r="AF20" s="356" t="s">
        <v>234</v>
      </c>
      <c r="AG20" s="357" t="s">
        <v>235</v>
      </c>
      <c r="AH20" s="355">
        <v>11</v>
      </c>
    </row>
    <row r="21">
      <c r="A21" s="358"/>
      <c r="B21" s="360" t="s">
        <v>240</v>
      </c>
      <c r="C21" s="360"/>
      <c r="D21" s="361">
        <f>SUM(D17:D20)</f>
      </c>
      <c r="E21" s="362"/>
      <c r="F21" s="362">
        <f>SUM(F17:F20)</f>
      </c>
      <c r="G21" s="362">
        <f>SUM(G17:G20)</f>
      </c>
      <c r="H21" s="361">
        <f>SUM(H17:H20)</f>
      </c>
      <c r="I21" s="363">
        <f t="shared" si="187"/>
      </c>
      <c r="J21" s="363">
        <f t="shared" si="247"/>
      </c>
      <c r="K21" s="363">
        <f t="shared" si="307"/>
      </c>
      <c r="L21" s="363"/>
      <c r="M21" s="363">
        <f t="shared" si="1"/>
      </c>
      <c r="N21" s="363">
        <f t="shared" si="67"/>
      </c>
      <c r="O21" s="364">
        <f t="shared" si="97"/>
      </c>
      <c r="P21" s="364">
        <f t="shared" si="127"/>
      </c>
      <c r="Q21" s="364">
        <f t="shared" si="157"/>
      </c>
      <c r="R21" s="364">
        <f t="shared" si="217"/>
      </c>
      <c r="S21" s="365">
        <f t="shared" si="277"/>
      </c>
      <c r="T21" s="364">
        <f>AVERAGE(T17:T20)</f>
      </c>
      <c r="U21" s="361">
        <f>AVERAGE(U17:U20)</f>
      </c>
      <c r="V21" s="363">
        <f t="shared" si="337"/>
      </c>
      <c r="W21" s="365">
        <f>SUM(W17:W20)</f>
      </c>
      <c r="X21" s="365">
        <f>SUM(X17:X20)</f>
      </c>
      <c r="Y21" s="365">
        <f>SUM(Y17:Y20)</f>
      </c>
      <c r="Z21" s="365">
        <f>SUM(Z17:Z20)</f>
      </c>
      <c r="AA21" s="365">
        <f>SUM(AA17:AA20)</f>
      </c>
      <c r="AB21" s="365">
        <f>SUM(AB17:AB20)</f>
      </c>
      <c r="AC21" s="365">
        <f>SUM(AC17:AC20)</f>
      </c>
      <c r="AD21" s="365">
        <f>SUM(AD17:AD20)</f>
      </c>
      <c r="AE21" s="366">
        <f t="shared" si="31"/>
      </c>
      <c r="AF21" s="367"/>
      <c r="AG21" s="367"/>
      <c r="AH21" s="365">
        <f>SUM(AH17:AH20)</f>
      </c>
    </row>
    <row r="22">
      <c r="A22" s="358"/>
      <c r="B22" s="369" t="s">
        <v>241</v>
      </c>
      <c r="C22" s="369"/>
      <c r="D22" s="370">
        <f>D16+D21</f>
      </c>
      <c r="E22" s="371"/>
      <c r="F22" s="371">
        <f>F16+F21</f>
      </c>
      <c r="G22" s="371">
        <f>G16+G21</f>
      </c>
      <c r="H22" s="370">
        <f>H16+H21</f>
      </c>
      <c r="I22" s="372">
        <f t="shared" si="187"/>
      </c>
      <c r="J22" s="372">
        <f t="shared" si="247"/>
      </c>
      <c r="K22" s="372">
        <f t="shared" si="307"/>
      </c>
      <c r="L22" s="372"/>
      <c r="M22" s="372">
        <f t="shared" si="1"/>
      </c>
      <c r="N22" s="372">
        <f t="shared" si="67"/>
      </c>
      <c r="O22" s="373">
        <f t="shared" si="97"/>
      </c>
      <c r="P22" s="373">
        <f t="shared" si="127"/>
      </c>
      <c r="Q22" s="373">
        <f t="shared" si="157"/>
      </c>
      <c r="R22" s="373">
        <f t="shared" si="217"/>
      </c>
      <c r="S22" s="374">
        <f t="shared" si="277"/>
      </c>
      <c r="T22" s="373">
        <f>(T16+T21)/2</f>
      </c>
      <c r="U22" s="370">
        <f>(U21+U16)/2</f>
      </c>
      <c r="V22" s="370">
        <f t="shared" si="337"/>
      </c>
      <c r="W22" s="374">
        <f>W16+W21</f>
      </c>
      <c r="X22" s="374">
        <f>X16+X21</f>
      </c>
      <c r="Y22" s="374">
        <f>Y16+Y21</f>
      </c>
      <c r="Z22" s="374">
        <f>Z16+Z21</f>
      </c>
      <c r="AA22" s="374">
        <f>AA16+AA21</f>
      </c>
      <c r="AB22" s="374">
        <f>AB16+AB21</f>
      </c>
      <c r="AC22" s="374">
        <f>AC16+AC21</f>
      </c>
      <c r="AD22" s="374">
        <f>AD16+AD21</f>
      </c>
      <c r="AE22" s="372">
        <f>AE16</f>
      </c>
      <c r="AF22" s="369"/>
      <c r="AG22" s="369"/>
      <c r="AH22" s="374">
        <f>AH16+AH21</f>
      </c>
    </row>
    <row r="23">
      <c r="A23" s="337" t="s">
        <v>197</v>
      </c>
      <c r="B23" s="337" t="s">
        <v>198</v>
      </c>
      <c r="C23" s="337"/>
      <c r="D23" s="338" t="s">
        <v>199</v>
      </c>
      <c r="E23" s="338"/>
      <c r="F23" s="338"/>
      <c r="G23" s="338"/>
      <c r="H23" s="338"/>
      <c r="I23" s="338"/>
      <c r="J23" s="338"/>
      <c r="K23" s="338"/>
      <c r="L23" s="338"/>
      <c r="M23" s="338"/>
      <c r="N23" s="339" t="s">
        <v>200</v>
      </c>
      <c r="O23" s="339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40"/>
    </row>
    <row r="24">
      <c r="A24" s="337"/>
      <c r="B24" s="337" t="s">
        <v>201</v>
      </c>
      <c r="C24" s="337" t="s">
        <v>202</v>
      </c>
      <c r="D24" s="338" t="s">
        <v>203</v>
      </c>
      <c r="E24" s="341"/>
      <c r="F24" s="341" t="s">
        <v>204</v>
      </c>
      <c r="G24" s="341" t="s">
        <v>205</v>
      </c>
      <c r="H24" s="338" t="s">
        <v>206</v>
      </c>
      <c r="I24" s="342" t="s">
        <v>207</v>
      </c>
      <c r="J24" s="342" t="s">
        <v>208</v>
      </c>
      <c r="K24" s="342" t="s">
        <v>209</v>
      </c>
      <c r="L24" s="342"/>
      <c r="M24" s="342" t="s">
        <v>210</v>
      </c>
      <c r="N24" s="343" t="s">
        <v>211</v>
      </c>
      <c r="O24" s="344" t="s">
        <v>212</v>
      </c>
      <c r="P24" s="344" t="s">
        <v>213</v>
      </c>
      <c r="Q24" s="344" t="s">
        <v>214</v>
      </c>
      <c r="R24" s="344" t="s">
        <v>215</v>
      </c>
      <c r="S24" s="345" t="s">
        <v>216</v>
      </c>
      <c r="T24" s="344" t="s">
        <v>217</v>
      </c>
      <c r="U24" s="345" t="s">
        <v>218</v>
      </c>
      <c r="V24" s="339" t="s">
        <v>219</v>
      </c>
      <c r="W24" s="340" t="s">
        <v>220</v>
      </c>
      <c r="X24" s="340" t="s">
        <v>221</v>
      </c>
      <c r="Y24" s="340" t="s">
        <v>222</v>
      </c>
      <c r="Z24" s="340" t="s">
        <v>223</v>
      </c>
      <c r="AA24" s="340" t="s">
        <v>224</v>
      </c>
      <c r="AB24" s="340" t="s">
        <v>225</v>
      </c>
      <c r="AC24" s="340" t="s">
        <v>226</v>
      </c>
      <c r="AD24" s="340" t="s">
        <v>227</v>
      </c>
      <c r="AE24" s="339" t="s">
        <v>228</v>
      </c>
      <c r="AF24" s="346" t="s">
        <v>229</v>
      </c>
      <c r="AG24" s="346" t="s">
        <v>230</v>
      </c>
      <c r="AH24" s="340" t="s">
        <v>231</v>
      </c>
    </row>
    <row r="25">
      <c r="A25" s="347">
        <v>46146</v>
      </c>
      <c r="B25" s="348" t="s">
        <v>242</v>
      </c>
      <c r="C25" s="348" t="s">
        <v>233</v>
      </c>
      <c r="D25" s="349">
        <v>6071.73</v>
      </c>
      <c r="E25" s="350"/>
      <c r="F25" s="350">
        <v>10</v>
      </c>
      <c r="G25" s="350">
        <v>6</v>
      </c>
      <c r="H25" s="349">
        <v>8887.560000000001</v>
      </c>
      <c r="I25" s="351">
        <f t="shared" ref="I25:I31" si="188">H25/D25</f>
      </c>
      <c r="J25" s="351">
        <f t="shared" ref="J25:J31" si="248">D25/F25</f>
      </c>
      <c r="K25" s="351">
        <f t="shared" ref="K25:K31" si="308">D25/G25</f>
      </c>
      <c r="L25" s="351"/>
      <c r="M25" s="351">
        <f t="shared" ref="M25:M31" si="2">H25/F25</f>
      </c>
      <c r="N25" s="351">
        <f t="shared" ref="N25:N31" si="68">D25/X25</f>
      </c>
      <c r="O25" s="352">
        <f t="shared" ref="O25:O31" si="98">S25/W25*1</f>
      </c>
      <c r="P25" s="352">
        <f t="shared" ref="P25:P31" si="128">X25/W25</f>
      </c>
      <c r="Q25" s="352">
        <f t="shared" ref="Q25:Q31" si="158">Z25/W25</f>
      </c>
      <c r="R25" s="352">
        <f t="shared" ref="R25:R31" si="218">AA25/Z25</f>
      </c>
      <c r="S25" s="353">
        <f t="shared" ref="S25:S30" si="278">Y25/T25</f>
      </c>
      <c r="T25" s="354">
        <v>0.0119</v>
      </c>
      <c r="U25" s="355">
        <v>72</v>
      </c>
      <c r="V25" s="351">
        <f t="shared" ref="V25:V31" si="338">(D25/W25)*1000</f>
      </c>
      <c r="W25" s="355">
        <v>73308</v>
      </c>
      <c r="X25" s="355">
        <v>871</v>
      </c>
      <c r="Y25" s="353">
        <v>141</v>
      </c>
      <c r="Z25" s="353">
        <v>945</v>
      </c>
      <c r="AA25" s="353">
        <v>110</v>
      </c>
      <c r="AB25" s="353">
        <v>24</v>
      </c>
      <c r="AC25" s="353">
        <v>4</v>
      </c>
      <c r="AD25" s="355">
        <v>103</v>
      </c>
      <c r="AE25" s="351">
        <f t="shared" ref="AE25:AE30" si="32">AH25*1000/D25</f>
      </c>
      <c r="AF25" s="356" t="s">
        <v>234</v>
      </c>
      <c r="AG25" s="357" t="s">
        <v>247</v>
      </c>
      <c r="AH25" s="355">
        <v>54</v>
      </c>
    </row>
    <row r="26">
      <c r="A26" s="358"/>
      <c r="B26" s="348" t="s">
        <v>242</v>
      </c>
      <c r="C26" s="348" t="s">
        <v>236</v>
      </c>
      <c r="D26" s="349">
        <v>2364.2700000000004</v>
      </c>
      <c r="E26" s="350"/>
      <c r="F26" s="350">
        <v>9</v>
      </c>
      <c r="G26" s="350">
        <v>5</v>
      </c>
      <c r="H26" s="349">
        <v>6502.759999999998</v>
      </c>
      <c r="I26" s="351">
        <f t="shared" si="188"/>
      </c>
      <c r="J26" s="351">
        <f t="shared" si="248"/>
      </c>
      <c r="K26" s="351">
        <f t="shared" si="308"/>
      </c>
      <c r="L26" s="351"/>
      <c r="M26" s="351">
        <f t="shared" si="2"/>
      </c>
      <c r="N26" s="351">
        <f t="shared" si="68"/>
      </c>
      <c r="O26" s="352">
        <f t="shared" si="98"/>
      </c>
      <c r="P26" s="352">
        <f t="shared" si="128"/>
      </c>
      <c r="Q26" s="352">
        <f t="shared" si="158"/>
      </c>
      <c r="R26" s="352">
        <f t="shared" si="218"/>
      </c>
      <c r="S26" s="353">
        <f t="shared" si="278"/>
      </c>
      <c r="T26" s="354">
        <v>0.0449</v>
      </c>
      <c r="U26" s="355">
        <v>79</v>
      </c>
      <c r="V26" s="351">
        <f t="shared" si="338"/>
      </c>
      <c r="W26" s="355">
        <v>24842</v>
      </c>
      <c r="X26" s="355">
        <v>765</v>
      </c>
      <c r="Y26" s="353">
        <v>99</v>
      </c>
      <c r="Z26" s="353">
        <v>844</v>
      </c>
      <c r="AA26" s="355">
        <v>118</v>
      </c>
      <c r="AB26" s="353">
        <v>13</v>
      </c>
      <c r="AC26" s="355">
        <v>3</v>
      </c>
      <c r="AD26" s="355">
        <v>29</v>
      </c>
      <c r="AE26" s="351">
        <f t="shared" si="32"/>
      </c>
      <c r="AF26" s="356" t="s">
        <v>234</v>
      </c>
      <c r="AG26" s="357" t="s">
        <v>247</v>
      </c>
      <c r="AH26" s="355">
        <v>42</v>
      </c>
    </row>
    <row r="27">
      <c r="A27" s="358"/>
      <c r="B27" s="348" t="s">
        <v>242</v>
      </c>
      <c r="C27" s="348" t="s">
        <v>237</v>
      </c>
      <c r="D27" s="349">
        <v>2207.07</v>
      </c>
      <c r="E27" s="350"/>
      <c r="F27" s="350">
        <v>5</v>
      </c>
      <c r="G27" s="350">
        <v>4</v>
      </c>
      <c r="H27" s="359">
        <v>5177.039999999997</v>
      </c>
      <c r="I27" s="351">
        <f t="shared" si="188"/>
      </c>
      <c r="J27" s="351">
        <f t="shared" si="248"/>
      </c>
      <c r="K27" s="351">
        <f t="shared" si="308"/>
      </c>
      <c r="L27" s="351"/>
      <c r="M27" s="351">
        <f t="shared" si="2"/>
      </c>
      <c r="N27" s="351">
        <f t="shared" si="68"/>
      </c>
      <c r="O27" s="352">
        <f t="shared" si="98"/>
      </c>
      <c r="P27" s="352">
        <f t="shared" si="128"/>
      </c>
      <c r="Q27" s="352">
        <f t="shared" si="158"/>
      </c>
      <c r="R27" s="352">
        <f t="shared" si="218"/>
      </c>
      <c r="S27" s="353">
        <f t="shared" si="278"/>
      </c>
      <c r="T27" s="354">
        <v>0.0002</v>
      </c>
      <c r="U27" s="355">
        <v>77</v>
      </c>
      <c r="V27" s="351">
        <f t="shared" si="338"/>
      </c>
      <c r="W27" s="355">
        <v>29140</v>
      </c>
      <c r="X27" s="355">
        <v>775</v>
      </c>
      <c r="Y27" s="355">
        <v>81</v>
      </c>
      <c r="Z27" s="355">
        <v>832</v>
      </c>
      <c r="AA27" s="355">
        <v>75</v>
      </c>
      <c r="AB27" s="355">
        <v>11</v>
      </c>
      <c r="AC27" s="355">
        <v>0</v>
      </c>
      <c r="AD27" s="355">
        <v>25</v>
      </c>
      <c r="AE27" s="351">
        <f t="shared" si="32"/>
      </c>
      <c r="AF27" s="356" t="s">
        <v>234</v>
      </c>
      <c r="AG27" s="357" t="s">
        <v>247</v>
      </c>
      <c r="AH27" s="355">
        <v>39</v>
      </c>
    </row>
    <row r="28">
      <c r="A28" s="358"/>
      <c r="B28" s="348" t="s">
        <v>242</v>
      </c>
      <c r="C28" s="348" t="s">
        <v>238</v>
      </c>
      <c r="D28" s="349">
        <v>2075.5</v>
      </c>
      <c r="E28" s="350"/>
      <c r="F28" s="350">
        <v>4</v>
      </c>
      <c r="G28" s="350">
        <v>4</v>
      </c>
      <c r="H28" s="349">
        <v>2834.04</v>
      </c>
      <c r="I28" s="351">
        <f t="shared" si="188"/>
      </c>
      <c r="J28" s="351">
        <f t="shared" si="248"/>
      </c>
      <c r="K28" s="351">
        <f t="shared" si="308"/>
      </c>
      <c r="L28" s="351"/>
      <c r="M28" s="351">
        <f t="shared" si="2"/>
      </c>
      <c r="N28" s="351">
        <f t="shared" si="68"/>
      </c>
      <c r="O28" s="352">
        <f t="shared" si="98"/>
      </c>
      <c r="P28" s="352">
        <f t="shared" si="128"/>
      </c>
      <c r="Q28" s="352">
        <f t="shared" si="158"/>
      </c>
      <c r="R28" s="352">
        <f t="shared" si="218"/>
      </c>
      <c r="S28" s="353">
        <f t="shared" si="278"/>
      </c>
      <c r="T28" s="354">
        <v>0.0106</v>
      </c>
      <c r="U28" s="355">
        <v>70</v>
      </c>
      <c r="V28" s="351">
        <f t="shared" si="338"/>
      </c>
      <c r="W28" s="355">
        <v>26004</v>
      </c>
      <c r="X28" s="355">
        <v>882</v>
      </c>
      <c r="Y28" s="355">
        <v>72</v>
      </c>
      <c r="Z28" s="355">
        <v>922</v>
      </c>
      <c r="AA28" s="355">
        <v>98</v>
      </c>
      <c r="AB28" s="355">
        <v>7</v>
      </c>
      <c r="AC28" s="355">
        <v>0</v>
      </c>
      <c r="AD28" s="355">
        <v>18</v>
      </c>
      <c r="AE28" s="351">
        <f t="shared" si="32"/>
      </c>
      <c r="AF28" s="356" t="s">
        <v>234</v>
      </c>
      <c r="AG28" s="357" t="s">
        <v>247</v>
      </c>
      <c r="AH28" s="355">
        <v>12</v>
      </c>
    </row>
    <row r="29">
      <c r="A29" s="358"/>
      <c r="B29" s="348" t="s">
        <v>242</v>
      </c>
      <c r="C29" s="348" t="s">
        <v>239</v>
      </c>
      <c r="D29" s="349">
        <v>2985.03</v>
      </c>
      <c r="E29" s="350"/>
      <c r="F29" s="350">
        <v>3</v>
      </c>
      <c r="G29" s="350">
        <v>2</v>
      </c>
      <c r="H29" s="349">
        <v>1680.36</v>
      </c>
      <c r="I29" s="351">
        <f t="shared" si="188"/>
      </c>
      <c r="J29" s="351">
        <f t="shared" si="248"/>
      </c>
      <c r="K29" s="351">
        <f t="shared" si="308"/>
      </c>
      <c r="L29" s="351"/>
      <c r="M29" s="351">
        <f t="shared" si="2"/>
      </c>
      <c r="N29" s="351">
        <f t="shared" si="68"/>
      </c>
      <c r="O29" s="352">
        <f t="shared" si="98"/>
      </c>
      <c r="P29" s="352">
        <f t="shared" si="128"/>
      </c>
      <c r="Q29" s="352">
        <f t="shared" si="158"/>
      </c>
      <c r="R29" s="352">
        <f t="shared" si="218"/>
      </c>
      <c r="S29" s="353">
        <f t="shared" si="278"/>
      </c>
      <c r="T29" s="354">
        <v>0.0014</v>
      </c>
      <c r="U29" s="355">
        <v>57</v>
      </c>
      <c r="V29" s="351">
        <f t="shared" si="338"/>
      </c>
      <c r="W29" s="353">
        <v>199347</v>
      </c>
      <c r="X29" s="353">
        <v>5029</v>
      </c>
      <c r="Y29" s="353">
        <v>497</v>
      </c>
      <c r="Z29" s="353">
        <v>5338</v>
      </c>
      <c r="AA29" s="353">
        <v>440</v>
      </c>
      <c r="AB29" s="353">
        <v>63</v>
      </c>
      <c r="AC29" s="353">
        <v>8</v>
      </c>
      <c r="AD29" s="353">
        <v>217</v>
      </c>
      <c r="AE29" s="351">
        <f t="shared" si="32"/>
      </c>
      <c r="AF29" s="356" t="s">
        <v>234</v>
      </c>
      <c r="AG29" s="357" t="s">
        <v>247</v>
      </c>
      <c r="AH29" s="355">
        <v>28</v>
      </c>
    </row>
    <row r="30">
      <c r="A30" s="358"/>
      <c r="B30" s="360" t="s">
        <v>240</v>
      </c>
      <c r="C30" s="360"/>
      <c r="D30" s="361">
        <f>SUM(D25:D29)</f>
      </c>
      <c r="E30" s="362"/>
      <c r="F30" s="362">
        <f>SUM(F25:F29)</f>
      </c>
      <c r="G30" s="362">
        <f>SUM(G25:G29)</f>
      </c>
      <c r="H30" s="361">
        <f>SUM(H25:H29)</f>
      </c>
      <c r="I30" s="363">
        <f t="shared" si="188"/>
      </c>
      <c r="J30" s="363">
        <f t="shared" si="248"/>
      </c>
      <c r="K30" s="363">
        <f t="shared" si="308"/>
      </c>
      <c r="L30" s="363"/>
      <c r="M30" s="363">
        <f t="shared" si="2"/>
      </c>
      <c r="N30" s="363">
        <f t="shared" si="68"/>
      </c>
      <c r="O30" s="364">
        <f t="shared" si="98"/>
      </c>
      <c r="P30" s="364">
        <f t="shared" si="128"/>
      </c>
      <c r="Q30" s="364">
        <f t="shared" si="158"/>
      </c>
      <c r="R30" s="364">
        <f t="shared" si="218"/>
      </c>
      <c r="S30" s="365">
        <f t="shared" si="278"/>
      </c>
      <c r="T30" s="364">
        <f>AVERAGE(T25:T29)</f>
      </c>
      <c r="U30" s="361">
        <f>AVERAGE(U25:U29)</f>
      </c>
      <c r="V30" s="363">
        <f t="shared" si="338"/>
      </c>
      <c r="W30" s="365">
        <f>SUM(W25:W29)</f>
      </c>
      <c r="X30" s="365">
        <f>SUM(X25:X29)</f>
      </c>
      <c r="Y30" s="365">
        <f>SUM(Y25:Y29)</f>
      </c>
      <c r="Z30" s="365">
        <f>SUM(Z25:Z29)</f>
      </c>
      <c r="AA30" s="365">
        <f>SUM(AA25:AA29)</f>
      </c>
      <c r="AB30" s="365">
        <f>SUM(AB25:AB29)</f>
      </c>
      <c r="AC30" s="365">
        <f>SUM(AC25:AC29)</f>
      </c>
      <c r="AD30" s="365">
        <f>SUM(AD25:AD29)</f>
      </c>
      <c r="AE30" s="366">
        <f t="shared" si="32"/>
      </c>
      <c r="AF30" s="367"/>
      <c r="AG30" s="367"/>
      <c r="AH30" s="368">
        <f>SUM(AH25:AH29)</f>
      </c>
    </row>
    <row r="31">
      <c r="A31" s="358"/>
      <c r="B31" s="369" t="s">
        <v>241</v>
      </c>
      <c r="C31" s="369"/>
      <c r="D31" s="370">
        <f>D30</f>
      </c>
      <c r="E31" s="371"/>
      <c r="F31" s="371">
        <f>F30</f>
      </c>
      <c r="G31" s="371">
        <f>G30</f>
      </c>
      <c r="H31" s="370">
        <f>H30</f>
      </c>
      <c r="I31" s="372">
        <f t="shared" si="188"/>
      </c>
      <c r="J31" s="372">
        <f t="shared" si="248"/>
      </c>
      <c r="K31" s="372">
        <f t="shared" si="308"/>
      </c>
      <c r="L31" s="372"/>
      <c r="M31" s="372">
        <f t="shared" si="2"/>
      </c>
      <c r="N31" s="372">
        <f t="shared" si="68"/>
      </c>
      <c r="O31" s="373">
        <f t="shared" si="98"/>
      </c>
      <c r="P31" s="373">
        <f t="shared" si="128"/>
      </c>
      <c r="Q31" s="373">
        <f t="shared" si="158"/>
      </c>
      <c r="R31" s="373">
        <f t="shared" si="218"/>
      </c>
      <c r="S31" s="374">
        <f>S30</f>
      </c>
      <c r="T31" s="373">
        <f>T30</f>
      </c>
      <c r="U31" s="370">
        <f>U30</f>
      </c>
      <c r="V31" s="370">
        <f t="shared" si="338"/>
      </c>
      <c r="W31" s="371">
        <f>W30</f>
      </c>
      <c r="X31" s="371">
        <f>X30</f>
      </c>
      <c r="Y31" s="371">
        <f>Y30</f>
      </c>
      <c r="Z31" s="371">
        <f>Z30</f>
      </c>
      <c r="AA31" s="371">
        <f>AA30</f>
      </c>
      <c r="AB31" s="371">
        <f>AB30</f>
      </c>
      <c r="AC31" s="371">
        <f>AC30</f>
      </c>
      <c r="AD31" s="371">
        <f>AD30</f>
      </c>
      <c r="AE31" s="372">
        <f>AE30</f>
      </c>
      <c r="AF31" s="369"/>
      <c r="AG31" s="369"/>
      <c r="AH31" s="371">
        <f>AH30</f>
      </c>
    </row>
    <row r="32">
      <c r="A32" s="337" t="s">
        <v>197</v>
      </c>
      <c r="B32" s="337" t="s">
        <v>198</v>
      </c>
      <c r="C32" s="337"/>
      <c r="D32" s="338" t="s">
        <v>199</v>
      </c>
      <c r="E32" s="338"/>
      <c r="F32" s="338"/>
      <c r="G32" s="338"/>
      <c r="H32" s="338"/>
      <c r="I32" s="338"/>
      <c r="J32" s="338"/>
      <c r="K32" s="338"/>
      <c r="L32" s="338"/>
      <c r="M32" s="338"/>
      <c r="N32" s="339" t="s">
        <v>200</v>
      </c>
      <c r="O32" s="339"/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  <c r="AA32" s="339"/>
      <c r="AB32" s="339"/>
      <c r="AC32" s="339"/>
      <c r="AD32" s="339"/>
      <c r="AE32" s="339"/>
      <c r="AF32" s="339"/>
      <c r="AG32" s="339"/>
      <c r="AH32" s="340"/>
    </row>
    <row r="33">
      <c r="A33" s="337"/>
      <c r="B33" s="337" t="s">
        <v>201</v>
      </c>
      <c r="C33" s="337" t="s">
        <v>202</v>
      </c>
      <c r="D33" s="338" t="s">
        <v>203</v>
      </c>
      <c r="E33" s="376"/>
      <c r="F33" s="376" t="s">
        <v>204</v>
      </c>
      <c r="G33" s="376" t="s">
        <v>205</v>
      </c>
      <c r="H33" s="338" t="s">
        <v>206</v>
      </c>
      <c r="I33" s="342" t="s">
        <v>207</v>
      </c>
      <c r="J33" s="342" t="s">
        <v>208</v>
      </c>
      <c r="K33" s="342" t="s">
        <v>209</v>
      </c>
      <c r="L33" s="342"/>
      <c r="M33" s="342" t="s">
        <v>210</v>
      </c>
      <c r="N33" s="343" t="s">
        <v>211</v>
      </c>
      <c r="O33" s="344" t="s">
        <v>212</v>
      </c>
      <c r="P33" s="344" t="s">
        <v>213</v>
      </c>
      <c r="Q33" s="344" t="s">
        <v>214</v>
      </c>
      <c r="R33" s="344" t="s">
        <v>215</v>
      </c>
      <c r="S33" s="345" t="s">
        <v>216</v>
      </c>
      <c r="T33" s="344" t="s">
        <v>217</v>
      </c>
      <c r="U33" s="345" t="s">
        <v>218</v>
      </c>
      <c r="V33" s="339" t="s">
        <v>219</v>
      </c>
      <c r="W33" s="340" t="s">
        <v>220</v>
      </c>
      <c r="X33" s="340" t="s">
        <v>221</v>
      </c>
      <c r="Y33" s="340" t="s">
        <v>222</v>
      </c>
      <c r="Z33" s="340" t="s">
        <v>223</v>
      </c>
      <c r="AA33" s="340" t="s">
        <v>224</v>
      </c>
      <c r="AB33" s="340" t="s">
        <v>225</v>
      </c>
      <c r="AC33" s="340" t="s">
        <v>226</v>
      </c>
      <c r="AD33" s="340" t="s">
        <v>227</v>
      </c>
      <c r="AE33" s="339" t="s">
        <v>228</v>
      </c>
      <c r="AF33" s="346" t="s">
        <v>229</v>
      </c>
      <c r="AG33" s="346" t="s">
        <v>230</v>
      </c>
      <c r="AH33" s="340" t="s">
        <v>231</v>
      </c>
    </row>
    <row r="34">
      <c r="A34" s="347">
        <v>46147</v>
      </c>
      <c r="B34" s="348" t="s">
        <v>242</v>
      </c>
      <c r="C34" s="348" t="s">
        <v>243</v>
      </c>
      <c r="D34" s="377">
        <v>2000</v>
      </c>
      <c r="E34" s="350"/>
      <c r="F34" s="350">
        <v>3</v>
      </c>
      <c r="G34" s="350">
        <v>3</v>
      </c>
      <c r="H34" s="378">
        <v>2013</v>
      </c>
      <c r="I34" s="351">
        <f t="shared" ref="I34:I44" si="189">H34/D34</f>
      </c>
      <c r="J34" s="351">
        <f t="shared" ref="J34:J44" si="249">D34/F34</f>
      </c>
      <c r="K34" s="351">
        <f t="shared" ref="K34:K44" si="309">D34/G34</f>
      </c>
      <c r="L34" s="351"/>
      <c r="M34" s="351">
        <f t="shared" ref="M34:M44" si="3">H34/F34</f>
      </c>
      <c r="N34" s="351">
        <f t="shared" ref="N34:N44" si="69">D34/X34</f>
      </c>
      <c r="O34" s="352">
        <f t="shared" ref="O34:O44" si="99">S34/W34*1</f>
      </c>
      <c r="P34" s="352">
        <f t="shared" ref="P34:P44" si="129">X34/W34</f>
      </c>
      <c r="Q34" s="352">
        <f t="shared" ref="Q34:Q44" si="159">Z34/W34</f>
      </c>
      <c r="R34" s="352">
        <f t="shared" ref="R34:R44" si="219">AA34/Z34</f>
      </c>
      <c r="S34" s="353">
        <f t="shared" ref="S34:S44" si="279">Y34/T34</f>
      </c>
      <c r="T34" s="354">
        <v>0.0091</v>
      </c>
      <c r="U34" s="355">
        <v>43</v>
      </c>
      <c r="V34" s="351">
        <f t="shared" ref="V34:V44" si="339">(D34/W34)*1000</f>
      </c>
      <c r="W34" s="355">
        <v>21796</v>
      </c>
      <c r="X34" s="355">
        <v>746</v>
      </c>
      <c r="Y34" s="353">
        <v>69</v>
      </c>
      <c r="Z34" s="353">
        <v>787</v>
      </c>
      <c r="AA34" s="353">
        <v>61</v>
      </c>
      <c r="AB34" s="353">
        <v>16</v>
      </c>
      <c r="AC34" s="353">
        <v>0</v>
      </c>
      <c r="AD34" s="355">
        <v>24</v>
      </c>
      <c r="AE34" s="351">
        <f t="shared" ref="AE34:AE43" si="33">AH34*1000/D34</f>
      </c>
      <c r="AF34" s="356" t="s">
        <v>234</v>
      </c>
      <c r="AG34" s="357" t="s">
        <v>235</v>
      </c>
      <c r="AH34" s="355">
        <v>30</v>
      </c>
    </row>
    <row r="35">
      <c r="A35" s="358"/>
      <c r="B35" s="348" t="s">
        <v>242</v>
      </c>
      <c r="C35" s="348" t="s">
        <v>244</v>
      </c>
      <c r="D35" s="349">
        <v>2584.07</v>
      </c>
      <c r="E35" s="379"/>
      <c r="F35" s="379">
        <v>1</v>
      </c>
      <c r="G35" s="379">
        <v>1</v>
      </c>
      <c r="H35" s="349">
        <v>781</v>
      </c>
      <c r="I35" s="351">
        <f t="shared" si="189"/>
      </c>
      <c r="J35" s="351">
        <f t="shared" si="249"/>
      </c>
      <c r="K35" s="351">
        <f t="shared" si="309"/>
      </c>
      <c r="L35" s="351"/>
      <c r="M35" s="351">
        <f t="shared" si="3"/>
      </c>
      <c r="N35" s="351">
        <f t="shared" si="69"/>
      </c>
      <c r="O35" s="352">
        <f t="shared" si="99"/>
      </c>
      <c r="P35" s="352">
        <f t="shared" si="129"/>
      </c>
      <c r="Q35" s="352">
        <f t="shared" si="159"/>
      </c>
      <c r="R35" s="352">
        <f t="shared" si="219"/>
      </c>
      <c r="S35" s="353">
        <f t="shared" si="279"/>
      </c>
      <c r="T35" s="354">
        <v>0.0035</v>
      </c>
      <c r="U35" s="355">
        <v>36</v>
      </c>
      <c r="V35" s="351">
        <f t="shared" si="339"/>
      </c>
      <c r="W35" s="355">
        <v>42352</v>
      </c>
      <c r="X35" s="355">
        <v>997</v>
      </c>
      <c r="Y35" s="353">
        <v>63</v>
      </c>
      <c r="Z35" s="353">
        <v>1009</v>
      </c>
      <c r="AA35" s="355">
        <v>69</v>
      </c>
      <c r="AB35" s="353">
        <v>7</v>
      </c>
      <c r="AC35" s="355">
        <v>2</v>
      </c>
      <c r="AD35" s="355">
        <v>11</v>
      </c>
      <c r="AE35" s="351">
        <f t="shared" si="33"/>
      </c>
      <c r="AF35" s="356" t="s">
        <v>234</v>
      </c>
      <c r="AG35" s="357" t="s">
        <v>235</v>
      </c>
      <c r="AH35" s="355">
        <v>34</v>
      </c>
    </row>
    <row r="36">
      <c r="A36" s="358"/>
      <c r="B36" s="348" t="s">
        <v>242</v>
      </c>
      <c r="C36" s="348" t="s">
        <v>245</v>
      </c>
      <c r="D36" s="349">
        <v>3010.21</v>
      </c>
      <c r="E36" s="350"/>
      <c r="F36" s="350">
        <v>2</v>
      </c>
      <c r="G36" s="350">
        <v>2</v>
      </c>
      <c r="H36" s="349">
        <v>1232</v>
      </c>
      <c r="I36" s="351">
        <f t="shared" si="189"/>
      </c>
      <c r="J36" s="351">
        <f t="shared" si="249"/>
      </c>
      <c r="K36" s="351">
        <f t="shared" si="309"/>
      </c>
      <c r="L36" s="351"/>
      <c r="M36" s="351">
        <f t="shared" si="3"/>
      </c>
      <c r="N36" s="351">
        <f t="shared" si="69"/>
      </c>
      <c r="O36" s="352">
        <f t="shared" si="99"/>
      </c>
      <c r="P36" s="352">
        <f t="shared" si="129"/>
      </c>
      <c r="Q36" s="352">
        <f t="shared" si="159"/>
      </c>
      <c r="R36" s="352">
        <f t="shared" si="219"/>
      </c>
      <c r="S36" s="353">
        <f t="shared" si="279"/>
      </c>
      <c r="T36" s="354">
        <v>0.0135</v>
      </c>
      <c r="U36" s="355">
        <v>38</v>
      </c>
      <c r="V36" s="351">
        <f t="shared" si="339"/>
      </c>
      <c r="W36" s="355">
        <v>33720</v>
      </c>
      <c r="X36" s="355">
        <v>581</v>
      </c>
      <c r="Y36" s="355">
        <v>109</v>
      </c>
      <c r="Z36" s="355">
        <v>632</v>
      </c>
      <c r="AA36" s="355">
        <v>67</v>
      </c>
      <c r="AB36" s="355">
        <v>15</v>
      </c>
      <c r="AC36" s="355">
        <v>0</v>
      </c>
      <c r="AD36" s="355">
        <v>47</v>
      </c>
      <c r="AE36" s="351">
        <f t="shared" si="33"/>
      </c>
      <c r="AF36" s="356" t="s">
        <v>234</v>
      </c>
      <c r="AG36" s="357" t="s">
        <v>235</v>
      </c>
      <c r="AH36" s="355">
        <v>37</v>
      </c>
    </row>
    <row r="37">
      <c r="A37" s="358"/>
      <c r="B37" s="348" t="s">
        <v>242</v>
      </c>
      <c r="C37" s="348" t="s">
        <v>233</v>
      </c>
      <c r="D37" s="349">
        <v>3458.02</v>
      </c>
      <c r="E37" s="350"/>
      <c r="F37" s="350">
        <v>14</v>
      </c>
      <c r="G37" s="350">
        <v>12</v>
      </c>
      <c r="H37" s="349">
        <v>13932.6</v>
      </c>
      <c r="I37" s="351">
        <f t="shared" si="189"/>
      </c>
      <c r="J37" s="351">
        <f t="shared" si="249"/>
      </c>
      <c r="K37" s="351">
        <f t="shared" si="309"/>
      </c>
      <c r="L37" s="351"/>
      <c r="M37" s="351">
        <f t="shared" si="3"/>
      </c>
      <c r="N37" s="351">
        <f t="shared" si="69"/>
      </c>
      <c r="O37" s="352">
        <f t="shared" si="99"/>
      </c>
      <c r="P37" s="352">
        <f t="shared" si="129"/>
      </c>
      <c r="Q37" s="352">
        <f t="shared" si="159"/>
      </c>
      <c r="R37" s="352">
        <f t="shared" si="219"/>
      </c>
      <c r="S37" s="353">
        <f t="shared" si="279"/>
      </c>
      <c r="T37" s="354">
        <v>0.0131</v>
      </c>
      <c r="U37" s="355">
        <v>41</v>
      </c>
      <c r="V37" s="351">
        <f t="shared" si="339"/>
      </c>
      <c r="W37" s="353">
        <v>37706</v>
      </c>
      <c r="X37" s="353">
        <v>1805</v>
      </c>
      <c r="Y37" s="353">
        <v>156</v>
      </c>
      <c r="Z37" s="353">
        <v>2031</v>
      </c>
      <c r="AA37" s="353">
        <v>153</v>
      </c>
      <c r="AB37" s="353">
        <v>9</v>
      </c>
      <c r="AC37" s="353">
        <v>3</v>
      </c>
      <c r="AD37" s="353">
        <v>22</v>
      </c>
      <c r="AE37" s="351">
        <f t="shared" si="33"/>
      </c>
      <c r="AF37" s="356" t="s">
        <v>234</v>
      </c>
      <c r="AG37" s="357" t="s">
        <v>235</v>
      </c>
      <c r="AH37" s="355">
        <v>65</v>
      </c>
    </row>
    <row r="38">
      <c r="A38" s="358"/>
      <c r="B38" s="360" t="s">
        <v>240</v>
      </c>
      <c r="C38" s="360"/>
      <c r="D38" s="361">
        <f>SUM(D34:D37)</f>
      </c>
      <c r="E38" s="362"/>
      <c r="F38" s="362">
        <f>SUM(F34:F37)</f>
      </c>
      <c r="G38" s="362">
        <f>SUM(G34:G37)</f>
      </c>
      <c r="H38" s="361">
        <f>SUM(H34:H37)</f>
      </c>
      <c r="I38" s="363">
        <f t="shared" si="189"/>
      </c>
      <c r="J38" s="363">
        <f t="shared" si="249"/>
      </c>
      <c r="K38" s="363">
        <f t="shared" si="309"/>
      </c>
      <c r="L38" s="363"/>
      <c r="M38" s="363">
        <f t="shared" si="3"/>
      </c>
      <c r="N38" s="363">
        <f t="shared" si="69"/>
      </c>
      <c r="O38" s="364">
        <f t="shared" si="99"/>
      </c>
      <c r="P38" s="364">
        <f t="shared" si="129"/>
      </c>
      <c r="Q38" s="364">
        <f t="shared" si="159"/>
      </c>
      <c r="R38" s="364">
        <f t="shared" si="219"/>
      </c>
      <c r="S38" s="365">
        <f t="shared" si="279"/>
      </c>
      <c r="T38" s="364">
        <f>AVERAGE(T34:T37)</f>
      </c>
      <c r="U38" s="361">
        <f>AVERAGE(U34:U37)</f>
      </c>
      <c r="V38" s="363">
        <f t="shared" si="339"/>
      </c>
      <c r="W38" s="365">
        <f>SUM(W34:W37)</f>
      </c>
      <c r="X38" s="365">
        <f>SUM(X34:X37)</f>
      </c>
      <c r="Y38" s="365">
        <f>SUM(Y34:Y37)</f>
      </c>
      <c r="Z38" s="365">
        <f>SUM(Z34:Z37)</f>
      </c>
      <c r="AA38" s="365">
        <f>SUM(AA34:AA37)</f>
      </c>
      <c r="AB38" s="365">
        <f>SUM(AB34:AB37)</f>
      </c>
      <c r="AC38" s="365">
        <f>SUM(AC34:AC37)</f>
      </c>
      <c r="AD38" s="365">
        <f>SUM(AD34:AD37)</f>
      </c>
      <c r="AE38" s="366">
        <f t="shared" si="33"/>
      </c>
      <c r="AF38" s="367"/>
      <c r="AG38" s="367"/>
      <c r="AH38" s="368">
        <f>SUM(AH34:AH37)</f>
      </c>
    </row>
    <row r="39">
      <c r="A39" s="358"/>
      <c r="B39" s="375" t="s">
        <v>246</v>
      </c>
      <c r="C39" s="348" t="s">
        <v>236</v>
      </c>
      <c r="D39" s="349">
        <v>3946.02</v>
      </c>
      <c r="E39" s="350"/>
      <c r="F39" s="350">
        <v>3</v>
      </c>
      <c r="G39" s="350">
        <v>2</v>
      </c>
      <c r="H39" s="349">
        <v>2713.7</v>
      </c>
      <c r="I39" s="351">
        <f t="shared" si="189"/>
      </c>
      <c r="J39" s="351">
        <f t="shared" si="249"/>
      </c>
      <c r="K39" s="351">
        <f t="shared" si="309"/>
      </c>
      <c r="L39" s="351"/>
      <c r="M39" s="351">
        <f t="shared" si="3"/>
      </c>
      <c r="N39" s="351">
        <f t="shared" si="69"/>
      </c>
      <c r="O39" s="352">
        <f t="shared" si="99"/>
      </c>
      <c r="P39" s="352">
        <f t="shared" si="129"/>
      </c>
      <c r="Q39" s="352">
        <f t="shared" si="159"/>
      </c>
      <c r="R39" s="352">
        <f t="shared" si="219"/>
      </c>
      <c r="S39" s="353">
        <f t="shared" si="279"/>
      </c>
      <c r="T39" s="354">
        <v>0.0043</v>
      </c>
      <c r="U39" s="355">
        <v>37</v>
      </c>
      <c r="V39" s="351">
        <f t="shared" si="339"/>
      </c>
      <c r="W39" s="355">
        <v>59830</v>
      </c>
      <c r="X39" s="355">
        <v>1377</v>
      </c>
      <c r="Y39" s="353">
        <v>107</v>
      </c>
      <c r="Z39" s="353">
        <v>1387</v>
      </c>
      <c r="AA39" s="353">
        <v>102</v>
      </c>
      <c r="AB39" s="353">
        <v>11</v>
      </c>
      <c r="AC39" s="355">
        <v>1</v>
      </c>
      <c r="AD39" s="355">
        <v>20</v>
      </c>
      <c r="AE39" s="351">
        <f t="shared" si="33"/>
      </c>
      <c r="AF39" s="356" t="s">
        <v>234</v>
      </c>
      <c r="AG39" s="357" t="s">
        <v>235</v>
      </c>
      <c r="AH39" s="355">
        <v>45</v>
      </c>
    </row>
    <row r="40">
      <c r="A40" s="358"/>
      <c r="B40" s="375" t="s">
        <v>246</v>
      </c>
      <c r="C40" s="348" t="s">
        <v>237</v>
      </c>
      <c r="D40" s="349">
        <v>2389.97</v>
      </c>
      <c r="E40" s="350"/>
      <c r="F40" s="350">
        <v>2</v>
      </c>
      <c r="G40" s="350">
        <v>2</v>
      </c>
      <c r="H40" s="349">
        <v>902</v>
      </c>
      <c r="I40" s="351">
        <f t="shared" si="189"/>
      </c>
      <c r="J40" s="351">
        <f t="shared" si="249"/>
      </c>
      <c r="K40" s="351">
        <f t="shared" si="309"/>
      </c>
      <c r="L40" s="351"/>
      <c r="M40" s="351">
        <f t="shared" si="3"/>
      </c>
      <c r="N40" s="351">
        <f t="shared" si="69"/>
      </c>
      <c r="O40" s="352">
        <f t="shared" si="99"/>
      </c>
      <c r="P40" s="352">
        <f t="shared" si="129"/>
      </c>
      <c r="Q40" s="352">
        <f t="shared" si="159"/>
      </c>
      <c r="R40" s="352">
        <f t="shared" si="219"/>
      </c>
      <c r="S40" s="353">
        <f t="shared" si="279"/>
      </c>
      <c r="T40" s="354">
        <v>0.0051</v>
      </c>
      <c r="U40" s="355">
        <v>39</v>
      </c>
      <c r="V40" s="351">
        <f t="shared" si="339"/>
      </c>
      <c r="W40" s="353">
        <v>34172</v>
      </c>
      <c r="X40" s="353">
        <v>693</v>
      </c>
      <c r="Y40" s="353">
        <v>64</v>
      </c>
      <c r="Z40" s="353">
        <v>807</v>
      </c>
      <c r="AA40" s="353">
        <v>87</v>
      </c>
      <c r="AB40" s="353">
        <v>14</v>
      </c>
      <c r="AC40" s="353">
        <v>3</v>
      </c>
      <c r="AD40" s="355">
        <v>49</v>
      </c>
      <c r="AE40" s="351">
        <f t="shared" si="33"/>
      </c>
      <c r="AF40" s="356" t="s">
        <v>234</v>
      </c>
      <c r="AG40" s="357" t="s">
        <v>235</v>
      </c>
      <c r="AH40" s="355">
        <v>23</v>
      </c>
    </row>
    <row r="41">
      <c r="A41" s="358"/>
      <c r="B41" s="375" t="s">
        <v>246</v>
      </c>
      <c r="C41" s="348" t="s">
        <v>238</v>
      </c>
      <c r="D41" s="349">
        <v>2859.2</v>
      </c>
      <c r="E41" s="350"/>
      <c r="F41" s="350">
        <v>5</v>
      </c>
      <c r="G41" s="350">
        <v>4</v>
      </c>
      <c r="H41" s="349">
        <v>2915</v>
      </c>
      <c r="I41" s="351">
        <f t="shared" si="189"/>
      </c>
      <c r="J41" s="351">
        <f t="shared" si="249"/>
      </c>
      <c r="K41" s="351">
        <f t="shared" si="309"/>
      </c>
      <c r="L41" s="351"/>
      <c r="M41" s="351">
        <f t="shared" si="3"/>
      </c>
      <c r="N41" s="351">
        <f t="shared" si="69"/>
      </c>
      <c r="O41" s="352">
        <f t="shared" si="99"/>
      </c>
      <c r="P41" s="352">
        <f t="shared" si="129"/>
      </c>
      <c r="Q41" s="352">
        <f t="shared" si="159"/>
      </c>
      <c r="R41" s="352">
        <f t="shared" si="219"/>
      </c>
      <c r="S41" s="353">
        <f t="shared" si="279"/>
      </c>
      <c r="T41" s="354">
        <v>0.0053</v>
      </c>
      <c r="U41" s="355">
        <v>39</v>
      </c>
      <c r="V41" s="351">
        <f t="shared" si="339"/>
      </c>
      <c r="W41" s="355">
        <v>38963</v>
      </c>
      <c r="X41" s="355">
        <v>760</v>
      </c>
      <c r="Y41" s="353">
        <v>90</v>
      </c>
      <c r="Z41" s="353">
        <v>813</v>
      </c>
      <c r="AA41" s="353">
        <v>83</v>
      </c>
      <c r="AB41" s="353">
        <v>12</v>
      </c>
      <c r="AC41" s="353">
        <v>0</v>
      </c>
      <c r="AD41" s="355">
        <v>10</v>
      </c>
      <c r="AE41" s="351">
        <f t="shared" si="33"/>
      </c>
      <c r="AF41" s="356" t="s">
        <v>234</v>
      </c>
      <c r="AG41" s="357" t="s">
        <v>235</v>
      </c>
      <c r="AH41" s="355">
        <v>31</v>
      </c>
    </row>
    <row r="42">
      <c r="A42" s="358"/>
      <c r="B42" s="375" t="s">
        <v>246</v>
      </c>
      <c r="C42" s="348" t="s">
        <v>239</v>
      </c>
      <c r="D42" s="349">
        <v>1181.99</v>
      </c>
      <c r="E42" s="350"/>
      <c r="F42" s="350">
        <v>4</v>
      </c>
      <c r="G42" s="350">
        <v>3</v>
      </c>
      <c r="H42" s="349">
        <v>2134</v>
      </c>
      <c r="I42" s="351">
        <f t="shared" si="189"/>
      </c>
      <c r="J42" s="351">
        <f t="shared" si="249"/>
      </c>
      <c r="K42" s="351">
        <f t="shared" si="309"/>
      </c>
      <c r="L42" s="351"/>
      <c r="M42" s="351">
        <f t="shared" si="3"/>
      </c>
      <c r="N42" s="351">
        <f t="shared" si="69"/>
      </c>
      <c r="O42" s="352">
        <f t="shared" si="99"/>
      </c>
      <c r="P42" s="352">
        <f t="shared" si="129"/>
      </c>
      <c r="Q42" s="352">
        <f t="shared" si="159"/>
      </c>
      <c r="R42" s="352">
        <f t="shared" si="219"/>
      </c>
      <c r="S42" s="353">
        <f t="shared" si="279"/>
      </c>
      <c r="T42" s="354">
        <v>0.0053</v>
      </c>
      <c r="U42" s="355">
        <v>40</v>
      </c>
      <c r="V42" s="351">
        <f t="shared" si="339"/>
      </c>
      <c r="W42" s="355">
        <v>18207</v>
      </c>
      <c r="X42" s="355">
        <v>341</v>
      </c>
      <c r="Y42" s="353">
        <v>34</v>
      </c>
      <c r="Z42" s="353">
        <v>371</v>
      </c>
      <c r="AA42" s="353">
        <v>41</v>
      </c>
      <c r="AB42" s="353">
        <v>5</v>
      </c>
      <c r="AC42" s="355">
        <v>0</v>
      </c>
      <c r="AD42" s="355">
        <v>6</v>
      </c>
      <c r="AE42" s="351">
        <f t="shared" si="33"/>
      </c>
      <c r="AF42" s="356" t="s">
        <v>234</v>
      </c>
      <c r="AG42" s="357" t="s">
        <v>235</v>
      </c>
      <c r="AH42" s="355">
        <v>7</v>
      </c>
    </row>
    <row r="43">
      <c r="A43" s="358"/>
      <c r="B43" s="360" t="s">
        <v>240</v>
      </c>
      <c r="C43" s="360"/>
      <c r="D43" s="361">
        <f>SUM(D39:D42)</f>
      </c>
      <c r="E43" s="362"/>
      <c r="F43" s="362">
        <f>SUM(F39:F42)</f>
      </c>
      <c r="G43" s="362">
        <f>SUM(G39:G42)</f>
      </c>
      <c r="H43" s="361">
        <f>SUM(H39:H42)</f>
      </c>
      <c r="I43" s="363">
        <f t="shared" si="189"/>
      </c>
      <c r="J43" s="363">
        <f t="shared" si="249"/>
      </c>
      <c r="K43" s="363">
        <f t="shared" si="309"/>
      </c>
      <c r="L43" s="363"/>
      <c r="M43" s="363">
        <f t="shared" si="3"/>
      </c>
      <c r="N43" s="363">
        <f t="shared" si="69"/>
      </c>
      <c r="O43" s="364">
        <f t="shared" si="99"/>
      </c>
      <c r="P43" s="364">
        <f t="shared" si="129"/>
      </c>
      <c r="Q43" s="364">
        <f t="shared" si="159"/>
      </c>
      <c r="R43" s="364">
        <f t="shared" si="219"/>
      </c>
      <c r="S43" s="365">
        <f t="shared" si="279"/>
      </c>
      <c r="T43" s="364">
        <f>AVERAGE(T39:T42)</f>
      </c>
      <c r="U43" s="361">
        <f>AVERAGE(U39:U42)</f>
      </c>
      <c r="V43" s="363">
        <f t="shared" si="339"/>
      </c>
      <c r="W43" s="365">
        <f>SUM(W39:W42)</f>
      </c>
      <c r="X43" s="365">
        <f>SUM(X39:X42)</f>
      </c>
      <c r="Y43" s="365">
        <f>SUM(Y39:Y42)</f>
      </c>
      <c r="Z43" s="365">
        <f>SUM(Z39:Z42)</f>
      </c>
      <c r="AA43" s="365">
        <f>SUM(AA39:AA42)</f>
      </c>
      <c r="AB43" s="365">
        <f>SUM(AB39:AB42)</f>
      </c>
      <c r="AC43" s="365">
        <f>SUM(AC39:AC42)</f>
      </c>
      <c r="AD43" s="365">
        <f>SUM(AD39:AD42)</f>
      </c>
      <c r="AE43" s="366">
        <f t="shared" si="33"/>
      </c>
      <c r="AF43" s="367"/>
      <c r="AG43" s="367"/>
      <c r="AH43" s="365">
        <f>SUM(AH39:AH42)</f>
      </c>
    </row>
    <row r="44">
      <c r="A44" s="358"/>
      <c r="B44" s="369" t="s">
        <v>241</v>
      </c>
      <c r="C44" s="369"/>
      <c r="D44" s="370">
        <f>D38+D43</f>
      </c>
      <c r="E44" s="371"/>
      <c r="F44" s="371">
        <f>F38+F43</f>
      </c>
      <c r="G44" s="371">
        <f>G38+G43</f>
      </c>
      <c r="H44" s="370">
        <f>H38+H43</f>
      </c>
      <c r="I44" s="372">
        <f t="shared" si="189"/>
      </c>
      <c r="J44" s="372">
        <f t="shared" si="249"/>
      </c>
      <c r="K44" s="372">
        <f t="shared" si="309"/>
      </c>
      <c r="L44" s="372"/>
      <c r="M44" s="372">
        <f t="shared" si="3"/>
      </c>
      <c r="N44" s="372">
        <f t="shared" si="69"/>
      </c>
      <c r="O44" s="373">
        <f t="shared" si="99"/>
      </c>
      <c r="P44" s="373">
        <f t="shared" si="129"/>
      </c>
      <c r="Q44" s="373">
        <f t="shared" si="159"/>
      </c>
      <c r="R44" s="373">
        <f t="shared" si="219"/>
      </c>
      <c r="S44" s="374">
        <f t="shared" si="279"/>
      </c>
      <c r="T44" s="373">
        <f>(T38+T43)/2</f>
      </c>
      <c r="U44" s="370">
        <f>(U43+U38)/2</f>
      </c>
      <c r="V44" s="370">
        <f t="shared" si="339"/>
      </c>
      <c r="W44" s="374">
        <f>W38+W43</f>
      </c>
      <c r="X44" s="374">
        <f>X38+X43</f>
      </c>
      <c r="Y44" s="374">
        <f>Y38+Y43</f>
      </c>
      <c r="Z44" s="374">
        <f>Z38+Z43</f>
      </c>
      <c r="AA44" s="374">
        <f>AA38+AA43</f>
      </c>
      <c r="AB44" s="374">
        <f>AB38+AB43</f>
      </c>
      <c r="AC44" s="374">
        <f>AC38+AC43</f>
      </c>
      <c r="AD44" s="374">
        <f>AD38+AD43</f>
      </c>
      <c r="AE44" s="372">
        <f>AE38</f>
      </c>
      <c r="AF44" s="369"/>
      <c r="AG44" s="369"/>
      <c r="AH44" s="374">
        <f>AH38+AH43</f>
      </c>
    </row>
    <row r="45">
      <c r="A45" s="337" t="s">
        <v>197</v>
      </c>
      <c r="B45" s="337" t="s">
        <v>198</v>
      </c>
      <c r="C45" s="337"/>
      <c r="D45" s="338" t="s">
        <v>199</v>
      </c>
      <c r="E45" s="338"/>
      <c r="F45" s="338"/>
      <c r="G45" s="338"/>
      <c r="H45" s="338"/>
      <c r="I45" s="338"/>
      <c r="J45" s="338"/>
      <c r="K45" s="338"/>
      <c r="L45" s="338"/>
      <c r="M45" s="338"/>
      <c r="N45" s="339" t="s">
        <v>200</v>
      </c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339"/>
      <c r="AE45" s="339"/>
      <c r="AF45" s="339"/>
      <c r="AG45" s="339"/>
      <c r="AH45" s="340"/>
    </row>
    <row r="46">
      <c r="A46" s="337"/>
      <c r="B46" s="337" t="s">
        <v>201</v>
      </c>
      <c r="C46" s="337" t="s">
        <v>202</v>
      </c>
      <c r="D46" s="338" t="s">
        <v>203</v>
      </c>
      <c r="E46" s="376"/>
      <c r="F46" s="376" t="s">
        <v>204</v>
      </c>
      <c r="G46" s="376" t="s">
        <v>205</v>
      </c>
      <c r="H46" s="338" t="s">
        <v>206</v>
      </c>
      <c r="I46" s="342" t="s">
        <v>207</v>
      </c>
      <c r="J46" s="342" t="s">
        <v>208</v>
      </c>
      <c r="K46" s="342" t="s">
        <v>209</v>
      </c>
      <c r="L46" s="342"/>
      <c r="M46" s="342" t="s">
        <v>210</v>
      </c>
      <c r="N46" s="343" t="s">
        <v>211</v>
      </c>
      <c r="O46" s="344" t="s">
        <v>212</v>
      </c>
      <c r="P46" s="344" t="s">
        <v>213</v>
      </c>
      <c r="Q46" s="344" t="s">
        <v>214</v>
      </c>
      <c r="R46" s="344" t="s">
        <v>215</v>
      </c>
      <c r="S46" s="345" t="s">
        <v>216</v>
      </c>
      <c r="T46" s="344" t="s">
        <v>217</v>
      </c>
      <c r="U46" s="345" t="s">
        <v>218</v>
      </c>
      <c r="V46" s="339" t="s">
        <v>219</v>
      </c>
      <c r="W46" s="340" t="s">
        <v>220</v>
      </c>
      <c r="X46" s="340" t="s">
        <v>221</v>
      </c>
      <c r="Y46" s="340" t="s">
        <v>222</v>
      </c>
      <c r="Z46" s="340" t="s">
        <v>223</v>
      </c>
      <c r="AA46" s="340" t="s">
        <v>224</v>
      </c>
      <c r="AB46" s="340" t="s">
        <v>225</v>
      </c>
      <c r="AC46" s="340" t="s">
        <v>226</v>
      </c>
      <c r="AD46" s="340" t="s">
        <v>227</v>
      </c>
      <c r="AE46" s="339" t="s">
        <v>228</v>
      </c>
      <c r="AF46" s="346" t="s">
        <v>229</v>
      </c>
      <c r="AG46" s="346" t="s">
        <v>230</v>
      </c>
      <c r="AH46" s="340" t="s">
        <v>231</v>
      </c>
    </row>
    <row r="47">
      <c r="A47" s="347">
        <v>46148</v>
      </c>
      <c r="B47" s="348" t="s">
        <v>242</v>
      </c>
      <c r="C47" s="348" t="s">
        <v>243</v>
      </c>
      <c r="D47" s="377">
        <v>2486.31</v>
      </c>
      <c r="E47" s="350"/>
      <c r="F47" s="350">
        <v>4</v>
      </c>
      <c r="G47" s="350">
        <v>2</v>
      </c>
      <c r="H47" s="378">
        <v>2134</v>
      </c>
      <c r="I47" s="351">
        <f t="shared" ref="I47:I57" si="190">H47/D47</f>
      </c>
      <c r="J47" s="351">
        <f t="shared" ref="J47:J57" si="250">D47/F47</f>
      </c>
      <c r="K47" s="351">
        <f t="shared" ref="K47:K57" si="310">D47/G47</f>
      </c>
      <c r="L47" s="351"/>
      <c r="M47" s="351">
        <f t="shared" ref="M47:M57" si="4">H47/F47</f>
      </c>
      <c r="N47" s="351">
        <f t="shared" ref="N47:N57" si="70">D47/X47</f>
      </c>
      <c r="O47" s="352">
        <f t="shared" ref="O47:O57" si="100">S47/W47*1</f>
      </c>
      <c r="P47" s="352">
        <f t="shared" ref="P47:P57" si="130">X47/W47</f>
      </c>
      <c r="Q47" s="352">
        <f t="shared" ref="Q47:Q57" si="160">Z47/W47</f>
      </c>
      <c r="R47" s="352">
        <f t="shared" ref="R47:R57" si="220">AA47/Z47</f>
      </c>
      <c r="S47" s="353">
        <f t="shared" ref="S47:S57" si="280">Y47/T47</f>
      </c>
      <c r="T47" s="354">
        <v>0.0068</v>
      </c>
      <c r="U47" s="355">
        <v>36</v>
      </c>
      <c r="V47" s="351">
        <f t="shared" ref="V47:V57" si="340">(D47/W47)*1000</f>
      </c>
      <c r="W47" s="355">
        <v>23929</v>
      </c>
      <c r="X47" s="355">
        <v>1227</v>
      </c>
      <c r="Y47" s="353">
        <v>85</v>
      </c>
      <c r="Z47" s="353">
        <v>1347</v>
      </c>
      <c r="AA47" s="353">
        <v>70</v>
      </c>
      <c r="AB47" s="353">
        <v>18</v>
      </c>
      <c r="AC47" s="353">
        <v>3</v>
      </c>
      <c r="AD47" s="355">
        <v>10</v>
      </c>
      <c r="AE47" s="351">
        <f t="shared" ref="AE47:AE56" si="34">AH47*1000/D47</f>
      </c>
      <c r="AF47" s="356" t="s">
        <v>234</v>
      </c>
      <c r="AG47" s="357" t="s">
        <v>235</v>
      </c>
      <c r="AH47" s="355">
        <v>35</v>
      </c>
    </row>
    <row r="48">
      <c r="A48" s="358"/>
      <c r="B48" s="348" t="s">
        <v>242</v>
      </c>
      <c r="C48" s="348" t="s">
        <v>244</v>
      </c>
      <c r="D48" s="349">
        <v>1837.63</v>
      </c>
      <c r="E48" s="379"/>
      <c r="F48" s="379">
        <v>2</v>
      </c>
      <c r="G48" s="379">
        <v>2</v>
      </c>
      <c r="H48" s="349">
        <v>2519</v>
      </c>
      <c r="I48" s="351">
        <f t="shared" si="190"/>
      </c>
      <c r="J48" s="351">
        <f t="shared" si="250"/>
      </c>
      <c r="K48" s="351">
        <f t="shared" si="310"/>
      </c>
      <c r="L48" s="351"/>
      <c r="M48" s="351">
        <f t="shared" si="4"/>
      </c>
      <c r="N48" s="351">
        <f t="shared" si="70"/>
      </c>
      <c r="O48" s="352">
        <f t="shared" si="100"/>
      </c>
      <c r="P48" s="352">
        <f t="shared" si="130"/>
      </c>
      <c r="Q48" s="352">
        <f t="shared" si="160"/>
      </c>
      <c r="R48" s="352">
        <f t="shared" si="220"/>
      </c>
      <c r="S48" s="353">
        <f t="shared" si="280"/>
      </c>
      <c r="T48" s="354">
        <v>0.0098</v>
      </c>
      <c r="U48" s="355">
        <v>36</v>
      </c>
      <c r="V48" s="351">
        <f t="shared" si="340"/>
      </c>
      <c r="W48" s="355">
        <v>13677</v>
      </c>
      <c r="X48" s="355">
        <v>989</v>
      </c>
      <c r="Y48" s="353">
        <v>73</v>
      </c>
      <c r="Z48" s="353">
        <v>1075</v>
      </c>
      <c r="AA48" s="355">
        <v>87</v>
      </c>
      <c r="AB48" s="353">
        <v>10</v>
      </c>
      <c r="AC48" s="355">
        <v>2</v>
      </c>
      <c r="AD48" s="355">
        <v>5</v>
      </c>
      <c r="AE48" s="351">
        <f t="shared" si="34"/>
      </c>
      <c r="AF48" s="356" t="s">
        <v>234</v>
      </c>
      <c r="AG48" s="357" t="s">
        <v>235</v>
      </c>
      <c r="AH48" s="355">
        <v>34</v>
      </c>
    </row>
    <row r="49">
      <c r="A49" s="358"/>
      <c r="B49" s="348" t="s">
        <v>242</v>
      </c>
      <c r="C49" s="348" t="s">
        <v>245</v>
      </c>
      <c r="D49" s="349">
        <v>2256.02</v>
      </c>
      <c r="E49" s="350"/>
      <c r="F49" s="350">
        <v>3</v>
      </c>
      <c r="G49" s="350">
        <v>3</v>
      </c>
      <c r="H49" s="349">
        <v>2449.7</v>
      </c>
      <c r="I49" s="351">
        <f t="shared" si="190"/>
      </c>
      <c r="J49" s="351">
        <f t="shared" si="250"/>
      </c>
      <c r="K49" s="351">
        <f t="shared" si="310"/>
      </c>
      <c r="L49" s="351"/>
      <c r="M49" s="351">
        <f t="shared" si="4"/>
      </c>
      <c r="N49" s="351">
        <f t="shared" si="70"/>
      </c>
      <c r="O49" s="352">
        <f t="shared" si="100"/>
      </c>
      <c r="P49" s="352">
        <f t="shared" si="130"/>
      </c>
      <c r="Q49" s="352">
        <f t="shared" si="160"/>
      </c>
      <c r="R49" s="352">
        <f t="shared" si="220"/>
      </c>
      <c r="S49" s="353">
        <f t="shared" si="280"/>
      </c>
      <c r="T49" s="354">
        <v>0.0098</v>
      </c>
      <c r="U49" s="355">
        <v>35</v>
      </c>
      <c r="V49" s="351">
        <f t="shared" si="340"/>
      </c>
      <c r="W49" s="355">
        <v>21214</v>
      </c>
      <c r="X49" s="355">
        <v>1490</v>
      </c>
      <c r="Y49" s="355">
        <v>104</v>
      </c>
      <c r="Z49" s="355">
        <v>1594</v>
      </c>
      <c r="AA49" s="355">
        <v>126</v>
      </c>
      <c r="AB49" s="355">
        <v>9</v>
      </c>
      <c r="AC49" s="355">
        <v>3</v>
      </c>
      <c r="AD49" s="355">
        <v>0</v>
      </c>
      <c r="AE49" s="351">
        <f t="shared" si="34"/>
      </c>
      <c r="AF49" s="356" t="s">
        <v>234</v>
      </c>
      <c r="AG49" s="357" t="s">
        <v>235</v>
      </c>
      <c r="AH49" s="355">
        <v>52</v>
      </c>
    </row>
    <row r="50">
      <c r="A50" s="358"/>
      <c r="B50" s="348" t="s">
        <v>242</v>
      </c>
      <c r="C50" s="348" t="s">
        <v>233</v>
      </c>
      <c r="D50" s="349">
        <v>2162.47</v>
      </c>
      <c r="E50" s="350"/>
      <c r="F50" s="350">
        <v>4</v>
      </c>
      <c r="G50" s="350">
        <v>3</v>
      </c>
      <c r="H50" s="349">
        <v>3494.7</v>
      </c>
      <c r="I50" s="351">
        <f t="shared" si="190"/>
      </c>
      <c r="J50" s="351">
        <f t="shared" si="250"/>
      </c>
      <c r="K50" s="351">
        <f t="shared" si="310"/>
      </c>
      <c r="L50" s="351"/>
      <c r="M50" s="351">
        <f t="shared" si="4"/>
      </c>
      <c r="N50" s="351">
        <f t="shared" si="70"/>
      </c>
      <c r="O50" s="352">
        <f t="shared" si="100"/>
      </c>
      <c r="P50" s="352">
        <f t="shared" si="130"/>
      </c>
      <c r="Q50" s="352">
        <f t="shared" si="160"/>
      </c>
      <c r="R50" s="352">
        <f t="shared" si="220"/>
      </c>
      <c r="S50" s="353">
        <f t="shared" si="280"/>
      </c>
      <c r="T50" s="354">
        <v>0.0088</v>
      </c>
      <c r="U50" s="355">
        <v>35</v>
      </c>
      <c r="V50" s="351">
        <f t="shared" si="340"/>
      </c>
      <c r="W50" s="353">
        <v>18997</v>
      </c>
      <c r="X50" s="353">
        <v>1309</v>
      </c>
      <c r="Y50" s="353">
        <v>79</v>
      </c>
      <c r="Z50" s="353">
        <v>1456</v>
      </c>
      <c r="AA50" s="353">
        <v>76</v>
      </c>
      <c r="AB50" s="353">
        <v>19</v>
      </c>
      <c r="AC50" s="353">
        <v>1</v>
      </c>
      <c r="AD50" s="353">
        <v>19</v>
      </c>
      <c r="AE50" s="351">
        <f t="shared" si="34"/>
      </c>
      <c r="AF50" s="356" t="s">
        <v>234</v>
      </c>
      <c r="AG50" s="357" t="s">
        <v>235</v>
      </c>
      <c r="AH50" s="355">
        <v>31</v>
      </c>
    </row>
    <row r="51">
      <c r="A51" s="358"/>
      <c r="B51" s="360" t="s">
        <v>240</v>
      </c>
      <c r="C51" s="360"/>
      <c r="D51" s="361">
        <f>SUM(D47:D50)</f>
      </c>
      <c r="E51" s="362"/>
      <c r="F51" s="362">
        <f>SUM(F47:F50)</f>
      </c>
      <c r="G51" s="362">
        <f>SUM(G47:G50)</f>
      </c>
      <c r="H51" s="361">
        <f>SUM(H47:H50)</f>
      </c>
      <c r="I51" s="363">
        <f t="shared" si="190"/>
      </c>
      <c r="J51" s="363">
        <f t="shared" si="250"/>
      </c>
      <c r="K51" s="363">
        <f t="shared" si="310"/>
      </c>
      <c r="L51" s="363"/>
      <c r="M51" s="363">
        <f t="shared" si="4"/>
      </c>
      <c r="N51" s="363">
        <f t="shared" si="70"/>
      </c>
      <c r="O51" s="364">
        <f t="shared" si="100"/>
      </c>
      <c r="P51" s="364">
        <f t="shared" si="130"/>
      </c>
      <c r="Q51" s="364">
        <f t="shared" si="160"/>
      </c>
      <c r="R51" s="364">
        <f t="shared" si="220"/>
      </c>
      <c r="S51" s="365">
        <f t="shared" si="280"/>
      </c>
      <c r="T51" s="364">
        <f>AVERAGE(T47:T50)</f>
      </c>
      <c r="U51" s="361">
        <f>AVERAGE(U47:U50)</f>
      </c>
      <c r="V51" s="363">
        <f t="shared" si="340"/>
      </c>
      <c r="W51" s="365">
        <f>SUM(W47:W50)</f>
      </c>
      <c r="X51" s="365">
        <f>SUM(X47:X50)</f>
      </c>
      <c r="Y51" s="365">
        <f>SUM(Y47:Y50)</f>
      </c>
      <c r="Z51" s="365">
        <f>SUM(Z47:Z50)</f>
      </c>
      <c r="AA51" s="365">
        <f>SUM(AA47:AA50)</f>
      </c>
      <c r="AB51" s="365">
        <f>SUM(AB47:AB50)</f>
      </c>
      <c r="AC51" s="365">
        <f>SUM(AC47:AC50)</f>
      </c>
      <c r="AD51" s="365">
        <f>SUM(AD47:AD50)</f>
      </c>
      <c r="AE51" s="366">
        <f t="shared" si="34"/>
      </c>
      <c r="AF51" s="367"/>
      <c r="AG51" s="367"/>
      <c r="AH51" s="368">
        <f>SUM(AH47:AH50)</f>
      </c>
    </row>
    <row r="52">
      <c r="A52" s="358"/>
      <c r="B52" s="375" t="s">
        <v>246</v>
      </c>
      <c r="C52" s="348" t="s">
        <v>236</v>
      </c>
      <c r="D52" s="349">
        <v>3167.29</v>
      </c>
      <c r="E52" s="350"/>
      <c r="F52" s="350">
        <v>6</v>
      </c>
      <c r="G52" s="350">
        <v>5</v>
      </c>
      <c r="H52" s="349">
        <v>4802.6</v>
      </c>
      <c r="I52" s="351">
        <f t="shared" si="190"/>
      </c>
      <c r="J52" s="351">
        <f t="shared" si="250"/>
      </c>
      <c r="K52" s="351">
        <f t="shared" si="310"/>
      </c>
      <c r="L52" s="351"/>
      <c r="M52" s="351">
        <f t="shared" si="4"/>
      </c>
      <c r="N52" s="351">
        <f t="shared" si="70"/>
      </c>
      <c r="O52" s="352">
        <f t="shared" si="100"/>
      </c>
      <c r="P52" s="352">
        <f t="shared" si="130"/>
      </c>
      <c r="Q52" s="352">
        <f t="shared" si="160"/>
      </c>
      <c r="R52" s="352">
        <f t="shared" si="220"/>
      </c>
      <c r="S52" s="353">
        <f t="shared" si="280"/>
      </c>
      <c r="T52" s="354">
        <v>0.0073</v>
      </c>
      <c r="U52" s="355">
        <v>33</v>
      </c>
      <c r="V52" s="351">
        <f t="shared" si="340"/>
      </c>
      <c r="W52" s="355">
        <v>25070</v>
      </c>
      <c r="X52" s="355">
        <v>1677</v>
      </c>
      <c r="Y52" s="353">
        <v>86</v>
      </c>
      <c r="Z52" s="353">
        <v>1829</v>
      </c>
      <c r="AA52" s="353">
        <v>88</v>
      </c>
      <c r="AB52" s="353">
        <v>11</v>
      </c>
      <c r="AC52" s="355">
        <v>3</v>
      </c>
      <c r="AD52" s="355">
        <v>14</v>
      </c>
      <c r="AE52" s="351">
        <f t="shared" si="34"/>
      </c>
      <c r="AF52" s="356" t="s">
        <v>234</v>
      </c>
      <c r="AG52" s="357" t="s">
        <v>235</v>
      </c>
      <c r="AH52" s="355">
        <v>42</v>
      </c>
    </row>
    <row r="53">
      <c r="A53" s="358"/>
      <c r="B53" s="375" t="s">
        <v>246</v>
      </c>
      <c r="C53" s="348" t="s">
        <v>237</v>
      </c>
      <c r="D53" s="349">
        <v>2428.18</v>
      </c>
      <c r="E53" s="350"/>
      <c r="F53" s="350">
        <v>3</v>
      </c>
      <c r="G53" s="350">
        <v>3</v>
      </c>
      <c r="H53" s="349">
        <v>2435.4</v>
      </c>
      <c r="I53" s="351">
        <f t="shared" si="190"/>
      </c>
      <c r="J53" s="351">
        <f t="shared" si="250"/>
      </c>
      <c r="K53" s="351">
        <f t="shared" si="310"/>
      </c>
      <c r="L53" s="351"/>
      <c r="M53" s="351">
        <f t="shared" si="4"/>
      </c>
      <c r="N53" s="351">
        <f t="shared" si="70"/>
      </c>
      <c r="O53" s="352">
        <f t="shared" si="100"/>
      </c>
      <c r="P53" s="352">
        <f t="shared" si="130"/>
      </c>
      <c r="Q53" s="352">
        <f t="shared" si="160"/>
      </c>
      <c r="R53" s="352">
        <f t="shared" si="220"/>
      </c>
      <c r="S53" s="353">
        <f t="shared" si="280"/>
      </c>
      <c r="T53" s="354">
        <v>0.0097</v>
      </c>
      <c r="U53" s="355">
        <v>33</v>
      </c>
      <c r="V53" s="351">
        <f t="shared" si="340"/>
      </c>
      <c r="W53" s="353">
        <v>20531</v>
      </c>
      <c r="X53" s="353">
        <v>1365</v>
      </c>
      <c r="Y53" s="353">
        <v>95</v>
      </c>
      <c r="Z53" s="353">
        <v>1507</v>
      </c>
      <c r="AA53" s="353">
        <v>55</v>
      </c>
      <c r="AB53" s="353">
        <v>16</v>
      </c>
      <c r="AC53" s="353">
        <v>5</v>
      </c>
      <c r="AD53" s="355">
        <v>6</v>
      </c>
      <c r="AE53" s="351">
        <f t="shared" si="34"/>
      </c>
      <c r="AF53" s="356" t="s">
        <v>234</v>
      </c>
      <c r="AG53" s="357" t="s">
        <v>235</v>
      </c>
      <c r="AH53" s="355">
        <v>38</v>
      </c>
    </row>
    <row r="54">
      <c r="A54" s="358"/>
      <c r="B54" s="375" t="s">
        <v>246</v>
      </c>
      <c r="C54" s="348" t="s">
        <v>238</v>
      </c>
      <c r="D54" s="349">
        <v>2048.34</v>
      </c>
      <c r="E54" s="350"/>
      <c r="F54" s="350">
        <v>3</v>
      </c>
      <c r="G54" s="350">
        <v>3</v>
      </c>
      <c r="H54" s="349">
        <v>2088.9</v>
      </c>
      <c r="I54" s="351">
        <f t="shared" si="190"/>
      </c>
      <c r="J54" s="351">
        <f t="shared" si="250"/>
      </c>
      <c r="K54" s="351">
        <f t="shared" si="310"/>
      </c>
      <c r="L54" s="351"/>
      <c r="M54" s="351">
        <f t="shared" si="4"/>
      </c>
      <c r="N54" s="351">
        <f t="shared" si="70"/>
      </c>
      <c r="O54" s="352">
        <f t="shared" si="100"/>
      </c>
      <c r="P54" s="352">
        <f t="shared" si="130"/>
      </c>
      <c r="Q54" s="352">
        <f t="shared" si="160"/>
      </c>
      <c r="R54" s="352">
        <f t="shared" si="220"/>
      </c>
      <c r="S54" s="353">
        <f t="shared" si="280"/>
      </c>
      <c r="T54" s="354">
        <v>0.0157</v>
      </c>
      <c r="U54" s="355">
        <v>35</v>
      </c>
      <c r="V54" s="351">
        <f t="shared" si="340"/>
      </c>
      <c r="W54" s="355">
        <v>12457</v>
      </c>
      <c r="X54" s="355">
        <v>947</v>
      </c>
      <c r="Y54" s="353">
        <v>94</v>
      </c>
      <c r="Z54" s="353">
        <v>1028</v>
      </c>
      <c r="AA54" s="353">
        <v>68</v>
      </c>
      <c r="AB54" s="353">
        <v>6</v>
      </c>
      <c r="AC54" s="353">
        <v>2</v>
      </c>
      <c r="AD54" s="355">
        <v>9</v>
      </c>
      <c r="AE54" s="351">
        <f t="shared" si="34"/>
      </c>
      <c r="AF54" s="356" t="s">
        <v>234</v>
      </c>
      <c r="AG54" s="357" t="s">
        <v>235</v>
      </c>
      <c r="AH54" s="355">
        <v>40</v>
      </c>
    </row>
    <row r="55">
      <c r="A55" s="358"/>
      <c r="B55" s="375" t="s">
        <v>246</v>
      </c>
      <c r="C55" s="348" t="s">
        <v>239</v>
      </c>
      <c r="D55" s="349">
        <v>1052.35</v>
      </c>
      <c r="E55" s="350"/>
      <c r="F55" s="350">
        <v>1</v>
      </c>
      <c r="G55" s="350">
        <v>1</v>
      </c>
      <c r="H55" s="349">
        <v>451</v>
      </c>
      <c r="I55" s="351">
        <f t="shared" si="190"/>
      </c>
      <c r="J55" s="351">
        <f t="shared" si="250"/>
      </c>
      <c r="K55" s="351">
        <f t="shared" si="310"/>
      </c>
      <c r="L55" s="351"/>
      <c r="M55" s="351">
        <f t="shared" si="4"/>
      </c>
      <c r="N55" s="351">
        <f t="shared" si="70"/>
      </c>
      <c r="O55" s="352">
        <f t="shared" si="100"/>
      </c>
      <c r="P55" s="352">
        <f t="shared" si="130"/>
      </c>
      <c r="Q55" s="352">
        <f t="shared" si="160"/>
      </c>
      <c r="R55" s="352">
        <f t="shared" si="220"/>
      </c>
      <c r="S55" s="353">
        <f t="shared" si="280"/>
      </c>
      <c r="T55" s="354">
        <v>0.0121</v>
      </c>
      <c r="U55" s="355">
        <v>36</v>
      </c>
      <c r="V55" s="351">
        <f t="shared" si="340"/>
      </c>
      <c r="W55" s="355">
        <v>4625</v>
      </c>
      <c r="X55" s="355">
        <v>343</v>
      </c>
      <c r="Y55" s="353">
        <v>28</v>
      </c>
      <c r="Z55" s="353">
        <v>403</v>
      </c>
      <c r="AA55" s="353">
        <v>42</v>
      </c>
      <c r="AB55" s="353">
        <v>6</v>
      </c>
      <c r="AC55" s="355">
        <v>1</v>
      </c>
      <c r="AD55" s="355">
        <v>6</v>
      </c>
      <c r="AE55" s="351">
        <f t="shared" si="34"/>
      </c>
      <c r="AF55" s="356" t="s">
        <v>234</v>
      </c>
      <c r="AG55" s="357" t="s">
        <v>235</v>
      </c>
      <c r="AH55" s="355">
        <v>6</v>
      </c>
    </row>
    <row r="56">
      <c r="A56" s="358"/>
      <c r="B56" s="360" t="s">
        <v>240</v>
      </c>
      <c r="C56" s="360"/>
      <c r="D56" s="361">
        <f>SUM(D52:D55)</f>
      </c>
      <c r="E56" s="362"/>
      <c r="F56" s="362">
        <f>SUM(F52:F55)</f>
      </c>
      <c r="G56" s="362">
        <f>SUM(G52:G55)</f>
      </c>
      <c r="H56" s="361">
        <f>SUM(H52:H55)</f>
      </c>
      <c r="I56" s="363">
        <f t="shared" si="190"/>
      </c>
      <c r="J56" s="363">
        <f t="shared" si="250"/>
      </c>
      <c r="K56" s="363">
        <f t="shared" si="310"/>
      </c>
      <c r="L56" s="363"/>
      <c r="M56" s="363">
        <f t="shared" si="4"/>
      </c>
      <c r="N56" s="363">
        <f t="shared" si="70"/>
      </c>
      <c r="O56" s="364">
        <f t="shared" si="100"/>
      </c>
      <c r="P56" s="364">
        <f t="shared" si="130"/>
      </c>
      <c r="Q56" s="364">
        <f t="shared" si="160"/>
      </c>
      <c r="R56" s="364">
        <f t="shared" si="220"/>
      </c>
      <c r="S56" s="365">
        <f t="shared" si="280"/>
      </c>
      <c r="T56" s="364">
        <f>AVERAGE(T52:T55)</f>
      </c>
      <c r="U56" s="361">
        <f>AVERAGE(U52:U55)</f>
      </c>
      <c r="V56" s="363">
        <f t="shared" si="340"/>
      </c>
      <c r="W56" s="365">
        <f>SUM(W52:W55)</f>
      </c>
      <c r="X56" s="365">
        <f>SUM(X52:X55)</f>
      </c>
      <c r="Y56" s="365">
        <f>SUM(Y52:Y55)</f>
      </c>
      <c r="Z56" s="365">
        <f>SUM(Z52:Z55)</f>
      </c>
      <c r="AA56" s="365">
        <f>SUM(AA52:AA55)</f>
      </c>
      <c r="AB56" s="365">
        <f>SUM(AB52:AB55)</f>
      </c>
      <c r="AC56" s="365">
        <f>SUM(AC52:AC55)</f>
      </c>
      <c r="AD56" s="365">
        <f>SUM(AD52:AD55)</f>
      </c>
      <c r="AE56" s="366">
        <f t="shared" si="34"/>
      </c>
      <c r="AF56" s="367"/>
      <c r="AG56" s="367"/>
      <c r="AH56" s="365">
        <f>SUM(AH52:AH55)</f>
      </c>
    </row>
    <row r="57">
      <c r="A57" s="358"/>
      <c r="B57" s="369" t="s">
        <v>241</v>
      </c>
      <c r="C57" s="369"/>
      <c r="D57" s="370">
        <f>D51+D56</f>
      </c>
      <c r="E57" s="371"/>
      <c r="F57" s="371">
        <f>F51+F56</f>
      </c>
      <c r="G57" s="371">
        <f>G51+G56</f>
      </c>
      <c r="H57" s="370">
        <f>H51+H56</f>
      </c>
      <c r="I57" s="372">
        <f t="shared" si="190"/>
      </c>
      <c r="J57" s="372">
        <f t="shared" si="250"/>
      </c>
      <c r="K57" s="372">
        <f t="shared" si="310"/>
      </c>
      <c r="L57" s="372"/>
      <c r="M57" s="372">
        <f t="shared" si="4"/>
      </c>
      <c r="N57" s="372">
        <f t="shared" si="70"/>
      </c>
      <c r="O57" s="373">
        <f t="shared" si="100"/>
      </c>
      <c r="P57" s="373">
        <f t="shared" si="130"/>
      </c>
      <c r="Q57" s="373">
        <f t="shared" si="160"/>
      </c>
      <c r="R57" s="373">
        <f t="shared" si="220"/>
      </c>
      <c r="S57" s="374">
        <f t="shared" si="280"/>
      </c>
      <c r="T57" s="373">
        <f>(T51+T56)/2</f>
      </c>
      <c r="U57" s="370">
        <f>(U56+U51)/2</f>
      </c>
      <c r="V57" s="370">
        <f t="shared" si="340"/>
      </c>
      <c r="W57" s="374">
        <f>W51+W56</f>
      </c>
      <c r="X57" s="374">
        <f>X51+X56</f>
      </c>
      <c r="Y57" s="374">
        <f>Y51+Y56</f>
      </c>
      <c r="Z57" s="374">
        <f>Z51+Z56</f>
      </c>
      <c r="AA57" s="374">
        <f>AA51+AA56</f>
      </c>
      <c r="AB57" s="374">
        <f>AB51+AB56</f>
      </c>
      <c r="AC57" s="374">
        <f>AC51+AC56</f>
      </c>
      <c r="AD57" s="374">
        <f>AD51+AD56</f>
      </c>
      <c r="AE57" s="372">
        <f>AE51</f>
      </c>
      <c r="AF57" s="369"/>
      <c r="AG57" s="369"/>
      <c r="AH57" s="374">
        <f>AH51+AH56</f>
      </c>
    </row>
    <row r="58">
      <c r="A58" s="380" t="s">
        <v>197</v>
      </c>
      <c r="B58" s="380" t="s">
        <v>198</v>
      </c>
      <c r="C58" s="380"/>
      <c r="D58" s="381" t="s">
        <v>199</v>
      </c>
      <c r="E58" s="381"/>
      <c r="F58" s="381"/>
      <c r="G58" s="381"/>
      <c r="H58" s="381"/>
      <c r="I58" s="381"/>
      <c r="J58" s="381"/>
      <c r="K58" s="381"/>
      <c r="L58" s="381"/>
      <c r="M58" s="381"/>
      <c r="N58" s="382" t="s">
        <v>200</v>
      </c>
      <c r="O58" s="382"/>
      <c r="P58" s="382"/>
      <c r="Q58" s="382"/>
      <c r="R58" s="382"/>
      <c r="S58" s="382"/>
      <c r="T58" s="382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  <c r="AE58" s="382"/>
      <c r="AF58" s="382"/>
      <c r="AG58" s="382"/>
      <c r="AH58" s="340"/>
    </row>
    <row r="59">
      <c r="A59" s="380"/>
      <c r="B59" s="380" t="s">
        <v>201</v>
      </c>
      <c r="C59" s="380" t="s">
        <v>202</v>
      </c>
      <c r="D59" s="381" t="s">
        <v>203</v>
      </c>
      <c r="E59" s="383"/>
      <c r="F59" s="383" t="s">
        <v>204</v>
      </c>
      <c r="G59" s="383" t="s">
        <v>205</v>
      </c>
      <c r="H59" s="381" t="s">
        <v>206</v>
      </c>
      <c r="I59" s="384" t="s">
        <v>207</v>
      </c>
      <c r="J59" s="384" t="s">
        <v>208</v>
      </c>
      <c r="K59" s="384" t="s">
        <v>209</v>
      </c>
      <c r="L59" s="384"/>
      <c r="M59" s="384" t="s">
        <v>210</v>
      </c>
      <c r="N59" s="385" t="s">
        <v>211</v>
      </c>
      <c r="O59" s="386" t="s">
        <v>212</v>
      </c>
      <c r="P59" s="386" t="s">
        <v>213</v>
      </c>
      <c r="Q59" s="386" t="s">
        <v>214</v>
      </c>
      <c r="R59" s="386" t="s">
        <v>215</v>
      </c>
      <c r="S59" s="387" t="s">
        <v>216</v>
      </c>
      <c r="T59" s="386" t="s">
        <v>217</v>
      </c>
      <c r="U59" s="387" t="s">
        <v>218</v>
      </c>
      <c r="V59" s="382" t="s">
        <v>219</v>
      </c>
      <c r="W59" s="388" t="s">
        <v>220</v>
      </c>
      <c r="X59" s="388" t="s">
        <v>221</v>
      </c>
      <c r="Y59" s="388" t="s">
        <v>222</v>
      </c>
      <c r="Z59" s="388" t="s">
        <v>223</v>
      </c>
      <c r="AA59" s="388" t="s">
        <v>224</v>
      </c>
      <c r="AB59" s="388" t="s">
        <v>225</v>
      </c>
      <c r="AC59" s="388" t="s">
        <v>226</v>
      </c>
      <c r="AD59" s="388" t="s">
        <v>227</v>
      </c>
      <c r="AE59" s="382" t="s">
        <v>228</v>
      </c>
      <c r="AF59" s="389" t="s">
        <v>229</v>
      </c>
      <c r="AG59" s="389" t="s">
        <v>230</v>
      </c>
      <c r="AH59" s="340" t="s">
        <v>231</v>
      </c>
    </row>
    <row r="60">
      <c r="A60" s="347">
        <v>46149</v>
      </c>
      <c r="B60" s="348" t="s">
        <v>242</v>
      </c>
      <c r="C60" s="348" t="s">
        <v>243</v>
      </c>
      <c r="D60" s="377">
        <v>1875.66</v>
      </c>
      <c r="E60" s="350"/>
      <c r="F60" s="350">
        <v>1</v>
      </c>
      <c r="G60" s="350">
        <v>1</v>
      </c>
      <c r="H60" s="378">
        <v>451</v>
      </c>
      <c r="I60" s="351">
        <f t="shared" ref="I60:I70" si="191">H60/D60</f>
      </c>
      <c r="J60" s="351">
        <f t="shared" ref="J60:J70" si="251">D60/F60</f>
      </c>
      <c r="K60" s="351">
        <f t="shared" ref="K60:K70" si="311">D60/G60</f>
      </c>
      <c r="L60" s="351"/>
      <c r="M60" s="351">
        <f t="shared" ref="M60:M70" si="5">H60/F60</f>
      </c>
      <c r="N60" s="351">
        <f t="shared" ref="N60:N70" si="71">D60/X60</f>
      </c>
      <c r="O60" s="352">
        <f t="shared" ref="O60:O70" si="101">S60/W60*1</f>
      </c>
      <c r="P60" s="352">
        <f t="shared" ref="P60:P70" si="131">X60/W60</f>
      </c>
      <c r="Q60" s="352">
        <f t="shared" ref="Q60:Q70" si="161">Z60/W60</f>
      </c>
      <c r="R60" s="352">
        <f t="shared" ref="R60:R70" si="221">AA60/Z60</f>
      </c>
      <c r="S60" s="353">
        <f t="shared" ref="S60:S70" si="281">Y60/T60</f>
      </c>
      <c r="T60" s="354">
        <v>0.0198</v>
      </c>
      <c r="U60" s="355">
        <v>41</v>
      </c>
      <c r="V60" s="351">
        <f t="shared" ref="V60:V70" si="341">(D60/W60)*1000</f>
      </c>
      <c r="W60" s="355">
        <v>11479</v>
      </c>
      <c r="X60" s="355">
        <v>563</v>
      </c>
      <c r="Y60" s="353">
        <v>63</v>
      </c>
      <c r="Z60" s="353">
        <v>631</v>
      </c>
      <c r="AA60" s="353">
        <v>63</v>
      </c>
      <c r="AB60" s="353">
        <v>4</v>
      </c>
      <c r="AC60" s="353">
        <v>5</v>
      </c>
      <c r="AD60" s="355">
        <v>11</v>
      </c>
      <c r="AE60" s="351">
        <f t="shared" ref="AE60:AE69" si="35">AH60*1000/D60</f>
      </c>
      <c r="AF60" s="356" t="s">
        <v>234</v>
      </c>
      <c r="AG60" s="357" t="s">
        <v>235</v>
      </c>
      <c r="AH60" s="355">
        <v>30</v>
      </c>
    </row>
    <row r="61">
      <c r="A61" s="358"/>
      <c r="B61" s="348" t="s">
        <v>242</v>
      </c>
      <c r="C61" s="348" t="s">
        <v>244</v>
      </c>
      <c r="D61" s="349">
        <v>1575.95</v>
      </c>
      <c r="E61" s="379"/>
      <c r="F61" s="379">
        <v>5</v>
      </c>
      <c r="G61" s="379">
        <v>3</v>
      </c>
      <c r="H61" s="349">
        <v>2990.9</v>
      </c>
      <c r="I61" s="351">
        <f t="shared" si="191"/>
      </c>
      <c r="J61" s="351">
        <f t="shared" si="251"/>
      </c>
      <c r="K61" s="351">
        <f t="shared" si="311"/>
      </c>
      <c r="L61" s="351"/>
      <c r="M61" s="351">
        <f t="shared" si="5"/>
      </c>
      <c r="N61" s="351">
        <f t="shared" si="71"/>
      </c>
      <c r="O61" s="352">
        <f t="shared" si="101"/>
      </c>
      <c r="P61" s="352">
        <f t="shared" si="131"/>
      </c>
      <c r="Q61" s="352">
        <f t="shared" si="161"/>
      </c>
      <c r="R61" s="352">
        <f t="shared" si="221"/>
      </c>
      <c r="S61" s="353">
        <f t="shared" si="281"/>
      </c>
      <c r="T61" s="354">
        <v>0.0212</v>
      </c>
      <c r="U61" s="355">
        <v>41</v>
      </c>
      <c r="V61" s="351">
        <f t="shared" si="341"/>
      </c>
      <c r="W61" s="355">
        <v>9989</v>
      </c>
      <c r="X61" s="355">
        <v>476</v>
      </c>
      <c r="Y61" s="353">
        <v>48</v>
      </c>
      <c r="Z61" s="353">
        <v>523</v>
      </c>
      <c r="AA61" s="355">
        <v>70</v>
      </c>
      <c r="AB61" s="353">
        <v>8</v>
      </c>
      <c r="AC61" s="355">
        <v>0</v>
      </c>
      <c r="AD61" s="355">
        <v>12</v>
      </c>
      <c r="AE61" s="351">
        <f t="shared" si="35"/>
      </c>
      <c r="AF61" s="356" t="s">
        <v>234</v>
      </c>
      <c r="AG61" s="357" t="s">
        <v>235</v>
      </c>
      <c r="AH61" s="355">
        <v>21</v>
      </c>
    </row>
    <row r="62">
      <c r="A62" s="358"/>
      <c r="B62" s="348" t="s">
        <v>242</v>
      </c>
      <c r="C62" s="348" t="s">
        <v>245</v>
      </c>
      <c r="D62" s="349">
        <v>1585.6</v>
      </c>
      <c r="E62" s="350"/>
      <c r="F62" s="350">
        <v>1</v>
      </c>
      <c r="G62" s="350">
        <v>1</v>
      </c>
      <c r="H62" s="349">
        <v>1483.9</v>
      </c>
      <c r="I62" s="351">
        <f t="shared" si="191"/>
      </c>
      <c r="J62" s="351">
        <f t="shared" si="251"/>
      </c>
      <c r="K62" s="351">
        <f t="shared" si="311"/>
      </c>
      <c r="L62" s="351"/>
      <c r="M62" s="351">
        <f t="shared" si="5"/>
      </c>
      <c r="N62" s="351">
        <f t="shared" si="71"/>
      </c>
      <c r="O62" s="352">
        <f t="shared" si="101"/>
      </c>
      <c r="P62" s="352">
        <f t="shared" si="131"/>
      </c>
      <c r="Q62" s="352">
        <f t="shared" si="161"/>
      </c>
      <c r="R62" s="352">
        <f t="shared" si="221"/>
      </c>
      <c r="S62" s="353">
        <f t="shared" si="281"/>
      </c>
      <c r="T62" s="354">
        <v>0.0235</v>
      </c>
      <c r="U62" s="355">
        <v>41</v>
      </c>
      <c r="V62" s="351">
        <f t="shared" si="341"/>
      </c>
      <c r="W62" s="355">
        <v>9903</v>
      </c>
      <c r="X62" s="355">
        <v>608</v>
      </c>
      <c r="Y62" s="355">
        <v>67</v>
      </c>
      <c r="Z62" s="355">
        <v>649</v>
      </c>
      <c r="AA62" s="355">
        <v>43</v>
      </c>
      <c r="AB62" s="355">
        <v>5</v>
      </c>
      <c r="AC62" s="355">
        <v>1</v>
      </c>
      <c r="AD62" s="355">
        <v>11</v>
      </c>
      <c r="AE62" s="351">
        <f t="shared" si="35"/>
      </c>
      <c r="AF62" s="356" t="s">
        <v>234</v>
      </c>
      <c r="AG62" s="357" t="s">
        <v>235</v>
      </c>
      <c r="AH62" s="355">
        <v>19</v>
      </c>
    </row>
    <row r="63">
      <c r="A63" s="358"/>
      <c r="B63" s="348" t="s">
        <v>242</v>
      </c>
      <c r="C63" s="348" t="s">
        <v>233</v>
      </c>
      <c r="D63" s="349">
        <v>986.55</v>
      </c>
      <c r="E63" s="350"/>
      <c r="F63" s="350">
        <v>1</v>
      </c>
      <c r="G63" s="350">
        <v>1</v>
      </c>
      <c r="H63" s="349">
        <v>451</v>
      </c>
      <c r="I63" s="351">
        <f t="shared" si="191"/>
      </c>
      <c r="J63" s="351">
        <f t="shared" si="251"/>
      </c>
      <c r="K63" s="351">
        <f t="shared" si="311"/>
      </c>
      <c r="L63" s="351"/>
      <c r="M63" s="351">
        <f t="shared" si="5"/>
      </c>
      <c r="N63" s="351">
        <f t="shared" si="71"/>
      </c>
      <c r="O63" s="352">
        <f t="shared" si="101"/>
      </c>
      <c r="P63" s="352">
        <f t="shared" si="131"/>
      </c>
      <c r="Q63" s="352">
        <f t="shared" si="161"/>
      </c>
      <c r="R63" s="352">
        <f t="shared" si="221"/>
      </c>
      <c r="S63" s="353">
        <f t="shared" si="281"/>
      </c>
      <c r="T63" s="354">
        <v>0.0203</v>
      </c>
      <c r="U63" s="355">
        <v>42</v>
      </c>
      <c r="V63" s="351">
        <f t="shared" si="341"/>
      </c>
      <c r="W63" s="353">
        <v>6760</v>
      </c>
      <c r="X63" s="353">
        <v>494</v>
      </c>
      <c r="Y63" s="353">
        <v>43</v>
      </c>
      <c r="Z63" s="353">
        <v>536</v>
      </c>
      <c r="AA63" s="353">
        <v>35</v>
      </c>
      <c r="AB63" s="353">
        <v>6</v>
      </c>
      <c r="AC63" s="353">
        <v>0</v>
      </c>
      <c r="AD63" s="353">
        <v>2</v>
      </c>
      <c r="AE63" s="351">
        <f t="shared" si="35"/>
      </c>
      <c r="AF63" s="356" t="s">
        <v>234</v>
      </c>
      <c r="AG63" s="357" t="s">
        <v>235</v>
      </c>
      <c r="AH63" s="355">
        <v>9</v>
      </c>
    </row>
    <row r="64">
      <c r="A64" s="358"/>
      <c r="B64" s="360" t="s">
        <v>240</v>
      </c>
      <c r="C64" s="360"/>
      <c r="D64" s="361">
        <f>SUM(D60:D63)</f>
      </c>
      <c r="E64" s="362"/>
      <c r="F64" s="362">
        <f>SUM(F60:F63)</f>
      </c>
      <c r="G64" s="362">
        <f>SUM(G60:G63)</f>
      </c>
      <c r="H64" s="361">
        <f>SUM(H60:H63)</f>
      </c>
      <c r="I64" s="363">
        <f t="shared" si="191"/>
      </c>
      <c r="J64" s="363">
        <f t="shared" si="251"/>
      </c>
      <c r="K64" s="363">
        <f t="shared" si="311"/>
      </c>
      <c r="L64" s="363"/>
      <c r="M64" s="363">
        <f t="shared" si="5"/>
      </c>
      <c r="N64" s="363">
        <f t="shared" si="71"/>
      </c>
      <c r="O64" s="364">
        <f t="shared" si="101"/>
      </c>
      <c r="P64" s="364">
        <f t="shared" si="131"/>
      </c>
      <c r="Q64" s="364">
        <f t="shared" si="161"/>
      </c>
      <c r="R64" s="364">
        <f t="shared" si="221"/>
      </c>
      <c r="S64" s="365">
        <f t="shared" si="281"/>
      </c>
      <c r="T64" s="364">
        <f>AVERAGE(T60:T63)</f>
      </c>
      <c r="U64" s="361">
        <f>AVERAGE(U60:U63)</f>
      </c>
      <c r="V64" s="363">
        <f t="shared" si="341"/>
      </c>
      <c r="W64" s="365">
        <f>SUM(W60:W63)</f>
      </c>
      <c r="X64" s="365">
        <f>SUM(X60:X63)</f>
      </c>
      <c r="Y64" s="365">
        <f>SUM(Y60:Y63)</f>
      </c>
      <c r="Z64" s="365">
        <f>SUM(Z60:Z63)</f>
      </c>
      <c r="AA64" s="365">
        <f>SUM(AA60:AA63)</f>
      </c>
      <c r="AB64" s="365">
        <f>SUM(AB60:AB63)</f>
      </c>
      <c r="AC64" s="365">
        <f>SUM(AC60:AC63)</f>
      </c>
      <c r="AD64" s="365">
        <f>SUM(AD60:AD63)</f>
      </c>
      <c r="AE64" s="366">
        <f t="shared" si="35"/>
      </c>
      <c r="AF64" s="367"/>
      <c r="AG64" s="367"/>
      <c r="AH64" s="368">
        <f>SUM(AH60:AH63)</f>
      </c>
    </row>
    <row r="65">
      <c r="A65" s="358"/>
      <c r="B65" s="375" t="s">
        <v>246</v>
      </c>
      <c r="C65" s="348" t="s">
        <v>236</v>
      </c>
      <c r="D65" s="349">
        <v>2921.99</v>
      </c>
      <c r="E65" s="350"/>
      <c r="F65" s="350">
        <v>3</v>
      </c>
      <c r="G65" s="350">
        <v>3</v>
      </c>
      <c r="H65" s="349">
        <v>1758.9</v>
      </c>
      <c r="I65" s="351">
        <f t="shared" si="191"/>
      </c>
      <c r="J65" s="351">
        <f t="shared" si="251"/>
      </c>
      <c r="K65" s="351">
        <f t="shared" si="311"/>
      </c>
      <c r="L65" s="351"/>
      <c r="M65" s="351">
        <f t="shared" si="5"/>
      </c>
      <c r="N65" s="351">
        <f t="shared" si="71"/>
      </c>
      <c r="O65" s="352">
        <f t="shared" si="101"/>
      </c>
      <c r="P65" s="352">
        <f t="shared" si="131"/>
      </c>
      <c r="Q65" s="352">
        <f t="shared" si="161"/>
      </c>
      <c r="R65" s="352">
        <f t="shared" si="221"/>
      </c>
      <c r="S65" s="353">
        <f t="shared" si="281"/>
      </c>
      <c r="T65" s="354">
        <v>0.0352</v>
      </c>
      <c r="U65" s="355">
        <v>43</v>
      </c>
      <c r="V65" s="351">
        <f t="shared" si="341"/>
      </c>
      <c r="W65" s="355">
        <v>19589</v>
      </c>
      <c r="X65" s="355">
        <v>719</v>
      </c>
      <c r="Y65" s="353">
        <v>102</v>
      </c>
      <c r="Z65" s="353">
        <v>793</v>
      </c>
      <c r="AA65" s="353">
        <v>78</v>
      </c>
      <c r="AB65" s="353">
        <v>23</v>
      </c>
      <c r="AC65" s="355">
        <v>1</v>
      </c>
      <c r="AD65" s="355">
        <v>31</v>
      </c>
      <c r="AE65" s="351">
        <f t="shared" si="35"/>
      </c>
      <c r="AF65" s="356" t="s">
        <v>234</v>
      </c>
      <c r="AG65" s="357" t="s">
        <v>235</v>
      </c>
      <c r="AH65" s="355">
        <v>32</v>
      </c>
    </row>
    <row r="66">
      <c r="A66" s="358"/>
      <c r="B66" s="375" t="s">
        <v>246</v>
      </c>
      <c r="C66" s="348" t="s">
        <v>237</v>
      </c>
      <c r="D66" s="349">
        <v>2947.46</v>
      </c>
      <c r="E66" s="350"/>
      <c r="F66" s="350">
        <v>4</v>
      </c>
      <c r="G66" s="350">
        <v>3</v>
      </c>
      <c r="H66" s="349">
        <v>2615.8</v>
      </c>
      <c r="I66" s="351">
        <f t="shared" si="191"/>
      </c>
      <c r="J66" s="351">
        <f t="shared" si="251"/>
      </c>
      <c r="K66" s="351">
        <f t="shared" si="311"/>
      </c>
      <c r="L66" s="351"/>
      <c r="M66" s="351">
        <f t="shared" si="5"/>
      </c>
      <c r="N66" s="351">
        <f t="shared" si="71"/>
      </c>
      <c r="O66" s="352">
        <f t="shared" si="101"/>
      </c>
      <c r="P66" s="352">
        <f t="shared" si="131"/>
      </c>
      <c r="Q66" s="352">
        <f t="shared" si="161"/>
      </c>
      <c r="R66" s="352">
        <f t="shared" si="221"/>
      </c>
      <c r="S66" s="353">
        <f t="shared" si="281"/>
      </c>
      <c r="T66" s="354">
        <v>0.0204</v>
      </c>
      <c r="U66" s="355">
        <v>43</v>
      </c>
      <c r="V66" s="351">
        <f t="shared" si="341"/>
      </c>
      <c r="W66" s="353">
        <v>16695</v>
      </c>
      <c r="X66" s="353">
        <v>716</v>
      </c>
      <c r="Y66" s="353">
        <v>78</v>
      </c>
      <c r="Z66" s="353">
        <v>802</v>
      </c>
      <c r="AA66" s="353">
        <v>109</v>
      </c>
      <c r="AB66" s="353">
        <v>14</v>
      </c>
      <c r="AC66" s="353">
        <v>1</v>
      </c>
      <c r="AD66" s="355">
        <v>18</v>
      </c>
      <c r="AE66" s="351">
        <f t="shared" si="35"/>
      </c>
      <c r="AF66" s="356" t="s">
        <v>234</v>
      </c>
      <c r="AG66" s="357" t="s">
        <v>235</v>
      </c>
      <c r="AH66" s="355">
        <v>15</v>
      </c>
    </row>
    <row r="67">
      <c r="A67" s="358"/>
      <c r="B67" s="375" t="s">
        <v>246</v>
      </c>
      <c r="C67" s="348" t="s">
        <v>238</v>
      </c>
      <c r="D67" s="349">
        <v>3109.97</v>
      </c>
      <c r="E67" s="350"/>
      <c r="F67" s="350">
        <v>4</v>
      </c>
      <c r="G67" s="350">
        <v>3</v>
      </c>
      <c r="H67" s="349">
        <v>2886.4</v>
      </c>
      <c r="I67" s="351">
        <f t="shared" si="191"/>
      </c>
      <c r="J67" s="351">
        <f t="shared" si="251"/>
      </c>
      <c r="K67" s="351">
        <f t="shared" si="311"/>
      </c>
      <c r="L67" s="351"/>
      <c r="M67" s="351">
        <f t="shared" si="5"/>
      </c>
      <c r="N67" s="351">
        <f t="shared" si="71"/>
      </c>
      <c r="O67" s="352">
        <f t="shared" si="101"/>
      </c>
      <c r="P67" s="352">
        <f t="shared" si="131"/>
      </c>
      <c r="Q67" s="352">
        <f t="shared" si="161"/>
      </c>
      <c r="R67" s="352">
        <f t="shared" si="221"/>
      </c>
      <c r="S67" s="353">
        <f t="shared" si="281"/>
      </c>
      <c r="T67" s="354">
        <v>0.0276</v>
      </c>
      <c r="U67" s="355">
        <v>45</v>
      </c>
      <c r="V67" s="351">
        <f t="shared" si="341"/>
      </c>
      <c r="W67" s="355">
        <v>17852</v>
      </c>
      <c r="X67" s="355">
        <v>814</v>
      </c>
      <c r="Y67" s="353">
        <v>101</v>
      </c>
      <c r="Z67" s="353">
        <v>923</v>
      </c>
      <c r="AA67" s="353">
        <v>97</v>
      </c>
      <c r="AB67" s="353">
        <v>7</v>
      </c>
      <c r="AC67" s="353">
        <v>3</v>
      </c>
      <c r="AD67" s="355">
        <v>27</v>
      </c>
      <c r="AE67" s="351">
        <f t="shared" si="35"/>
      </c>
      <c r="AF67" s="356" t="s">
        <v>234</v>
      </c>
      <c r="AG67" s="357" t="s">
        <v>235</v>
      </c>
      <c r="AH67" s="355">
        <v>52</v>
      </c>
    </row>
    <row r="68">
      <c r="A68" s="358"/>
      <c r="B68" s="375" t="s">
        <v>246</v>
      </c>
      <c r="C68" s="348" t="s">
        <v>239</v>
      </c>
      <c r="D68" s="349">
        <v>770.4</v>
      </c>
      <c r="E68" s="350"/>
      <c r="F68" s="350">
        <v>4</v>
      </c>
      <c r="G68" s="350">
        <v>4</v>
      </c>
      <c r="H68" s="349">
        <v>3164.7</v>
      </c>
      <c r="I68" s="351">
        <f t="shared" si="191"/>
      </c>
      <c r="J68" s="351">
        <f t="shared" si="251"/>
      </c>
      <c r="K68" s="351">
        <f t="shared" si="311"/>
      </c>
      <c r="L68" s="351"/>
      <c r="M68" s="351">
        <f t="shared" si="5"/>
      </c>
      <c r="N68" s="351">
        <f t="shared" si="71"/>
      </c>
      <c r="O68" s="352">
        <f t="shared" si="101"/>
      </c>
      <c r="P68" s="352">
        <f t="shared" si="131"/>
      </c>
      <c r="Q68" s="352">
        <f t="shared" si="161"/>
      </c>
      <c r="R68" s="352">
        <f t="shared" si="221"/>
      </c>
      <c r="S68" s="353">
        <f t="shared" si="281"/>
      </c>
      <c r="T68" s="354">
        <v>0.0224</v>
      </c>
      <c r="U68" s="355">
        <v>46</v>
      </c>
      <c r="V68" s="351">
        <f t="shared" si="341"/>
      </c>
      <c r="W68" s="355">
        <v>4716</v>
      </c>
      <c r="X68" s="355">
        <v>326</v>
      </c>
      <c r="Y68" s="353">
        <v>24</v>
      </c>
      <c r="Z68" s="353">
        <v>377</v>
      </c>
      <c r="AA68" s="353">
        <v>27</v>
      </c>
      <c r="AB68" s="353">
        <v>3</v>
      </c>
      <c r="AC68" s="355">
        <v>2</v>
      </c>
      <c r="AD68" s="355">
        <v>13</v>
      </c>
      <c r="AE68" s="351">
        <f t="shared" si="35"/>
      </c>
      <c r="AF68" s="356" t="s">
        <v>234</v>
      </c>
      <c r="AG68" s="357" t="s">
        <v>235</v>
      </c>
      <c r="AH68" s="355">
        <v>6</v>
      </c>
    </row>
    <row r="69">
      <c r="A69" s="358"/>
      <c r="B69" s="360" t="s">
        <v>240</v>
      </c>
      <c r="C69" s="360"/>
      <c r="D69" s="361">
        <f>SUM(D65:D68)</f>
      </c>
      <c r="E69" s="362"/>
      <c r="F69" s="362">
        <f>SUM(F65:F68)</f>
      </c>
      <c r="G69" s="362">
        <f>SUM(G65:G68)</f>
      </c>
      <c r="H69" s="361">
        <f>SUM(H65:H68)</f>
      </c>
      <c r="I69" s="363">
        <f t="shared" si="191"/>
      </c>
      <c r="J69" s="363">
        <f t="shared" si="251"/>
      </c>
      <c r="K69" s="363">
        <f t="shared" si="311"/>
      </c>
      <c r="L69" s="363"/>
      <c r="M69" s="363">
        <f t="shared" si="5"/>
      </c>
      <c r="N69" s="363">
        <f t="shared" si="71"/>
      </c>
      <c r="O69" s="364">
        <f t="shared" si="101"/>
      </c>
      <c r="P69" s="364">
        <f t="shared" si="131"/>
      </c>
      <c r="Q69" s="364">
        <f t="shared" si="161"/>
      </c>
      <c r="R69" s="364">
        <f t="shared" si="221"/>
      </c>
      <c r="S69" s="365">
        <f t="shared" si="281"/>
      </c>
      <c r="T69" s="364">
        <f>AVERAGE(T65:T68)</f>
      </c>
      <c r="U69" s="361">
        <f>AVERAGE(U65:U68)</f>
      </c>
      <c r="V69" s="363">
        <f t="shared" si="341"/>
      </c>
      <c r="W69" s="365">
        <f>SUM(W65:W68)</f>
      </c>
      <c r="X69" s="365">
        <f>SUM(X65:X68)</f>
      </c>
      <c r="Y69" s="365">
        <f>SUM(Y65:Y68)</f>
      </c>
      <c r="Z69" s="365">
        <f>SUM(Z65:Z68)</f>
      </c>
      <c r="AA69" s="365">
        <f>SUM(AA65:AA68)</f>
      </c>
      <c r="AB69" s="365">
        <f>SUM(AB65:AB68)</f>
      </c>
      <c r="AC69" s="365">
        <f>SUM(AC65:AC68)</f>
      </c>
      <c r="AD69" s="365">
        <f>SUM(AD65:AD68)</f>
      </c>
      <c r="AE69" s="366">
        <f t="shared" si="35"/>
      </c>
      <c r="AF69" s="367"/>
      <c r="AG69" s="367"/>
      <c r="AH69" s="365">
        <f>SUM(AH65:AH68)</f>
      </c>
    </row>
    <row r="70">
      <c r="A70" s="358"/>
      <c r="B70" s="369" t="s">
        <v>241</v>
      </c>
      <c r="C70" s="369"/>
      <c r="D70" s="370">
        <f>D64+D69</f>
      </c>
      <c r="E70" s="371"/>
      <c r="F70" s="371">
        <f>F64+F69</f>
      </c>
      <c r="G70" s="371">
        <f>G64+G69</f>
      </c>
      <c r="H70" s="370">
        <f>H64+H69</f>
      </c>
      <c r="I70" s="372">
        <f t="shared" si="191"/>
      </c>
      <c r="J70" s="372">
        <f t="shared" si="251"/>
      </c>
      <c r="K70" s="372">
        <f t="shared" si="311"/>
      </c>
      <c r="L70" s="372"/>
      <c r="M70" s="372">
        <f t="shared" si="5"/>
      </c>
      <c r="N70" s="372">
        <f t="shared" si="71"/>
      </c>
      <c r="O70" s="373">
        <f t="shared" si="101"/>
      </c>
      <c r="P70" s="373">
        <f t="shared" si="131"/>
      </c>
      <c r="Q70" s="373">
        <f t="shared" si="161"/>
      </c>
      <c r="R70" s="373">
        <f t="shared" si="221"/>
      </c>
      <c r="S70" s="374">
        <f t="shared" si="281"/>
      </c>
      <c r="T70" s="373">
        <f>(T64+T69)/2</f>
      </c>
      <c r="U70" s="370">
        <f>(U69+U64)/2</f>
      </c>
      <c r="V70" s="370">
        <f t="shared" si="341"/>
      </c>
      <c r="W70" s="374">
        <f>W64+W69</f>
      </c>
      <c r="X70" s="374">
        <f>X64+X69</f>
      </c>
      <c r="Y70" s="374">
        <f>Y64+Y69</f>
      </c>
      <c r="Z70" s="374">
        <f>Z64+Z69</f>
      </c>
      <c r="AA70" s="374">
        <f>AA64+AA69</f>
      </c>
      <c r="AB70" s="374">
        <f>AB64+AB69</f>
      </c>
      <c r="AC70" s="374">
        <f>AC64+AC69</f>
      </c>
      <c r="AD70" s="374">
        <f>AD64+AD69</f>
      </c>
      <c r="AE70" s="372">
        <f>AE64</f>
      </c>
      <c r="AF70" s="369"/>
      <c r="AG70" s="369"/>
      <c r="AH70" s="374">
        <f>AH64+AH69</f>
      </c>
    </row>
    <row r="71">
      <c r="A71" s="380" t="s">
        <v>197</v>
      </c>
      <c r="B71" s="380" t="s">
        <v>198</v>
      </c>
      <c r="C71" s="380"/>
      <c r="D71" s="381" t="s">
        <v>199</v>
      </c>
      <c r="E71" s="381"/>
      <c r="F71" s="381"/>
      <c r="G71" s="381"/>
      <c r="H71" s="381"/>
      <c r="I71" s="381"/>
      <c r="J71" s="381"/>
      <c r="K71" s="381"/>
      <c r="L71" s="381"/>
      <c r="M71" s="381"/>
      <c r="N71" s="382" t="s">
        <v>200</v>
      </c>
      <c r="O71" s="382"/>
      <c r="P71" s="382"/>
      <c r="Q71" s="382"/>
      <c r="R71" s="382"/>
      <c r="S71" s="382"/>
      <c r="T71" s="382"/>
      <c r="U71" s="382"/>
      <c r="V71" s="382"/>
      <c r="W71" s="382"/>
      <c r="X71" s="382"/>
      <c r="Y71" s="382"/>
      <c r="Z71" s="382"/>
      <c r="AA71" s="382"/>
      <c r="AB71" s="382"/>
      <c r="AC71" s="382"/>
      <c r="AD71" s="382"/>
      <c r="AE71" s="382"/>
      <c r="AF71" s="382"/>
      <c r="AG71" s="382"/>
      <c r="AH71" s="340"/>
    </row>
    <row r="72">
      <c r="A72" s="380"/>
      <c r="B72" s="380" t="s">
        <v>201</v>
      </c>
      <c r="C72" s="380" t="s">
        <v>202</v>
      </c>
      <c r="D72" s="390" t="s">
        <v>203</v>
      </c>
      <c r="E72" s="391"/>
      <c r="F72" s="391" t="s">
        <v>204</v>
      </c>
      <c r="G72" s="391" t="s">
        <v>205</v>
      </c>
      <c r="H72" s="390" t="s">
        <v>206</v>
      </c>
      <c r="I72" s="384" t="s">
        <v>207</v>
      </c>
      <c r="J72" s="384" t="s">
        <v>208</v>
      </c>
      <c r="K72" s="384" t="s">
        <v>209</v>
      </c>
      <c r="L72" s="384"/>
      <c r="M72" s="384" t="s">
        <v>210</v>
      </c>
      <c r="N72" s="385" t="s">
        <v>211</v>
      </c>
      <c r="O72" s="386" t="s">
        <v>212</v>
      </c>
      <c r="P72" s="386" t="s">
        <v>213</v>
      </c>
      <c r="Q72" s="386" t="s">
        <v>214</v>
      </c>
      <c r="R72" s="386" t="s">
        <v>215</v>
      </c>
      <c r="S72" s="387" t="s">
        <v>216</v>
      </c>
      <c r="T72" s="392" t="s">
        <v>217</v>
      </c>
      <c r="U72" s="393" t="s">
        <v>218</v>
      </c>
      <c r="V72" s="382" t="s">
        <v>219</v>
      </c>
      <c r="W72" s="394" t="s">
        <v>220</v>
      </c>
      <c r="X72" s="394" t="s">
        <v>221</v>
      </c>
      <c r="Y72" s="394" t="s">
        <v>222</v>
      </c>
      <c r="Z72" s="394" t="s">
        <v>223</v>
      </c>
      <c r="AA72" s="394" t="s">
        <v>224</v>
      </c>
      <c r="AB72" s="394" t="s">
        <v>225</v>
      </c>
      <c r="AC72" s="394" t="s">
        <v>226</v>
      </c>
      <c r="AD72" s="394" t="s">
        <v>227</v>
      </c>
      <c r="AE72" s="382" t="s">
        <v>228</v>
      </c>
      <c r="AF72" s="389" t="s">
        <v>229</v>
      </c>
      <c r="AG72" s="389" t="s">
        <v>230</v>
      </c>
      <c r="AH72" s="340" t="s">
        <v>231</v>
      </c>
    </row>
    <row r="73">
      <c r="A73" s="347">
        <v>46150</v>
      </c>
      <c r="B73" s="348" t="s">
        <v>248</v>
      </c>
      <c r="C73" s="348" t="s">
        <v>243</v>
      </c>
      <c r="D73" s="377">
        <v>2785.6</v>
      </c>
      <c r="E73" s="350"/>
      <c r="F73" s="350">
        <v>4</v>
      </c>
      <c r="G73" s="350">
        <v>4</v>
      </c>
      <c r="H73" s="378">
        <v>1804</v>
      </c>
      <c r="I73" s="351">
        <f t="shared" ref="I73:I83" si="192">H73/D73</f>
      </c>
      <c r="J73" s="351">
        <f t="shared" ref="J73:J83" si="252">D73/F73</f>
      </c>
      <c r="K73" s="351">
        <f t="shared" ref="K73:K83" si="312">D73/G73</f>
      </c>
      <c r="L73" s="351"/>
      <c r="M73" s="351">
        <f t="shared" ref="M73:M83" si="6">H73/F73</f>
      </c>
      <c r="N73" s="351">
        <f t="shared" ref="N73:N83" si="72">D73/X73</f>
      </c>
      <c r="O73" s="352">
        <f t="shared" ref="O73:O83" si="102">S73/W73*1</f>
      </c>
      <c r="P73" s="352">
        <f t="shared" ref="P73:P83" si="132">X73/W73</f>
      </c>
      <c r="Q73" s="352">
        <f t="shared" ref="Q73:Q83" si="162">Z73/W73</f>
      </c>
      <c r="R73" s="352">
        <f t="shared" ref="R73:R83" si="222">AA73/Z73</f>
      </c>
      <c r="S73" s="353">
        <f t="shared" ref="S73:S83" si="282">Y73/T73</f>
      </c>
      <c r="T73" s="354">
        <v>0.0553</v>
      </c>
      <c r="U73" s="355">
        <v>56</v>
      </c>
      <c r="V73" s="351">
        <f t="shared" ref="V73:V83" si="342">(D73/W73)*1000</f>
      </c>
      <c r="W73" s="355">
        <v>19203</v>
      </c>
      <c r="X73" s="355">
        <v>464</v>
      </c>
      <c r="Y73" s="353">
        <v>87</v>
      </c>
      <c r="Z73" s="353">
        <v>528</v>
      </c>
      <c r="AA73" s="353">
        <v>97</v>
      </c>
      <c r="AB73" s="353">
        <v>16</v>
      </c>
      <c r="AC73" s="353">
        <v>0</v>
      </c>
      <c r="AD73" s="355">
        <v>29</v>
      </c>
      <c r="AE73" s="351">
        <f t="shared" ref="AE73:AE82" si="36">AH73*1000/D73</f>
      </c>
      <c r="AF73" s="356" t="s">
        <v>234</v>
      </c>
      <c r="AG73" s="357" t="s">
        <v>235</v>
      </c>
      <c r="AH73" s="355">
        <v>29</v>
      </c>
    </row>
    <row r="74">
      <c r="A74" s="358"/>
      <c r="B74" s="348" t="s">
        <v>248</v>
      </c>
      <c r="C74" s="348" t="s">
        <v>244</v>
      </c>
      <c r="D74" s="377">
        <v>2534.62</v>
      </c>
      <c r="E74" s="350"/>
      <c r="F74" s="350">
        <v>3</v>
      </c>
      <c r="G74" s="350">
        <v>3</v>
      </c>
      <c r="H74" s="378">
        <v>1836.8000000000002</v>
      </c>
      <c r="I74" s="351">
        <f t="shared" si="192"/>
      </c>
      <c r="J74" s="351">
        <f t="shared" si="252"/>
      </c>
      <c r="K74" s="351">
        <f t="shared" si="312"/>
      </c>
      <c r="L74" s="351"/>
      <c r="M74" s="351">
        <f t="shared" si="6"/>
      </c>
      <c r="N74" s="351">
        <f t="shared" si="72"/>
      </c>
      <c r="O74" s="352">
        <f t="shared" si="102"/>
      </c>
      <c r="P74" s="352">
        <f t="shared" si="132"/>
      </c>
      <c r="Q74" s="352">
        <f t="shared" si="162"/>
      </c>
      <c r="R74" s="352">
        <f t="shared" si="222"/>
      </c>
      <c r="S74" s="353">
        <f t="shared" si="282"/>
      </c>
      <c r="T74" s="354">
        <v>0.049</v>
      </c>
      <c r="U74" s="355">
        <v>50</v>
      </c>
      <c r="V74" s="351">
        <f t="shared" si="342"/>
      </c>
      <c r="W74" s="355">
        <v>15547</v>
      </c>
      <c r="X74" s="355">
        <v>486</v>
      </c>
      <c r="Y74" s="353">
        <v>57</v>
      </c>
      <c r="Z74" s="353">
        <v>571</v>
      </c>
      <c r="AA74" s="355">
        <v>45</v>
      </c>
      <c r="AB74" s="353">
        <v>12</v>
      </c>
      <c r="AC74" s="355">
        <v>1</v>
      </c>
      <c r="AD74" s="355">
        <v>27</v>
      </c>
      <c r="AE74" s="351">
        <f t="shared" si="36"/>
      </c>
      <c r="AF74" s="356" t="s">
        <v>234</v>
      </c>
      <c r="AG74" s="357" t="s">
        <v>235</v>
      </c>
      <c r="AH74" s="355">
        <v>20</v>
      </c>
    </row>
    <row r="75">
      <c r="A75" s="358"/>
      <c r="B75" s="348" t="s">
        <v>248</v>
      </c>
      <c r="C75" s="348" t="s">
        <v>245</v>
      </c>
      <c r="D75" s="349">
        <v>2077.48</v>
      </c>
      <c r="E75" s="379"/>
      <c r="F75" s="379">
        <v>6</v>
      </c>
      <c r="G75" s="379">
        <v>6</v>
      </c>
      <c r="H75" s="349">
        <v>3738.9</v>
      </c>
      <c r="I75" s="351">
        <f t="shared" si="192"/>
      </c>
      <c r="J75" s="351">
        <f t="shared" si="252"/>
      </c>
      <c r="K75" s="351">
        <f t="shared" si="312"/>
      </c>
      <c r="L75" s="351"/>
      <c r="M75" s="351">
        <f t="shared" si="6"/>
      </c>
      <c r="N75" s="351">
        <f t="shared" si="72"/>
      </c>
      <c r="O75" s="352">
        <f t="shared" si="102"/>
      </c>
      <c r="P75" s="352">
        <f t="shared" si="132"/>
      </c>
      <c r="Q75" s="352">
        <f t="shared" si="162"/>
      </c>
      <c r="R75" s="352">
        <f t="shared" si="222"/>
      </c>
      <c r="S75" s="353">
        <f t="shared" si="282"/>
      </c>
      <c r="T75" s="354">
        <v>0.0393</v>
      </c>
      <c r="U75" s="355">
        <v>49</v>
      </c>
      <c r="V75" s="351">
        <f t="shared" si="342"/>
      </c>
      <c r="W75" s="355">
        <v>14450</v>
      </c>
      <c r="X75" s="355">
        <v>609</v>
      </c>
      <c r="Y75" s="355">
        <v>68</v>
      </c>
      <c r="Z75" s="355">
        <v>703</v>
      </c>
      <c r="AA75" s="355">
        <v>60</v>
      </c>
      <c r="AB75" s="355">
        <v>3</v>
      </c>
      <c r="AC75" s="355">
        <v>0</v>
      </c>
      <c r="AD75" s="355">
        <v>16</v>
      </c>
      <c r="AE75" s="351">
        <f t="shared" si="36"/>
      </c>
      <c r="AF75" s="356" t="s">
        <v>234</v>
      </c>
      <c r="AG75" s="357" t="s">
        <v>235</v>
      </c>
      <c r="AH75" s="355">
        <v>20</v>
      </c>
    </row>
    <row r="76">
      <c r="A76" s="358"/>
      <c r="B76" s="348" t="s">
        <v>248</v>
      </c>
      <c r="C76" s="348" t="s">
        <v>233</v>
      </c>
      <c r="D76" s="349">
        <v>4398.3</v>
      </c>
      <c r="E76" s="350"/>
      <c r="F76" s="350">
        <v>10</v>
      </c>
      <c r="G76" s="350">
        <v>8</v>
      </c>
      <c r="H76" s="349">
        <v>5575.9</v>
      </c>
      <c r="I76" s="351">
        <f t="shared" si="192"/>
      </c>
      <c r="J76" s="351">
        <f t="shared" si="252"/>
      </c>
      <c r="K76" s="351">
        <f t="shared" si="312"/>
      </c>
      <c r="L76" s="351"/>
      <c r="M76" s="351">
        <f t="shared" si="6"/>
      </c>
      <c r="N76" s="351">
        <f t="shared" si="72"/>
      </c>
      <c r="O76" s="352">
        <f t="shared" si="102"/>
      </c>
      <c r="P76" s="352">
        <f t="shared" si="132"/>
      </c>
      <c r="Q76" s="352">
        <f t="shared" si="162"/>
      </c>
      <c r="R76" s="352">
        <f t="shared" si="222"/>
      </c>
      <c r="S76" s="353">
        <f t="shared" si="282"/>
      </c>
      <c r="T76" s="354">
        <v>0.028</v>
      </c>
      <c r="U76" s="355">
        <v>44</v>
      </c>
      <c r="V76" s="351">
        <f t="shared" si="342"/>
      </c>
      <c r="W76" s="353">
        <v>34436</v>
      </c>
      <c r="X76" s="353">
        <v>1706</v>
      </c>
      <c r="Y76" s="353">
        <v>127</v>
      </c>
      <c r="Z76" s="353">
        <v>1967</v>
      </c>
      <c r="AA76" s="353">
        <v>132</v>
      </c>
      <c r="AB76" s="353">
        <v>23</v>
      </c>
      <c r="AC76" s="353">
        <v>7</v>
      </c>
      <c r="AD76" s="353">
        <v>24</v>
      </c>
      <c r="AE76" s="351">
        <f t="shared" si="36"/>
      </c>
      <c r="AF76" s="356" t="s">
        <v>234</v>
      </c>
      <c r="AG76" s="357" t="s">
        <v>235</v>
      </c>
      <c r="AH76" s="355">
        <v>49</v>
      </c>
    </row>
    <row r="77">
      <c r="A77" s="358"/>
      <c r="B77" s="360" t="s">
        <v>240</v>
      </c>
      <c r="C77" s="360"/>
      <c r="D77" s="361">
        <f>SUM(D73:D76)</f>
      </c>
      <c r="E77" s="362"/>
      <c r="F77" s="362">
        <f>SUM(F73:F76)</f>
      </c>
      <c r="G77" s="362">
        <f>SUM(G73:G76)</f>
      </c>
      <c r="H77" s="361">
        <f>SUM(H73:H76)</f>
      </c>
      <c r="I77" s="363">
        <f t="shared" si="192"/>
      </c>
      <c r="J77" s="363">
        <f t="shared" si="252"/>
      </c>
      <c r="K77" s="363">
        <f t="shared" si="312"/>
      </c>
      <c r="L77" s="363"/>
      <c r="M77" s="363">
        <f t="shared" si="6"/>
      </c>
      <c r="N77" s="363">
        <f t="shared" si="72"/>
      </c>
      <c r="O77" s="364">
        <f t="shared" si="102"/>
      </c>
      <c r="P77" s="364">
        <f t="shared" si="132"/>
      </c>
      <c r="Q77" s="364">
        <f t="shared" si="162"/>
      </c>
      <c r="R77" s="364">
        <f t="shared" si="222"/>
      </c>
      <c r="S77" s="365">
        <f t="shared" si="282"/>
      </c>
      <c r="T77" s="364">
        <f>AVERAGE(T73:T76)</f>
      </c>
      <c r="U77" s="361">
        <f>AVERAGE(U73:U76)</f>
      </c>
      <c r="V77" s="363">
        <f t="shared" si="342"/>
      </c>
      <c r="W77" s="365">
        <f>SUM(W73:W76)</f>
      </c>
      <c r="X77" s="365">
        <f>SUM(X73:X76)</f>
      </c>
      <c r="Y77" s="365">
        <f>SUM(Y73:Y76)</f>
      </c>
      <c r="Z77" s="365">
        <f>SUM(Z73:Z76)</f>
      </c>
      <c r="AA77" s="365">
        <f>SUM(AA73:AA76)</f>
      </c>
      <c r="AB77" s="365">
        <f>SUM(AB73:AB76)</f>
      </c>
      <c r="AC77" s="365">
        <f>SUM(AC73:AC76)</f>
      </c>
      <c r="AD77" s="365">
        <f>SUM(AD73:AD76)</f>
      </c>
      <c r="AE77" s="366">
        <f t="shared" si="36"/>
      </c>
      <c r="AF77" s="367"/>
      <c r="AG77" s="367"/>
      <c r="AH77" s="368">
        <f>SUM(AH73:AH76)</f>
      </c>
    </row>
    <row r="78">
      <c r="A78" s="358"/>
      <c r="B78" s="375" t="s">
        <v>249</v>
      </c>
      <c r="C78" s="348" t="s">
        <v>236</v>
      </c>
      <c r="D78" s="349">
        <v>3679.76</v>
      </c>
      <c r="E78" s="350"/>
      <c r="F78" s="350">
        <v>9</v>
      </c>
      <c r="G78" s="350">
        <v>4</v>
      </c>
      <c r="H78" s="349">
        <v>8161.8</v>
      </c>
      <c r="I78" s="351">
        <f t="shared" si="192"/>
      </c>
      <c r="J78" s="351">
        <f t="shared" si="252"/>
      </c>
      <c r="K78" s="351">
        <f t="shared" si="312"/>
      </c>
      <c r="L78" s="351"/>
      <c r="M78" s="351">
        <f t="shared" si="6"/>
      </c>
      <c r="N78" s="351">
        <f t="shared" si="72"/>
      </c>
      <c r="O78" s="352">
        <f t="shared" si="102"/>
      </c>
      <c r="P78" s="352">
        <f t="shared" si="132"/>
      </c>
      <c r="Q78" s="352">
        <f t="shared" si="162"/>
      </c>
      <c r="R78" s="352">
        <f t="shared" si="222"/>
      </c>
      <c r="S78" s="353">
        <f t="shared" si="282"/>
      </c>
      <c r="T78" s="354">
        <v>0.0212</v>
      </c>
      <c r="U78" s="355">
        <v>42</v>
      </c>
      <c r="V78" s="351">
        <f t="shared" si="342"/>
      </c>
      <c r="W78" s="355">
        <v>17523</v>
      </c>
      <c r="X78" s="355">
        <v>1355</v>
      </c>
      <c r="Y78" s="353">
        <v>70</v>
      </c>
      <c r="Z78" s="353">
        <v>1501</v>
      </c>
      <c r="AA78" s="353">
        <v>77</v>
      </c>
      <c r="AB78" s="353">
        <v>14</v>
      </c>
      <c r="AC78" s="355">
        <v>3</v>
      </c>
      <c r="AD78" s="355">
        <v>7</v>
      </c>
      <c r="AE78" s="351">
        <f t="shared" si="36"/>
      </c>
      <c r="AF78" s="356" t="s">
        <v>234</v>
      </c>
      <c r="AG78" s="357" t="s">
        <v>235</v>
      </c>
      <c r="AH78" s="355">
        <v>49</v>
      </c>
    </row>
    <row r="79">
      <c r="A79" s="358"/>
      <c r="B79" s="375" t="s">
        <v>249</v>
      </c>
      <c r="C79" s="348" t="s">
        <v>237</v>
      </c>
      <c r="D79" s="349">
        <v>3574.24</v>
      </c>
      <c r="E79" s="350"/>
      <c r="F79" s="350">
        <v>4</v>
      </c>
      <c r="G79" s="350">
        <v>4</v>
      </c>
      <c r="H79" s="349">
        <v>2209.9</v>
      </c>
      <c r="I79" s="351">
        <f t="shared" si="192"/>
      </c>
      <c r="J79" s="351">
        <f t="shared" si="252"/>
      </c>
      <c r="K79" s="351">
        <f t="shared" si="312"/>
      </c>
      <c r="L79" s="351"/>
      <c r="M79" s="351">
        <f t="shared" si="6"/>
      </c>
      <c r="N79" s="351">
        <f t="shared" si="72"/>
      </c>
      <c r="O79" s="352">
        <f t="shared" si="102"/>
      </c>
      <c r="P79" s="352">
        <f t="shared" si="132"/>
      </c>
      <c r="Q79" s="352">
        <f t="shared" si="162"/>
      </c>
      <c r="R79" s="352">
        <f t="shared" si="222"/>
      </c>
      <c r="S79" s="353">
        <f t="shared" si="282"/>
      </c>
      <c r="T79" s="354">
        <v>0.0219</v>
      </c>
      <c r="U79" s="355">
        <v>46</v>
      </c>
      <c r="V79" s="351">
        <f t="shared" si="342"/>
      </c>
      <c r="W79" s="353">
        <v>26082</v>
      </c>
      <c r="X79" s="353">
        <v>1013</v>
      </c>
      <c r="Y79" s="353">
        <v>94</v>
      </c>
      <c r="Z79" s="353">
        <v>1125</v>
      </c>
      <c r="AA79" s="353">
        <v>100</v>
      </c>
      <c r="AB79" s="353">
        <v>14</v>
      </c>
      <c r="AC79" s="353">
        <v>3</v>
      </c>
      <c r="AD79" s="355">
        <v>25</v>
      </c>
      <c r="AE79" s="351">
        <f t="shared" si="36"/>
      </c>
      <c r="AF79" s="356" t="s">
        <v>234</v>
      </c>
      <c r="AG79" s="357" t="s">
        <v>235</v>
      </c>
      <c r="AH79" s="355">
        <v>25</v>
      </c>
    </row>
    <row r="80">
      <c r="A80" s="358"/>
      <c r="B80" s="375" t="s">
        <v>249</v>
      </c>
      <c r="C80" s="348" t="s">
        <v>238</v>
      </c>
      <c r="D80" s="349">
        <v>3920.8</v>
      </c>
      <c r="E80" s="350"/>
      <c r="F80" s="350">
        <v>3</v>
      </c>
      <c r="G80" s="350">
        <v>2</v>
      </c>
      <c r="H80" s="349">
        <v>4264.699999999997</v>
      </c>
      <c r="I80" s="351">
        <f t="shared" si="192"/>
      </c>
      <c r="J80" s="351">
        <f t="shared" si="252"/>
      </c>
      <c r="K80" s="351">
        <f t="shared" si="312"/>
      </c>
      <c r="L80" s="351"/>
      <c r="M80" s="351">
        <f t="shared" si="6"/>
      </c>
      <c r="N80" s="351">
        <f t="shared" si="72"/>
      </c>
      <c r="O80" s="352">
        <f t="shared" si="102"/>
      </c>
      <c r="P80" s="352">
        <f t="shared" si="132"/>
      </c>
      <c r="Q80" s="352">
        <f t="shared" si="162"/>
      </c>
      <c r="R80" s="352">
        <f t="shared" si="222"/>
      </c>
      <c r="S80" s="353">
        <f t="shared" si="282"/>
      </c>
      <c r="T80" s="354">
        <v>0.0227</v>
      </c>
      <c r="U80" s="355">
        <v>46</v>
      </c>
      <c r="V80" s="351">
        <f t="shared" si="342"/>
      </c>
      <c r="W80" s="355">
        <v>34592</v>
      </c>
      <c r="X80" s="355">
        <v>777</v>
      </c>
      <c r="Y80" s="353">
        <v>105</v>
      </c>
      <c r="Z80" s="353">
        <v>841</v>
      </c>
      <c r="AA80" s="353">
        <v>37</v>
      </c>
      <c r="AB80" s="353">
        <v>12</v>
      </c>
      <c r="AC80" s="353">
        <v>3</v>
      </c>
      <c r="AD80" s="355">
        <v>38</v>
      </c>
      <c r="AE80" s="351">
        <f t="shared" si="36"/>
      </c>
      <c r="AF80" s="356" t="s">
        <v>234</v>
      </c>
      <c r="AG80" s="357" t="s">
        <v>235</v>
      </c>
      <c r="AH80" s="355">
        <v>54</v>
      </c>
    </row>
    <row r="81">
      <c r="A81" s="358"/>
      <c r="B81" s="375" t="s">
        <v>249</v>
      </c>
      <c r="C81" s="348" t="s">
        <v>239</v>
      </c>
      <c r="D81" s="349">
        <v>2162.88</v>
      </c>
      <c r="E81" s="350"/>
      <c r="F81" s="350">
        <v>6</v>
      </c>
      <c r="G81" s="350">
        <v>5</v>
      </c>
      <c r="H81" s="349">
        <v>6042.3</v>
      </c>
      <c r="I81" s="351">
        <f t="shared" si="192"/>
      </c>
      <c r="J81" s="351">
        <f t="shared" si="252"/>
      </c>
      <c r="K81" s="351">
        <f t="shared" si="312"/>
      </c>
      <c r="L81" s="351"/>
      <c r="M81" s="351">
        <f t="shared" si="6"/>
      </c>
      <c r="N81" s="351">
        <f t="shared" si="72"/>
      </c>
      <c r="O81" s="352">
        <f t="shared" si="102"/>
      </c>
      <c r="P81" s="352">
        <f t="shared" si="132"/>
      </c>
      <c r="Q81" s="352">
        <f t="shared" si="162"/>
      </c>
      <c r="R81" s="352">
        <f t="shared" si="222"/>
      </c>
      <c r="S81" s="353">
        <f t="shared" si="282"/>
      </c>
      <c r="T81" s="354">
        <v>0.0235</v>
      </c>
      <c r="U81" s="355">
        <v>49</v>
      </c>
      <c r="V81" s="351">
        <f t="shared" si="342"/>
      </c>
      <c r="W81" s="355">
        <v>20041</v>
      </c>
      <c r="X81" s="355">
        <v>384</v>
      </c>
      <c r="Y81" s="353">
        <v>60</v>
      </c>
      <c r="Z81" s="353">
        <v>463</v>
      </c>
      <c r="AA81" s="353">
        <v>66</v>
      </c>
      <c r="AB81" s="353">
        <v>8</v>
      </c>
      <c r="AC81" s="355">
        <v>1</v>
      </c>
      <c r="AD81" s="355">
        <v>28</v>
      </c>
      <c r="AE81" s="351">
        <f t="shared" si="36"/>
      </c>
      <c r="AF81" s="356" t="s">
        <v>234</v>
      </c>
      <c r="AG81" s="357" t="s">
        <v>235</v>
      </c>
      <c r="AH81" s="355">
        <v>23</v>
      </c>
    </row>
    <row r="82">
      <c r="A82" s="358"/>
      <c r="B82" s="360" t="s">
        <v>240</v>
      </c>
      <c r="C82" s="360"/>
      <c r="D82" s="361">
        <f>SUM(D78:D81)</f>
      </c>
      <c r="E82" s="362"/>
      <c r="F82" s="362">
        <f>SUM(F78:F81)</f>
      </c>
      <c r="G82" s="362">
        <f>SUM(G78:G81)</f>
      </c>
      <c r="H82" s="361">
        <f>SUM(H78:H81)</f>
      </c>
      <c r="I82" s="363">
        <f t="shared" si="192"/>
      </c>
      <c r="J82" s="363">
        <f t="shared" si="252"/>
      </c>
      <c r="K82" s="363">
        <f t="shared" si="312"/>
      </c>
      <c r="L82" s="363"/>
      <c r="M82" s="363">
        <f t="shared" si="6"/>
      </c>
      <c r="N82" s="363">
        <f t="shared" si="72"/>
      </c>
      <c r="O82" s="364">
        <f t="shared" si="102"/>
      </c>
      <c r="P82" s="364">
        <f t="shared" si="132"/>
      </c>
      <c r="Q82" s="364">
        <f t="shared" si="162"/>
      </c>
      <c r="R82" s="364">
        <f t="shared" si="222"/>
      </c>
      <c r="S82" s="365">
        <f t="shared" si="282"/>
      </c>
      <c r="T82" s="364">
        <f>AVERAGE(T78:T81)</f>
      </c>
      <c r="U82" s="361">
        <f>AVERAGE(U78:U81)</f>
      </c>
      <c r="V82" s="363">
        <f t="shared" si="342"/>
      </c>
      <c r="W82" s="365">
        <f>SUM(W78:W81)</f>
      </c>
      <c r="X82" s="365">
        <f>SUM(X78:X81)</f>
      </c>
      <c r="Y82" s="365">
        <f>SUM(Y78:Y81)</f>
      </c>
      <c r="Z82" s="365">
        <f>SUM(Z78:Z81)</f>
      </c>
      <c r="AA82" s="365">
        <f>SUM(AA78:AA81)</f>
      </c>
      <c r="AB82" s="365">
        <f>SUM(AB78:AB81)</f>
      </c>
      <c r="AC82" s="365">
        <f>SUM(AC78:AC81)</f>
      </c>
      <c r="AD82" s="365">
        <f>SUM(AD78:AD81)</f>
      </c>
      <c r="AE82" s="366">
        <f t="shared" si="36"/>
      </c>
      <c r="AF82" s="367"/>
      <c r="AG82" s="367"/>
      <c r="AH82" s="365">
        <f>SUM(AH78:AH81)</f>
      </c>
    </row>
    <row r="83">
      <c r="A83" s="395"/>
      <c r="B83" s="369" t="s">
        <v>241</v>
      </c>
      <c r="C83" s="369"/>
      <c r="D83" s="370">
        <f>D77+D82</f>
      </c>
      <c r="E83" s="371"/>
      <c r="F83" s="371">
        <f>F77+F82</f>
      </c>
      <c r="G83" s="371">
        <f>G77+G82</f>
      </c>
      <c r="H83" s="370">
        <f>H77+H82</f>
      </c>
      <c r="I83" s="372">
        <f t="shared" si="192"/>
      </c>
      <c r="J83" s="372">
        <f t="shared" si="252"/>
      </c>
      <c r="K83" s="372">
        <f t="shared" si="312"/>
      </c>
      <c r="L83" s="372"/>
      <c r="M83" s="372">
        <f t="shared" si="6"/>
      </c>
      <c r="N83" s="372">
        <f t="shared" si="72"/>
      </c>
      <c r="O83" s="373">
        <f t="shared" si="102"/>
      </c>
      <c r="P83" s="373">
        <f t="shared" si="132"/>
      </c>
      <c r="Q83" s="373">
        <f t="shared" si="162"/>
      </c>
      <c r="R83" s="373">
        <f t="shared" si="222"/>
      </c>
      <c r="S83" s="374">
        <f t="shared" si="282"/>
      </c>
      <c r="T83" s="373">
        <f>(T77+T82)/2</f>
      </c>
      <c r="U83" s="370">
        <f>(U82+U77)/2</f>
      </c>
      <c r="V83" s="370">
        <f t="shared" si="342"/>
      </c>
      <c r="W83" s="374">
        <f>W77+W82</f>
      </c>
      <c r="X83" s="374">
        <f>X77+X82</f>
      </c>
      <c r="Y83" s="374">
        <f>Y77+Y82</f>
      </c>
      <c r="Z83" s="374">
        <f>Z77+Z82</f>
      </c>
      <c r="AA83" s="374">
        <f>AA77+AA82</f>
      </c>
      <c r="AB83" s="374">
        <f>AB77+AB82</f>
      </c>
      <c r="AC83" s="374">
        <f>AC77+AC82</f>
      </c>
      <c r="AD83" s="374">
        <f>AD77+AD82</f>
      </c>
      <c r="AE83" s="372">
        <f>AE77</f>
      </c>
      <c r="AF83" s="369"/>
      <c r="AG83" s="369"/>
      <c r="AH83" s="374">
        <f>AH77+AH82</f>
      </c>
    </row>
    <row r="84">
      <c r="A84" s="380" t="s">
        <v>197</v>
      </c>
      <c r="B84" s="396" t="s">
        <v>198</v>
      </c>
      <c r="C84" s="380"/>
      <c r="D84" s="381" t="s">
        <v>199</v>
      </c>
      <c r="E84" s="381"/>
      <c r="F84" s="381"/>
      <c r="G84" s="381"/>
      <c r="H84" s="381"/>
      <c r="I84" s="381"/>
      <c r="J84" s="381"/>
      <c r="K84" s="381"/>
      <c r="L84" s="381"/>
      <c r="M84" s="381"/>
      <c r="N84" s="382" t="s">
        <v>200</v>
      </c>
      <c r="O84" s="382"/>
      <c r="P84" s="382"/>
      <c r="Q84" s="382"/>
      <c r="R84" s="382"/>
      <c r="S84" s="382"/>
      <c r="T84" s="382"/>
      <c r="U84" s="382"/>
      <c r="V84" s="382"/>
      <c r="W84" s="382"/>
      <c r="X84" s="382"/>
      <c r="Y84" s="382"/>
      <c r="Z84" s="382"/>
      <c r="AA84" s="382"/>
      <c r="AB84" s="382"/>
      <c r="AC84" s="382"/>
      <c r="AD84" s="382"/>
      <c r="AE84" s="382"/>
      <c r="AF84" s="382"/>
      <c r="AG84" s="382"/>
      <c r="AH84" s="340"/>
    </row>
    <row r="85">
      <c r="A85" s="380"/>
      <c r="B85" s="396" t="s">
        <v>201</v>
      </c>
      <c r="C85" s="380" t="s">
        <v>202</v>
      </c>
      <c r="D85" s="390" t="s">
        <v>203</v>
      </c>
      <c r="E85" s="391"/>
      <c r="F85" s="391" t="s">
        <v>204</v>
      </c>
      <c r="G85" s="391" t="s">
        <v>205</v>
      </c>
      <c r="H85" s="390" t="s">
        <v>206</v>
      </c>
      <c r="I85" s="384" t="s">
        <v>207</v>
      </c>
      <c r="J85" s="384" t="s">
        <v>208</v>
      </c>
      <c r="K85" s="384" t="s">
        <v>209</v>
      </c>
      <c r="L85" s="384"/>
      <c r="M85" s="384" t="s">
        <v>210</v>
      </c>
      <c r="N85" s="385" t="s">
        <v>211</v>
      </c>
      <c r="O85" s="386" t="s">
        <v>212</v>
      </c>
      <c r="P85" s="386" t="s">
        <v>213</v>
      </c>
      <c r="Q85" s="386" t="s">
        <v>214</v>
      </c>
      <c r="R85" s="386" t="s">
        <v>215</v>
      </c>
      <c r="S85" s="387" t="s">
        <v>216</v>
      </c>
      <c r="T85" s="392" t="s">
        <v>217</v>
      </c>
      <c r="U85" s="393" t="s">
        <v>218</v>
      </c>
      <c r="V85" s="382" t="s">
        <v>219</v>
      </c>
      <c r="W85" s="394" t="s">
        <v>220</v>
      </c>
      <c r="X85" s="394" t="s">
        <v>221</v>
      </c>
      <c r="Y85" s="394" t="s">
        <v>222</v>
      </c>
      <c r="Z85" s="394" t="s">
        <v>223</v>
      </c>
      <c r="AA85" s="394" t="s">
        <v>224</v>
      </c>
      <c r="AB85" s="394" t="s">
        <v>225</v>
      </c>
      <c r="AC85" s="394" t="s">
        <v>226</v>
      </c>
      <c r="AD85" s="394" t="s">
        <v>227</v>
      </c>
      <c r="AE85" s="382" t="s">
        <v>228</v>
      </c>
      <c r="AF85" s="389" t="s">
        <v>229</v>
      </c>
      <c r="AG85" s="389" t="s">
        <v>230</v>
      </c>
      <c r="AH85" s="340" t="s">
        <v>231</v>
      </c>
    </row>
    <row r="86">
      <c r="A86" s="397">
        <v>46151</v>
      </c>
      <c r="B86" s="348" t="s">
        <v>248</v>
      </c>
      <c r="C86" s="348" t="s">
        <v>243</v>
      </c>
      <c r="D86" s="377">
        <v>2386.05</v>
      </c>
      <c r="E86" s="350"/>
      <c r="F86" s="350">
        <v>3</v>
      </c>
      <c r="G86" s="350">
        <v>3</v>
      </c>
      <c r="H86" s="378">
        <v>1683</v>
      </c>
      <c r="I86" s="351">
        <f t="shared" ref="I86:I96" si="193">H86/D86</f>
      </c>
      <c r="J86" s="351">
        <f t="shared" ref="J86:J96" si="253">D86/F86</f>
      </c>
      <c r="K86" s="351">
        <f t="shared" ref="K86:K96" si="313">D86/G86</f>
      </c>
      <c r="L86" s="351"/>
      <c r="M86" s="351">
        <f t="shared" ref="M86:M96" si="7">H86/F86</f>
      </c>
      <c r="N86" s="351">
        <f t="shared" ref="N86:N96" si="73">D86/X86</f>
      </c>
      <c r="O86" s="352">
        <f t="shared" ref="O86:O96" si="103">S86/W86*1</f>
      </c>
      <c r="P86" s="352">
        <f t="shared" ref="P86:P96" si="133">X86/W86</f>
      </c>
      <c r="Q86" s="352">
        <f t="shared" ref="Q86:Q96" si="163">Z86/W86</f>
      </c>
      <c r="R86" s="352">
        <f t="shared" ref="R86:R96" si="223">AA86/Z86</f>
      </c>
      <c r="S86" s="353">
        <f t="shared" ref="S86:S96" si="283">Y86/T86</f>
      </c>
      <c r="T86" s="354">
        <v>0.0172</v>
      </c>
      <c r="U86" s="355">
        <v>55</v>
      </c>
      <c r="V86" s="351">
        <f t="shared" ref="V86:V96" si="343">(D86/W86)*1000</f>
      </c>
      <c r="W86" s="355">
        <v>16409</v>
      </c>
      <c r="X86" s="355">
        <v>557</v>
      </c>
      <c r="Y86" s="353">
        <v>71</v>
      </c>
      <c r="Z86" s="353">
        <v>657</v>
      </c>
      <c r="AA86" s="353">
        <v>50</v>
      </c>
      <c r="AB86" s="353">
        <v>13</v>
      </c>
      <c r="AC86" s="353">
        <v>3</v>
      </c>
      <c r="AD86" s="355">
        <v>8</v>
      </c>
      <c r="AE86" s="351">
        <f t="shared" ref="AE86:AE95" si="37">AH86*1000/D86</f>
      </c>
      <c r="AF86" s="356" t="s">
        <v>234</v>
      </c>
      <c r="AG86" s="357" t="s">
        <v>250</v>
      </c>
      <c r="AH86" s="355">
        <v>22</v>
      </c>
    </row>
    <row r="87">
      <c r="A87" s="358"/>
      <c r="B87" s="348" t="s">
        <v>248</v>
      </c>
      <c r="C87" s="348" t="s">
        <v>244</v>
      </c>
      <c r="D87" s="377">
        <v>2256.23</v>
      </c>
      <c r="E87" s="379"/>
      <c r="F87" s="379">
        <v>1</v>
      </c>
      <c r="G87" s="379">
        <v>1</v>
      </c>
      <c r="H87" s="378">
        <v>451</v>
      </c>
      <c r="I87" s="351">
        <f t="shared" si="193"/>
      </c>
      <c r="J87" s="351">
        <f t="shared" si="253"/>
      </c>
      <c r="K87" s="351">
        <f t="shared" si="313"/>
      </c>
      <c r="L87" s="351"/>
      <c r="M87" s="351">
        <f t="shared" si="7"/>
      </c>
      <c r="N87" s="351">
        <f t="shared" si="73"/>
      </c>
      <c r="O87" s="352">
        <f t="shared" si="103"/>
      </c>
      <c r="P87" s="352">
        <f t="shared" si="133"/>
      </c>
      <c r="Q87" s="352">
        <f t="shared" si="163"/>
      </c>
      <c r="R87" s="352">
        <f t="shared" si="223"/>
      </c>
      <c r="S87" s="353">
        <f t="shared" si="283"/>
      </c>
      <c r="T87" s="354">
        <v>0.0177</v>
      </c>
      <c r="U87" s="355">
        <v>50</v>
      </c>
      <c r="V87" s="351">
        <f t="shared" si="343"/>
      </c>
      <c r="W87" s="355">
        <v>16649</v>
      </c>
      <c r="X87" s="355">
        <v>559</v>
      </c>
      <c r="Y87" s="353">
        <v>63</v>
      </c>
      <c r="Z87" s="353">
        <v>648</v>
      </c>
      <c r="AA87" s="355">
        <v>85</v>
      </c>
      <c r="AB87" s="353">
        <v>10</v>
      </c>
      <c r="AC87" s="355">
        <v>1</v>
      </c>
      <c r="AD87" s="355">
        <v>13</v>
      </c>
      <c r="AE87" s="351">
        <f t="shared" si="37"/>
      </c>
      <c r="AF87" s="356" t="s">
        <v>234</v>
      </c>
      <c r="AG87" s="357" t="s">
        <v>250</v>
      </c>
      <c r="AH87" s="355">
        <v>33</v>
      </c>
    </row>
    <row r="88">
      <c r="A88" s="358"/>
      <c r="B88" s="348" t="s">
        <v>248</v>
      </c>
      <c r="C88" s="348" t="s">
        <v>245</v>
      </c>
      <c r="D88" s="349">
        <v>2111.91</v>
      </c>
      <c r="E88" s="379"/>
      <c r="F88" s="379">
        <v>2</v>
      </c>
      <c r="G88" s="379">
        <v>1</v>
      </c>
      <c r="H88" s="349">
        <v>902</v>
      </c>
      <c r="I88" s="351">
        <f t="shared" si="193"/>
      </c>
      <c r="J88" s="351">
        <f t="shared" si="253"/>
      </c>
      <c r="K88" s="351">
        <f t="shared" si="313"/>
      </c>
      <c r="L88" s="351"/>
      <c r="M88" s="351">
        <f t="shared" si="7"/>
      </c>
      <c r="N88" s="351">
        <f t="shared" si="73"/>
      </c>
      <c r="O88" s="352">
        <f t="shared" si="103"/>
      </c>
      <c r="P88" s="352">
        <f t="shared" si="133"/>
      </c>
      <c r="Q88" s="352">
        <f t="shared" si="163"/>
      </c>
      <c r="R88" s="352">
        <f t="shared" si="223"/>
      </c>
      <c r="S88" s="353">
        <f t="shared" si="283"/>
      </c>
      <c r="T88" s="354">
        <v>0.0212</v>
      </c>
      <c r="U88" s="355">
        <v>46</v>
      </c>
      <c r="V88" s="351">
        <f t="shared" si="343"/>
      </c>
      <c r="W88" s="355">
        <v>15923</v>
      </c>
      <c r="X88" s="355">
        <v>539</v>
      </c>
      <c r="Y88" s="355">
        <v>78</v>
      </c>
      <c r="Z88" s="355">
        <v>616</v>
      </c>
      <c r="AA88" s="355">
        <v>36</v>
      </c>
      <c r="AB88" s="355">
        <v>4</v>
      </c>
      <c r="AC88" s="355">
        <v>4</v>
      </c>
      <c r="AD88" s="355">
        <v>24</v>
      </c>
      <c r="AE88" s="351">
        <f t="shared" si="37"/>
      </c>
      <c r="AF88" s="356" t="s">
        <v>234</v>
      </c>
      <c r="AG88" s="357" t="s">
        <v>250</v>
      </c>
      <c r="AH88" s="355">
        <v>16</v>
      </c>
    </row>
    <row r="89">
      <c r="A89" s="358"/>
      <c r="B89" s="348" t="s">
        <v>248</v>
      </c>
      <c r="C89" s="348" t="s">
        <v>233</v>
      </c>
      <c r="D89" s="349">
        <v>2624.59</v>
      </c>
      <c r="E89" s="350"/>
      <c r="F89" s="350">
        <v>5</v>
      </c>
      <c r="G89" s="350">
        <v>3</v>
      </c>
      <c r="H89" s="349">
        <v>4656.85</v>
      </c>
      <c r="I89" s="351">
        <f t="shared" si="193"/>
      </c>
      <c r="J89" s="351">
        <f t="shared" si="253"/>
      </c>
      <c r="K89" s="351">
        <f t="shared" si="313"/>
      </c>
      <c r="L89" s="351"/>
      <c r="M89" s="351">
        <f t="shared" si="7"/>
      </c>
      <c r="N89" s="351">
        <f t="shared" si="73"/>
      </c>
      <c r="O89" s="352">
        <f t="shared" si="103"/>
      </c>
      <c r="P89" s="352">
        <f t="shared" si="133"/>
      </c>
      <c r="Q89" s="352">
        <f t="shared" si="163"/>
      </c>
      <c r="R89" s="352">
        <f t="shared" si="223"/>
      </c>
      <c r="S89" s="353">
        <f t="shared" si="283"/>
      </c>
      <c r="T89" s="354">
        <v>0.0245</v>
      </c>
      <c r="U89" s="355">
        <v>44</v>
      </c>
      <c r="V89" s="351">
        <f t="shared" si="343"/>
      </c>
      <c r="W89" s="353">
        <v>16017</v>
      </c>
      <c r="X89" s="353">
        <v>716</v>
      </c>
      <c r="Y89" s="353">
        <v>84</v>
      </c>
      <c r="Z89" s="353">
        <v>806</v>
      </c>
      <c r="AA89" s="353">
        <v>61</v>
      </c>
      <c r="AB89" s="353">
        <v>8</v>
      </c>
      <c r="AC89" s="353">
        <v>0</v>
      </c>
      <c r="AD89" s="353">
        <v>19</v>
      </c>
      <c r="AE89" s="351">
        <f t="shared" si="37"/>
      </c>
      <c r="AF89" s="356" t="s">
        <v>234</v>
      </c>
      <c r="AG89" s="357" t="s">
        <v>250</v>
      </c>
      <c r="AH89" s="355">
        <v>36</v>
      </c>
    </row>
    <row r="90">
      <c r="A90" s="358"/>
      <c r="B90" s="360" t="s">
        <v>240</v>
      </c>
      <c r="C90" s="360"/>
      <c r="D90" s="361">
        <f>SUM(D86:D89)</f>
      </c>
      <c r="E90" s="362"/>
      <c r="F90" s="362">
        <f>SUM(F86:F89)</f>
      </c>
      <c r="G90" s="362">
        <f>SUM(G86:G89)</f>
      </c>
      <c r="H90" s="361">
        <f>SUM(H86:H89)</f>
      </c>
      <c r="I90" s="363">
        <f t="shared" si="193"/>
      </c>
      <c r="J90" s="363">
        <f t="shared" si="253"/>
      </c>
      <c r="K90" s="363">
        <f t="shared" si="313"/>
      </c>
      <c r="L90" s="363"/>
      <c r="M90" s="363">
        <f t="shared" si="7"/>
      </c>
      <c r="N90" s="363">
        <f t="shared" si="73"/>
      </c>
      <c r="O90" s="364">
        <f t="shared" si="103"/>
      </c>
      <c r="P90" s="364">
        <f t="shared" si="133"/>
      </c>
      <c r="Q90" s="364">
        <f t="shared" si="163"/>
      </c>
      <c r="R90" s="364">
        <f t="shared" si="223"/>
      </c>
      <c r="S90" s="365">
        <f t="shared" si="283"/>
      </c>
      <c r="T90" s="364">
        <f>AVERAGE(T86:T89)</f>
      </c>
      <c r="U90" s="361">
        <f>AVERAGE(U86:U89)</f>
      </c>
      <c r="V90" s="363">
        <f t="shared" si="343"/>
      </c>
      <c r="W90" s="365">
        <f>SUM(W86:W89)</f>
      </c>
      <c r="X90" s="365">
        <f>SUM(X86:X89)</f>
      </c>
      <c r="Y90" s="365">
        <f>SUM(Y86:Y89)</f>
      </c>
      <c r="Z90" s="365">
        <f>SUM(Z86:Z89)</f>
      </c>
      <c r="AA90" s="365">
        <f>SUM(AA86:AA89)</f>
      </c>
      <c r="AB90" s="365">
        <f>SUM(AB86:AB89)</f>
      </c>
      <c r="AC90" s="365">
        <f>SUM(AC86:AC89)</f>
      </c>
      <c r="AD90" s="365">
        <f>SUM(AD86:AD89)</f>
      </c>
      <c r="AE90" s="366">
        <f t="shared" si="37"/>
      </c>
      <c r="AF90" s="367"/>
      <c r="AG90" s="367"/>
      <c r="AH90" s="368">
        <f>SUM(AH86:AH89)</f>
      </c>
    </row>
    <row r="91">
      <c r="A91" s="358"/>
      <c r="B91" s="375" t="s">
        <v>249</v>
      </c>
      <c r="C91" s="348" t="s">
        <v>236</v>
      </c>
      <c r="D91" s="349">
        <v>2498.91</v>
      </c>
      <c r="E91" s="350"/>
      <c r="F91" s="350">
        <v>2</v>
      </c>
      <c r="G91" s="350">
        <v>2</v>
      </c>
      <c r="H91" s="349">
        <v>1668.699999999999</v>
      </c>
      <c r="I91" s="351">
        <f t="shared" si="193"/>
      </c>
      <c r="J91" s="351">
        <f t="shared" si="253"/>
      </c>
      <c r="K91" s="351">
        <f t="shared" si="313"/>
      </c>
      <c r="L91" s="351"/>
      <c r="M91" s="351">
        <f t="shared" si="7"/>
      </c>
      <c r="N91" s="351">
        <f t="shared" si="73"/>
      </c>
      <c r="O91" s="352">
        <f t="shared" si="103"/>
      </c>
      <c r="P91" s="352">
        <f t="shared" si="133"/>
      </c>
      <c r="Q91" s="352">
        <f t="shared" si="163"/>
      </c>
      <c r="R91" s="352">
        <f t="shared" si="223"/>
      </c>
      <c r="S91" s="353">
        <f t="shared" si="283"/>
      </c>
      <c r="T91" s="354">
        <v>0.0251</v>
      </c>
      <c r="U91" s="355">
        <v>43</v>
      </c>
      <c r="V91" s="351">
        <f t="shared" si="343"/>
      </c>
      <c r="W91" s="355">
        <v>14685</v>
      </c>
      <c r="X91" s="355">
        <v>724</v>
      </c>
      <c r="Y91" s="353">
        <v>67</v>
      </c>
      <c r="Z91" s="353">
        <v>882</v>
      </c>
      <c r="AA91" s="353">
        <v>60</v>
      </c>
      <c r="AB91" s="353">
        <v>11</v>
      </c>
      <c r="AC91" s="355">
        <v>0</v>
      </c>
      <c r="AD91" s="355">
        <v>10</v>
      </c>
      <c r="AE91" s="351">
        <f t="shared" si="37"/>
      </c>
      <c r="AF91" s="356" t="s">
        <v>234</v>
      </c>
      <c r="AG91" s="357" t="s">
        <v>250</v>
      </c>
      <c r="AH91" s="355">
        <v>23</v>
      </c>
    </row>
    <row r="92">
      <c r="A92" s="358"/>
      <c r="B92" s="375" t="s">
        <v>249</v>
      </c>
      <c r="C92" s="348" t="s">
        <v>237</v>
      </c>
      <c r="D92" s="349">
        <v>1284.71</v>
      </c>
      <c r="E92" s="350"/>
      <c r="F92" s="350">
        <v>1</v>
      </c>
      <c r="G92" s="350">
        <v>1</v>
      </c>
      <c r="H92" s="349">
        <v>781</v>
      </c>
      <c r="I92" s="351">
        <f t="shared" si="193"/>
      </c>
      <c r="J92" s="351">
        <f t="shared" si="253"/>
      </c>
      <c r="K92" s="351">
        <f t="shared" si="313"/>
      </c>
      <c r="L92" s="351"/>
      <c r="M92" s="351">
        <f t="shared" si="7"/>
      </c>
      <c r="N92" s="351">
        <f t="shared" si="73"/>
      </c>
      <c r="O92" s="352">
        <f t="shared" si="103"/>
      </c>
      <c r="P92" s="352">
        <f t="shared" si="133"/>
      </c>
      <c r="Q92" s="352">
        <f t="shared" si="163"/>
      </c>
      <c r="R92" s="352">
        <f t="shared" si="223"/>
      </c>
      <c r="S92" s="353">
        <f t="shared" si="283"/>
      </c>
      <c r="T92" s="354">
        <v>0.0242</v>
      </c>
      <c r="U92" s="355">
        <v>42</v>
      </c>
      <c r="V92" s="351">
        <f t="shared" si="343"/>
      </c>
      <c r="W92" s="353">
        <v>9481</v>
      </c>
      <c r="X92" s="353">
        <v>589</v>
      </c>
      <c r="Y92" s="353">
        <v>64</v>
      </c>
      <c r="Z92" s="353">
        <v>685</v>
      </c>
      <c r="AA92" s="353">
        <v>44</v>
      </c>
      <c r="AB92" s="353">
        <v>11</v>
      </c>
      <c r="AC92" s="353">
        <v>1</v>
      </c>
      <c r="AD92" s="355">
        <v>4</v>
      </c>
      <c r="AE92" s="351">
        <f t="shared" si="37"/>
      </c>
      <c r="AF92" s="356" t="s">
        <v>234</v>
      </c>
      <c r="AG92" s="357" t="s">
        <v>250</v>
      </c>
      <c r="AH92" s="355">
        <v>15</v>
      </c>
    </row>
    <row r="93">
      <c r="A93" s="358"/>
      <c r="B93" s="375" t="s">
        <v>249</v>
      </c>
      <c r="C93" s="348" t="s">
        <v>238</v>
      </c>
      <c r="D93" s="349">
        <v>1924.76</v>
      </c>
      <c r="E93" s="350"/>
      <c r="F93" s="350">
        <v>3</v>
      </c>
      <c r="G93" s="350">
        <v>2</v>
      </c>
      <c r="H93" s="349">
        <v>1683</v>
      </c>
      <c r="I93" s="351">
        <f t="shared" si="193"/>
      </c>
      <c r="J93" s="351">
        <f t="shared" si="253"/>
      </c>
      <c r="K93" s="351">
        <f t="shared" si="313"/>
      </c>
      <c r="L93" s="351"/>
      <c r="M93" s="351">
        <f t="shared" si="7"/>
      </c>
      <c r="N93" s="351">
        <f t="shared" si="73"/>
      </c>
      <c r="O93" s="352">
        <f t="shared" si="103"/>
      </c>
      <c r="P93" s="352">
        <f t="shared" si="133"/>
      </c>
      <c r="Q93" s="352">
        <f t="shared" si="163"/>
      </c>
      <c r="R93" s="352">
        <f t="shared" si="223"/>
      </c>
      <c r="S93" s="353">
        <f t="shared" si="283"/>
      </c>
      <c r="T93" s="354">
        <v>0.0237</v>
      </c>
      <c r="U93" s="355">
        <v>39</v>
      </c>
      <c r="V93" s="351">
        <f t="shared" si="343"/>
      </c>
      <c r="W93" s="355">
        <v>10455</v>
      </c>
      <c r="X93" s="355">
        <v>679</v>
      </c>
      <c r="Y93" s="355">
        <v>62</v>
      </c>
      <c r="Z93" s="355">
        <v>899</v>
      </c>
      <c r="AA93" s="355">
        <v>66</v>
      </c>
      <c r="AB93" s="355">
        <v>8</v>
      </c>
      <c r="AC93" s="355">
        <v>0</v>
      </c>
      <c r="AD93" s="355">
        <v>8</v>
      </c>
      <c r="AE93" s="351">
        <f t="shared" si="37"/>
      </c>
      <c r="AF93" s="356" t="s">
        <v>234</v>
      </c>
      <c r="AG93" s="357" t="s">
        <v>250</v>
      </c>
      <c r="AH93" s="355">
        <v>20</v>
      </c>
    </row>
    <row r="94">
      <c r="A94" s="358"/>
      <c r="B94" s="375" t="s">
        <v>249</v>
      </c>
      <c r="C94" s="348" t="s">
        <v>239</v>
      </c>
      <c r="D94" s="349">
        <v>978.3</v>
      </c>
      <c r="E94" s="350"/>
      <c r="F94" s="350">
        <v>3</v>
      </c>
      <c r="G94" s="350">
        <v>0</v>
      </c>
      <c r="H94" s="349">
        <v>1758.9000000000015</v>
      </c>
      <c r="I94" s="351">
        <f t="shared" si="193"/>
      </c>
      <c r="J94" s="351">
        <f t="shared" si="253"/>
      </c>
      <c r="K94" s="351">
        <f t="shared" si="313"/>
      </c>
      <c r="L94" s="351"/>
      <c r="M94" s="351">
        <f t="shared" si="7"/>
      </c>
      <c r="N94" s="351">
        <f t="shared" si="73"/>
      </c>
      <c r="O94" s="352">
        <f t="shared" si="103"/>
      </c>
      <c r="P94" s="352">
        <f t="shared" si="133"/>
      </c>
      <c r="Q94" s="352">
        <f t="shared" si="163"/>
      </c>
      <c r="R94" s="352">
        <f t="shared" si="223"/>
      </c>
      <c r="S94" s="353">
        <f t="shared" si="283"/>
      </c>
      <c r="T94" s="354">
        <v>0.0234</v>
      </c>
      <c r="U94" s="355">
        <v>42</v>
      </c>
      <c r="V94" s="351">
        <f t="shared" si="343"/>
      </c>
      <c r="W94" s="355">
        <v>7170</v>
      </c>
      <c r="X94" s="355">
        <v>931</v>
      </c>
      <c r="Y94" s="353">
        <v>38</v>
      </c>
      <c r="Z94" s="353">
        <v>1048</v>
      </c>
      <c r="AA94" s="353">
        <v>51</v>
      </c>
      <c r="AB94" s="353">
        <v>5</v>
      </c>
      <c r="AC94" s="355">
        <v>0</v>
      </c>
      <c r="AD94" s="355">
        <v>8</v>
      </c>
      <c r="AE94" s="351">
        <f t="shared" si="37"/>
      </c>
      <c r="AF94" s="356" t="s">
        <v>234</v>
      </c>
      <c r="AG94" s="357" t="s">
        <v>250</v>
      </c>
      <c r="AH94" s="355">
        <v>13</v>
      </c>
    </row>
    <row r="95">
      <c r="A95" s="358"/>
      <c r="B95" s="360" t="s">
        <v>240</v>
      </c>
      <c r="C95" s="360"/>
      <c r="D95" s="361">
        <f>SUM(D91:D94)</f>
      </c>
      <c r="E95" s="362"/>
      <c r="F95" s="362">
        <f>SUM(F91:F94)</f>
      </c>
      <c r="G95" s="362">
        <f>SUM(G91:G94)</f>
      </c>
      <c r="H95" s="361">
        <f>SUM(H91:H94)</f>
      </c>
      <c r="I95" s="363">
        <f t="shared" si="193"/>
      </c>
      <c r="J95" s="363">
        <f t="shared" si="253"/>
      </c>
      <c r="K95" s="363">
        <f t="shared" si="313"/>
      </c>
      <c r="L95" s="363"/>
      <c r="M95" s="363">
        <f t="shared" si="7"/>
      </c>
      <c r="N95" s="363">
        <f t="shared" si="73"/>
      </c>
      <c r="O95" s="364">
        <f t="shared" si="103"/>
      </c>
      <c r="P95" s="364">
        <f t="shared" si="133"/>
      </c>
      <c r="Q95" s="364">
        <f t="shared" si="163"/>
      </c>
      <c r="R95" s="364">
        <f t="shared" si="223"/>
      </c>
      <c r="S95" s="365">
        <f t="shared" si="283"/>
      </c>
      <c r="T95" s="364">
        <f>AVERAGE(T91:T94)</f>
      </c>
      <c r="U95" s="361">
        <f>AVERAGE(U91:U94)</f>
      </c>
      <c r="V95" s="363">
        <f t="shared" si="343"/>
      </c>
      <c r="W95" s="365">
        <f>SUM(W91:W94)</f>
      </c>
      <c r="X95" s="365">
        <f>SUM(X91:X94)</f>
      </c>
      <c r="Y95" s="365">
        <f>SUM(Y91:Y94)</f>
      </c>
      <c r="Z95" s="365">
        <f>SUM(Z91:Z94)</f>
      </c>
      <c r="AA95" s="365">
        <f>SUM(AA91:AA94)</f>
      </c>
      <c r="AB95" s="365">
        <f>SUM(AB91:AB94)</f>
      </c>
      <c r="AC95" s="365">
        <f>SUM(AC91:AC94)</f>
      </c>
      <c r="AD95" s="365">
        <f>SUM(AD91:AD94)</f>
      </c>
      <c r="AE95" s="366">
        <f t="shared" si="37"/>
      </c>
      <c r="AF95" s="367"/>
      <c r="AG95" s="367"/>
      <c r="AH95" s="365">
        <f>SUM(AH91:AH94)</f>
      </c>
    </row>
    <row r="96">
      <c r="A96" s="358"/>
      <c r="B96" s="369" t="s">
        <v>241</v>
      </c>
      <c r="C96" s="369"/>
      <c r="D96" s="370">
        <f>D90+D95</f>
      </c>
      <c r="E96" s="371"/>
      <c r="F96" s="371">
        <f>F90+F95</f>
      </c>
      <c r="G96" s="371">
        <f>G90+G95</f>
      </c>
      <c r="H96" s="370">
        <f>H90+H95</f>
      </c>
      <c r="I96" s="372">
        <f t="shared" si="193"/>
      </c>
      <c r="J96" s="372">
        <f t="shared" si="253"/>
      </c>
      <c r="K96" s="372">
        <f t="shared" si="313"/>
      </c>
      <c r="L96" s="372"/>
      <c r="M96" s="372">
        <f t="shared" si="7"/>
      </c>
      <c r="N96" s="372">
        <f t="shared" si="73"/>
      </c>
      <c r="O96" s="373">
        <f t="shared" si="103"/>
      </c>
      <c r="P96" s="373">
        <f t="shared" si="133"/>
      </c>
      <c r="Q96" s="373">
        <f t="shared" si="163"/>
      </c>
      <c r="R96" s="373">
        <f t="shared" si="223"/>
      </c>
      <c r="S96" s="374">
        <f t="shared" si="283"/>
      </c>
      <c r="T96" s="373">
        <f>(T90+T95)/2</f>
      </c>
      <c r="U96" s="370">
        <f>(U95+U90)/2</f>
      </c>
      <c r="V96" s="370">
        <f t="shared" si="343"/>
      </c>
      <c r="W96" s="374">
        <f>W90+W95</f>
      </c>
      <c r="X96" s="374">
        <f>X90+X95</f>
      </c>
      <c r="Y96" s="374">
        <f>Y90+Y95</f>
      </c>
      <c r="Z96" s="374">
        <f>Z90+Z95</f>
      </c>
      <c r="AA96" s="374">
        <f>AA90+AA95</f>
      </c>
      <c r="AB96" s="374">
        <f>AB90+AB95</f>
      </c>
      <c r="AC96" s="374">
        <f>AC90+AC95</f>
      </c>
      <c r="AD96" s="374">
        <f>AD90+AD95</f>
      </c>
      <c r="AE96" s="372">
        <f>AE90</f>
      </c>
      <c r="AF96" s="369"/>
      <c r="AG96" s="369"/>
      <c r="AH96" s="374">
        <f>AH90+AH95</f>
      </c>
    </row>
    <row r="97">
      <c r="A97" s="380" t="s">
        <v>197</v>
      </c>
      <c r="B97" s="396" t="s">
        <v>198</v>
      </c>
      <c r="C97" s="396"/>
      <c r="D97" s="381" t="s">
        <v>199</v>
      </c>
      <c r="E97" s="381"/>
      <c r="F97" s="381"/>
      <c r="G97" s="381"/>
      <c r="H97" s="381"/>
      <c r="I97" s="381"/>
      <c r="J97" s="381"/>
      <c r="K97" s="381"/>
      <c r="L97" s="381"/>
      <c r="M97" s="381"/>
      <c r="N97" s="382" t="s">
        <v>200</v>
      </c>
      <c r="O97" s="382"/>
      <c r="P97" s="382"/>
      <c r="Q97" s="382"/>
      <c r="R97" s="382"/>
      <c r="S97" s="382"/>
      <c r="T97" s="382"/>
      <c r="U97" s="382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82"/>
      <c r="AH97" s="340"/>
    </row>
    <row r="98">
      <c r="A98" s="380"/>
      <c r="B98" s="396" t="s">
        <v>201</v>
      </c>
      <c r="C98" s="380" t="s">
        <v>202</v>
      </c>
      <c r="D98" s="390" t="s">
        <v>203</v>
      </c>
      <c r="E98" s="391"/>
      <c r="F98" s="391" t="s">
        <v>204</v>
      </c>
      <c r="G98" s="391" t="s">
        <v>205</v>
      </c>
      <c r="H98" s="390" t="s">
        <v>206</v>
      </c>
      <c r="I98" s="384" t="s">
        <v>207</v>
      </c>
      <c r="J98" s="384" t="s">
        <v>208</v>
      </c>
      <c r="K98" s="384" t="s">
        <v>209</v>
      </c>
      <c r="L98" s="384"/>
      <c r="M98" s="384" t="s">
        <v>210</v>
      </c>
      <c r="N98" s="385" t="s">
        <v>211</v>
      </c>
      <c r="O98" s="386" t="s">
        <v>212</v>
      </c>
      <c r="P98" s="386" t="s">
        <v>213</v>
      </c>
      <c r="Q98" s="386" t="s">
        <v>214</v>
      </c>
      <c r="R98" s="386" t="s">
        <v>215</v>
      </c>
      <c r="S98" s="387" t="s">
        <v>216</v>
      </c>
      <c r="T98" s="392" t="s">
        <v>217</v>
      </c>
      <c r="U98" s="393" t="s">
        <v>218</v>
      </c>
      <c r="V98" s="382" t="s">
        <v>219</v>
      </c>
      <c r="W98" s="394" t="s">
        <v>220</v>
      </c>
      <c r="X98" s="394" t="s">
        <v>221</v>
      </c>
      <c r="Y98" s="394" t="s">
        <v>222</v>
      </c>
      <c r="Z98" s="394" t="s">
        <v>223</v>
      </c>
      <c r="AA98" s="394" t="s">
        <v>224</v>
      </c>
      <c r="AB98" s="394" t="s">
        <v>225</v>
      </c>
      <c r="AC98" s="394" t="s">
        <v>226</v>
      </c>
      <c r="AD98" s="394" t="s">
        <v>227</v>
      </c>
      <c r="AE98" s="382" t="s">
        <v>228</v>
      </c>
      <c r="AF98" s="389" t="s">
        <v>229</v>
      </c>
      <c r="AG98" s="389" t="s">
        <v>230</v>
      </c>
      <c r="AH98" s="340" t="s">
        <v>231</v>
      </c>
    </row>
    <row r="99">
      <c r="A99" s="397">
        <v>46152</v>
      </c>
      <c r="B99" s="348" t="s">
        <v>248</v>
      </c>
      <c r="C99" s="348" t="s">
        <v>243</v>
      </c>
      <c r="D99" s="377">
        <v>2209.92</v>
      </c>
      <c r="E99" s="350"/>
      <c r="F99" s="350">
        <v>1</v>
      </c>
      <c r="G99" s="350">
        <v>1</v>
      </c>
      <c r="H99" s="378">
        <v>451</v>
      </c>
      <c r="I99" s="351">
        <f t="shared" ref="I99:I109" si="194">H99/D99</f>
      </c>
      <c r="J99" s="351">
        <f t="shared" ref="J99:J109" si="254">D99/F99</f>
      </c>
      <c r="K99" s="351">
        <f t="shared" ref="K99:K109" si="314">D99/G99</f>
      </c>
      <c r="L99" s="351"/>
      <c r="M99" s="351">
        <f t="shared" ref="M99:M109" si="8">H99/F99</f>
      </c>
      <c r="N99" s="351">
        <f t="shared" ref="N99:N109" si="74">D99/X99</f>
      </c>
      <c r="O99" s="352">
        <f t="shared" ref="O99:O109" si="104">S99/W99*1</f>
      </c>
      <c r="P99" s="352">
        <f t="shared" ref="P99:P109" si="134">X99/W99</f>
      </c>
      <c r="Q99" s="352">
        <f t="shared" ref="Q99:Q109" si="164">Z99/W99</f>
      </c>
      <c r="R99" s="352">
        <f t="shared" ref="R99:R109" si="224">AA99/Z99</f>
      </c>
      <c r="S99" s="353">
        <f t="shared" ref="S99:S109" si="284">Y99/T99</f>
      </c>
      <c r="T99" s="354">
        <v>0.0341</v>
      </c>
      <c r="U99" s="355">
        <v>49</v>
      </c>
      <c r="V99" s="351">
        <f t="shared" ref="V99:V109" si="344">(D99/W99)*1000</f>
      </c>
      <c r="W99" s="355">
        <v>13505</v>
      </c>
      <c r="X99" s="355">
        <v>550</v>
      </c>
      <c r="Y99" s="353">
        <v>91</v>
      </c>
      <c r="Z99" s="353">
        <v>660</v>
      </c>
      <c r="AA99" s="353">
        <v>68</v>
      </c>
      <c r="AB99" s="353">
        <v>10</v>
      </c>
      <c r="AC99" s="353">
        <v>3</v>
      </c>
      <c r="AD99" s="355">
        <v>14</v>
      </c>
      <c r="AE99" s="351">
        <f t="shared" ref="AE99:AE108" si="38">AH99*1000/D99</f>
      </c>
      <c r="AF99" s="356" t="s">
        <v>234</v>
      </c>
      <c r="AG99" s="357" t="s">
        <v>250</v>
      </c>
      <c r="AH99" s="355">
        <v>32</v>
      </c>
    </row>
    <row r="100">
      <c r="A100" s="397"/>
      <c r="B100" s="348" t="s">
        <v>248</v>
      </c>
      <c r="C100" s="348" t="s">
        <v>244</v>
      </c>
      <c r="D100" s="377">
        <v>2735.6699999999996</v>
      </c>
      <c r="E100" s="379"/>
      <c r="F100" s="379">
        <v>9</v>
      </c>
      <c r="G100" s="379">
        <v>9</v>
      </c>
      <c r="H100" s="378">
        <v>5784.9</v>
      </c>
      <c r="I100" s="351">
        <f t="shared" si="194"/>
      </c>
      <c r="J100" s="351">
        <f t="shared" si="254"/>
      </c>
      <c r="K100" s="351">
        <f t="shared" si="314"/>
      </c>
      <c r="L100" s="351"/>
      <c r="M100" s="351">
        <f t="shared" si="8"/>
      </c>
      <c r="N100" s="351">
        <f t="shared" si="74"/>
      </c>
      <c r="O100" s="352">
        <f t="shared" si="104"/>
      </c>
      <c r="P100" s="352">
        <f t="shared" si="134"/>
      </c>
      <c r="Q100" s="352">
        <f t="shared" si="164"/>
      </c>
      <c r="R100" s="352">
        <f t="shared" si="224"/>
      </c>
      <c r="S100" s="353">
        <f t="shared" si="284"/>
      </c>
      <c r="T100" s="354">
        <v>0.0402</v>
      </c>
      <c r="U100" s="355">
        <v>56</v>
      </c>
      <c r="V100" s="351">
        <f t="shared" si="344"/>
      </c>
      <c r="W100" s="355">
        <v>16721</v>
      </c>
      <c r="X100" s="355">
        <v>520</v>
      </c>
      <c r="Y100" s="353">
        <v>90</v>
      </c>
      <c r="Z100" s="353">
        <v>636</v>
      </c>
      <c r="AA100" s="355">
        <v>119</v>
      </c>
      <c r="AB100" s="353">
        <v>7</v>
      </c>
      <c r="AC100" s="355">
        <v>1</v>
      </c>
      <c r="AD100" s="355">
        <v>17</v>
      </c>
      <c r="AE100" s="351">
        <f t="shared" si="38"/>
      </c>
      <c r="AF100" s="356" t="s">
        <v>234</v>
      </c>
      <c r="AG100" s="357" t="s">
        <v>250</v>
      </c>
      <c r="AH100" s="355">
        <v>37</v>
      </c>
    </row>
    <row r="101">
      <c r="A101" s="397"/>
      <c r="B101" s="348" t="s">
        <v>248</v>
      </c>
      <c r="C101" s="348" t="s">
        <v>245</v>
      </c>
      <c r="D101" s="349">
        <v>2892.35</v>
      </c>
      <c r="E101" s="379"/>
      <c r="F101" s="379">
        <v>7</v>
      </c>
      <c r="G101" s="379">
        <v>5</v>
      </c>
      <c r="H101" s="349">
        <v>5457.1</v>
      </c>
      <c r="I101" s="351">
        <f t="shared" si="194"/>
      </c>
      <c r="J101" s="351">
        <f t="shared" si="254"/>
      </c>
      <c r="K101" s="351">
        <f t="shared" si="314"/>
      </c>
      <c r="L101" s="351"/>
      <c r="M101" s="351">
        <f t="shared" si="8"/>
      </c>
      <c r="N101" s="351">
        <f t="shared" si="74"/>
      </c>
      <c r="O101" s="352">
        <f t="shared" si="104"/>
      </c>
      <c r="P101" s="352">
        <f t="shared" si="134"/>
      </c>
      <c r="Q101" s="352">
        <f t="shared" si="164"/>
      </c>
      <c r="R101" s="352">
        <f t="shared" si="224"/>
      </c>
      <c r="S101" s="353">
        <f t="shared" si="284"/>
      </c>
      <c r="T101" s="354">
        <v>0.0381</v>
      </c>
      <c r="U101" s="355">
        <v>57</v>
      </c>
      <c r="V101" s="351">
        <f t="shared" si="344"/>
      </c>
      <c r="W101" s="355">
        <v>27133</v>
      </c>
      <c r="X101" s="355">
        <v>540</v>
      </c>
      <c r="Y101" s="355">
        <v>89</v>
      </c>
      <c r="Z101" s="355">
        <v>658</v>
      </c>
      <c r="AA101" s="355">
        <v>116</v>
      </c>
      <c r="AB101" s="355">
        <v>12</v>
      </c>
      <c r="AC101" s="355">
        <v>3</v>
      </c>
      <c r="AD101" s="355">
        <v>23</v>
      </c>
      <c r="AE101" s="351">
        <f t="shared" si="38"/>
      </c>
      <c r="AF101" s="356" t="s">
        <v>234</v>
      </c>
      <c r="AG101" s="357" t="s">
        <v>250</v>
      </c>
      <c r="AH101" s="355">
        <v>29</v>
      </c>
    </row>
    <row r="102">
      <c r="A102" s="397"/>
      <c r="B102" s="348" t="s">
        <v>248</v>
      </c>
      <c r="C102" s="348" t="s">
        <v>233</v>
      </c>
      <c r="D102" s="349">
        <v>2992.08</v>
      </c>
      <c r="E102" s="350"/>
      <c r="F102" s="350">
        <v>4</v>
      </c>
      <c r="G102" s="350">
        <v>3</v>
      </c>
      <c r="H102" s="349">
        <v>2209.8999999999996</v>
      </c>
      <c r="I102" s="351">
        <f t="shared" si="194"/>
      </c>
      <c r="J102" s="351">
        <f t="shared" si="254"/>
      </c>
      <c r="K102" s="351">
        <f t="shared" si="314"/>
      </c>
      <c r="L102" s="351"/>
      <c r="M102" s="351">
        <f t="shared" si="8"/>
      </c>
      <c r="N102" s="351">
        <f t="shared" si="74"/>
      </c>
      <c r="O102" s="352">
        <f t="shared" si="104"/>
      </c>
      <c r="P102" s="352">
        <f t="shared" si="134"/>
      </c>
      <c r="Q102" s="352">
        <f t="shared" si="164"/>
      </c>
      <c r="R102" s="352">
        <f t="shared" si="224"/>
      </c>
      <c r="S102" s="353">
        <f t="shared" si="284"/>
      </c>
      <c r="T102" s="354">
        <v>0.035</v>
      </c>
      <c r="U102" s="355">
        <v>55</v>
      </c>
      <c r="V102" s="351">
        <f t="shared" si="344"/>
      </c>
      <c r="W102" s="353">
        <v>29882</v>
      </c>
      <c r="X102" s="353">
        <v>636</v>
      </c>
      <c r="Y102" s="353">
        <v>84</v>
      </c>
      <c r="Z102" s="353">
        <v>740</v>
      </c>
      <c r="AA102" s="353">
        <v>82</v>
      </c>
      <c r="AB102" s="353">
        <v>9</v>
      </c>
      <c r="AC102" s="353">
        <v>3</v>
      </c>
      <c r="AD102" s="353">
        <v>33</v>
      </c>
      <c r="AE102" s="351">
        <f t="shared" si="38"/>
      </c>
      <c r="AF102" s="356" t="s">
        <v>234</v>
      </c>
      <c r="AG102" s="357" t="s">
        <v>250</v>
      </c>
      <c r="AH102" s="355">
        <v>38</v>
      </c>
    </row>
    <row r="103">
      <c r="A103" s="397"/>
      <c r="B103" s="360" t="s">
        <v>240</v>
      </c>
      <c r="C103" s="360"/>
      <c r="D103" s="361">
        <f>SUM(D99:D102)</f>
      </c>
      <c r="E103" s="362"/>
      <c r="F103" s="362">
        <f>SUM(F99:F102)</f>
      </c>
      <c r="G103" s="362">
        <f>SUM(G99:G102)</f>
      </c>
      <c r="H103" s="361">
        <f>SUM(H99:H102)</f>
      </c>
      <c r="I103" s="363">
        <f t="shared" si="194"/>
      </c>
      <c r="J103" s="363">
        <f t="shared" si="254"/>
      </c>
      <c r="K103" s="363">
        <f t="shared" si="314"/>
      </c>
      <c r="L103" s="363"/>
      <c r="M103" s="363">
        <f t="shared" si="8"/>
      </c>
      <c r="N103" s="363">
        <f t="shared" si="74"/>
      </c>
      <c r="O103" s="364">
        <f t="shared" si="104"/>
      </c>
      <c r="P103" s="364">
        <f t="shared" si="134"/>
      </c>
      <c r="Q103" s="364">
        <f t="shared" si="164"/>
      </c>
      <c r="R103" s="364">
        <f t="shared" si="224"/>
      </c>
      <c r="S103" s="365">
        <f t="shared" si="284"/>
      </c>
      <c r="T103" s="364">
        <f>AVERAGE(T99:T102)</f>
      </c>
      <c r="U103" s="361">
        <f>AVERAGE(U99:U102)</f>
      </c>
      <c r="V103" s="363">
        <f t="shared" si="344"/>
      </c>
      <c r="W103" s="365">
        <f>SUM(W99:W102)</f>
      </c>
      <c r="X103" s="365">
        <f>SUM(X99:X102)</f>
      </c>
      <c r="Y103" s="365">
        <f>SUM(Y99:Y102)</f>
      </c>
      <c r="Z103" s="365">
        <f>SUM(Z99:Z102)</f>
      </c>
      <c r="AA103" s="365">
        <f>SUM(AA99:AA102)</f>
      </c>
      <c r="AB103" s="365">
        <f>SUM(AB99:AB102)</f>
      </c>
      <c r="AC103" s="365">
        <f>SUM(AC99:AC102)</f>
      </c>
      <c r="AD103" s="365">
        <f>SUM(AD99:AD102)</f>
      </c>
      <c r="AE103" s="366">
        <f t="shared" si="38"/>
      </c>
      <c r="AF103" s="367"/>
      <c r="AG103" s="367"/>
      <c r="AH103" s="368">
        <f>SUM(AH99:AH102)</f>
      </c>
    </row>
    <row r="104">
      <c r="A104" s="397"/>
      <c r="B104" s="375" t="s">
        <v>249</v>
      </c>
      <c r="C104" s="348" t="s">
        <v>236</v>
      </c>
      <c r="D104" s="349">
        <v>2468.48</v>
      </c>
      <c r="E104" s="350"/>
      <c r="F104" s="350">
        <v>3</v>
      </c>
      <c r="G104" s="350">
        <v>3</v>
      </c>
      <c r="H104" s="349">
        <v>2097.1499999999996</v>
      </c>
      <c r="I104" s="351">
        <f t="shared" si="194"/>
      </c>
      <c r="J104" s="351">
        <f t="shared" si="254"/>
      </c>
      <c r="K104" s="351">
        <f t="shared" si="314"/>
      </c>
      <c r="L104" s="351"/>
      <c r="M104" s="351">
        <f t="shared" si="8"/>
      </c>
      <c r="N104" s="351">
        <f t="shared" si="74"/>
      </c>
      <c r="O104" s="352">
        <f t="shared" si="104"/>
      </c>
      <c r="P104" s="352">
        <f t="shared" si="134"/>
      </c>
      <c r="Q104" s="352">
        <f t="shared" si="164"/>
      </c>
      <c r="R104" s="352">
        <f t="shared" si="224"/>
      </c>
      <c r="S104" s="353">
        <f t="shared" si="284"/>
      </c>
      <c r="T104" s="354">
        <v>0.0303</v>
      </c>
      <c r="U104" s="355">
        <v>51</v>
      </c>
      <c r="V104" s="351">
        <f t="shared" si="344"/>
      </c>
      <c r="W104" s="355">
        <v>24747</v>
      </c>
      <c r="X104" s="355">
        <v>862</v>
      </c>
      <c r="Y104" s="353">
        <v>93</v>
      </c>
      <c r="Z104" s="353">
        <v>965</v>
      </c>
      <c r="AA104" s="353">
        <v>78</v>
      </c>
      <c r="AB104" s="353">
        <v>11</v>
      </c>
      <c r="AC104" s="355">
        <v>2</v>
      </c>
      <c r="AD104" s="355">
        <v>23</v>
      </c>
      <c r="AE104" s="351">
        <f t="shared" si="38"/>
      </c>
      <c r="AF104" s="356" t="s">
        <v>234</v>
      </c>
      <c r="AG104" s="357" t="s">
        <v>250</v>
      </c>
      <c r="AH104" s="355">
        <v>34</v>
      </c>
    </row>
    <row r="105">
      <c r="A105" s="397"/>
      <c r="B105" s="375" t="s">
        <v>249</v>
      </c>
      <c r="C105" s="348" t="s">
        <v>237</v>
      </c>
      <c r="D105" s="349">
        <v>2457.69</v>
      </c>
      <c r="E105" s="350"/>
      <c r="F105" s="350">
        <v>2</v>
      </c>
      <c r="G105" s="350">
        <v>2</v>
      </c>
      <c r="H105" s="349">
        <v>1637.9000000000015</v>
      </c>
      <c r="I105" s="351">
        <f t="shared" si="194"/>
      </c>
      <c r="J105" s="351">
        <f t="shared" si="254"/>
      </c>
      <c r="K105" s="351">
        <f t="shared" si="314"/>
      </c>
      <c r="L105" s="351"/>
      <c r="M105" s="351">
        <f t="shared" si="8"/>
      </c>
      <c r="N105" s="351">
        <f t="shared" si="74"/>
      </c>
      <c r="O105" s="352">
        <f t="shared" si="104"/>
      </c>
      <c r="P105" s="352">
        <f t="shared" si="134"/>
      </c>
      <c r="Q105" s="352">
        <f t="shared" si="164"/>
      </c>
      <c r="R105" s="352">
        <f t="shared" si="224"/>
      </c>
      <c r="S105" s="353">
        <f t="shared" si="284"/>
      </c>
      <c r="T105" s="354">
        <v>0.0293</v>
      </c>
      <c r="U105" s="355">
        <v>52</v>
      </c>
      <c r="V105" s="351">
        <f t="shared" si="344"/>
      </c>
      <c r="W105" s="353">
        <v>18761</v>
      </c>
      <c r="X105" s="353">
        <v>714</v>
      </c>
      <c r="Y105" s="353">
        <v>92</v>
      </c>
      <c r="Z105" s="353">
        <v>865</v>
      </c>
      <c r="AA105" s="353">
        <v>122</v>
      </c>
      <c r="AB105" s="353">
        <v>26</v>
      </c>
      <c r="AC105" s="353">
        <v>1</v>
      </c>
      <c r="AD105" s="355">
        <v>20</v>
      </c>
      <c r="AE105" s="351">
        <f t="shared" si="38"/>
      </c>
      <c r="AF105" s="356" t="s">
        <v>234</v>
      </c>
      <c r="AG105" s="357" t="s">
        <v>250</v>
      </c>
      <c r="AH105" s="355">
        <v>32</v>
      </c>
    </row>
    <row r="106">
      <c r="A106" s="397"/>
      <c r="B106" s="375" t="s">
        <v>249</v>
      </c>
      <c r="C106" s="348" t="s">
        <v>238</v>
      </c>
      <c r="D106" s="349">
        <v>2154.56</v>
      </c>
      <c r="E106" s="350"/>
      <c r="F106" s="350">
        <v>0</v>
      </c>
      <c r="G106" s="350">
        <v>0</v>
      </c>
      <c r="H106" s="349">
        <v>0</v>
      </c>
      <c r="I106" s="351">
        <f t="shared" si="194"/>
      </c>
      <c r="J106" s="351">
        <f t="shared" si="254"/>
      </c>
      <c r="K106" s="351">
        <f t="shared" si="314"/>
      </c>
      <c r="L106" s="351"/>
      <c r="M106" s="351">
        <f t="shared" si="8"/>
      </c>
      <c r="N106" s="351">
        <f t="shared" si="74"/>
      </c>
      <c r="O106" s="352">
        <f t="shared" si="104"/>
      </c>
      <c r="P106" s="352">
        <f t="shared" si="134"/>
      </c>
      <c r="Q106" s="352">
        <f t="shared" si="164"/>
      </c>
      <c r="R106" s="352">
        <f t="shared" si="224"/>
      </c>
      <c r="S106" s="353">
        <f t="shared" si="284"/>
      </c>
      <c r="T106" s="354">
        <v>0.027</v>
      </c>
      <c r="U106" s="355">
        <v>50</v>
      </c>
      <c r="V106" s="351">
        <f t="shared" si="344"/>
      </c>
      <c r="W106" s="355">
        <v>17075</v>
      </c>
      <c r="X106" s="355">
        <v>746</v>
      </c>
      <c r="Y106" s="355">
        <v>65</v>
      </c>
      <c r="Z106" s="355">
        <v>1001</v>
      </c>
      <c r="AA106" s="355">
        <v>71</v>
      </c>
      <c r="AB106" s="355">
        <v>10</v>
      </c>
      <c r="AC106" s="355">
        <v>1</v>
      </c>
      <c r="AD106" s="355">
        <v>14</v>
      </c>
      <c r="AE106" s="351">
        <f t="shared" si="38"/>
      </c>
      <c r="AF106" s="356" t="s">
        <v>234</v>
      </c>
      <c r="AG106" s="357" t="s">
        <v>250</v>
      </c>
      <c r="AH106" s="355">
        <v>18</v>
      </c>
    </row>
    <row r="107">
      <c r="A107" s="397"/>
      <c r="B107" s="375" t="s">
        <v>249</v>
      </c>
      <c r="C107" s="348" t="s">
        <v>239</v>
      </c>
      <c r="D107" s="349">
        <v>808.4500000000007</v>
      </c>
      <c r="E107" s="350"/>
      <c r="F107" s="350">
        <v>2</v>
      </c>
      <c r="G107" s="350">
        <v>1</v>
      </c>
      <c r="H107" s="349">
        <v>1621.3999999999978</v>
      </c>
      <c r="I107" s="351">
        <f t="shared" si="194"/>
      </c>
      <c r="J107" s="351">
        <f t="shared" si="254"/>
      </c>
      <c r="K107" s="351">
        <f t="shared" si="314"/>
      </c>
      <c r="L107" s="351"/>
      <c r="M107" s="351">
        <f t="shared" si="8"/>
      </c>
      <c r="N107" s="351">
        <f t="shared" si="74"/>
      </c>
      <c r="O107" s="352">
        <f t="shared" si="104"/>
      </c>
      <c r="P107" s="352">
        <f t="shared" si="134"/>
      </c>
      <c r="Q107" s="352">
        <f t="shared" si="164"/>
      </c>
      <c r="R107" s="352">
        <f t="shared" si="224"/>
      </c>
      <c r="S107" s="353">
        <f t="shared" si="284"/>
      </c>
      <c r="T107" s="354">
        <v>0.0266</v>
      </c>
      <c r="U107" s="355">
        <v>52</v>
      </c>
      <c r="V107" s="351">
        <f t="shared" si="344"/>
      </c>
      <c r="W107" s="355">
        <v>6517</v>
      </c>
      <c r="X107" s="355">
        <v>302</v>
      </c>
      <c r="Y107" s="353">
        <v>34</v>
      </c>
      <c r="Z107" s="353">
        <v>424</v>
      </c>
      <c r="AA107" s="353">
        <v>60</v>
      </c>
      <c r="AB107" s="353">
        <v>3</v>
      </c>
      <c r="AC107" s="355">
        <v>0</v>
      </c>
      <c r="AD107" s="355">
        <v>4</v>
      </c>
      <c r="AE107" s="351">
        <f t="shared" si="38"/>
      </c>
      <c r="AF107" s="356" t="s">
        <v>234</v>
      </c>
      <c r="AG107" s="357" t="s">
        <v>250</v>
      </c>
      <c r="AH107" s="355">
        <v>12</v>
      </c>
    </row>
    <row r="108">
      <c r="A108" s="397"/>
      <c r="B108" s="360" t="s">
        <v>240</v>
      </c>
      <c r="C108" s="360"/>
      <c r="D108" s="361">
        <f>SUM(D104:D107)</f>
      </c>
      <c r="E108" s="362"/>
      <c r="F108" s="362">
        <f>SUM(F104:F107)</f>
      </c>
      <c r="G108" s="362">
        <f>SUM(G104:G107)</f>
      </c>
      <c r="H108" s="361">
        <f>SUM(H104:H107)</f>
      </c>
      <c r="I108" s="363">
        <f t="shared" si="194"/>
      </c>
      <c r="J108" s="363">
        <f t="shared" si="254"/>
      </c>
      <c r="K108" s="363">
        <f t="shared" si="314"/>
      </c>
      <c r="L108" s="363"/>
      <c r="M108" s="363">
        <f t="shared" si="8"/>
      </c>
      <c r="N108" s="363">
        <f t="shared" si="74"/>
      </c>
      <c r="O108" s="364">
        <f t="shared" si="104"/>
      </c>
      <c r="P108" s="364">
        <f t="shared" si="134"/>
      </c>
      <c r="Q108" s="364">
        <f t="shared" si="164"/>
      </c>
      <c r="R108" s="364">
        <f t="shared" si="224"/>
      </c>
      <c r="S108" s="365">
        <f t="shared" si="284"/>
      </c>
      <c r="T108" s="364">
        <f>AVERAGE(T104:T107)</f>
      </c>
      <c r="U108" s="361">
        <f>AVERAGE(U104:U107)</f>
      </c>
      <c r="V108" s="363">
        <f t="shared" si="344"/>
      </c>
      <c r="W108" s="365">
        <f>SUM(W104:W107)</f>
      </c>
      <c r="X108" s="365">
        <f>SUM(X104:X107)</f>
      </c>
      <c r="Y108" s="365">
        <f>SUM(Y104:Y107)</f>
      </c>
      <c r="Z108" s="365">
        <f>SUM(Z104:Z107)</f>
      </c>
      <c r="AA108" s="365">
        <f>SUM(AA104:AA107)</f>
      </c>
      <c r="AB108" s="365">
        <f>SUM(AB104:AB107)</f>
      </c>
      <c r="AC108" s="365">
        <f>SUM(AC104:AC107)</f>
      </c>
      <c r="AD108" s="365">
        <f>SUM(AD104:AD107)</f>
      </c>
      <c r="AE108" s="366">
        <f t="shared" si="38"/>
      </c>
      <c r="AF108" s="367"/>
      <c r="AG108" s="367"/>
      <c r="AH108" s="365">
        <f>SUM(AH104:AH107)</f>
      </c>
    </row>
    <row r="109">
      <c r="A109" s="397"/>
      <c r="B109" s="369" t="s">
        <v>241</v>
      </c>
      <c r="C109" s="369"/>
      <c r="D109" s="370">
        <f>D103+D108</f>
      </c>
      <c r="E109" s="371"/>
      <c r="F109" s="371">
        <f>F103+F108</f>
      </c>
      <c r="G109" s="371">
        <f>G103+G108</f>
      </c>
      <c r="H109" s="370">
        <f>H103+H108</f>
      </c>
      <c r="I109" s="372">
        <f t="shared" si="194"/>
      </c>
      <c r="J109" s="372">
        <f t="shared" si="254"/>
      </c>
      <c r="K109" s="372">
        <f t="shared" si="314"/>
      </c>
      <c r="L109" s="372"/>
      <c r="M109" s="372">
        <f t="shared" si="8"/>
      </c>
      <c r="N109" s="372">
        <f t="shared" si="74"/>
      </c>
      <c r="O109" s="373">
        <f t="shared" si="104"/>
      </c>
      <c r="P109" s="373">
        <f t="shared" si="134"/>
      </c>
      <c r="Q109" s="373">
        <f t="shared" si="164"/>
      </c>
      <c r="R109" s="373">
        <f t="shared" si="224"/>
      </c>
      <c r="S109" s="374">
        <f t="shared" si="284"/>
      </c>
      <c r="T109" s="373">
        <f>(T103+T108)/2</f>
      </c>
      <c r="U109" s="370">
        <f>(U108+U103)/2</f>
      </c>
      <c r="V109" s="370">
        <f t="shared" si="344"/>
      </c>
      <c r="W109" s="374">
        <f>W103+W108</f>
      </c>
      <c r="X109" s="374">
        <f>X103+X108</f>
      </c>
      <c r="Y109" s="374">
        <f>Y103+Y108</f>
      </c>
      <c r="Z109" s="374">
        <f>Z103+Z108</f>
      </c>
      <c r="AA109" s="374">
        <f>AA103+AA108</f>
      </c>
      <c r="AB109" s="374">
        <f>AB103+AB108</f>
      </c>
      <c r="AC109" s="374">
        <f>AC103+AC108</f>
      </c>
      <c r="AD109" s="374">
        <f>AD103+AD108</f>
      </c>
      <c r="AE109" s="372">
        <f>AE103</f>
      </c>
      <c r="AF109" s="369"/>
      <c r="AG109" s="369"/>
      <c r="AH109" s="374">
        <f>AH103+AH108</f>
      </c>
    </row>
    <row r="110">
      <c r="A110" s="380" t="s">
        <v>197</v>
      </c>
      <c r="B110" s="396" t="s">
        <v>198</v>
      </c>
      <c r="C110" s="396"/>
      <c r="D110" s="381" t="s">
        <v>199</v>
      </c>
      <c r="E110" s="381"/>
      <c r="F110" s="381"/>
      <c r="G110" s="381"/>
      <c r="H110" s="381"/>
      <c r="I110" s="381"/>
      <c r="J110" s="381"/>
      <c r="K110" s="381"/>
      <c r="L110" s="381"/>
      <c r="M110" s="381"/>
      <c r="N110" s="382" t="s">
        <v>200</v>
      </c>
      <c r="O110" s="382"/>
      <c r="P110" s="382"/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  <c r="AA110" s="382"/>
      <c r="AB110" s="382"/>
      <c r="AC110" s="382"/>
      <c r="AD110" s="382"/>
      <c r="AE110" s="382"/>
      <c r="AF110" s="382"/>
      <c r="AG110" s="382"/>
      <c r="AH110" s="340"/>
    </row>
    <row r="111">
      <c r="A111" s="380"/>
      <c r="B111" s="396" t="s">
        <v>201</v>
      </c>
      <c r="C111" s="398" t="s">
        <v>202</v>
      </c>
      <c r="D111" s="399" t="s">
        <v>203</v>
      </c>
      <c r="E111" s="391"/>
      <c r="F111" s="391" t="s">
        <v>204</v>
      </c>
      <c r="G111" s="391" t="s">
        <v>205</v>
      </c>
      <c r="H111" s="390" t="s">
        <v>206</v>
      </c>
      <c r="I111" s="384" t="s">
        <v>207</v>
      </c>
      <c r="J111" s="384" t="s">
        <v>208</v>
      </c>
      <c r="K111" s="384" t="s">
        <v>209</v>
      </c>
      <c r="L111" s="384"/>
      <c r="M111" s="384" t="s">
        <v>210</v>
      </c>
      <c r="N111" s="385" t="s">
        <v>211</v>
      </c>
      <c r="O111" s="386" t="s">
        <v>212</v>
      </c>
      <c r="P111" s="386" t="s">
        <v>213</v>
      </c>
      <c r="Q111" s="386" t="s">
        <v>214</v>
      </c>
      <c r="R111" s="386" t="s">
        <v>215</v>
      </c>
      <c r="S111" s="387" t="s">
        <v>216</v>
      </c>
      <c r="T111" s="392" t="s">
        <v>217</v>
      </c>
      <c r="U111" s="393" t="s">
        <v>218</v>
      </c>
      <c r="V111" s="382" t="s">
        <v>219</v>
      </c>
      <c r="W111" s="394" t="s">
        <v>220</v>
      </c>
      <c r="X111" s="394" t="s">
        <v>221</v>
      </c>
      <c r="Y111" s="394" t="s">
        <v>222</v>
      </c>
      <c r="Z111" s="394" t="s">
        <v>223</v>
      </c>
      <c r="AA111" s="394" t="s">
        <v>224</v>
      </c>
      <c r="AB111" s="394" t="s">
        <v>225</v>
      </c>
      <c r="AC111" s="394" t="s">
        <v>226</v>
      </c>
      <c r="AD111" s="394" t="s">
        <v>227</v>
      </c>
      <c r="AE111" s="382" t="s">
        <v>228</v>
      </c>
      <c r="AF111" s="389" t="s">
        <v>229</v>
      </c>
      <c r="AG111" s="389" t="s">
        <v>230</v>
      </c>
      <c r="AH111" s="340" t="s">
        <v>231</v>
      </c>
    </row>
    <row r="112">
      <c r="A112" s="397">
        <v>46153</v>
      </c>
      <c r="B112" s="400" t="s">
        <v>248</v>
      </c>
      <c r="C112" s="348" t="s">
        <v>243</v>
      </c>
      <c r="D112" s="349">
        <v>2210.4300000000003</v>
      </c>
      <c r="E112" s="401"/>
      <c r="F112" s="401">
        <v>5</v>
      </c>
      <c r="G112" s="350">
        <v>4</v>
      </c>
      <c r="H112" s="378">
        <v>2545.95</v>
      </c>
      <c r="I112" s="351">
        <f t="shared" ref="I112:I122" si="195">H112/D112</f>
      </c>
      <c r="J112" s="351">
        <f t="shared" ref="J112:J122" si="255">D112/F112</f>
      </c>
      <c r="K112" s="351">
        <f t="shared" ref="K112:K122" si="315">D112/G112</f>
      </c>
      <c r="L112" s="351"/>
      <c r="M112" s="351">
        <f t="shared" ref="M112:M122" si="9">H112/F112</f>
      </c>
      <c r="N112" s="351">
        <f t="shared" ref="N112:N122" si="75">D112/X112</f>
      </c>
      <c r="O112" s="352">
        <f t="shared" ref="O112:O122" si="105">S112/W112*1</f>
      </c>
      <c r="P112" s="352">
        <f t="shared" ref="P112:P122" si="135">X112/W112</f>
      </c>
      <c r="Q112" s="352">
        <f t="shared" ref="Q112:Q122" si="165">Z112/W112</f>
      </c>
      <c r="R112" s="352">
        <f t="shared" ref="R112:R122" si="225">AA112/Z112</f>
      </c>
      <c r="S112" s="353">
        <f t="shared" ref="S112:S122" si="285">Y112/T112</f>
      </c>
      <c r="T112" s="354">
        <v>0.0474</v>
      </c>
      <c r="U112" s="355">
        <v>41</v>
      </c>
      <c r="V112" s="351">
        <f t="shared" ref="V112:V122" si="345">(D112/W112)*1000</f>
      </c>
      <c r="W112" s="355">
        <v>16068</v>
      </c>
      <c r="X112" s="355">
        <v>491</v>
      </c>
      <c r="Y112" s="353">
        <v>75</v>
      </c>
      <c r="Z112" s="353">
        <v>696</v>
      </c>
      <c r="AA112" s="353">
        <v>42</v>
      </c>
      <c r="AB112" s="353">
        <v>11</v>
      </c>
      <c r="AC112" s="353">
        <v>3</v>
      </c>
      <c r="AD112" s="355">
        <v>16</v>
      </c>
      <c r="AE112" s="351">
        <f t="shared" ref="AE112:AE121" si="39">AH112*1000/D112</f>
      </c>
      <c r="AF112" s="356" t="s">
        <v>234</v>
      </c>
      <c r="AG112" s="357" t="s">
        <v>250</v>
      </c>
      <c r="AH112" s="355">
        <v>24</v>
      </c>
    </row>
    <row r="113">
      <c r="A113" s="402"/>
      <c r="B113" s="348" t="s">
        <v>248</v>
      </c>
      <c r="C113" s="403" t="s">
        <v>244</v>
      </c>
      <c r="D113" s="404">
        <v>1246.3400000000001</v>
      </c>
      <c r="E113" s="379"/>
      <c r="F113" s="379">
        <v>0</v>
      </c>
      <c r="G113" s="379">
        <v>0</v>
      </c>
      <c r="H113" s="378">
        <v>0</v>
      </c>
      <c r="I113" s="351">
        <f t="shared" si="195"/>
      </c>
      <c r="J113" s="351">
        <f t="shared" si="255"/>
      </c>
      <c r="K113" s="351">
        <f t="shared" si="315"/>
      </c>
      <c r="L113" s="351"/>
      <c r="M113" s="351">
        <f t="shared" si="9"/>
      </c>
      <c r="N113" s="351">
        <f t="shared" si="75"/>
      </c>
      <c r="O113" s="352">
        <f t="shared" si="105"/>
      </c>
      <c r="P113" s="352">
        <f t="shared" si="135"/>
      </c>
      <c r="Q113" s="352">
        <f t="shared" si="165"/>
      </c>
      <c r="R113" s="352">
        <f t="shared" si="225"/>
      </c>
      <c r="S113" s="353">
        <f t="shared" si="285"/>
      </c>
      <c r="T113" s="354">
        <v>0.0521</v>
      </c>
      <c r="U113" s="355">
        <v>43</v>
      </c>
      <c r="V113" s="351">
        <f t="shared" si="345"/>
      </c>
      <c r="W113" s="355">
        <v>10850</v>
      </c>
      <c r="X113" s="355">
        <v>268</v>
      </c>
      <c r="Y113" s="353">
        <v>51</v>
      </c>
      <c r="Z113" s="353">
        <v>338</v>
      </c>
      <c r="AA113" s="355">
        <v>20</v>
      </c>
      <c r="AB113" s="353">
        <v>2</v>
      </c>
      <c r="AC113" s="355">
        <v>0</v>
      </c>
      <c r="AD113" s="355">
        <v>11</v>
      </c>
      <c r="AE113" s="351">
        <f t="shared" si="39"/>
      </c>
      <c r="AF113" s="356" t="s">
        <v>234</v>
      </c>
      <c r="AG113" s="357" t="s">
        <v>250</v>
      </c>
      <c r="AH113" s="355">
        <v>14</v>
      </c>
    </row>
    <row r="114">
      <c r="A114" s="402"/>
      <c r="B114" s="348" t="s">
        <v>248</v>
      </c>
      <c r="C114" s="348" t="s">
        <v>245</v>
      </c>
      <c r="D114" s="349">
        <v>2414.06</v>
      </c>
      <c r="E114" s="379"/>
      <c r="F114" s="379">
        <v>3</v>
      </c>
      <c r="G114" s="379">
        <v>3</v>
      </c>
      <c r="H114" s="349">
        <v>2119.7</v>
      </c>
      <c r="I114" s="351">
        <f t="shared" si="195"/>
      </c>
      <c r="J114" s="351">
        <f t="shared" si="255"/>
      </c>
      <c r="K114" s="351">
        <f t="shared" si="315"/>
      </c>
      <c r="L114" s="351"/>
      <c r="M114" s="351">
        <f t="shared" si="9"/>
      </c>
      <c r="N114" s="351">
        <f t="shared" si="75"/>
      </c>
      <c r="O114" s="352">
        <f t="shared" si="105"/>
      </c>
      <c r="P114" s="352">
        <f t="shared" si="135"/>
      </c>
      <c r="Q114" s="352">
        <f t="shared" si="165"/>
      </c>
      <c r="R114" s="352">
        <f t="shared" si="225"/>
      </c>
      <c r="S114" s="353">
        <f t="shared" si="285"/>
      </c>
      <c r="T114" s="354">
        <v>0.0602</v>
      </c>
      <c r="U114" s="355">
        <v>41</v>
      </c>
      <c r="V114" s="351">
        <f t="shared" si="345"/>
      </c>
      <c r="W114" s="355">
        <v>17164</v>
      </c>
      <c r="X114" s="355">
        <v>585</v>
      </c>
      <c r="Y114" s="355">
        <v>80</v>
      </c>
      <c r="Z114" s="355">
        <v>761</v>
      </c>
      <c r="AA114" s="355">
        <v>33</v>
      </c>
      <c r="AB114" s="355">
        <v>7</v>
      </c>
      <c r="AC114" s="355">
        <v>0</v>
      </c>
      <c r="AD114" s="355">
        <v>19</v>
      </c>
      <c r="AE114" s="351">
        <f t="shared" si="39"/>
      </c>
      <c r="AF114" s="356" t="s">
        <v>234</v>
      </c>
      <c r="AG114" s="357" t="s">
        <v>250</v>
      </c>
      <c r="AH114" s="355">
        <v>18</v>
      </c>
    </row>
    <row r="115">
      <c r="A115" s="402"/>
      <c r="B115" s="348" t="s">
        <v>248</v>
      </c>
      <c r="C115" s="348" t="s">
        <v>233</v>
      </c>
      <c r="D115" s="349">
        <v>2155.67</v>
      </c>
      <c r="E115" s="350"/>
      <c r="F115" s="350">
        <v>5</v>
      </c>
      <c r="G115" s="350">
        <v>5</v>
      </c>
      <c r="H115" s="349">
        <v>5020.4</v>
      </c>
      <c r="I115" s="351">
        <f t="shared" si="195"/>
      </c>
      <c r="J115" s="351">
        <f t="shared" si="255"/>
      </c>
      <c r="K115" s="351">
        <f t="shared" si="315"/>
      </c>
      <c r="L115" s="351"/>
      <c r="M115" s="351">
        <f t="shared" si="9"/>
      </c>
      <c r="N115" s="351">
        <f t="shared" si="75"/>
      </c>
      <c r="O115" s="352">
        <f t="shared" si="105"/>
      </c>
      <c r="P115" s="352">
        <f t="shared" si="135"/>
      </c>
      <c r="Q115" s="352">
        <f t="shared" si="165"/>
      </c>
      <c r="R115" s="352">
        <f t="shared" si="225"/>
      </c>
      <c r="S115" s="353">
        <f t="shared" si="285"/>
      </c>
      <c r="T115" s="354">
        <v>0.0604</v>
      </c>
      <c r="U115" s="355">
        <v>39</v>
      </c>
      <c r="V115" s="351">
        <f t="shared" si="345"/>
      </c>
      <c r="W115" s="353">
        <v>19127</v>
      </c>
      <c r="X115" s="353">
        <v>660</v>
      </c>
      <c r="Y115" s="353">
        <v>75</v>
      </c>
      <c r="Z115" s="353">
        <v>867</v>
      </c>
      <c r="AA115" s="353">
        <v>91</v>
      </c>
      <c r="AB115" s="353">
        <v>9</v>
      </c>
      <c r="AC115" s="353">
        <v>3</v>
      </c>
      <c r="AD115" s="353">
        <v>25</v>
      </c>
      <c r="AE115" s="351">
        <f t="shared" si="39"/>
      </c>
      <c r="AF115" s="356" t="s">
        <v>234</v>
      </c>
      <c r="AG115" s="357" t="s">
        <v>250</v>
      </c>
      <c r="AH115" s="355">
        <v>21</v>
      </c>
    </row>
    <row r="116">
      <c r="A116" s="402"/>
      <c r="B116" s="360" t="s">
        <v>240</v>
      </c>
      <c r="C116" s="360"/>
      <c r="D116" s="361">
        <f>SUM(D112:D115)</f>
      </c>
      <c r="E116" s="362"/>
      <c r="F116" s="362">
        <f>SUM(F112:F115)</f>
      </c>
      <c r="G116" s="362">
        <f>SUM(G112:G115)</f>
      </c>
      <c r="H116" s="361">
        <f>SUM(H112:H115)</f>
      </c>
      <c r="I116" s="363">
        <f t="shared" si="195"/>
      </c>
      <c r="J116" s="363">
        <f t="shared" si="255"/>
      </c>
      <c r="K116" s="363">
        <f t="shared" si="315"/>
      </c>
      <c r="L116" s="363"/>
      <c r="M116" s="363">
        <f t="shared" si="9"/>
      </c>
      <c r="N116" s="363">
        <f t="shared" si="75"/>
      </c>
      <c r="O116" s="364">
        <f t="shared" si="105"/>
      </c>
      <c r="P116" s="364">
        <f t="shared" si="135"/>
      </c>
      <c r="Q116" s="364">
        <f t="shared" si="165"/>
      </c>
      <c r="R116" s="364">
        <f t="shared" si="225"/>
      </c>
      <c r="S116" s="365">
        <f t="shared" si="285"/>
      </c>
      <c r="T116" s="364">
        <f>AVERAGE(T112:T115)</f>
      </c>
      <c r="U116" s="361">
        <f>AVERAGE(U112:U115)</f>
      </c>
      <c r="V116" s="363">
        <f t="shared" si="345"/>
      </c>
      <c r="W116" s="365">
        <f>SUM(W112:W115)</f>
      </c>
      <c r="X116" s="365">
        <f>SUM(X112:X115)</f>
      </c>
      <c r="Y116" s="365">
        <f>SUM(Y112:Y115)</f>
      </c>
      <c r="Z116" s="365">
        <f>SUM(Z112:Z115)</f>
      </c>
      <c r="AA116" s="365">
        <f>SUM(AA112:AA115)</f>
      </c>
      <c r="AB116" s="365">
        <f>SUM(AB112:AB115)</f>
      </c>
      <c r="AC116" s="365">
        <f>SUM(AC112:AC115)</f>
      </c>
      <c r="AD116" s="365">
        <f>SUM(AD112:AD115)</f>
      </c>
      <c r="AE116" s="366">
        <f t="shared" si="39"/>
      </c>
      <c r="AF116" s="367"/>
      <c r="AG116" s="367"/>
      <c r="AH116" s="368">
        <f>SUM(AH112:AH115)</f>
      </c>
    </row>
    <row r="117">
      <c r="A117" s="402"/>
      <c r="B117" s="375" t="s">
        <v>249</v>
      </c>
      <c r="C117" s="348" t="s">
        <v>236</v>
      </c>
      <c r="D117" s="349">
        <v>3303.88</v>
      </c>
      <c r="E117" s="350"/>
      <c r="F117" s="350">
        <v>4</v>
      </c>
      <c r="G117" s="350">
        <v>3</v>
      </c>
      <c r="H117" s="349">
        <v>2570.7000000000007</v>
      </c>
      <c r="I117" s="351">
        <f t="shared" si="195"/>
      </c>
      <c r="J117" s="351">
        <f t="shared" si="255"/>
      </c>
      <c r="K117" s="351">
        <f t="shared" si="315"/>
      </c>
      <c r="L117" s="351"/>
      <c r="M117" s="351">
        <f t="shared" si="9"/>
      </c>
      <c r="N117" s="351">
        <f t="shared" si="75"/>
      </c>
      <c r="O117" s="352">
        <f t="shared" si="105"/>
      </c>
      <c r="P117" s="352">
        <f t="shared" si="135"/>
      </c>
      <c r="Q117" s="352">
        <f t="shared" si="165"/>
      </c>
      <c r="R117" s="352">
        <f t="shared" si="225"/>
      </c>
      <c r="S117" s="353">
        <f t="shared" si="285"/>
      </c>
      <c r="T117" s="354">
        <v>0.0641</v>
      </c>
      <c r="U117" s="355">
        <v>40</v>
      </c>
      <c r="V117" s="351">
        <f t="shared" si="345"/>
      </c>
      <c r="W117" s="355">
        <v>26259</v>
      </c>
      <c r="X117" s="355">
        <v>880</v>
      </c>
      <c r="Y117" s="353">
        <v>117</v>
      </c>
      <c r="Z117" s="353">
        <v>1075</v>
      </c>
      <c r="AA117" s="353">
        <v>101</v>
      </c>
      <c r="AB117" s="353">
        <v>17</v>
      </c>
      <c r="AC117" s="355">
        <v>3</v>
      </c>
      <c r="AD117" s="355">
        <v>29</v>
      </c>
      <c r="AE117" s="351">
        <f t="shared" si="39"/>
      </c>
      <c r="AF117" s="356" t="s">
        <v>234</v>
      </c>
      <c r="AG117" s="357" t="s">
        <v>250</v>
      </c>
      <c r="AH117" s="355">
        <v>40</v>
      </c>
    </row>
    <row r="118">
      <c r="A118" s="402"/>
      <c r="B118" s="375" t="s">
        <v>249</v>
      </c>
      <c r="C118" s="348" t="s">
        <v>237</v>
      </c>
      <c r="D118" s="349">
        <v>4236.52</v>
      </c>
      <c r="E118" s="350"/>
      <c r="F118" s="350">
        <v>8</v>
      </c>
      <c r="G118" s="350">
        <v>8</v>
      </c>
      <c r="H118" s="349">
        <v>7178.5999999999985</v>
      </c>
      <c r="I118" s="351">
        <f t="shared" si="195"/>
      </c>
      <c r="J118" s="351">
        <f t="shared" si="255"/>
      </c>
      <c r="K118" s="351">
        <f t="shared" si="315"/>
      </c>
      <c r="L118" s="351"/>
      <c r="M118" s="351">
        <f t="shared" si="9"/>
      </c>
      <c r="N118" s="351">
        <f t="shared" si="75"/>
      </c>
      <c r="O118" s="352">
        <f t="shared" si="105"/>
      </c>
      <c r="P118" s="352">
        <f t="shared" si="135"/>
      </c>
      <c r="Q118" s="352">
        <f t="shared" si="165"/>
      </c>
      <c r="R118" s="352">
        <f t="shared" si="225"/>
      </c>
      <c r="S118" s="353">
        <f t="shared" si="285"/>
      </c>
      <c r="T118" s="354">
        <v>0.0642</v>
      </c>
      <c r="U118" s="355">
        <v>42</v>
      </c>
      <c r="V118" s="351">
        <f t="shared" si="345"/>
      </c>
      <c r="W118" s="353">
        <v>33175</v>
      </c>
      <c r="X118" s="353">
        <v>1090</v>
      </c>
      <c r="Y118" s="353">
        <v>125</v>
      </c>
      <c r="Z118" s="353">
        <v>1342</v>
      </c>
      <c r="AA118" s="353">
        <v>77</v>
      </c>
      <c r="AB118" s="353">
        <v>22</v>
      </c>
      <c r="AC118" s="353">
        <v>1</v>
      </c>
      <c r="AD118" s="355">
        <v>46</v>
      </c>
      <c r="AE118" s="351">
        <f t="shared" si="39"/>
      </c>
      <c r="AF118" s="356" t="s">
        <v>234</v>
      </c>
      <c r="AG118" s="357" t="s">
        <v>250</v>
      </c>
      <c r="AH118" s="355">
        <v>40</v>
      </c>
    </row>
    <row r="119">
      <c r="A119" s="402"/>
      <c r="B119" s="375" t="s">
        <v>249</v>
      </c>
      <c r="C119" s="348" t="s">
        <v>238</v>
      </c>
      <c r="D119" s="349">
        <v>3610.78</v>
      </c>
      <c r="E119" s="350"/>
      <c r="F119" s="350">
        <v>5</v>
      </c>
      <c r="G119" s="350">
        <v>5</v>
      </c>
      <c r="H119" s="349">
        <v>2660.9000000000015</v>
      </c>
      <c r="I119" s="351">
        <f t="shared" si="195"/>
      </c>
      <c r="J119" s="351">
        <f t="shared" si="255"/>
      </c>
      <c r="K119" s="351">
        <f t="shared" si="315"/>
      </c>
      <c r="L119" s="351"/>
      <c r="M119" s="351">
        <f t="shared" si="9"/>
      </c>
      <c r="N119" s="351">
        <f t="shared" si="75"/>
      </c>
      <c r="O119" s="352">
        <f t="shared" si="105"/>
      </c>
      <c r="P119" s="352">
        <f t="shared" si="135"/>
      </c>
      <c r="Q119" s="352">
        <f t="shared" si="165"/>
      </c>
      <c r="R119" s="352">
        <f t="shared" si="225"/>
      </c>
      <c r="S119" s="353">
        <f t="shared" si="285"/>
      </c>
      <c r="T119" s="354">
        <v>0.0663</v>
      </c>
      <c r="U119" s="355">
        <v>45</v>
      </c>
      <c r="V119" s="351">
        <f t="shared" si="345"/>
      </c>
      <c r="W119" s="355">
        <v>30412</v>
      </c>
      <c r="X119" s="355">
        <v>775</v>
      </c>
      <c r="Y119" s="355">
        <v>119</v>
      </c>
      <c r="Z119" s="355">
        <v>944</v>
      </c>
      <c r="AA119" s="355">
        <v>89</v>
      </c>
      <c r="AB119" s="355">
        <v>16</v>
      </c>
      <c r="AC119" s="355">
        <v>2</v>
      </c>
      <c r="AD119" s="355">
        <v>37</v>
      </c>
      <c r="AE119" s="351">
        <f t="shared" si="39"/>
      </c>
      <c r="AF119" s="356" t="s">
        <v>234</v>
      </c>
      <c r="AG119" s="357" t="s">
        <v>250</v>
      </c>
      <c r="AH119" s="355">
        <v>41</v>
      </c>
    </row>
    <row r="120">
      <c r="A120" s="402"/>
      <c r="B120" s="375" t="s">
        <v>249</v>
      </c>
      <c r="C120" s="348" t="s">
        <v>239</v>
      </c>
      <c r="D120" s="349">
        <v>2858.73</v>
      </c>
      <c r="E120" s="350"/>
      <c r="F120" s="350">
        <v>4</v>
      </c>
      <c r="G120" s="350">
        <v>3</v>
      </c>
      <c r="H120" s="349">
        <v>2134</v>
      </c>
      <c r="I120" s="351">
        <f t="shared" si="195"/>
      </c>
      <c r="J120" s="351">
        <f t="shared" si="255"/>
      </c>
      <c r="K120" s="351">
        <f t="shared" si="315"/>
      </c>
      <c r="L120" s="351"/>
      <c r="M120" s="351">
        <f t="shared" si="9"/>
      </c>
      <c r="N120" s="351">
        <f t="shared" si="75"/>
      </c>
      <c r="O120" s="352">
        <f t="shared" si="105"/>
      </c>
      <c r="P120" s="352">
        <f t="shared" si="135"/>
      </c>
      <c r="Q120" s="352">
        <f t="shared" si="165"/>
      </c>
      <c r="R120" s="352">
        <f t="shared" si="225"/>
      </c>
      <c r="S120" s="353">
        <f t="shared" si="285"/>
      </c>
      <c r="T120" s="354">
        <v>0.068</v>
      </c>
      <c r="U120" s="355">
        <v>45</v>
      </c>
      <c r="V120" s="351">
        <f t="shared" si="345"/>
      </c>
      <c r="W120" s="355">
        <v>17664</v>
      </c>
      <c r="X120" s="355">
        <v>498</v>
      </c>
      <c r="Y120" s="353">
        <v>78</v>
      </c>
      <c r="Z120" s="353">
        <v>667</v>
      </c>
      <c r="AA120" s="353">
        <v>49</v>
      </c>
      <c r="AB120" s="353">
        <v>15</v>
      </c>
      <c r="AC120" s="355">
        <v>1</v>
      </c>
      <c r="AD120" s="355">
        <v>30</v>
      </c>
      <c r="AE120" s="351">
        <f t="shared" si="39"/>
      </c>
      <c r="AF120" s="356" t="s">
        <v>234</v>
      </c>
      <c r="AG120" s="357" t="s">
        <v>250</v>
      </c>
      <c r="AH120" s="355">
        <v>21</v>
      </c>
    </row>
    <row r="121">
      <c r="A121" s="402"/>
      <c r="B121" s="360" t="s">
        <v>240</v>
      </c>
      <c r="C121" s="360"/>
      <c r="D121" s="405">
        <f>SUM(D117:D120)</f>
      </c>
      <c r="E121" s="362"/>
      <c r="F121" s="362">
        <f>SUM(F117:F120)</f>
      </c>
      <c r="G121" s="362">
        <f>SUM(G117:G120)</f>
      </c>
      <c r="H121" s="361">
        <f>SUM(H117:H120)</f>
      </c>
      <c r="I121" s="363">
        <f t="shared" si="195"/>
      </c>
      <c r="J121" s="363">
        <f t="shared" si="255"/>
      </c>
      <c r="K121" s="363">
        <f t="shared" si="315"/>
      </c>
      <c r="L121" s="363"/>
      <c r="M121" s="363">
        <f t="shared" si="9"/>
      </c>
      <c r="N121" s="363">
        <f t="shared" si="75"/>
      </c>
      <c r="O121" s="364">
        <f t="shared" si="105"/>
      </c>
      <c r="P121" s="364">
        <f t="shared" si="135"/>
      </c>
      <c r="Q121" s="364">
        <f t="shared" si="165"/>
      </c>
      <c r="R121" s="364">
        <f t="shared" si="225"/>
      </c>
      <c r="S121" s="365">
        <f t="shared" si="285"/>
      </c>
      <c r="T121" s="364">
        <f>AVERAGE(T117:T120)</f>
      </c>
      <c r="U121" s="361">
        <f>AVERAGE(U117:U120)</f>
      </c>
      <c r="V121" s="363">
        <f t="shared" si="345"/>
      </c>
      <c r="W121" s="365">
        <f>SUM(W117:W120)</f>
      </c>
      <c r="X121" s="365">
        <f>SUM(X117:X120)</f>
      </c>
      <c r="Y121" s="365">
        <f>SUM(Y117:Y120)</f>
      </c>
      <c r="Z121" s="365">
        <f>SUM(Z117:Z120)</f>
      </c>
      <c r="AA121" s="365">
        <f>SUM(AA117:AA120)</f>
      </c>
      <c r="AB121" s="365">
        <f>SUM(AB117:AB120)</f>
      </c>
      <c r="AC121" s="365">
        <f>SUM(AC117:AC120)</f>
      </c>
      <c r="AD121" s="365">
        <f>SUM(AD117:AD120)</f>
      </c>
      <c r="AE121" s="366">
        <f t="shared" si="39"/>
      </c>
      <c r="AF121" s="367"/>
      <c r="AG121" s="367"/>
      <c r="AH121" s="365">
        <f>SUM(AH117:AH120)</f>
      </c>
    </row>
    <row r="122">
      <c r="A122" s="402"/>
      <c r="B122" s="369" t="s">
        <v>241</v>
      </c>
      <c r="C122" s="406"/>
      <c r="D122" s="370">
        <f>D116+D121</f>
      </c>
      <c r="E122" s="407"/>
      <c r="F122" s="407">
        <f>F116+F121</f>
      </c>
      <c r="G122" s="408">
        <f>G116+G121</f>
      </c>
      <c r="H122" s="409">
        <f>H116+H121</f>
      </c>
      <c r="I122" s="372">
        <f t="shared" si="195"/>
      </c>
      <c r="J122" s="372">
        <f t="shared" si="255"/>
      </c>
      <c r="K122" s="372">
        <f t="shared" si="315"/>
      </c>
      <c r="L122" s="372"/>
      <c r="M122" s="372">
        <f t="shared" si="9"/>
      </c>
      <c r="N122" s="372">
        <f t="shared" si="75"/>
      </c>
      <c r="O122" s="373">
        <f t="shared" si="105"/>
      </c>
      <c r="P122" s="373">
        <f t="shared" si="135"/>
      </c>
      <c r="Q122" s="373">
        <f t="shared" si="165"/>
      </c>
      <c r="R122" s="373">
        <f t="shared" si="225"/>
      </c>
      <c r="S122" s="374">
        <f t="shared" si="285"/>
      </c>
      <c r="T122" s="373">
        <f>(T116+T121)/2</f>
      </c>
      <c r="U122" s="370">
        <f>(U121+U116)/2</f>
      </c>
      <c r="V122" s="370">
        <f t="shared" si="345"/>
      </c>
      <c r="W122" s="374">
        <f>W116+W121</f>
      </c>
      <c r="X122" s="374">
        <f>X116+X121</f>
      </c>
      <c r="Y122" s="374">
        <f>Y116+Y121</f>
      </c>
      <c r="Z122" s="374">
        <f>Z116+Z121</f>
      </c>
      <c r="AA122" s="374">
        <f>AA116+AA121</f>
      </c>
      <c r="AB122" s="374">
        <f>AB116+AB121</f>
      </c>
      <c r="AC122" s="374">
        <f>AC116+AC121</f>
      </c>
      <c r="AD122" s="374">
        <f>AD116+AD121</f>
      </c>
      <c r="AE122" s="372">
        <f>AE116</f>
      </c>
      <c r="AF122" s="369"/>
      <c r="AG122" s="369"/>
      <c r="AH122" s="374">
        <f>AH116+AH121</f>
      </c>
    </row>
    <row r="123">
      <c r="A123" s="380" t="s">
        <v>197</v>
      </c>
      <c r="B123" s="396" t="s">
        <v>198</v>
      </c>
      <c r="C123" s="396"/>
      <c r="D123" s="381" t="s">
        <v>199</v>
      </c>
      <c r="E123" s="381"/>
      <c r="F123" s="381"/>
      <c r="G123" s="381"/>
      <c r="H123" s="381"/>
      <c r="I123" s="381"/>
      <c r="J123" s="381"/>
      <c r="K123" s="381"/>
      <c r="L123" s="381"/>
      <c r="M123" s="381"/>
      <c r="N123" s="382" t="s">
        <v>200</v>
      </c>
      <c r="O123" s="382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82"/>
      <c r="AF123" s="382"/>
      <c r="AG123" s="382"/>
      <c r="AH123" s="340"/>
    </row>
    <row r="124">
      <c r="A124" s="380"/>
      <c r="B124" s="396" t="s">
        <v>201</v>
      </c>
      <c r="C124" s="398" t="s">
        <v>202</v>
      </c>
      <c r="D124" s="399" t="s">
        <v>203</v>
      </c>
      <c r="E124" s="391"/>
      <c r="F124" s="391" t="s">
        <v>204</v>
      </c>
      <c r="G124" s="391" t="s">
        <v>205</v>
      </c>
      <c r="H124" s="390" t="s">
        <v>206</v>
      </c>
      <c r="I124" s="384" t="s">
        <v>207</v>
      </c>
      <c r="J124" s="384" t="s">
        <v>208</v>
      </c>
      <c r="K124" s="384" t="s">
        <v>209</v>
      </c>
      <c r="L124" s="384"/>
      <c r="M124" s="384" t="s">
        <v>210</v>
      </c>
      <c r="N124" s="385" t="s">
        <v>211</v>
      </c>
      <c r="O124" s="386" t="s">
        <v>212</v>
      </c>
      <c r="P124" s="386" t="s">
        <v>213</v>
      </c>
      <c r="Q124" s="386" t="s">
        <v>214</v>
      </c>
      <c r="R124" s="386" t="s">
        <v>215</v>
      </c>
      <c r="S124" s="387" t="s">
        <v>216</v>
      </c>
      <c r="T124" s="392" t="s">
        <v>217</v>
      </c>
      <c r="U124" s="393" t="s">
        <v>218</v>
      </c>
      <c r="V124" s="382" t="s">
        <v>219</v>
      </c>
      <c r="W124" s="394" t="s">
        <v>220</v>
      </c>
      <c r="X124" s="394" t="s">
        <v>221</v>
      </c>
      <c r="Y124" s="394" t="s">
        <v>222</v>
      </c>
      <c r="Z124" s="394" t="s">
        <v>223</v>
      </c>
      <c r="AA124" s="394" t="s">
        <v>224</v>
      </c>
      <c r="AB124" s="394" t="s">
        <v>225</v>
      </c>
      <c r="AC124" s="394" t="s">
        <v>226</v>
      </c>
      <c r="AD124" s="394" t="s">
        <v>227</v>
      </c>
      <c r="AE124" s="382" t="s">
        <v>228</v>
      </c>
      <c r="AF124" s="389" t="s">
        <v>229</v>
      </c>
      <c r="AG124" s="389" t="s">
        <v>230</v>
      </c>
      <c r="AH124" s="340" t="s">
        <v>231</v>
      </c>
    </row>
    <row r="125">
      <c r="A125" s="397">
        <v>46154</v>
      </c>
      <c r="B125" s="400" t="s">
        <v>248</v>
      </c>
      <c r="C125" s="348" t="s">
        <v>243</v>
      </c>
      <c r="D125" s="349">
        <v>1943.94</v>
      </c>
      <c r="E125" s="401"/>
      <c r="F125" s="401">
        <v>1</v>
      </c>
      <c r="G125" s="350">
        <v>1</v>
      </c>
      <c r="H125" s="378">
        <v>451</v>
      </c>
      <c r="I125" s="351">
        <f t="shared" ref="I125:I135" si="196">H125/D125</f>
      </c>
      <c r="J125" s="351">
        <f t="shared" ref="J125:J135" si="256">D125/F125</f>
      </c>
      <c r="K125" s="351">
        <f t="shared" ref="K125:K135" si="316">D125/G125</f>
      </c>
      <c r="L125" s="351"/>
      <c r="M125" s="351">
        <f t="shared" ref="M125:M135" si="10">H125/F125</f>
      </c>
      <c r="N125" s="351">
        <f t="shared" ref="N125:N135" si="76">D125/X125</f>
      </c>
      <c r="O125" s="352">
        <f t="shared" ref="O125:O135" si="106">S125/W125*1</f>
      </c>
      <c r="P125" s="352">
        <f t="shared" ref="P125:P135" si="136">X125/W125</f>
      </c>
      <c r="Q125" s="352">
        <f t="shared" ref="Q125:Q135" si="166">Z125/W125</f>
      </c>
      <c r="R125" s="352">
        <f t="shared" ref="R125:R135" si="226">AA125/Z125</f>
      </c>
      <c r="S125" s="353">
        <f t="shared" ref="S125:S135" si="286">Y125/T125</f>
      </c>
      <c r="T125" s="354">
        <v>0.0696</v>
      </c>
      <c r="U125" s="355">
        <v>61</v>
      </c>
      <c r="V125" s="351">
        <f t="shared" ref="V125:V135" si="346">(D125/W125)*1000</f>
      </c>
      <c r="W125" s="355">
        <v>14837</v>
      </c>
      <c r="X125" s="355">
        <v>299</v>
      </c>
      <c r="Y125" s="353">
        <v>70</v>
      </c>
      <c r="Z125" s="353">
        <v>401</v>
      </c>
      <c r="AA125" s="353">
        <v>43</v>
      </c>
      <c r="AB125" s="353">
        <v>7</v>
      </c>
      <c r="AC125" s="353">
        <v>2</v>
      </c>
      <c r="AD125" s="355">
        <v>14</v>
      </c>
      <c r="AE125" s="351">
        <f t="shared" ref="AE125:AE134" si="40">AH125*1000/D125</f>
      </c>
      <c r="AF125" s="356" t="s">
        <v>234</v>
      </c>
      <c r="AG125" s="357" t="s">
        <v>251</v>
      </c>
      <c r="AH125" s="355">
        <v>18</v>
      </c>
    </row>
    <row r="126">
      <c r="A126" s="397"/>
      <c r="B126" s="348" t="s">
        <v>248</v>
      </c>
      <c r="C126" s="403" t="s">
        <v>244</v>
      </c>
      <c r="D126" s="404">
        <v>2263.2</v>
      </c>
      <c r="E126" s="379"/>
      <c r="F126" s="379">
        <v>3</v>
      </c>
      <c r="G126" s="379">
        <v>3</v>
      </c>
      <c r="H126" s="378">
        <v>2449.7</v>
      </c>
      <c r="I126" s="351">
        <f t="shared" si="196"/>
      </c>
      <c r="J126" s="351">
        <f t="shared" si="256"/>
      </c>
      <c r="K126" s="351">
        <f t="shared" si="316"/>
      </c>
      <c r="L126" s="351"/>
      <c r="M126" s="351">
        <f t="shared" si="10"/>
      </c>
      <c r="N126" s="351">
        <f t="shared" si="76"/>
      </c>
      <c r="O126" s="352">
        <f t="shared" si="106"/>
      </c>
      <c r="P126" s="352">
        <f t="shared" si="136"/>
      </c>
      <c r="Q126" s="352">
        <f t="shared" si="166"/>
      </c>
      <c r="R126" s="352">
        <f t="shared" si="226"/>
      </c>
      <c r="S126" s="353">
        <f t="shared" si="286"/>
      </c>
      <c r="T126" s="354">
        <v>0.0604</v>
      </c>
      <c r="U126" s="355">
        <v>49</v>
      </c>
      <c r="V126" s="351">
        <f t="shared" si="346"/>
      </c>
      <c r="W126" s="355">
        <v>14859</v>
      </c>
      <c r="X126" s="355">
        <v>336</v>
      </c>
      <c r="Y126" s="353">
        <v>47</v>
      </c>
      <c r="Z126" s="353">
        <v>402</v>
      </c>
      <c r="AA126" s="355">
        <v>49</v>
      </c>
      <c r="AB126" s="353">
        <v>3</v>
      </c>
      <c r="AC126" s="355">
        <v>0</v>
      </c>
      <c r="AD126" s="355">
        <v>12</v>
      </c>
      <c r="AE126" s="351">
        <f t="shared" si="40"/>
      </c>
      <c r="AF126" s="356" t="s">
        <v>234</v>
      </c>
      <c r="AG126" s="357" t="s">
        <v>251</v>
      </c>
      <c r="AH126" s="355">
        <v>15</v>
      </c>
    </row>
    <row r="127">
      <c r="A127" s="397"/>
      <c r="B127" s="348" t="s">
        <v>248</v>
      </c>
      <c r="C127" s="348" t="s">
        <v>245</v>
      </c>
      <c r="D127" s="349">
        <v>2297.14</v>
      </c>
      <c r="E127" s="379"/>
      <c r="F127" s="379">
        <v>7</v>
      </c>
      <c r="G127" s="379">
        <v>5</v>
      </c>
      <c r="H127" s="349">
        <v>4577.65</v>
      </c>
      <c r="I127" s="351">
        <f t="shared" si="196"/>
      </c>
      <c r="J127" s="351">
        <f t="shared" si="256"/>
      </c>
      <c r="K127" s="351">
        <f t="shared" si="316"/>
      </c>
      <c r="L127" s="351"/>
      <c r="M127" s="351">
        <f t="shared" si="10"/>
      </c>
      <c r="N127" s="351">
        <f t="shared" si="76"/>
      </c>
      <c r="O127" s="352">
        <f t="shared" si="106"/>
      </c>
      <c r="P127" s="352">
        <f t="shared" si="136"/>
      </c>
      <c r="Q127" s="352">
        <f t="shared" si="166"/>
      </c>
      <c r="R127" s="352">
        <f t="shared" si="226"/>
      </c>
      <c r="S127" s="353">
        <f t="shared" si="286"/>
      </c>
      <c r="T127" s="354">
        <v>0.0708</v>
      </c>
      <c r="U127" s="355">
        <v>48</v>
      </c>
      <c r="V127" s="351">
        <f t="shared" si="346"/>
      </c>
      <c r="W127" s="355">
        <v>18196</v>
      </c>
      <c r="X127" s="355">
        <v>613</v>
      </c>
      <c r="Y127" s="355">
        <v>84</v>
      </c>
      <c r="Z127" s="355">
        <v>755</v>
      </c>
      <c r="AA127" s="355">
        <v>106</v>
      </c>
      <c r="AB127" s="355">
        <v>15</v>
      </c>
      <c r="AC127" s="355">
        <v>4</v>
      </c>
      <c r="AD127" s="355">
        <v>20</v>
      </c>
      <c r="AE127" s="351">
        <f t="shared" si="40"/>
      </c>
      <c r="AF127" s="356" t="s">
        <v>234</v>
      </c>
      <c r="AG127" s="357" t="s">
        <v>251</v>
      </c>
      <c r="AH127" s="355">
        <v>28</v>
      </c>
    </row>
    <row r="128">
      <c r="A128" s="397"/>
      <c r="B128" s="348" t="s">
        <v>248</v>
      </c>
      <c r="C128" s="348" t="s">
        <v>233</v>
      </c>
      <c r="D128" s="349">
        <v>3776.84</v>
      </c>
      <c r="E128" s="350"/>
      <c r="F128" s="350">
        <v>8</v>
      </c>
      <c r="G128" s="350">
        <v>9</v>
      </c>
      <c r="H128" s="349">
        <v>5657.3</v>
      </c>
      <c r="I128" s="351">
        <f t="shared" si="196"/>
      </c>
      <c r="J128" s="351">
        <f t="shared" si="256"/>
      </c>
      <c r="K128" s="351">
        <f t="shared" si="316"/>
      </c>
      <c r="L128" s="351"/>
      <c r="M128" s="351">
        <f t="shared" si="10"/>
      </c>
      <c r="N128" s="351">
        <f t="shared" si="76"/>
      </c>
      <c r="O128" s="352">
        <f t="shared" si="106"/>
      </c>
      <c r="P128" s="352">
        <f t="shared" si="136"/>
      </c>
      <c r="Q128" s="352">
        <f t="shared" si="166"/>
      </c>
      <c r="R128" s="352">
        <f t="shared" si="226"/>
      </c>
      <c r="S128" s="353">
        <f t="shared" si="286"/>
      </c>
      <c r="T128" s="354">
        <v>0.0752</v>
      </c>
      <c r="U128" s="355">
        <v>48</v>
      </c>
      <c r="V128" s="351">
        <f t="shared" si="346"/>
      </c>
      <c r="W128" s="353">
        <v>29151</v>
      </c>
      <c r="X128" s="353">
        <v>779</v>
      </c>
      <c r="Y128" s="353">
        <v>128</v>
      </c>
      <c r="Z128" s="353">
        <v>932</v>
      </c>
      <c r="AA128" s="353">
        <v>88</v>
      </c>
      <c r="AB128" s="353">
        <v>8</v>
      </c>
      <c r="AC128" s="353">
        <v>6</v>
      </c>
      <c r="AD128" s="353">
        <v>25</v>
      </c>
      <c r="AE128" s="351">
        <f t="shared" si="40"/>
      </c>
      <c r="AF128" s="356" t="s">
        <v>234</v>
      </c>
      <c r="AG128" s="357" t="s">
        <v>251</v>
      </c>
      <c r="AH128" s="355">
        <v>36</v>
      </c>
    </row>
    <row r="129">
      <c r="A129" s="397"/>
      <c r="B129" s="360" t="s">
        <v>240</v>
      </c>
      <c r="C129" s="360"/>
      <c r="D129" s="361">
        <f>SUM(D125:D128)</f>
      </c>
      <c r="E129" s="362"/>
      <c r="F129" s="362">
        <f>SUM(F125:F128)</f>
      </c>
      <c r="G129" s="362">
        <f>SUM(G125:G128)</f>
      </c>
      <c r="H129" s="361">
        <f>SUM(H125:H128)</f>
      </c>
      <c r="I129" s="363">
        <f t="shared" si="196"/>
      </c>
      <c r="J129" s="363">
        <f t="shared" si="256"/>
      </c>
      <c r="K129" s="363">
        <f t="shared" si="316"/>
      </c>
      <c r="L129" s="363"/>
      <c r="M129" s="363">
        <f t="shared" si="10"/>
      </c>
      <c r="N129" s="363">
        <f t="shared" si="76"/>
      </c>
      <c r="O129" s="364">
        <f t="shared" si="106"/>
      </c>
      <c r="P129" s="364">
        <f t="shared" si="136"/>
      </c>
      <c r="Q129" s="364">
        <f t="shared" si="166"/>
      </c>
      <c r="R129" s="364">
        <f t="shared" si="226"/>
      </c>
      <c r="S129" s="365">
        <f t="shared" si="286"/>
      </c>
      <c r="T129" s="364">
        <f>AVERAGE(T125:T128)</f>
      </c>
      <c r="U129" s="361">
        <f>AVERAGE(U125:U128)</f>
      </c>
      <c r="V129" s="363">
        <f t="shared" si="346"/>
      </c>
      <c r="W129" s="365">
        <f>SUM(W125:W128)</f>
      </c>
      <c r="X129" s="365">
        <f>SUM(X125:X128)</f>
      </c>
      <c r="Y129" s="365">
        <f>SUM(Y125:Y128)</f>
      </c>
      <c r="Z129" s="365">
        <f>SUM(Z125:Z128)</f>
      </c>
      <c r="AA129" s="365">
        <f>SUM(AA125:AA128)</f>
      </c>
      <c r="AB129" s="365">
        <f>SUM(AB125:AB128)</f>
      </c>
      <c r="AC129" s="365">
        <f>SUM(AC125:AC128)</f>
      </c>
      <c r="AD129" s="365">
        <f>SUM(AD125:AD128)</f>
      </c>
      <c r="AE129" s="366">
        <f t="shared" si="40"/>
      </c>
      <c r="AF129" s="367"/>
      <c r="AG129" s="367"/>
      <c r="AH129" s="368">
        <f>SUM(AH125:AH128)</f>
      </c>
    </row>
    <row r="130">
      <c r="A130" s="397"/>
      <c r="B130" s="375" t="s">
        <v>249</v>
      </c>
      <c r="C130" s="348" t="s">
        <v>236</v>
      </c>
      <c r="D130" s="349">
        <v>2140.48</v>
      </c>
      <c r="E130" s="350"/>
      <c r="F130" s="350">
        <v>3</v>
      </c>
      <c r="G130" s="350">
        <v>3</v>
      </c>
      <c r="H130" s="349">
        <v>2435.4</v>
      </c>
      <c r="I130" s="351">
        <f t="shared" si="196"/>
      </c>
      <c r="J130" s="351">
        <f t="shared" si="256"/>
      </c>
      <c r="K130" s="351">
        <f t="shared" si="316"/>
      </c>
      <c r="L130" s="351"/>
      <c r="M130" s="351">
        <f t="shared" si="10"/>
      </c>
      <c r="N130" s="351">
        <f t="shared" si="76"/>
      </c>
      <c r="O130" s="352">
        <f t="shared" si="106"/>
      </c>
      <c r="P130" s="352">
        <f t="shared" si="136"/>
      </c>
      <c r="Q130" s="352">
        <f t="shared" si="166"/>
      </c>
      <c r="R130" s="352">
        <f t="shared" si="226"/>
      </c>
      <c r="S130" s="353">
        <f t="shared" si="286"/>
      </c>
      <c r="T130" s="354">
        <v>0.0754</v>
      </c>
      <c r="U130" s="355">
        <v>51</v>
      </c>
      <c r="V130" s="351">
        <f t="shared" si="346"/>
      </c>
      <c r="W130" s="355">
        <v>21319</v>
      </c>
      <c r="X130" s="355">
        <v>509</v>
      </c>
      <c r="Y130" s="353">
        <v>80</v>
      </c>
      <c r="Z130" s="353">
        <v>591</v>
      </c>
      <c r="AA130" s="353">
        <v>81</v>
      </c>
      <c r="AB130" s="353">
        <v>13</v>
      </c>
      <c r="AC130" s="355">
        <v>0</v>
      </c>
      <c r="AD130" s="355">
        <v>16</v>
      </c>
      <c r="AE130" s="351">
        <f t="shared" si="40"/>
      </c>
      <c r="AF130" s="356" t="s">
        <v>234</v>
      </c>
      <c r="AG130" s="357" t="s">
        <v>251</v>
      </c>
      <c r="AH130" s="355">
        <v>31</v>
      </c>
    </row>
    <row r="131">
      <c r="A131" s="397"/>
      <c r="B131" s="375" t="s">
        <v>249</v>
      </c>
      <c r="C131" s="348" t="s">
        <v>237</v>
      </c>
      <c r="D131" s="349">
        <v>2634.89</v>
      </c>
      <c r="E131" s="350"/>
      <c r="F131" s="350">
        <v>5</v>
      </c>
      <c r="G131" s="350">
        <v>4</v>
      </c>
      <c r="H131" s="349">
        <v>3287.899999999998</v>
      </c>
      <c r="I131" s="351">
        <f t="shared" si="196"/>
      </c>
      <c r="J131" s="351">
        <f t="shared" si="256"/>
      </c>
      <c r="K131" s="351">
        <f t="shared" si="316"/>
      </c>
      <c r="L131" s="351"/>
      <c r="M131" s="351">
        <f t="shared" si="10"/>
      </c>
      <c r="N131" s="351">
        <f t="shared" si="76"/>
      </c>
      <c r="O131" s="352">
        <f t="shared" si="106"/>
      </c>
      <c r="P131" s="352">
        <f t="shared" si="136"/>
      </c>
      <c r="Q131" s="352">
        <f t="shared" si="166"/>
      </c>
      <c r="R131" s="352">
        <f t="shared" si="226"/>
      </c>
      <c r="S131" s="353">
        <f t="shared" si="286"/>
      </c>
      <c r="T131" s="354">
        <v>0.0713</v>
      </c>
      <c r="U131" s="355">
        <v>52</v>
      </c>
      <c r="V131" s="351">
        <f t="shared" si="346"/>
      </c>
      <c r="W131" s="353">
        <v>24004</v>
      </c>
      <c r="X131" s="353">
        <v>608</v>
      </c>
      <c r="Y131" s="353">
        <v>76</v>
      </c>
      <c r="Z131" s="353">
        <v>686</v>
      </c>
      <c r="AA131" s="353">
        <v>88</v>
      </c>
      <c r="AB131" s="353">
        <v>12</v>
      </c>
      <c r="AC131" s="353">
        <v>2</v>
      </c>
      <c r="AD131" s="355">
        <v>30</v>
      </c>
      <c r="AE131" s="351">
        <f t="shared" si="40"/>
      </c>
      <c r="AF131" s="356" t="s">
        <v>234</v>
      </c>
      <c r="AG131" s="357" t="s">
        <v>251</v>
      </c>
      <c r="AH131" s="355">
        <v>33</v>
      </c>
    </row>
    <row r="132">
      <c r="A132" s="397"/>
      <c r="B132" s="375" t="s">
        <v>249</v>
      </c>
      <c r="C132" s="348" t="s">
        <v>238</v>
      </c>
      <c r="D132" s="349">
        <v>3431.97</v>
      </c>
      <c r="E132" s="350"/>
      <c r="F132" s="350">
        <v>4</v>
      </c>
      <c r="G132" s="350">
        <v>2</v>
      </c>
      <c r="H132" s="349">
        <v>2500.8499999999985</v>
      </c>
      <c r="I132" s="351">
        <f t="shared" si="196"/>
      </c>
      <c r="J132" s="351">
        <f t="shared" si="256"/>
      </c>
      <c r="K132" s="351">
        <f t="shared" si="316"/>
      </c>
      <c r="L132" s="351"/>
      <c r="M132" s="351">
        <f t="shared" si="10"/>
      </c>
      <c r="N132" s="351">
        <f t="shared" si="76"/>
      </c>
      <c r="O132" s="352">
        <f t="shared" si="106"/>
      </c>
      <c r="P132" s="352">
        <f t="shared" si="136"/>
      </c>
      <c r="Q132" s="352">
        <f t="shared" si="166"/>
      </c>
      <c r="R132" s="352">
        <f t="shared" si="226"/>
      </c>
      <c r="S132" s="353">
        <f t="shared" si="286"/>
      </c>
      <c r="T132" s="354">
        <v>0.0709</v>
      </c>
      <c r="U132" s="355">
        <v>53</v>
      </c>
      <c r="V132" s="351">
        <f t="shared" si="346"/>
      </c>
      <c r="W132" s="355">
        <v>25548</v>
      </c>
      <c r="X132" s="355">
        <v>550</v>
      </c>
      <c r="Y132" s="355">
        <v>90</v>
      </c>
      <c r="Z132" s="355">
        <v>630</v>
      </c>
      <c r="AA132" s="355">
        <v>114</v>
      </c>
      <c r="AB132" s="355">
        <v>12</v>
      </c>
      <c r="AC132" s="355">
        <v>0</v>
      </c>
      <c r="AD132" s="355">
        <v>34</v>
      </c>
      <c r="AE132" s="351">
        <f t="shared" si="40"/>
      </c>
      <c r="AF132" s="356" t="s">
        <v>234</v>
      </c>
      <c r="AG132" s="357" t="s">
        <v>251</v>
      </c>
      <c r="AH132" s="355">
        <v>39</v>
      </c>
    </row>
    <row r="133">
      <c r="A133" s="397"/>
      <c r="B133" s="375" t="s">
        <v>249</v>
      </c>
      <c r="C133" s="348" t="s">
        <v>239</v>
      </c>
      <c r="D133" s="349">
        <v>2055.18</v>
      </c>
      <c r="E133" s="350"/>
      <c r="F133" s="350">
        <v>6</v>
      </c>
      <c r="G133" s="350">
        <v>6</v>
      </c>
      <c r="H133" s="349">
        <v>4852.100000000002</v>
      </c>
      <c r="I133" s="351">
        <f t="shared" si="196"/>
      </c>
      <c r="J133" s="351">
        <f t="shared" si="256"/>
      </c>
      <c r="K133" s="351">
        <f t="shared" si="316"/>
      </c>
      <c r="L133" s="351"/>
      <c r="M133" s="351">
        <f t="shared" si="10"/>
      </c>
      <c r="N133" s="351">
        <f t="shared" si="76"/>
      </c>
      <c r="O133" s="352">
        <f t="shared" si="106"/>
      </c>
      <c r="P133" s="352">
        <f t="shared" si="136"/>
      </c>
      <c r="Q133" s="352">
        <f t="shared" si="166"/>
      </c>
      <c r="R133" s="352">
        <f t="shared" si="226"/>
      </c>
      <c r="S133" s="353">
        <f t="shared" si="286"/>
      </c>
      <c r="T133" s="354">
        <v>0.0719</v>
      </c>
      <c r="U133" s="355">
        <v>53</v>
      </c>
      <c r="V133" s="351">
        <f t="shared" si="346"/>
      </c>
      <c r="W133" s="355">
        <v>16064</v>
      </c>
      <c r="X133" s="355">
        <v>612</v>
      </c>
      <c r="Y133" s="353">
        <v>75</v>
      </c>
      <c r="Z133" s="353">
        <v>728</v>
      </c>
      <c r="AA133" s="353">
        <v>78</v>
      </c>
      <c r="AB133" s="353">
        <v>13</v>
      </c>
      <c r="AC133" s="355">
        <v>4</v>
      </c>
      <c r="AD133" s="355">
        <v>18</v>
      </c>
      <c r="AE133" s="351">
        <f t="shared" si="40"/>
      </c>
      <c r="AF133" s="356" t="s">
        <v>234</v>
      </c>
      <c r="AG133" s="357" t="s">
        <v>251</v>
      </c>
      <c r="AH133" s="355">
        <v>32</v>
      </c>
    </row>
    <row r="134">
      <c r="A134" s="397"/>
      <c r="B134" s="360" t="s">
        <v>240</v>
      </c>
      <c r="C134" s="360"/>
      <c r="D134" s="405">
        <f>SUM(D130:D133)</f>
      </c>
      <c r="E134" s="362"/>
      <c r="F134" s="362">
        <f>SUM(F130:F133)</f>
      </c>
      <c r="G134" s="362">
        <f>SUM(G130:G133)</f>
      </c>
      <c r="H134" s="361">
        <f>SUM(H130:H133)</f>
      </c>
      <c r="I134" s="363">
        <f t="shared" si="196"/>
      </c>
      <c r="J134" s="363">
        <f t="shared" si="256"/>
      </c>
      <c r="K134" s="363">
        <f t="shared" si="316"/>
      </c>
      <c r="L134" s="363"/>
      <c r="M134" s="363">
        <f t="shared" si="10"/>
      </c>
      <c r="N134" s="363">
        <f t="shared" si="76"/>
      </c>
      <c r="O134" s="364">
        <f t="shared" si="106"/>
      </c>
      <c r="P134" s="364">
        <f t="shared" si="136"/>
      </c>
      <c r="Q134" s="364">
        <f t="shared" si="166"/>
      </c>
      <c r="R134" s="364">
        <f t="shared" si="226"/>
      </c>
      <c r="S134" s="365">
        <f t="shared" si="286"/>
      </c>
      <c r="T134" s="364">
        <f>AVERAGE(T130:T133)</f>
      </c>
      <c r="U134" s="361">
        <f>AVERAGE(U130:U133)</f>
      </c>
      <c r="V134" s="363">
        <f t="shared" si="346"/>
      </c>
      <c r="W134" s="365">
        <f>SUM(W130:W133)</f>
      </c>
      <c r="X134" s="365">
        <f>SUM(X130:X133)</f>
      </c>
      <c r="Y134" s="365">
        <f>SUM(Y130:Y133)</f>
      </c>
      <c r="Z134" s="365">
        <f>SUM(Z130:Z133)</f>
      </c>
      <c r="AA134" s="365">
        <f>SUM(AA130:AA133)</f>
      </c>
      <c r="AB134" s="365">
        <f>SUM(AB130:AB133)</f>
      </c>
      <c r="AC134" s="365">
        <f>SUM(AC130:AC133)</f>
      </c>
      <c r="AD134" s="365">
        <f>SUM(AD130:AD133)</f>
      </c>
      <c r="AE134" s="366">
        <f t="shared" si="40"/>
      </c>
      <c r="AF134" s="367"/>
      <c r="AG134" s="367"/>
      <c r="AH134" s="365">
        <f>SUM(AH130:AH133)</f>
      </c>
    </row>
    <row r="135">
      <c r="A135" s="397"/>
      <c r="B135" s="369" t="s">
        <v>241</v>
      </c>
      <c r="C135" s="369"/>
      <c r="D135" s="370">
        <f>D129+D134</f>
      </c>
      <c r="E135" s="407"/>
      <c r="F135" s="407">
        <f>F129+F134</f>
      </c>
      <c r="G135" s="408">
        <f>G129+G134</f>
      </c>
      <c r="H135" s="409">
        <f>H129+H134</f>
      </c>
      <c r="I135" s="372">
        <f t="shared" si="196"/>
      </c>
      <c r="J135" s="372">
        <f t="shared" si="256"/>
      </c>
      <c r="K135" s="372">
        <f t="shared" si="316"/>
      </c>
      <c r="L135" s="372"/>
      <c r="M135" s="372">
        <f t="shared" si="10"/>
      </c>
      <c r="N135" s="372">
        <f t="shared" si="76"/>
      </c>
      <c r="O135" s="373">
        <f t="shared" si="106"/>
      </c>
      <c r="P135" s="373">
        <f t="shared" si="136"/>
      </c>
      <c r="Q135" s="373">
        <f t="shared" si="166"/>
      </c>
      <c r="R135" s="373">
        <f t="shared" si="226"/>
      </c>
      <c r="S135" s="374">
        <f t="shared" si="286"/>
      </c>
      <c r="T135" s="373">
        <f>(T129+T134)/2</f>
      </c>
      <c r="U135" s="370">
        <f>(U134+U129)/2</f>
      </c>
      <c r="V135" s="370">
        <f t="shared" si="346"/>
      </c>
      <c r="W135" s="374">
        <f>W129+W134</f>
      </c>
      <c r="X135" s="374">
        <f>X129+X134</f>
      </c>
      <c r="Y135" s="374">
        <f>Y129+Y134</f>
      </c>
      <c r="Z135" s="374">
        <f>Z129+Z134</f>
      </c>
      <c r="AA135" s="374">
        <f>AA129+AA134</f>
      </c>
      <c r="AB135" s="374">
        <f>AB129+AB134</f>
      </c>
      <c r="AC135" s="374">
        <f>AC129+AC134</f>
      </c>
      <c r="AD135" s="374">
        <f>AD129+AD134</f>
      </c>
      <c r="AE135" s="372">
        <f>AE129</f>
      </c>
      <c r="AF135" s="369"/>
      <c r="AG135" s="369"/>
      <c r="AH135" s="374">
        <f>AH129+AH134</f>
      </c>
    </row>
    <row r="136">
      <c r="A136" s="380" t="s">
        <v>197</v>
      </c>
      <c r="B136" s="396" t="s">
        <v>198</v>
      </c>
      <c r="C136" s="396"/>
      <c r="D136" s="381" t="s">
        <v>199</v>
      </c>
      <c r="E136" s="381"/>
      <c r="F136" s="381"/>
      <c r="G136" s="381"/>
      <c r="H136" s="381"/>
      <c r="I136" s="381"/>
      <c r="J136" s="381"/>
      <c r="K136" s="381"/>
      <c r="L136" s="381"/>
      <c r="M136" s="381"/>
      <c r="N136" s="382" t="s">
        <v>200</v>
      </c>
      <c r="O136" s="382"/>
      <c r="P136" s="382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  <c r="AA136" s="382"/>
      <c r="AB136" s="382"/>
      <c r="AC136" s="382"/>
      <c r="AD136" s="382"/>
      <c r="AE136" s="382"/>
      <c r="AF136" s="382"/>
      <c r="AG136" s="382"/>
      <c r="AH136" s="340"/>
    </row>
    <row r="137">
      <c r="A137" s="380"/>
      <c r="B137" s="396" t="s">
        <v>201</v>
      </c>
      <c r="C137" s="398" t="s">
        <v>202</v>
      </c>
      <c r="D137" s="399" t="s">
        <v>203</v>
      </c>
      <c r="E137" s="391"/>
      <c r="F137" s="391" t="s">
        <v>204</v>
      </c>
      <c r="G137" s="391" t="s">
        <v>205</v>
      </c>
      <c r="H137" s="390" t="s">
        <v>206</v>
      </c>
      <c r="I137" s="384" t="s">
        <v>207</v>
      </c>
      <c r="J137" s="384" t="s">
        <v>208</v>
      </c>
      <c r="K137" s="384" t="s">
        <v>209</v>
      </c>
      <c r="L137" s="384"/>
      <c r="M137" s="384" t="s">
        <v>210</v>
      </c>
      <c r="N137" s="385" t="s">
        <v>211</v>
      </c>
      <c r="O137" s="386" t="s">
        <v>212</v>
      </c>
      <c r="P137" s="386" t="s">
        <v>213</v>
      </c>
      <c r="Q137" s="386" t="s">
        <v>214</v>
      </c>
      <c r="R137" s="386" t="s">
        <v>215</v>
      </c>
      <c r="S137" s="387" t="s">
        <v>216</v>
      </c>
      <c r="T137" s="392" t="s">
        <v>217</v>
      </c>
      <c r="U137" s="393" t="s">
        <v>218</v>
      </c>
      <c r="V137" s="382" t="s">
        <v>219</v>
      </c>
      <c r="W137" s="394" t="s">
        <v>220</v>
      </c>
      <c r="X137" s="394" t="s">
        <v>221</v>
      </c>
      <c r="Y137" s="394" t="s">
        <v>222</v>
      </c>
      <c r="Z137" s="394" t="s">
        <v>223</v>
      </c>
      <c r="AA137" s="394" t="s">
        <v>224</v>
      </c>
      <c r="AB137" s="394" t="s">
        <v>225</v>
      </c>
      <c r="AC137" s="394" t="s">
        <v>226</v>
      </c>
      <c r="AD137" s="394" t="s">
        <v>227</v>
      </c>
      <c r="AE137" s="382" t="s">
        <v>228</v>
      </c>
      <c r="AF137" s="389" t="s">
        <v>229</v>
      </c>
      <c r="AG137" s="389" t="s">
        <v>230</v>
      </c>
      <c r="AH137" s="340" t="s">
        <v>231</v>
      </c>
    </row>
    <row r="138">
      <c r="A138" s="397">
        <v>46155</v>
      </c>
      <c r="B138" s="400" t="s">
        <v>248</v>
      </c>
      <c r="C138" s="348" t="s">
        <v>243</v>
      </c>
      <c r="D138" s="349">
        <v>2367.12</v>
      </c>
      <c r="E138" s="401"/>
      <c r="F138" s="401">
        <v>4</v>
      </c>
      <c r="G138" s="350">
        <v>3</v>
      </c>
      <c r="H138" s="378">
        <v>2134</v>
      </c>
      <c r="I138" s="351">
        <f t="shared" ref="I138:I148" si="197">H138/D138</f>
      </c>
      <c r="J138" s="351">
        <f t="shared" ref="J138:J148" si="257">D138/F138</f>
      </c>
      <c r="K138" s="351">
        <f t="shared" ref="K138:K148" si="317">D138/G138</f>
      </c>
      <c r="L138" s="351"/>
      <c r="M138" s="351">
        <f t="shared" ref="M138:M148" si="11">H138/F138</f>
      </c>
      <c r="N138" s="351">
        <f t="shared" ref="N138:N148" si="77">D138/X138</f>
      </c>
      <c r="O138" s="352">
        <f t="shared" ref="O138:O148" si="107">S138/W138*1</f>
      </c>
      <c r="P138" s="352">
        <f t="shared" ref="P138:P148" si="137">X138/W138</f>
      </c>
      <c r="Q138" s="352">
        <f t="shared" ref="Q138:Q148" si="167">Z138/W138</f>
      </c>
      <c r="R138" s="352">
        <f t="shared" ref="R138:R148" si="227">AA138/Z138</f>
      </c>
      <c r="S138" s="353">
        <f t="shared" ref="S138:S148" si="287">Y138/T138</f>
      </c>
      <c r="T138" s="354">
        <v>0.0548</v>
      </c>
      <c r="U138" s="355">
        <v>49</v>
      </c>
      <c r="V138" s="351">
        <f t="shared" ref="V138:V148" si="347">(D138/W138)*1000</f>
      </c>
      <c r="W138" s="355">
        <v>16445</v>
      </c>
      <c r="X138" s="355">
        <v>395</v>
      </c>
      <c r="Y138" s="353">
        <v>71</v>
      </c>
      <c r="Z138" s="353">
        <v>470</v>
      </c>
      <c r="AA138" s="353">
        <v>58</v>
      </c>
      <c r="AB138" s="353">
        <v>8</v>
      </c>
      <c r="AC138" s="353">
        <v>0</v>
      </c>
      <c r="AD138" s="355">
        <v>16</v>
      </c>
      <c r="AE138" s="351">
        <f t="shared" ref="AE138:AE147" si="41">AH138*1000/D138</f>
      </c>
      <c r="AF138" s="356" t="s">
        <v>234</v>
      </c>
      <c r="AG138" s="357" t="s">
        <v>251</v>
      </c>
      <c r="AH138" s="355">
        <v>19</v>
      </c>
    </row>
    <row r="139">
      <c r="A139" s="397"/>
      <c r="B139" s="348" t="s">
        <v>248</v>
      </c>
      <c r="C139" s="403" t="s">
        <v>244</v>
      </c>
      <c r="D139" s="404">
        <v>1453.12</v>
      </c>
      <c r="E139" s="379"/>
      <c r="F139" s="379">
        <v>1</v>
      </c>
      <c r="G139" s="379">
        <v>1</v>
      </c>
      <c r="H139" s="378">
        <v>451</v>
      </c>
      <c r="I139" s="351">
        <f t="shared" si="197"/>
      </c>
      <c r="J139" s="351">
        <f t="shared" si="257"/>
      </c>
      <c r="K139" s="351">
        <f t="shared" si="317"/>
      </c>
      <c r="L139" s="351"/>
      <c r="M139" s="351">
        <f t="shared" si="11"/>
      </c>
      <c r="N139" s="351">
        <f t="shared" si="77"/>
      </c>
      <c r="O139" s="352">
        <f t="shared" si="107"/>
      </c>
      <c r="P139" s="352">
        <f t="shared" si="137"/>
      </c>
      <c r="Q139" s="352">
        <f t="shared" si="167"/>
      </c>
      <c r="R139" s="352">
        <f t="shared" si="227"/>
      </c>
      <c r="S139" s="353">
        <f t="shared" si="287"/>
      </c>
      <c r="T139" s="354">
        <v>0.0548</v>
      </c>
      <c r="U139" s="355">
        <v>53</v>
      </c>
      <c r="V139" s="351">
        <f t="shared" si="347"/>
      </c>
      <c r="W139" s="355">
        <v>9088</v>
      </c>
      <c r="X139" s="355">
        <v>251</v>
      </c>
      <c r="Y139" s="353">
        <v>49</v>
      </c>
      <c r="Z139" s="353">
        <v>266</v>
      </c>
      <c r="AA139" s="355">
        <v>38</v>
      </c>
      <c r="AB139" s="353">
        <v>3</v>
      </c>
      <c r="AC139" s="355">
        <v>0</v>
      </c>
      <c r="AD139" s="355">
        <v>7</v>
      </c>
      <c r="AE139" s="351">
        <f t="shared" si="41"/>
      </c>
      <c r="AF139" s="356" t="s">
        <v>234</v>
      </c>
      <c r="AG139" s="357" t="s">
        <v>251</v>
      </c>
      <c r="AH139" s="355">
        <v>23</v>
      </c>
    </row>
    <row r="140">
      <c r="A140" s="397"/>
      <c r="B140" s="348" t="s">
        <v>248</v>
      </c>
      <c r="C140" s="348" t="s">
        <v>245</v>
      </c>
      <c r="D140" s="349">
        <v>2546.8</v>
      </c>
      <c r="E140" s="379"/>
      <c r="F140" s="379">
        <v>3</v>
      </c>
      <c r="G140" s="379">
        <v>2</v>
      </c>
      <c r="H140" s="349">
        <v>1736.3500000000004</v>
      </c>
      <c r="I140" s="351">
        <f t="shared" si="197"/>
      </c>
      <c r="J140" s="351">
        <f t="shared" si="257"/>
      </c>
      <c r="K140" s="351">
        <f t="shared" si="317"/>
      </c>
      <c r="L140" s="351"/>
      <c r="M140" s="351">
        <f t="shared" si="11"/>
      </c>
      <c r="N140" s="351">
        <f t="shared" si="77"/>
      </c>
      <c r="O140" s="352">
        <f t="shared" si="107"/>
      </c>
      <c r="P140" s="352">
        <f t="shared" si="137"/>
      </c>
      <c r="Q140" s="352">
        <f t="shared" si="167"/>
      </c>
      <c r="R140" s="352">
        <f t="shared" si="227"/>
      </c>
      <c r="S140" s="353">
        <f t="shared" si="287"/>
      </c>
      <c r="T140" s="354">
        <v>0.1279</v>
      </c>
      <c r="U140" s="355">
        <v>54</v>
      </c>
      <c r="V140" s="351">
        <f t="shared" si="347"/>
      </c>
      <c r="W140" s="355">
        <v>16501</v>
      </c>
      <c r="X140" s="355">
        <v>460</v>
      </c>
      <c r="Y140" s="355">
        <v>77</v>
      </c>
      <c r="Z140" s="355">
        <v>512</v>
      </c>
      <c r="AA140" s="355">
        <v>67</v>
      </c>
      <c r="AB140" s="355">
        <v>9</v>
      </c>
      <c r="AC140" s="355">
        <v>0</v>
      </c>
      <c r="AD140" s="355">
        <v>23</v>
      </c>
      <c r="AE140" s="351">
        <f t="shared" si="41"/>
      </c>
      <c r="AF140" s="356" t="s">
        <v>234</v>
      </c>
      <c r="AG140" s="357" t="s">
        <v>251</v>
      </c>
      <c r="AH140" s="355">
        <v>31</v>
      </c>
    </row>
    <row r="141">
      <c r="A141" s="397"/>
      <c r="B141" s="348" t="s">
        <v>248</v>
      </c>
      <c r="C141" s="348" t="s">
        <v>233</v>
      </c>
      <c r="D141" s="349">
        <v>2274.77</v>
      </c>
      <c r="E141" s="350"/>
      <c r="F141" s="350">
        <v>6</v>
      </c>
      <c r="G141" s="350">
        <v>5</v>
      </c>
      <c r="H141" s="349">
        <v>3732.8499999999995</v>
      </c>
      <c r="I141" s="351">
        <f t="shared" si="197"/>
      </c>
      <c r="J141" s="351">
        <f t="shared" si="257"/>
      </c>
      <c r="K141" s="351">
        <f t="shared" si="317"/>
      </c>
      <c r="L141" s="351"/>
      <c r="M141" s="351">
        <f t="shared" si="11"/>
      </c>
      <c r="N141" s="351">
        <f t="shared" si="77"/>
      </c>
      <c r="O141" s="352">
        <f t="shared" si="107"/>
      </c>
      <c r="P141" s="352">
        <f t="shared" si="137"/>
      </c>
      <c r="Q141" s="352">
        <f t="shared" si="167"/>
      </c>
      <c r="R141" s="352">
        <f t="shared" si="227"/>
      </c>
      <c r="S141" s="353">
        <f t="shared" si="287"/>
      </c>
      <c r="T141" s="354">
        <v>0.0925</v>
      </c>
      <c r="U141" s="355">
        <v>53</v>
      </c>
      <c r="V141" s="351">
        <f t="shared" si="347"/>
      </c>
      <c r="W141" s="353">
        <v>16515</v>
      </c>
      <c r="X141" s="353">
        <v>534</v>
      </c>
      <c r="Y141" s="353">
        <v>69</v>
      </c>
      <c r="Z141" s="353">
        <v>590</v>
      </c>
      <c r="AA141" s="353">
        <v>66</v>
      </c>
      <c r="AB141" s="353">
        <v>4</v>
      </c>
      <c r="AC141" s="353">
        <v>1</v>
      </c>
      <c r="AD141" s="353">
        <v>23</v>
      </c>
      <c r="AE141" s="351">
        <f t="shared" si="41"/>
      </c>
      <c r="AF141" s="356" t="s">
        <v>234</v>
      </c>
      <c r="AG141" s="357" t="s">
        <v>251</v>
      </c>
      <c r="AH141" s="355">
        <v>18</v>
      </c>
    </row>
    <row r="142">
      <c r="A142" s="397"/>
      <c r="B142" s="360" t="s">
        <v>240</v>
      </c>
      <c r="C142" s="360"/>
      <c r="D142" s="361">
        <f>SUM(D138:D141)</f>
      </c>
      <c r="E142" s="362"/>
      <c r="F142" s="362">
        <f>SUM(F138:F141)</f>
      </c>
      <c r="G142" s="362">
        <f>SUM(G138:G141)</f>
      </c>
      <c r="H142" s="361">
        <f>SUM(H138:H141)</f>
      </c>
      <c r="I142" s="363">
        <f t="shared" si="197"/>
      </c>
      <c r="J142" s="363">
        <f t="shared" si="257"/>
      </c>
      <c r="K142" s="363">
        <f t="shared" si="317"/>
      </c>
      <c r="L142" s="363"/>
      <c r="M142" s="363">
        <f t="shared" si="11"/>
      </c>
      <c r="N142" s="363">
        <f t="shared" si="77"/>
      </c>
      <c r="O142" s="364">
        <f t="shared" si="107"/>
      </c>
      <c r="P142" s="364">
        <f t="shared" si="137"/>
      </c>
      <c r="Q142" s="364">
        <f t="shared" si="167"/>
      </c>
      <c r="R142" s="364">
        <f t="shared" si="227"/>
      </c>
      <c r="S142" s="365">
        <f t="shared" si="287"/>
      </c>
      <c r="T142" s="364">
        <f>AVERAGE(T138:T141)</f>
      </c>
      <c r="U142" s="361">
        <f>AVERAGE(U138:U141)</f>
      </c>
      <c r="V142" s="363">
        <f t="shared" si="347"/>
      </c>
      <c r="W142" s="365">
        <f>SUM(W138:W141)</f>
      </c>
      <c r="X142" s="365">
        <f>SUM(X138:X141)</f>
      </c>
      <c r="Y142" s="365">
        <f>SUM(Y138:Y141)</f>
      </c>
      <c r="Z142" s="365">
        <f>SUM(Z138:Z141)</f>
      </c>
      <c r="AA142" s="365">
        <f>SUM(AA138:AA141)</f>
      </c>
      <c r="AB142" s="365">
        <f>SUM(AB138:AB141)</f>
      </c>
      <c r="AC142" s="365">
        <f>SUM(AC138:AC141)</f>
      </c>
      <c r="AD142" s="365">
        <f>SUM(AD138:AD141)</f>
      </c>
      <c r="AE142" s="366">
        <f t="shared" si="41"/>
      </c>
      <c r="AF142" s="367"/>
      <c r="AG142" s="367"/>
      <c r="AH142" s="368">
        <f>SUM(AH138:AH141)</f>
      </c>
    </row>
    <row r="143">
      <c r="A143" s="397"/>
      <c r="B143" s="375" t="s">
        <v>249</v>
      </c>
      <c r="C143" s="348" t="s">
        <v>236</v>
      </c>
      <c r="D143" s="349">
        <v>2179.19</v>
      </c>
      <c r="E143" s="350"/>
      <c r="F143" s="350">
        <v>4</v>
      </c>
      <c r="G143" s="350">
        <v>3</v>
      </c>
      <c r="H143" s="349">
        <v>1804.000000000001</v>
      </c>
      <c r="I143" s="351">
        <f t="shared" si="197"/>
      </c>
      <c r="J143" s="351">
        <f t="shared" si="257"/>
      </c>
      <c r="K143" s="351">
        <f t="shared" si="317"/>
      </c>
      <c r="L143" s="351"/>
      <c r="M143" s="351">
        <f t="shared" si="11"/>
      </c>
      <c r="N143" s="351">
        <f t="shared" si="77"/>
      </c>
      <c r="O143" s="352">
        <f t="shared" si="107"/>
      </c>
      <c r="P143" s="352">
        <f t="shared" si="137"/>
      </c>
      <c r="Q143" s="352">
        <f t="shared" si="167"/>
      </c>
      <c r="R143" s="352">
        <f t="shared" si="227"/>
      </c>
      <c r="S143" s="353">
        <f t="shared" si="287"/>
      </c>
      <c r="T143" s="354">
        <v>0.0693</v>
      </c>
      <c r="U143" s="355">
        <v>48</v>
      </c>
      <c r="V143" s="351">
        <f t="shared" si="347"/>
      </c>
      <c r="W143" s="355">
        <v>13980</v>
      </c>
      <c r="X143" s="355">
        <v>664</v>
      </c>
      <c r="Y143" s="353">
        <v>71</v>
      </c>
      <c r="Z143" s="353">
        <v>744</v>
      </c>
      <c r="AA143" s="353">
        <v>34</v>
      </c>
      <c r="AB143" s="353">
        <v>17</v>
      </c>
      <c r="AC143" s="355">
        <v>3</v>
      </c>
      <c r="AD143" s="355">
        <v>13</v>
      </c>
      <c r="AE143" s="351">
        <f t="shared" si="41"/>
      </c>
      <c r="AF143" s="356" t="s">
        <v>234</v>
      </c>
      <c r="AG143" s="357" t="s">
        <v>251</v>
      </c>
      <c r="AH143" s="355">
        <v>26</v>
      </c>
    </row>
    <row r="144">
      <c r="A144" s="397"/>
      <c r="B144" s="375" t="s">
        <v>249</v>
      </c>
      <c r="C144" s="348" t="s">
        <v>237</v>
      </c>
      <c r="D144" s="349">
        <v>3696.19</v>
      </c>
      <c r="E144" s="350"/>
      <c r="F144" s="350">
        <v>7</v>
      </c>
      <c r="G144" s="350">
        <v>7</v>
      </c>
      <c r="H144" s="349">
        <v>5497.25</v>
      </c>
      <c r="I144" s="351">
        <f t="shared" si="197"/>
      </c>
      <c r="J144" s="351">
        <f t="shared" si="257"/>
      </c>
      <c r="K144" s="351">
        <f t="shared" si="317"/>
      </c>
      <c r="L144" s="351"/>
      <c r="M144" s="351">
        <f t="shared" si="11"/>
      </c>
      <c r="N144" s="351">
        <f t="shared" si="77"/>
      </c>
      <c r="O144" s="352">
        <f t="shared" si="107"/>
      </c>
      <c r="P144" s="352">
        <f t="shared" si="137"/>
      </c>
      <c r="Q144" s="352">
        <f t="shared" si="167"/>
      </c>
      <c r="R144" s="352">
        <f t="shared" si="227"/>
      </c>
      <c r="S144" s="353">
        <f t="shared" si="287"/>
      </c>
      <c r="T144" s="354">
        <v>0.0697</v>
      </c>
      <c r="U144" s="355">
        <v>48</v>
      </c>
      <c r="V144" s="351">
        <f t="shared" si="347"/>
      </c>
      <c r="W144" s="353">
        <v>22364</v>
      </c>
      <c r="X144" s="353">
        <v>817</v>
      </c>
      <c r="Y144" s="353">
        <v>107</v>
      </c>
      <c r="Z144" s="353">
        <v>895</v>
      </c>
      <c r="AA144" s="353">
        <v>122</v>
      </c>
      <c r="AB144" s="353">
        <v>7</v>
      </c>
      <c r="AC144" s="353">
        <v>1</v>
      </c>
      <c r="AD144" s="355">
        <v>30</v>
      </c>
      <c r="AE144" s="351">
        <f t="shared" si="41"/>
      </c>
      <c r="AF144" s="356" t="s">
        <v>234</v>
      </c>
      <c r="AG144" s="357" t="s">
        <v>251</v>
      </c>
      <c r="AH144" s="355">
        <v>36</v>
      </c>
    </row>
    <row r="145">
      <c r="A145" s="397"/>
      <c r="B145" s="375" t="s">
        <v>249</v>
      </c>
      <c r="C145" s="348" t="s">
        <v>238</v>
      </c>
      <c r="D145" s="349">
        <v>2997.04</v>
      </c>
      <c r="E145" s="350"/>
      <c r="F145" s="350">
        <v>8</v>
      </c>
      <c r="G145" s="350">
        <v>8</v>
      </c>
      <c r="H145" s="349">
        <v>4013.899999999998</v>
      </c>
      <c r="I145" s="351">
        <f t="shared" si="197"/>
      </c>
      <c r="J145" s="351">
        <f t="shared" si="257"/>
      </c>
      <c r="K145" s="351">
        <f t="shared" si="317"/>
      </c>
      <c r="L145" s="351"/>
      <c r="M145" s="351">
        <f t="shared" si="11"/>
      </c>
      <c r="N145" s="351">
        <f t="shared" si="77"/>
      </c>
      <c r="O145" s="352">
        <f t="shared" si="107"/>
      </c>
      <c r="P145" s="352">
        <f t="shared" si="137"/>
      </c>
      <c r="Q145" s="352">
        <f t="shared" si="167"/>
      </c>
      <c r="R145" s="352">
        <f t="shared" si="227"/>
      </c>
      <c r="S145" s="353">
        <f t="shared" si="287"/>
      </c>
      <c r="T145" s="354">
        <v>0.0459</v>
      </c>
      <c r="U145" s="355">
        <v>49</v>
      </c>
      <c r="V145" s="351">
        <f t="shared" si="347"/>
      </c>
      <c r="W145" s="355">
        <v>21365</v>
      </c>
      <c r="X145" s="355">
        <v>926</v>
      </c>
      <c r="Y145" s="355">
        <v>108</v>
      </c>
      <c r="Z145" s="355">
        <v>982</v>
      </c>
      <c r="AA145" s="355">
        <v>102</v>
      </c>
      <c r="AB145" s="355">
        <v>20</v>
      </c>
      <c r="AC145" s="355">
        <v>0</v>
      </c>
      <c r="AD145" s="355">
        <v>17</v>
      </c>
      <c r="AE145" s="351">
        <f t="shared" si="41"/>
      </c>
      <c r="AF145" s="356" t="s">
        <v>234</v>
      </c>
      <c r="AG145" s="357" t="s">
        <v>251</v>
      </c>
      <c r="AH145" s="355">
        <v>39</v>
      </c>
    </row>
    <row r="146">
      <c r="A146" s="397"/>
      <c r="B146" s="375" t="s">
        <v>249</v>
      </c>
      <c r="C146" s="348" t="s">
        <v>239</v>
      </c>
      <c r="D146" s="349">
        <v>1990.69</v>
      </c>
      <c r="E146" s="350"/>
      <c r="F146" s="350">
        <v>0</v>
      </c>
      <c r="G146" s="350">
        <v>0</v>
      </c>
      <c r="H146" s="349">
        <v>0</v>
      </c>
      <c r="I146" s="351">
        <f t="shared" si="197"/>
      </c>
      <c r="J146" s="351">
        <f t="shared" si="257"/>
      </c>
      <c r="K146" s="351">
        <f t="shared" si="317"/>
      </c>
      <c r="L146" s="351"/>
      <c r="M146" s="351">
        <f t="shared" si="11"/>
      </c>
      <c r="N146" s="351">
        <f t="shared" si="77"/>
      </c>
      <c r="O146" s="352">
        <f t="shared" si="107"/>
      </c>
      <c r="P146" s="352">
        <f t="shared" si="137"/>
      </c>
      <c r="Q146" s="352">
        <f t="shared" si="167"/>
      </c>
      <c r="R146" s="352">
        <f t="shared" si="227"/>
      </c>
      <c r="S146" s="353">
        <f t="shared" si="287"/>
      </c>
      <c r="T146" s="354">
        <v>0.0325</v>
      </c>
      <c r="U146" s="355">
        <v>50</v>
      </c>
      <c r="V146" s="351">
        <f t="shared" si="347"/>
      </c>
      <c r="W146" s="355">
        <v>10407</v>
      </c>
      <c r="X146" s="355">
        <v>670</v>
      </c>
      <c r="Y146" s="353">
        <v>64</v>
      </c>
      <c r="Z146" s="353">
        <v>737</v>
      </c>
      <c r="AA146" s="353">
        <v>50</v>
      </c>
      <c r="AB146" s="353">
        <v>9</v>
      </c>
      <c r="AC146" s="355">
        <v>2</v>
      </c>
      <c r="AD146" s="355">
        <v>13</v>
      </c>
      <c r="AE146" s="351">
        <f t="shared" si="41"/>
      </c>
      <c r="AF146" s="356" t="s">
        <v>234</v>
      </c>
      <c r="AG146" s="357" t="s">
        <v>251</v>
      </c>
      <c r="AH146" s="355">
        <v>25</v>
      </c>
    </row>
    <row r="147">
      <c r="A147" s="397"/>
      <c r="B147" s="360" t="s">
        <v>240</v>
      </c>
      <c r="C147" s="360"/>
      <c r="D147" s="405">
        <f>SUM(D143:D146)</f>
      </c>
      <c r="E147" s="362"/>
      <c r="F147" s="362">
        <f>SUM(F143:F146)</f>
      </c>
      <c r="G147" s="362">
        <f>SUM(G143:G146)</f>
      </c>
      <c r="H147" s="361">
        <f>SUM(H143:H146)</f>
      </c>
      <c r="I147" s="363">
        <f t="shared" si="197"/>
      </c>
      <c r="J147" s="363">
        <f t="shared" si="257"/>
      </c>
      <c r="K147" s="363">
        <f t="shared" si="317"/>
      </c>
      <c r="L147" s="363"/>
      <c r="M147" s="363">
        <f t="shared" si="11"/>
      </c>
      <c r="N147" s="363">
        <f t="shared" si="77"/>
      </c>
      <c r="O147" s="364">
        <f t="shared" si="107"/>
      </c>
      <c r="P147" s="364">
        <f t="shared" si="137"/>
      </c>
      <c r="Q147" s="364">
        <f t="shared" si="167"/>
      </c>
      <c r="R147" s="364">
        <f t="shared" si="227"/>
      </c>
      <c r="S147" s="365">
        <f t="shared" si="287"/>
      </c>
      <c r="T147" s="364">
        <f>AVERAGE(T143:T146)</f>
      </c>
      <c r="U147" s="361">
        <f>AVERAGE(U143:U146)</f>
      </c>
      <c r="V147" s="363">
        <f t="shared" si="347"/>
      </c>
      <c r="W147" s="365">
        <f>SUM(W143:W146)</f>
      </c>
      <c r="X147" s="365">
        <f>SUM(X143:X146)</f>
      </c>
      <c r="Y147" s="365">
        <f>SUM(Y143:Y146)</f>
      </c>
      <c r="Z147" s="365">
        <f>SUM(Z143:Z146)</f>
      </c>
      <c r="AA147" s="365">
        <f>SUM(AA143:AA146)</f>
      </c>
      <c r="AB147" s="365">
        <f>SUM(AB143:AB146)</f>
      </c>
      <c r="AC147" s="365">
        <f>SUM(AC143:AC146)</f>
      </c>
      <c r="AD147" s="365">
        <f>SUM(AD143:AD146)</f>
      </c>
      <c r="AE147" s="366">
        <f t="shared" si="41"/>
      </c>
      <c r="AF147" s="367"/>
      <c r="AG147" s="367"/>
      <c r="AH147" s="365">
        <f>SUM(AH143:AH146)</f>
      </c>
    </row>
    <row r="148">
      <c r="A148" s="397"/>
      <c r="B148" s="369" t="s">
        <v>241</v>
      </c>
      <c r="C148" s="369"/>
      <c r="D148" s="370">
        <f>D142+D147</f>
      </c>
      <c r="E148" s="407"/>
      <c r="F148" s="407">
        <f>F142+F147</f>
      </c>
      <c r="G148" s="408">
        <f>G142+G147</f>
      </c>
      <c r="H148" s="409">
        <f>H142+H147</f>
      </c>
      <c r="I148" s="372">
        <f t="shared" si="197"/>
      </c>
      <c r="J148" s="372">
        <f t="shared" si="257"/>
      </c>
      <c r="K148" s="372">
        <f t="shared" si="317"/>
      </c>
      <c r="L148" s="372"/>
      <c r="M148" s="372">
        <f t="shared" si="11"/>
      </c>
      <c r="N148" s="372">
        <f t="shared" si="77"/>
      </c>
      <c r="O148" s="373">
        <f t="shared" si="107"/>
      </c>
      <c r="P148" s="373">
        <f t="shared" si="137"/>
      </c>
      <c r="Q148" s="373">
        <f t="shared" si="167"/>
      </c>
      <c r="R148" s="373">
        <f t="shared" si="227"/>
      </c>
      <c r="S148" s="374">
        <f t="shared" si="287"/>
      </c>
      <c r="T148" s="373">
        <f>(T142+T147)/2</f>
      </c>
      <c r="U148" s="370">
        <f>(U147+U142)/2</f>
      </c>
      <c r="V148" s="370">
        <f t="shared" si="347"/>
      </c>
      <c r="W148" s="374">
        <f>W142+W147</f>
      </c>
      <c r="X148" s="374">
        <f>X142+X147</f>
      </c>
      <c r="Y148" s="374">
        <f>Y142+Y147</f>
      </c>
      <c r="Z148" s="374">
        <f>Z142+Z147</f>
      </c>
      <c r="AA148" s="374">
        <f>AA142+AA147</f>
      </c>
      <c r="AB148" s="374">
        <f>AB142+AB147</f>
      </c>
      <c r="AC148" s="374">
        <f>AC142+AC147</f>
      </c>
      <c r="AD148" s="374">
        <f>AD142+AD147</f>
      </c>
      <c r="AE148" s="372">
        <f>AE142</f>
      </c>
      <c r="AF148" s="369"/>
      <c r="AG148" s="369"/>
      <c r="AH148" s="374">
        <f>AH142+AH147</f>
      </c>
    </row>
    <row r="149">
      <c r="A149" s="380" t="s">
        <v>197</v>
      </c>
      <c r="B149" s="396" t="s">
        <v>198</v>
      </c>
      <c r="C149" s="396"/>
      <c r="D149" s="381" t="s">
        <v>199</v>
      </c>
      <c r="E149" s="381"/>
      <c r="F149" s="381"/>
      <c r="G149" s="381"/>
      <c r="H149" s="381"/>
      <c r="I149" s="381"/>
      <c r="J149" s="381"/>
      <c r="K149" s="381"/>
      <c r="L149" s="381"/>
      <c r="M149" s="381"/>
      <c r="N149" s="382" t="s">
        <v>200</v>
      </c>
      <c r="O149" s="382"/>
      <c r="P149" s="382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  <c r="AA149" s="382"/>
      <c r="AB149" s="382"/>
      <c r="AC149" s="382"/>
      <c r="AD149" s="382"/>
      <c r="AE149" s="382"/>
      <c r="AF149" s="382"/>
      <c r="AG149" s="382"/>
      <c r="AH149" s="340"/>
    </row>
    <row r="150">
      <c r="A150" s="380"/>
      <c r="B150" s="396" t="s">
        <v>201</v>
      </c>
      <c r="C150" s="398" t="s">
        <v>202</v>
      </c>
      <c r="D150" s="399" t="s">
        <v>203</v>
      </c>
      <c r="E150" s="391"/>
      <c r="F150" s="391" t="s">
        <v>204</v>
      </c>
      <c r="G150" s="391" t="s">
        <v>205</v>
      </c>
      <c r="H150" s="390" t="s">
        <v>206</v>
      </c>
      <c r="I150" s="384" t="s">
        <v>207</v>
      </c>
      <c r="J150" s="384" t="s">
        <v>208</v>
      </c>
      <c r="K150" s="384" t="s">
        <v>209</v>
      </c>
      <c r="L150" s="384"/>
      <c r="M150" s="384" t="s">
        <v>210</v>
      </c>
      <c r="N150" s="385" t="s">
        <v>211</v>
      </c>
      <c r="O150" s="386" t="s">
        <v>212</v>
      </c>
      <c r="P150" s="386" t="s">
        <v>213</v>
      </c>
      <c r="Q150" s="386" t="s">
        <v>214</v>
      </c>
      <c r="R150" s="386" t="s">
        <v>215</v>
      </c>
      <c r="S150" s="387" t="s">
        <v>216</v>
      </c>
      <c r="T150" s="392" t="s">
        <v>217</v>
      </c>
      <c r="U150" s="393" t="s">
        <v>218</v>
      </c>
      <c r="V150" s="382" t="s">
        <v>219</v>
      </c>
      <c r="W150" s="394" t="s">
        <v>220</v>
      </c>
      <c r="X150" s="394" t="s">
        <v>221</v>
      </c>
      <c r="Y150" s="394" t="s">
        <v>222</v>
      </c>
      <c r="Z150" s="394" t="s">
        <v>223</v>
      </c>
      <c r="AA150" s="394" t="s">
        <v>224</v>
      </c>
      <c r="AB150" s="394" t="s">
        <v>225</v>
      </c>
      <c r="AC150" s="394" t="s">
        <v>226</v>
      </c>
      <c r="AD150" s="394" t="s">
        <v>227</v>
      </c>
      <c r="AE150" s="382" t="s">
        <v>228</v>
      </c>
      <c r="AF150" s="389" t="s">
        <v>229</v>
      </c>
      <c r="AG150" s="389" t="s">
        <v>230</v>
      </c>
      <c r="AH150" s="340" t="s">
        <v>231</v>
      </c>
    </row>
    <row r="151">
      <c r="A151" s="397">
        <v>46156</v>
      </c>
      <c r="B151" s="400" t="s">
        <v>248</v>
      </c>
      <c r="C151" s="348" t="s">
        <v>252</v>
      </c>
      <c r="D151" s="349">
        <v>2219.81</v>
      </c>
      <c r="E151" s="401"/>
      <c r="F151" s="401">
        <v>1</v>
      </c>
      <c r="G151" s="350">
        <v>1</v>
      </c>
      <c r="H151" s="378">
        <v>451</v>
      </c>
      <c r="I151" s="351">
        <f t="shared" ref="I151:I166" si="198">H151/D151</f>
      </c>
      <c r="J151" s="351">
        <f t="shared" ref="J151:J166" si="258">D151/F151</f>
      </c>
      <c r="K151" s="351">
        <f t="shared" ref="K151:K166" si="318">D151/G151</f>
      </c>
      <c r="L151" s="351"/>
      <c r="M151" s="351">
        <f t="shared" ref="M151:M166" si="12">H151/F151</f>
      </c>
      <c r="N151" s="351">
        <f t="shared" ref="N151:N166" si="78">D151/X151</f>
      </c>
      <c r="O151" s="352">
        <f t="shared" ref="O151:O166" si="108">S151/W151*1</f>
      </c>
      <c r="P151" s="352">
        <f t="shared" ref="P151:P166" si="138">X151/W151</f>
      </c>
      <c r="Q151" s="352">
        <f t="shared" ref="Q151:Q166" si="168">Z151/W151</f>
      </c>
      <c r="R151" s="352">
        <f t="shared" ref="R151:R166" si="228">AA151/Z151</f>
      </c>
      <c r="S151" s="353">
        <f t="shared" ref="S151:S166" si="288">Y151/T151</f>
      </c>
      <c r="T151" s="354">
        <v>0.0251</v>
      </c>
      <c r="U151" s="355">
        <v>49</v>
      </c>
      <c r="V151" s="351">
        <f t="shared" ref="V151:V166" si="348">(D151/W151)*1000</f>
      </c>
      <c r="W151" s="355">
        <v>10238</v>
      </c>
      <c r="X151" s="355">
        <v>538</v>
      </c>
      <c r="Y151" s="353">
        <v>57</v>
      </c>
      <c r="Z151" s="353">
        <v>618</v>
      </c>
      <c r="AA151" s="353">
        <v>95</v>
      </c>
      <c r="AB151" s="353">
        <v>8</v>
      </c>
      <c r="AC151" s="353">
        <v>1</v>
      </c>
      <c r="AD151" s="355">
        <v>16</v>
      </c>
      <c r="AE151" s="351">
        <f t="shared" ref="AE151:AE165" si="42">AH151*1000/D151</f>
      </c>
      <c r="AF151" s="356" t="s">
        <v>253</v>
      </c>
      <c r="AG151" s="357" t="s">
        <v>254</v>
      </c>
      <c r="AH151" s="355">
        <v>33</v>
      </c>
    </row>
    <row r="152">
      <c r="A152" s="397"/>
      <c r="B152" s="348" t="s">
        <v>248</v>
      </c>
      <c r="C152" s="403" t="s">
        <v>255</v>
      </c>
      <c r="D152" s="404">
        <v>2325.4</v>
      </c>
      <c r="E152" s="379"/>
      <c r="F152" s="379">
        <v>6</v>
      </c>
      <c r="G152" s="379">
        <v>5</v>
      </c>
      <c r="H152" s="378">
        <v>4829.55</v>
      </c>
      <c r="I152" s="351">
        <f t="shared" si="198"/>
      </c>
      <c r="J152" s="351">
        <f t="shared" si="258"/>
      </c>
      <c r="K152" s="351">
        <f t="shared" si="318"/>
      </c>
      <c r="L152" s="351"/>
      <c r="M152" s="351">
        <f t="shared" si="12"/>
      </c>
      <c r="N152" s="351">
        <f t="shared" si="78"/>
      </c>
      <c r="O152" s="352">
        <f t="shared" si="108"/>
      </c>
      <c r="P152" s="352">
        <f t="shared" si="138"/>
      </c>
      <c r="Q152" s="352">
        <f t="shared" si="168"/>
      </c>
      <c r="R152" s="352">
        <f t="shared" si="228"/>
      </c>
      <c r="S152" s="353">
        <f t="shared" si="288"/>
      </c>
      <c r="T152" s="354">
        <v>0.0381</v>
      </c>
      <c r="U152" s="355">
        <v>55</v>
      </c>
      <c r="V152" s="351">
        <f t="shared" si="348"/>
      </c>
      <c r="W152" s="355">
        <v>11703</v>
      </c>
      <c r="X152" s="355">
        <v>677</v>
      </c>
      <c r="Y152" s="353">
        <v>73</v>
      </c>
      <c r="Z152" s="353">
        <v>804</v>
      </c>
      <c r="AA152" s="355">
        <v>93</v>
      </c>
      <c r="AB152" s="353">
        <v>10</v>
      </c>
      <c r="AC152" s="355">
        <v>5</v>
      </c>
      <c r="AD152" s="355">
        <v>15</v>
      </c>
      <c r="AE152" s="351">
        <f t="shared" si="42"/>
      </c>
      <c r="AF152" s="356" t="s">
        <v>253</v>
      </c>
      <c r="AG152" s="357" t="s">
        <v>254</v>
      </c>
      <c r="AH152" s="355">
        <v>37</v>
      </c>
    </row>
    <row r="153">
      <c r="A153" s="397"/>
      <c r="B153" s="348" t="s">
        <v>248</v>
      </c>
      <c r="C153" s="348" t="s">
        <v>256</v>
      </c>
      <c r="D153" s="349">
        <v>2116.28</v>
      </c>
      <c r="E153" s="379"/>
      <c r="F153" s="379">
        <v>3</v>
      </c>
      <c r="G153" s="379">
        <v>2</v>
      </c>
      <c r="H153" s="349">
        <v>1683</v>
      </c>
      <c r="I153" s="351">
        <f t="shared" si="198"/>
      </c>
      <c r="J153" s="351">
        <f t="shared" si="258"/>
      </c>
      <c r="K153" s="351">
        <f t="shared" si="318"/>
      </c>
      <c r="L153" s="351"/>
      <c r="M153" s="351">
        <f t="shared" si="12"/>
      </c>
      <c r="N153" s="351">
        <f t="shared" si="78"/>
      </c>
      <c r="O153" s="352">
        <f t="shared" si="108"/>
      </c>
      <c r="P153" s="352">
        <f t="shared" si="138"/>
      </c>
      <c r="Q153" s="352">
        <f t="shared" si="168"/>
      </c>
      <c r="R153" s="352">
        <f t="shared" si="228"/>
      </c>
      <c r="S153" s="353">
        <f t="shared" si="288"/>
      </c>
      <c r="T153" s="354">
        <v>0.0217</v>
      </c>
      <c r="U153" s="355">
        <v>45</v>
      </c>
      <c r="V153" s="351">
        <f t="shared" si="348"/>
      </c>
      <c r="W153" s="355">
        <v>9915</v>
      </c>
      <c r="X153" s="355">
        <v>782</v>
      </c>
      <c r="Y153" s="355">
        <v>55</v>
      </c>
      <c r="Z153" s="355">
        <v>863</v>
      </c>
      <c r="AA153" s="355">
        <v>64</v>
      </c>
      <c r="AB153" s="355">
        <v>18</v>
      </c>
      <c r="AC153" s="355">
        <v>0</v>
      </c>
      <c r="AD153" s="355">
        <v>21</v>
      </c>
      <c r="AE153" s="351">
        <f t="shared" si="42"/>
      </c>
      <c r="AF153" s="356" t="s">
        <v>253</v>
      </c>
      <c r="AG153" s="357" t="s">
        <v>254</v>
      </c>
      <c r="AH153" s="355">
        <v>21</v>
      </c>
    </row>
    <row r="154">
      <c r="A154" s="397"/>
      <c r="B154" s="348" t="s">
        <v>248</v>
      </c>
      <c r="C154" s="348" t="s">
        <v>257</v>
      </c>
      <c r="D154" s="349">
        <v>1696.42</v>
      </c>
      <c r="E154" s="350"/>
      <c r="F154" s="350">
        <v>3</v>
      </c>
      <c r="G154" s="350">
        <v>3</v>
      </c>
      <c r="H154" s="349">
        <v>2715.9000000000005</v>
      </c>
      <c r="I154" s="351">
        <f t="shared" si="198"/>
      </c>
      <c r="J154" s="351">
        <f t="shared" si="258"/>
      </c>
      <c r="K154" s="351">
        <f t="shared" si="318"/>
      </c>
      <c r="L154" s="351"/>
      <c r="M154" s="351">
        <f t="shared" si="12"/>
      </c>
      <c r="N154" s="351">
        <f t="shared" si="78"/>
      </c>
      <c r="O154" s="352">
        <f t="shared" si="108"/>
      </c>
      <c r="P154" s="352">
        <f t="shared" si="138"/>
      </c>
      <c r="Q154" s="352">
        <f t="shared" si="168"/>
      </c>
      <c r="R154" s="352">
        <f t="shared" si="228"/>
      </c>
      <c r="S154" s="353">
        <f t="shared" si="288"/>
      </c>
      <c r="T154" s="354">
        <v>0.0195</v>
      </c>
      <c r="U154" s="355">
        <v>42</v>
      </c>
      <c r="V154" s="351">
        <f t="shared" si="348"/>
      </c>
      <c r="W154" s="353">
        <v>7702</v>
      </c>
      <c r="X154" s="353">
        <v>695</v>
      </c>
      <c r="Y154" s="353">
        <v>50</v>
      </c>
      <c r="Z154" s="353">
        <v>791</v>
      </c>
      <c r="AA154" s="353">
        <v>60</v>
      </c>
      <c r="AB154" s="353">
        <v>7</v>
      </c>
      <c r="AC154" s="353">
        <v>2</v>
      </c>
      <c r="AD154" s="353">
        <v>8</v>
      </c>
      <c r="AE154" s="351">
        <f t="shared" si="42"/>
      </c>
      <c r="AF154" s="356" t="s">
        <v>253</v>
      </c>
      <c r="AG154" s="357" t="s">
        <v>254</v>
      </c>
      <c r="AH154" s="355">
        <v>24</v>
      </c>
    </row>
    <row r="155">
      <c r="A155" s="397"/>
      <c r="B155" s="360" t="s">
        <v>240</v>
      </c>
      <c r="C155" s="360"/>
      <c r="D155" s="361">
        <f>SUM(D151:D154)</f>
      </c>
      <c r="E155" s="362"/>
      <c r="F155" s="362">
        <f>SUM(F151:F154)</f>
      </c>
      <c r="G155" s="362">
        <f>SUM(G151:G154)</f>
      </c>
      <c r="H155" s="361">
        <f>SUM(H151:H154)</f>
      </c>
      <c r="I155" s="363">
        <f t="shared" si="198"/>
      </c>
      <c r="J155" s="363">
        <f t="shared" si="258"/>
      </c>
      <c r="K155" s="363">
        <f t="shared" si="318"/>
      </c>
      <c r="L155" s="363"/>
      <c r="M155" s="363">
        <f t="shared" si="12"/>
      </c>
      <c r="N155" s="363">
        <f t="shared" si="78"/>
      </c>
      <c r="O155" s="364">
        <f t="shared" si="108"/>
      </c>
      <c r="P155" s="364">
        <f t="shared" si="138"/>
      </c>
      <c r="Q155" s="364">
        <f t="shared" si="168"/>
      </c>
      <c r="R155" s="364">
        <f t="shared" si="228"/>
      </c>
      <c r="S155" s="365">
        <f t="shared" si="288"/>
      </c>
      <c r="T155" s="364">
        <f>AVERAGE(T151:T154)</f>
      </c>
      <c r="U155" s="361">
        <f>AVERAGE(U151:U154)</f>
      </c>
      <c r="V155" s="363">
        <f t="shared" si="348"/>
      </c>
      <c r="W155" s="365">
        <f>SUM(W151:W154)</f>
      </c>
      <c r="X155" s="365">
        <f>SUM(X151:X154)</f>
      </c>
      <c r="Y155" s="365">
        <f>SUM(Y151:Y154)</f>
      </c>
      <c r="Z155" s="365">
        <f>SUM(Z151:Z154)</f>
      </c>
      <c r="AA155" s="365">
        <f>SUM(AA151:AA154)</f>
      </c>
      <c r="AB155" s="365">
        <f>SUM(AB151:AB154)</f>
      </c>
      <c r="AC155" s="365">
        <f>SUM(AC151:AC154)</f>
      </c>
      <c r="AD155" s="365">
        <f>SUM(AD151:AD154)</f>
      </c>
      <c r="AE155" s="366">
        <f t="shared" si="42"/>
      </c>
      <c r="AF155" s="367"/>
      <c r="AG155" s="367"/>
      <c r="AH155" s="368">
        <f>SUM(AH151:AH154)</f>
      </c>
    </row>
    <row customHeight="true" ht="18.452380952380953" r="156">
      <c r="A156" s="397"/>
      <c r="B156" s="410" t="s">
        <v>246</v>
      </c>
      <c r="C156" s="411" t="s">
        <v>258</v>
      </c>
      <c r="D156" s="412">
        <v>2124.43</v>
      </c>
      <c r="E156" s="413"/>
      <c r="F156" s="413">
        <v>1</v>
      </c>
      <c r="G156" s="414">
        <v>1</v>
      </c>
      <c r="H156" s="415">
        <v>451</v>
      </c>
      <c r="I156" s="416">
        <f t="shared" si="198"/>
      </c>
      <c r="J156" s="416">
        <f t="shared" si="258"/>
      </c>
      <c r="K156" s="416">
        <f t="shared" si="318"/>
      </c>
      <c r="L156" s="416"/>
      <c r="M156" s="416">
        <f t="shared" si="12"/>
      </c>
      <c r="N156" s="416">
        <f t="shared" si="78"/>
      </c>
      <c r="O156" s="417">
        <f t="shared" si="108"/>
      </c>
      <c r="P156" s="417">
        <f t="shared" si="138"/>
      </c>
      <c r="Q156" s="417">
        <f t="shared" si="168"/>
      </c>
      <c r="R156" s="417">
        <f t="shared" si="228"/>
      </c>
      <c r="S156" s="418">
        <f t="shared" si="288"/>
      </c>
      <c r="T156" s="419">
        <v>0.0231</v>
      </c>
      <c r="U156" s="420">
        <v>43</v>
      </c>
      <c r="V156" s="416">
        <f t="shared" si="348"/>
      </c>
      <c r="W156" s="418">
        <v>8758</v>
      </c>
      <c r="X156" s="418">
        <v>665</v>
      </c>
      <c r="Y156" s="418">
        <v>72</v>
      </c>
      <c r="Z156" s="418">
        <v>751</v>
      </c>
      <c r="AA156" s="418">
        <v>103</v>
      </c>
      <c r="AB156" s="418">
        <v>8</v>
      </c>
      <c r="AC156" s="418">
        <v>3</v>
      </c>
      <c r="AD156" s="418">
        <v>14</v>
      </c>
      <c r="AE156" s="416">
        <f t="shared" si="42"/>
      </c>
      <c r="AF156" s="356" t="s">
        <v>253</v>
      </c>
      <c r="AG156" s="421" t="s">
        <v>259</v>
      </c>
      <c r="AH156" s="420">
        <v>3</v>
      </c>
    </row>
    <row customHeight="true" ht="18.452380952380953" r="157">
      <c r="A157" s="397"/>
      <c r="B157" s="410" t="s">
        <v>246</v>
      </c>
      <c r="C157" s="422" t="s">
        <v>260</v>
      </c>
      <c r="D157" s="423">
        <v>1469.36</v>
      </c>
      <c r="E157" s="424"/>
      <c r="F157" s="424">
        <v>3</v>
      </c>
      <c r="G157" s="424">
        <v>3</v>
      </c>
      <c r="H157" s="415">
        <v>2402.3999999999996</v>
      </c>
      <c r="I157" s="416">
        <f t="shared" si="198"/>
      </c>
      <c r="J157" s="416">
        <f t="shared" si="258"/>
      </c>
      <c r="K157" s="416">
        <f t="shared" si="318"/>
      </c>
      <c r="L157" s="416"/>
      <c r="M157" s="416">
        <f t="shared" si="12"/>
      </c>
      <c r="N157" s="416">
        <f t="shared" si="78"/>
      </c>
      <c r="O157" s="417">
        <f t="shared" si="108"/>
      </c>
      <c r="P157" s="417">
        <f t="shared" si="138"/>
      </c>
      <c r="Q157" s="417">
        <f t="shared" si="168"/>
      </c>
      <c r="R157" s="417">
        <f t="shared" si="228"/>
      </c>
      <c r="S157" s="418">
        <f t="shared" si="288"/>
      </c>
      <c r="T157" s="419">
        <v>0.0154</v>
      </c>
      <c r="U157" s="420">
        <v>43</v>
      </c>
      <c r="V157" s="416">
        <f t="shared" si="348"/>
      </c>
      <c r="W157" s="418">
        <v>6332</v>
      </c>
      <c r="X157" s="418">
        <v>554</v>
      </c>
      <c r="Y157" s="418">
        <v>39</v>
      </c>
      <c r="Z157" s="418">
        <v>659</v>
      </c>
      <c r="AA157" s="418">
        <v>53</v>
      </c>
      <c r="AB157" s="418">
        <v>7</v>
      </c>
      <c r="AC157" s="418">
        <v>0</v>
      </c>
      <c r="AD157" s="418">
        <v>6</v>
      </c>
      <c r="AE157" s="416">
        <f t="shared" si="42"/>
      </c>
      <c r="AF157" s="356" t="s">
        <v>253</v>
      </c>
      <c r="AG157" s="421" t="s">
        <v>259</v>
      </c>
      <c r="AH157" s="420">
        <v>15</v>
      </c>
    </row>
    <row customHeight="true" ht="18.452380952380953" r="158">
      <c r="A158" s="397"/>
      <c r="B158" s="410" t="s">
        <v>246</v>
      </c>
      <c r="C158" s="411" t="s">
        <v>261</v>
      </c>
      <c r="D158" s="412">
        <v>1407.42</v>
      </c>
      <c r="E158" s="424"/>
      <c r="F158" s="424">
        <v>3</v>
      </c>
      <c r="G158" s="424">
        <v>3</v>
      </c>
      <c r="H158" s="412">
        <v>2385.8999999999996</v>
      </c>
      <c r="I158" s="416">
        <f t="shared" si="198"/>
      </c>
      <c r="J158" s="416">
        <f t="shared" si="258"/>
      </c>
      <c r="K158" s="416">
        <f t="shared" si="318"/>
      </c>
      <c r="L158" s="416"/>
      <c r="M158" s="416">
        <f t="shared" si="12"/>
      </c>
      <c r="N158" s="416">
        <f t="shared" si="78"/>
      </c>
      <c r="O158" s="417">
        <f t="shared" si="108"/>
      </c>
      <c r="P158" s="417">
        <f t="shared" si="138"/>
      </c>
      <c r="Q158" s="417">
        <f t="shared" si="168"/>
      </c>
      <c r="R158" s="417">
        <f t="shared" si="228"/>
      </c>
      <c r="S158" s="418">
        <f t="shared" si="288"/>
      </c>
      <c r="T158" s="419">
        <v>0.023</v>
      </c>
      <c r="U158" s="420">
        <v>43</v>
      </c>
      <c r="V158" s="416">
        <f t="shared" si="348"/>
      </c>
      <c r="W158" s="418">
        <v>6282</v>
      </c>
      <c r="X158" s="418">
        <v>406</v>
      </c>
      <c r="Y158" s="418">
        <v>42</v>
      </c>
      <c r="Z158" s="418">
        <v>452</v>
      </c>
      <c r="AA158" s="418">
        <v>39</v>
      </c>
      <c r="AB158" s="418">
        <v>7</v>
      </c>
      <c r="AC158" s="418">
        <v>1</v>
      </c>
      <c r="AD158" s="418">
        <v>4</v>
      </c>
      <c r="AE158" s="416">
        <f t="shared" si="42"/>
      </c>
      <c r="AF158" s="356" t="s">
        <v>253</v>
      </c>
      <c r="AG158" s="421" t="s">
        <v>259</v>
      </c>
      <c r="AH158" s="420">
        <v>12</v>
      </c>
    </row>
    <row customHeight="true" ht="18.452380952380953" r="159">
      <c r="A159" s="397"/>
      <c r="B159" s="410" t="s">
        <v>246</v>
      </c>
      <c r="C159" s="425" t="s">
        <v>262</v>
      </c>
      <c r="D159" s="426">
        <v>1120.58</v>
      </c>
      <c r="E159" s="414"/>
      <c r="F159" s="414">
        <v>0</v>
      </c>
      <c r="G159" s="414">
        <v>0</v>
      </c>
      <c r="H159" s="426">
        <v>0</v>
      </c>
      <c r="I159" s="416">
        <f t="shared" si="198"/>
      </c>
      <c r="J159" s="416">
        <f t="shared" si="258"/>
      </c>
      <c r="K159" s="416">
        <f t="shared" si="318"/>
      </c>
      <c r="L159" s="416"/>
      <c r="M159" s="416">
        <f t="shared" si="12"/>
      </c>
      <c r="N159" s="416">
        <f t="shared" si="78"/>
      </c>
      <c r="O159" s="417">
        <f t="shared" si="108"/>
      </c>
      <c r="P159" s="417">
        <f t="shared" si="138"/>
      </c>
      <c r="Q159" s="417">
        <f t="shared" si="168"/>
      </c>
      <c r="R159" s="417">
        <f t="shared" si="228"/>
      </c>
      <c r="S159" s="418">
        <f t="shared" si="288"/>
      </c>
      <c r="T159" s="419">
        <v>0.02</v>
      </c>
      <c r="U159" s="420">
        <v>41</v>
      </c>
      <c r="V159" s="416">
        <f t="shared" si="348"/>
      </c>
      <c r="W159" s="418">
        <v>5017</v>
      </c>
      <c r="X159" s="418">
        <v>405</v>
      </c>
      <c r="Y159" s="418">
        <v>39</v>
      </c>
      <c r="Z159" s="418">
        <v>452</v>
      </c>
      <c r="AA159" s="418">
        <v>34</v>
      </c>
      <c r="AB159" s="418">
        <v>3</v>
      </c>
      <c r="AC159" s="418">
        <v>0</v>
      </c>
      <c r="AD159" s="418">
        <v>2</v>
      </c>
      <c r="AE159" s="416">
        <f t="shared" si="42"/>
      </c>
      <c r="AF159" s="356" t="s">
        <v>253</v>
      </c>
      <c r="AG159" s="421" t="s">
        <v>259</v>
      </c>
      <c r="AH159" s="420">
        <v>11</v>
      </c>
    </row>
    <row customHeight="true" ht="18.452380952380953" r="160">
      <c r="A160" s="397"/>
      <c r="B160" s="427" t="s">
        <v>240</v>
      </c>
      <c r="C160" s="427"/>
      <c r="D160" s="428">
        <f>SUM(D156:D159)</f>
      </c>
      <c r="E160" s="429"/>
      <c r="F160" s="429">
        <f>SUM(F156:F159)</f>
      </c>
      <c r="G160" s="429">
        <f>SUM(G156:G159)</f>
      </c>
      <c r="H160" s="428">
        <f>SUM(H156:H159)</f>
      </c>
      <c r="I160" s="430">
        <f t="shared" si="198"/>
      </c>
      <c r="J160" s="430">
        <f t="shared" si="258"/>
      </c>
      <c r="K160" s="430">
        <f t="shared" si="318"/>
      </c>
      <c r="L160" s="430"/>
      <c r="M160" s="430">
        <f t="shared" si="12"/>
      </c>
      <c r="N160" s="430">
        <f t="shared" si="78"/>
      </c>
      <c r="O160" s="431">
        <f t="shared" si="108"/>
      </c>
      <c r="P160" s="431">
        <f t="shared" si="138"/>
      </c>
      <c r="Q160" s="431">
        <f t="shared" si="168"/>
      </c>
      <c r="R160" s="431">
        <f t="shared" si="228"/>
      </c>
      <c r="S160" s="432">
        <f t="shared" si="288"/>
      </c>
      <c r="T160" s="431">
        <f>AVERAGE(T156:T159)</f>
      </c>
      <c r="U160" s="428">
        <f>AVERAGE(U156:U159)</f>
      </c>
      <c r="V160" s="430">
        <f t="shared" si="348"/>
      </c>
      <c r="W160" s="432">
        <f>SUM(W156:W159)</f>
      </c>
      <c r="X160" s="432">
        <f>SUM(X156:X159)</f>
      </c>
      <c r="Y160" s="432">
        <f>SUM(Y156:Y159)</f>
      </c>
      <c r="Z160" s="432">
        <f>SUM(Z156:Z159)</f>
      </c>
      <c r="AA160" s="432">
        <f>SUM(AA156:AA159)</f>
      </c>
      <c r="AB160" s="432">
        <f>SUM(AB156:AB159)</f>
      </c>
      <c r="AC160" s="432">
        <f>SUM(AC156:AC159)</f>
      </c>
      <c r="AD160" s="432">
        <f>SUM(AD156:AD159)</f>
      </c>
      <c r="AE160" s="433">
        <f t="shared" si="42"/>
      </c>
      <c r="AF160" s="434"/>
      <c r="AG160" s="434"/>
      <c r="AH160" s="435">
        <f>SUM(AH156:AH159)</f>
      </c>
    </row>
    <row r="161">
      <c r="A161" s="397"/>
      <c r="B161" s="375" t="s">
        <v>249</v>
      </c>
      <c r="C161" s="411" t="s">
        <v>243</v>
      </c>
      <c r="D161" s="349">
        <v>1303.98</v>
      </c>
      <c r="E161" s="350"/>
      <c r="F161" s="350">
        <v>3</v>
      </c>
      <c r="G161" s="350">
        <v>2</v>
      </c>
      <c r="H161" s="349">
        <v>1683</v>
      </c>
      <c r="I161" s="351">
        <f t="shared" si="198"/>
      </c>
      <c r="J161" s="351">
        <f t="shared" si="258"/>
      </c>
      <c r="K161" s="351">
        <f t="shared" si="318"/>
      </c>
      <c r="L161" s="351"/>
      <c r="M161" s="351">
        <f t="shared" si="12"/>
      </c>
      <c r="N161" s="351">
        <f t="shared" si="78"/>
      </c>
      <c r="O161" s="352">
        <f t="shared" si="108"/>
      </c>
      <c r="P161" s="352">
        <f t="shared" si="138"/>
      </c>
      <c r="Q161" s="352">
        <f t="shared" si="168"/>
      </c>
      <c r="R161" s="352">
        <f t="shared" si="228"/>
      </c>
      <c r="S161" s="353">
        <f t="shared" si="288"/>
      </c>
      <c r="T161" s="354">
        <v>0.0248</v>
      </c>
      <c r="U161" s="355">
        <v>42</v>
      </c>
      <c r="V161" s="351">
        <f t="shared" si="348"/>
      </c>
      <c r="W161" s="355">
        <v>7771</v>
      </c>
      <c r="X161" s="355">
        <v>417</v>
      </c>
      <c r="Y161" s="353">
        <v>56</v>
      </c>
      <c r="Z161" s="353">
        <v>446</v>
      </c>
      <c r="AA161" s="353">
        <v>47</v>
      </c>
      <c r="AB161" s="353">
        <v>2</v>
      </c>
      <c r="AC161" s="355">
        <v>1</v>
      </c>
      <c r="AD161" s="355">
        <v>5</v>
      </c>
      <c r="AE161" s="351">
        <f t="shared" si="42"/>
      </c>
      <c r="AF161" s="356" t="s">
        <v>234</v>
      </c>
      <c r="AG161" s="357" t="s">
        <v>251</v>
      </c>
      <c r="AH161" s="355">
        <v>11</v>
      </c>
    </row>
    <row r="162">
      <c r="A162" s="397"/>
      <c r="B162" s="375" t="s">
        <v>249</v>
      </c>
      <c r="C162" s="422" t="s">
        <v>244</v>
      </c>
      <c r="D162" s="349">
        <v>1231.56</v>
      </c>
      <c r="E162" s="350"/>
      <c r="F162" s="350">
        <v>2</v>
      </c>
      <c r="G162" s="350">
        <v>1</v>
      </c>
      <c r="H162" s="349">
        <v>902</v>
      </c>
      <c r="I162" s="351">
        <f t="shared" si="198"/>
      </c>
      <c r="J162" s="351">
        <f t="shared" si="258"/>
      </c>
      <c r="K162" s="351">
        <f t="shared" si="318"/>
      </c>
      <c r="L162" s="351"/>
      <c r="M162" s="351">
        <f t="shared" si="12"/>
      </c>
      <c r="N162" s="351">
        <f t="shared" si="78"/>
      </c>
      <c r="O162" s="352">
        <f t="shared" si="108"/>
      </c>
      <c r="P162" s="352">
        <f t="shared" si="138"/>
      </c>
      <c r="Q162" s="352">
        <f t="shared" si="168"/>
      </c>
      <c r="R162" s="352">
        <f t="shared" si="228"/>
      </c>
      <c r="S162" s="353">
        <f t="shared" si="288"/>
      </c>
      <c r="T162" s="354">
        <v>0.0259</v>
      </c>
      <c r="U162" s="355">
        <v>40</v>
      </c>
      <c r="V162" s="351">
        <f t="shared" si="348"/>
      </c>
      <c r="W162" s="353">
        <v>7420</v>
      </c>
      <c r="X162" s="353">
        <v>384</v>
      </c>
      <c r="Y162" s="353">
        <v>41</v>
      </c>
      <c r="Z162" s="353">
        <v>415</v>
      </c>
      <c r="AA162" s="353">
        <v>21</v>
      </c>
      <c r="AB162" s="353">
        <v>6</v>
      </c>
      <c r="AC162" s="353">
        <v>1</v>
      </c>
      <c r="AD162" s="355">
        <v>7</v>
      </c>
      <c r="AE162" s="351">
        <f t="shared" si="42"/>
      </c>
      <c r="AF162" s="356" t="s">
        <v>234</v>
      </c>
      <c r="AG162" s="357" t="s">
        <v>251</v>
      </c>
      <c r="AH162" s="355">
        <v>8</v>
      </c>
    </row>
    <row r="163">
      <c r="A163" s="397"/>
      <c r="B163" s="375" t="s">
        <v>249</v>
      </c>
      <c r="C163" s="411" t="s">
        <v>245</v>
      </c>
      <c r="D163" s="349">
        <v>1121.87</v>
      </c>
      <c r="E163" s="350"/>
      <c r="F163" s="350">
        <v>1</v>
      </c>
      <c r="G163" s="350">
        <v>1</v>
      </c>
      <c r="H163" s="349">
        <v>856.9</v>
      </c>
      <c r="I163" s="351">
        <f t="shared" si="198"/>
      </c>
      <c r="J163" s="351">
        <f t="shared" si="258"/>
      </c>
      <c r="K163" s="351">
        <f t="shared" si="318"/>
      </c>
      <c r="L163" s="351"/>
      <c r="M163" s="351">
        <f t="shared" si="12"/>
      </c>
      <c r="N163" s="351">
        <f t="shared" si="78"/>
      </c>
      <c r="O163" s="352">
        <f t="shared" si="108"/>
      </c>
      <c r="P163" s="352">
        <f t="shared" si="138"/>
      </c>
      <c r="Q163" s="352">
        <f t="shared" si="168"/>
      </c>
      <c r="R163" s="352">
        <f t="shared" si="228"/>
      </c>
      <c r="S163" s="353">
        <f t="shared" si="288"/>
      </c>
      <c r="T163" s="354">
        <v>0.0364</v>
      </c>
      <c r="U163" s="355">
        <v>40</v>
      </c>
      <c r="V163" s="351">
        <f t="shared" si="348"/>
      </c>
      <c r="W163" s="355">
        <v>6662</v>
      </c>
      <c r="X163" s="355">
        <v>353</v>
      </c>
      <c r="Y163" s="355">
        <v>43</v>
      </c>
      <c r="Z163" s="355">
        <v>399</v>
      </c>
      <c r="AA163" s="355">
        <v>26</v>
      </c>
      <c r="AB163" s="355">
        <v>2</v>
      </c>
      <c r="AC163" s="355">
        <v>1</v>
      </c>
      <c r="AD163" s="355">
        <v>14</v>
      </c>
      <c r="AE163" s="351">
        <f t="shared" si="42"/>
      </c>
      <c r="AF163" s="356" t="s">
        <v>234</v>
      </c>
      <c r="AG163" s="357" t="s">
        <v>251</v>
      </c>
      <c r="AH163" s="355">
        <v>15</v>
      </c>
    </row>
    <row r="164">
      <c r="A164" s="397"/>
      <c r="B164" s="375" t="s">
        <v>249</v>
      </c>
      <c r="C164" s="411" t="s">
        <v>233</v>
      </c>
      <c r="D164" s="349">
        <v>556.26</v>
      </c>
      <c r="E164" s="350"/>
      <c r="F164" s="350">
        <v>1</v>
      </c>
      <c r="G164" s="350">
        <v>1</v>
      </c>
      <c r="H164" s="349">
        <v>856.9</v>
      </c>
      <c r="I164" s="351">
        <f t="shared" si="198"/>
      </c>
      <c r="J164" s="351">
        <f t="shared" si="258"/>
      </c>
      <c r="K164" s="351">
        <f t="shared" si="318"/>
      </c>
      <c r="L164" s="351"/>
      <c r="M164" s="351">
        <f t="shared" si="12"/>
      </c>
      <c r="N164" s="351">
        <f t="shared" si="78"/>
      </c>
      <c r="O164" s="352">
        <f t="shared" si="108"/>
      </c>
      <c r="P164" s="352">
        <f t="shared" si="138"/>
      </c>
      <c r="Q164" s="352">
        <f t="shared" si="168"/>
      </c>
      <c r="R164" s="352">
        <f t="shared" si="228"/>
      </c>
      <c r="S164" s="353">
        <f t="shared" si="288"/>
      </c>
      <c r="T164" s="354">
        <v>0.0526</v>
      </c>
      <c r="U164" s="355">
        <v>40</v>
      </c>
      <c r="V164" s="351">
        <f t="shared" si="348"/>
      </c>
      <c r="W164" s="355">
        <v>3435</v>
      </c>
      <c r="X164" s="355">
        <v>210</v>
      </c>
      <c r="Y164" s="353">
        <v>38</v>
      </c>
      <c r="Z164" s="353">
        <v>240</v>
      </c>
      <c r="AA164" s="353">
        <v>31</v>
      </c>
      <c r="AB164" s="353">
        <v>4</v>
      </c>
      <c r="AC164" s="355">
        <v>0</v>
      </c>
      <c r="AD164" s="355">
        <v>2</v>
      </c>
      <c r="AE164" s="351">
        <f t="shared" si="42"/>
      </c>
      <c r="AF164" s="356" t="s">
        <v>234</v>
      </c>
      <c r="AG164" s="357" t="s">
        <v>251</v>
      </c>
      <c r="AH164" s="355">
        <v>9</v>
      </c>
    </row>
    <row r="165">
      <c r="A165" s="397"/>
      <c r="B165" s="360" t="s">
        <v>240</v>
      </c>
      <c r="C165" s="360"/>
      <c r="D165" s="405">
        <f>SUM(D161:D164)</f>
      </c>
      <c r="E165" s="362"/>
      <c r="F165" s="362">
        <f>SUM(F161:F164)</f>
      </c>
      <c r="G165" s="362">
        <f>SUM(G161:G164)</f>
      </c>
      <c r="H165" s="361">
        <f>SUM(H161:H164)</f>
      </c>
      <c r="I165" s="363">
        <f t="shared" si="198"/>
      </c>
      <c r="J165" s="363">
        <f t="shared" si="258"/>
      </c>
      <c r="K165" s="363">
        <f t="shared" si="318"/>
      </c>
      <c r="L165" s="363"/>
      <c r="M165" s="363">
        <f t="shared" si="12"/>
      </c>
      <c r="N165" s="363">
        <f t="shared" si="78"/>
      </c>
      <c r="O165" s="364">
        <f t="shared" si="108"/>
      </c>
      <c r="P165" s="364">
        <f t="shared" si="138"/>
      </c>
      <c r="Q165" s="364">
        <f t="shared" si="168"/>
      </c>
      <c r="R165" s="364">
        <f t="shared" si="228"/>
      </c>
      <c r="S165" s="365">
        <f t="shared" si="288"/>
      </c>
      <c r="T165" s="364">
        <f>AVERAGE(T161:T164)</f>
      </c>
      <c r="U165" s="361">
        <f>AVERAGE(U161:U164)</f>
      </c>
      <c r="V165" s="363">
        <f t="shared" si="348"/>
      </c>
      <c r="W165" s="365">
        <f>SUM(W161:W164)</f>
      </c>
      <c r="X165" s="365">
        <f>SUM(X161:X164)</f>
      </c>
      <c r="Y165" s="365">
        <f>SUM(Y161:Y164)</f>
      </c>
      <c r="Z165" s="365">
        <f>SUM(Z161:Z164)</f>
      </c>
      <c r="AA165" s="365">
        <f>SUM(AA161:AA164)</f>
      </c>
      <c r="AB165" s="365">
        <f>SUM(AB161:AB164)</f>
      </c>
      <c r="AC165" s="365">
        <f>SUM(AC161:AC164)</f>
      </c>
      <c r="AD165" s="365">
        <f>SUM(AD161:AD164)</f>
      </c>
      <c r="AE165" s="366">
        <f t="shared" si="42"/>
      </c>
      <c r="AF165" s="367"/>
      <c r="AG165" s="367"/>
      <c r="AH165" s="365">
        <f>SUM(AH161:AH164)</f>
      </c>
    </row>
    <row r="166">
      <c r="A166" s="397"/>
      <c r="B166" s="369" t="s">
        <v>241</v>
      </c>
      <c r="C166" s="369"/>
      <c r="D166" s="370">
        <f>D155+D165+D160</f>
      </c>
      <c r="E166" s="370"/>
      <c r="F166" s="370">
        <f>F155+F165+F160</f>
      </c>
      <c r="G166" s="370">
        <f>G155+G165+G160</f>
      </c>
      <c r="H166" s="370">
        <f>H155+H165+H160</f>
      </c>
      <c r="I166" s="372">
        <f t="shared" si="198"/>
      </c>
      <c r="J166" s="372">
        <f t="shared" si="258"/>
      </c>
      <c r="K166" s="372">
        <f t="shared" si="318"/>
      </c>
      <c r="L166" s="372"/>
      <c r="M166" s="372">
        <f t="shared" si="12"/>
      </c>
      <c r="N166" s="372">
        <f t="shared" si="78"/>
      </c>
      <c r="O166" s="373">
        <f t="shared" si="108"/>
      </c>
      <c r="P166" s="373">
        <f t="shared" si="138"/>
      </c>
      <c r="Q166" s="373">
        <f t="shared" si="168"/>
      </c>
      <c r="R166" s="373">
        <f t="shared" si="228"/>
      </c>
      <c r="S166" s="374">
        <f t="shared" si="288"/>
      </c>
      <c r="T166" s="373">
        <f>(T155+T165+T160)/3</f>
      </c>
      <c r="U166" s="373">
        <f>(U155+U165+U160)/3</f>
      </c>
      <c r="V166" s="370">
        <f t="shared" si="348"/>
      </c>
      <c r="W166" s="374">
        <f>W155+W165+W160</f>
      </c>
      <c r="X166" s="374">
        <f>X155+X165+X160</f>
      </c>
      <c r="Y166" s="374">
        <f>Y155+Y165+Y160</f>
      </c>
      <c r="Z166" s="374">
        <f>Z155+Z165+Z160</f>
      </c>
      <c r="AA166" s="374">
        <f>AA155+AA165+AA160</f>
      </c>
      <c r="AB166" s="374">
        <f>AB155+AB165+AB160</f>
      </c>
      <c r="AC166" s="374">
        <f>AC155+AC165+AC160</f>
      </c>
      <c r="AD166" s="374">
        <f>AD155+AD165+AD160</f>
      </c>
      <c r="AE166" s="372">
        <f>AE155</f>
      </c>
      <c r="AF166" s="369"/>
      <c r="AG166" s="369"/>
      <c r="AH166" s="374">
        <f>AH155+AH165+AH160</f>
      </c>
    </row>
    <row r="167">
      <c r="A167" s="380" t="s">
        <v>197</v>
      </c>
      <c r="B167" s="396" t="s">
        <v>198</v>
      </c>
      <c r="C167" s="396"/>
      <c r="D167" s="381" t="s">
        <v>199</v>
      </c>
      <c r="E167" s="381"/>
      <c r="F167" s="381"/>
      <c r="G167" s="381"/>
      <c r="H167" s="381"/>
      <c r="I167" s="381"/>
      <c r="J167" s="381"/>
      <c r="K167" s="381"/>
      <c r="L167" s="381"/>
      <c r="M167" s="381"/>
      <c r="N167" s="382" t="s">
        <v>200</v>
      </c>
      <c r="O167" s="382"/>
      <c r="P167" s="382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  <c r="AA167" s="382"/>
      <c r="AB167" s="382"/>
      <c r="AC167" s="382"/>
      <c r="AD167" s="382"/>
      <c r="AE167" s="382"/>
      <c r="AF167" s="382"/>
      <c r="AG167" s="382"/>
      <c r="AH167" s="340"/>
    </row>
    <row r="168">
      <c r="A168" s="380"/>
      <c r="B168" s="396" t="s">
        <v>201</v>
      </c>
      <c r="C168" s="398" t="s">
        <v>202</v>
      </c>
      <c r="D168" s="399" t="s">
        <v>203</v>
      </c>
      <c r="E168" s="391"/>
      <c r="F168" s="391" t="s">
        <v>204</v>
      </c>
      <c r="G168" s="391" t="s">
        <v>205</v>
      </c>
      <c r="H168" s="390" t="s">
        <v>206</v>
      </c>
      <c r="I168" s="384" t="s">
        <v>207</v>
      </c>
      <c r="J168" s="384" t="s">
        <v>208</v>
      </c>
      <c r="K168" s="384" t="s">
        <v>209</v>
      </c>
      <c r="L168" s="384"/>
      <c r="M168" s="384" t="s">
        <v>210</v>
      </c>
      <c r="N168" s="385" t="s">
        <v>211</v>
      </c>
      <c r="O168" s="386" t="s">
        <v>212</v>
      </c>
      <c r="P168" s="386" t="s">
        <v>213</v>
      </c>
      <c r="Q168" s="386" t="s">
        <v>214</v>
      </c>
      <c r="R168" s="386" t="s">
        <v>215</v>
      </c>
      <c r="S168" s="387" t="s">
        <v>216</v>
      </c>
      <c r="T168" s="392" t="s">
        <v>217</v>
      </c>
      <c r="U168" s="393" t="s">
        <v>218</v>
      </c>
      <c r="V168" s="382" t="s">
        <v>219</v>
      </c>
      <c r="W168" s="394" t="s">
        <v>220</v>
      </c>
      <c r="X168" s="394" t="s">
        <v>221</v>
      </c>
      <c r="Y168" s="394" t="s">
        <v>222</v>
      </c>
      <c r="Z168" s="394" t="s">
        <v>223</v>
      </c>
      <c r="AA168" s="394" t="s">
        <v>224</v>
      </c>
      <c r="AB168" s="394" t="s">
        <v>225</v>
      </c>
      <c r="AC168" s="394" t="s">
        <v>226</v>
      </c>
      <c r="AD168" s="394" t="s">
        <v>227</v>
      </c>
      <c r="AE168" s="382" t="s">
        <v>228</v>
      </c>
      <c r="AF168" s="389" t="s">
        <v>229</v>
      </c>
      <c r="AG168" s="389" t="s">
        <v>230</v>
      </c>
      <c r="AH168" s="340" t="s">
        <v>231</v>
      </c>
    </row>
    <row r="169">
      <c r="A169" s="397">
        <v>46157</v>
      </c>
      <c r="B169" s="400" t="s">
        <v>248</v>
      </c>
      <c r="C169" s="348" t="s">
        <v>252</v>
      </c>
      <c r="D169" s="349">
        <v>1648.84</v>
      </c>
      <c r="E169" s="401"/>
      <c r="F169" s="401">
        <v>0</v>
      </c>
      <c r="G169" s="350">
        <v>0</v>
      </c>
      <c r="H169" s="378">
        <v>0</v>
      </c>
      <c r="I169" s="351">
        <f t="shared" ref="I169:I184" si="199">H169/D169</f>
      </c>
      <c r="J169" s="351">
        <f t="shared" ref="J169:J184" si="259">D169/F169</f>
      </c>
      <c r="K169" s="351">
        <f t="shared" ref="K169:K184" si="319">D169/G169</f>
      </c>
      <c r="L169" s="351"/>
      <c r="M169" s="351">
        <f t="shared" ref="M169:M184" si="13">H169/F169</f>
      </c>
      <c r="N169" s="351">
        <f t="shared" ref="N169:N184" si="79">D169/X169</f>
      </c>
      <c r="O169" s="352">
        <f t="shared" ref="O169:O184" si="109">S169/W169*1</f>
      </c>
      <c r="P169" s="352">
        <f t="shared" ref="P169:P184" si="139">X169/W169</f>
      </c>
      <c r="Q169" s="352">
        <f t="shared" ref="Q169:Q184" si="169">Z169/W169</f>
      </c>
      <c r="R169" s="352">
        <f t="shared" ref="R169:R184" si="229">AA169/Z169</f>
      </c>
      <c r="S169" s="353">
        <f t="shared" ref="S169:S184" si="289">Y169/T169</f>
      </c>
      <c r="T169" s="354">
        <v>0.0362</v>
      </c>
      <c r="U169" s="355">
        <v>43</v>
      </c>
      <c r="V169" s="351">
        <f t="shared" ref="V169:V184" si="349">(D169/W169)*1000</f>
      </c>
      <c r="W169" s="355">
        <v>5505</v>
      </c>
      <c r="X169" s="355">
        <v>302</v>
      </c>
      <c r="Y169" s="353">
        <v>41</v>
      </c>
      <c r="Z169" s="353">
        <v>379</v>
      </c>
      <c r="AA169" s="353">
        <v>21</v>
      </c>
      <c r="AB169" s="353">
        <v>5</v>
      </c>
      <c r="AC169" s="353">
        <v>0</v>
      </c>
      <c r="AD169" s="355">
        <v>6</v>
      </c>
      <c r="AE169" s="351">
        <f t="shared" ref="AE169:AE183" si="43">AH169*1000/D169</f>
      </c>
      <c r="AF169" s="356" t="s">
        <v>253</v>
      </c>
      <c r="AG169" s="357" t="s">
        <v>254</v>
      </c>
      <c r="AH169" s="355">
        <v>10</v>
      </c>
    </row>
    <row r="170">
      <c r="A170" s="397"/>
      <c r="B170" s="348" t="s">
        <v>248</v>
      </c>
      <c r="C170" s="403" t="s">
        <v>255</v>
      </c>
      <c r="D170" s="404">
        <v>1048.96</v>
      </c>
      <c r="E170" s="379"/>
      <c r="F170" s="379">
        <v>0</v>
      </c>
      <c r="G170" s="379">
        <v>0</v>
      </c>
      <c r="H170" s="378">
        <v>0</v>
      </c>
      <c r="I170" s="351">
        <f t="shared" si="199"/>
      </c>
      <c r="J170" s="351">
        <f t="shared" si="259"/>
      </c>
      <c r="K170" s="351">
        <f t="shared" si="319"/>
      </c>
      <c r="L170" s="351"/>
      <c r="M170" s="351">
        <f t="shared" si="13"/>
      </c>
      <c r="N170" s="351">
        <f t="shared" si="79"/>
      </c>
      <c r="O170" s="352">
        <f t="shared" si="109"/>
      </c>
      <c r="P170" s="352">
        <f t="shared" si="139"/>
      </c>
      <c r="Q170" s="352">
        <f t="shared" si="169"/>
      </c>
      <c r="R170" s="352">
        <f t="shared" si="229"/>
      </c>
      <c r="S170" s="353">
        <f t="shared" si="289"/>
      </c>
      <c r="T170" s="354">
        <v>0.034</v>
      </c>
      <c r="U170" s="355">
        <v>38</v>
      </c>
      <c r="V170" s="351">
        <f t="shared" si="349"/>
      </c>
      <c r="W170" s="355">
        <v>4288</v>
      </c>
      <c r="X170" s="355">
        <v>315</v>
      </c>
      <c r="Y170" s="353">
        <v>26</v>
      </c>
      <c r="Z170" s="353">
        <v>373</v>
      </c>
      <c r="AA170" s="355">
        <v>18</v>
      </c>
      <c r="AB170" s="353">
        <v>1</v>
      </c>
      <c r="AC170" s="355">
        <v>0</v>
      </c>
      <c r="AD170" s="355">
        <v>3</v>
      </c>
      <c r="AE170" s="351">
        <f t="shared" si="43"/>
      </c>
      <c r="AF170" s="356" t="s">
        <v>253</v>
      </c>
      <c r="AG170" s="357" t="s">
        <v>254</v>
      </c>
      <c r="AH170" s="355">
        <v>9</v>
      </c>
    </row>
    <row r="171">
      <c r="A171" s="397"/>
      <c r="B171" s="348" t="s">
        <v>248</v>
      </c>
      <c r="C171" s="348" t="s">
        <v>256</v>
      </c>
      <c r="D171" s="349">
        <v>445.36</v>
      </c>
      <c r="E171" s="379"/>
      <c r="F171" s="379">
        <v>1</v>
      </c>
      <c r="G171" s="379">
        <v>0</v>
      </c>
      <c r="H171" s="349">
        <v>1804</v>
      </c>
      <c r="I171" s="351">
        <f t="shared" si="199"/>
      </c>
      <c r="J171" s="351">
        <f t="shared" si="259"/>
      </c>
      <c r="K171" s="351">
        <f t="shared" si="319"/>
      </c>
      <c r="L171" s="351"/>
      <c r="M171" s="351">
        <f t="shared" si="13"/>
      </c>
      <c r="N171" s="351">
        <f t="shared" si="79"/>
      </c>
      <c r="O171" s="352">
        <f t="shared" si="109"/>
      </c>
      <c r="P171" s="352">
        <f t="shared" si="139"/>
      </c>
      <c r="Q171" s="352">
        <f t="shared" si="169"/>
      </c>
      <c r="R171" s="352">
        <f t="shared" si="229"/>
      </c>
      <c r="S171" s="353">
        <f t="shared" si="289"/>
      </c>
      <c r="T171" s="354">
        <v>0.0188</v>
      </c>
      <c r="U171" s="355">
        <v>38</v>
      </c>
      <c r="V171" s="351">
        <f t="shared" si="349"/>
      </c>
      <c r="W171" s="355">
        <v>1955</v>
      </c>
      <c r="X171" s="355">
        <v>281</v>
      </c>
      <c r="Y171" s="355">
        <v>14</v>
      </c>
      <c r="Z171" s="355">
        <v>331</v>
      </c>
      <c r="AA171" s="355">
        <v>5</v>
      </c>
      <c r="AB171" s="355">
        <v>0</v>
      </c>
      <c r="AC171" s="355">
        <v>0</v>
      </c>
      <c r="AD171" s="355">
        <v>1</v>
      </c>
      <c r="AE171" s="351">
        <f t="shared" si="43"/>
      </c>
      <c r="AF171" s="356" t="s">
        <v>253</v>
      </c>
      <c r="AG171" s="357" t="s">
        <v>254</v>
      </c>
      <c r="AH171" s="355">
        <v>4</v>
      </c>
    </row>
    <row r="172">
      <c r="A172" s="397"/>
      <c r="B172" s="348" t="s">
        <v>248</v>
      </c>
      <c r="C172" s="348" t="s">
        <v>257</v>
      </c>
      <c r="D172" s="349">
        <v>480.97</v>
      </c>
      <c r="E172" s="350"/>
      <c r="F172" s="350">
        <v>0</v>
      </c>
      <c r="G172" s="350">
        <v>0</v>
      </c>
      <c r="H172" s="349">
        <v>0</v>
      </c>
      <c r="I172" s="351">
        <f t="shared" si="199"/>
      </c>
      <c r="J172" s="351">
        <f t="shared" si="259"/>
      </c>
      <c r="K172" s="351">
        <f t="shared" si="319"/>
      </c>
      <c r="L172" s="351"/>
      <c r="M172" s="351">
        <f t="shared" si="13"/>
      </c>
      <c r="N172" s="351">
        <f t="shared" si="79"/>
      </c>
      <c r="O172" s="352">
        <f t="shared" si="109"/>
      </c>
      <c r="P172" s="352">
        <f t="shared" si="139"/>
      </c>
      <c r="Q172" s="352">
        <f t="shared" si="169"/>
      </c>
      <c r="R172" s="352">
        <f t="shared" si="229"/>
      </c>
      <c r="S172" s="353">
        <f t="shared" si="289"/>
      </c>
      <c r="T172" s="354">
        <v>0.0133</v>
      </c>
      <c r="U172" s="355">
        <v>29</v>
      </c>
      <c r="V172" s="351">
        <f t="shared" si="349"/>
      </c>
      <c r="W172" s="353">
        <v>2199</v>
      </c>
      <c r="X172" s="353">
        <v>232</v>
      </c>
      <c r="Y172" s="353">
        <v>15</v>
      </c>
      <c r="Z172" s="353">
        <v>247</v>
      </c>
      <c r="AA172" s="353">
        <v>29</v>
      </c>
      <c r="AB172" s="353">
        <v>3</v>
      </c>
      <c r="AC172" s="353">
        <v>0</v>
      </c>
      <c r="AD172" s="353">
        <v>0</v>
      </c>
      <c r="AE172" s="351">
        <f t="shared" si="43"/>
      </c>
      <c r="AF172" s="356" t="s">
        <v>253</v>
      </c>
      <c r="AG172" s="357" t="s">
        <v>254</v>
      </c>
      <c r="AH172" s="355">
        <v>11</v>
      </c>
    </row>
    <row r="173">
      <c r="A173" s="397"/>
      <c r="B173" s="360" t="s">
        <v>240</v>
      </c>
      <c r="C173" s="360"/>
      <c r="D173" s="361">
        <f>SUM(D169:D172)</f>
      </c>
      <c r="E173" s="362"/>
      <c r="F173" s="362">
        <f>SUM(F169:F172)</f>
      </c>
      <c r="G173" s="362">
        <f>SUM(G169:G172)</f>
      </c>
      <c r="H173" s="361">
        <f>SUM(H169:H172)</f>
      </c>
      <c r="I173" s="363">
        <f t="shared" si="199"/>
      </c>
      <c r="J173" s="363">
        <f t="shared" si="259"/>
      </c>
      <c r="K173" s="363">
        <f t="shared" si="319"/>
      </c>
      <c r="L173" s="363"/>
      <c r="M173" s="363">
        <f t="shared" si="13"/>
      </c>
      <c r="N173" s="363">
        <f t="shared" si="79"/>
      </c>
      <c r="O173" s="364">
        <f t="shared" si="109"/>
      </c>
      <c r="P173" s="364">
        <f t="shared" si="139"/>
      </c>
      <c r="Q173" s="364">
        <f t="shared" si="169"/>
      </c>
      <c r="R173" s="364">
        <f t="shared" si="229"/>
      </c>
      <c r="S173" s="365">
        <f t="shared" si="289"/>
      </c>
      <c r="T173" s="364">
        <f>AVERAGE(T169:T172)</f>
      </c>
      <c r="U173" s="361">
        <f>AVERAGE(U169:U172)</f>
      </c>
      <c r="V173" s="363">
        <f t="shared" si="349"/>
      </c>
      <c r="W173" s="365">
        <f>SUM(W169:W172)</f>
      </c>
      <c r="X173" s="365">
        <f>SUM(X169:X172)</f>
      </c>
      <c r="Y173" s="365">
        <f>SUM(Y169:Y172)</f>
      </c>
      <c r="Z173" s="365">
        <f>SUM(Z169:Z172)</f>
      </c>
      <c r="AA173" s="365">
        <f>SUM(AA169:AA172)</f>
      </c>
      <c r="AB173" s="365">
        <f>SUM(AB169:AB172)</f>
      </c>
      <c r="AC173" s="365">
        <f>SUM(AC169:AC172)</f>
      </c>
      <c r="AD173" s="365">
        <f>SUM(AD169:AD172)</f>
      </c>
      <c r="AE173" s="366">
        <f t="shared" si="43"/>
      </c>
      <c r="AF173" s="367"/>
      <c r="AG173" s="367"/>
      <c r="AH173" s="368">
        <f>SUM(AH169:AH172)</f>
      </c>
    </row>
    <row r="174">
      <c r="A174" s="397"/>
      <c r="B174" s="410" t="s">
        <v>246</v>
      </c>
      <c r="C174" s="411" t="s">
        <v>258</v>
      </c>
      <c r="D174" s="412">
        <v>820.03</v>
      </c>
      <c r="E174" s="413"/>
      <c r="F174" s="413">
        <v>2</v>
      </c>
      <c r="G174" s="414">
        <v>2</v>
      </c>
      <c r="H174" s="415">
        <v>2875.3999999999996</v>
      </c>
      <c r="I174" s="416">
        <f t="shared" si="199"/>
      </c>
      <c r="J174" s="416">
        <f t="shared" si="259"/>
      </c>
      <c r="K174" s="416">
        <f t="shared" si="319"/>
      </c>
      <c r="L174" s="416"/>
      <c r="M174" s="416">
        <f t="shared" si="13"/>
      </c>
      <c r="N174" s="416">
        <f t="shared" si="79"/>
      </c>
      <c r="O174" s="417">
        <f t="shared" si="109"/>
      </c>
      <c r="P174" s="417">
        <f t="shared" si="139"/>
      </c>
      <c r="Q174" s="417">
        <f t="shared" si="169"/>
      </c>
      <c r="R174" s="417">
        <f t="shared" si="229"/>
      </c>
      <c r="S174" s="418">
        <f t="shared" si="289"/>
      </c>
      <c r="T174" s="419">
        <v>0.02</v>
      </c>
      <c r="U174" s="420">
        <v>26</v>
      </c>
      <c r="V174" s="416">
        <f t="shared" si="349"/>
      </c>
      <c r="W174" s="418">
        <v>3861</v>
      </c>
      <c r="X174" s="418">
        <v>322</v>
      </c>
      <c r="Y174" s="418">
        <v>26</v>
      </c>
      <c r="Z174" s="418">
        <v>367</v>
      </c>
      <c r="AA174" s="418">
        <v>15</v>
      </c>
      <c r="AB174" s="418">
        <v>1</v>
      </c>
      <c r="AC174" s="418">
        <v>0</v>
      </c>
      <c r="AD174" s="418">
        <v>0</v>
      </c>
      <c r="AE174" s="416">
        <f t="shared" si="43"/>
      </c>
      <c r="AF174" s="356" t="s">
        <v>253</v>
      </c>
      <c r="AG174" s="357" t="s">
        <v>254</v>
      </c>
      <c r="AH174" s="420">
        <v>13</v>
      </c>
    </row>
    <row r="175">
      <c r="A175" s="397"/>
      <c r="B175" s="410" t="s">
        <v>246</v>
      </c>
      <c r="C175" s="422" t="s">
        <v>260</v>
      </c>
      <c r="D175" s="423">
        <v>1765.42</v>
      </c>
      <c r="E175" s="424"/>
      <c r="F175" s="424">
        <v>3</v>
      </c>
      <c r="G175" s="424">
        <v>3</v>
      </c>
      <c r="H175" s="415">
        <v>2164.8</v>
      </c>
      <c r="I175" s="416">
        <f t="shared" si="199"/>
      </c>
      <c r="J175" s="416">
        <f t="shared" si="259"/>
      </c>
      <c r="K175" s="416">
        <f t="shared" si="319"/>
      </c>
      <c r="L175" s="416"/>
      <c r="M175" s="416">
        <f t="shared" si="13"/>
      </c>
      <c r="N175" s="416">
        <f t="shared" si="79"/>
      </c>
      <c r="O175" s="417">
        <f t="shared" si="109"/>
      </c>
      <c r="P175" s="417">
        <f t="shared" si="139"/>
      </c>
      <c r="Q175" s="417">
        <f t="shared" si="169"/>
      </c>
      <c r="R175" s="417">
        <f t="shared" si="229"/>
      </c>
      <c r="S175" s="418">
        <f t="shared" si="289"/>
      </c>
      <c r="T175" s="419">
        <v>0.054</v>
      </c>
      <c r="U175" s="420">
        <v>32</v>
      </c>
      <c r="V175" s="416">
        <f t="shared" si="349"/>
      </c>
      <c r="W175" s="418">
        <v>8365</v>
      </c>
      <c r="X175" s="418">
        <v>482</v>
      </c>
      <c r="Y175" s="418">
        <v>68</v>
      </c>
      <c r="Z175" s="418">
        <v>535</v>
      </c>
      <c r="AA175" s="418">
        <v>63</v>
      </c>
      <c r="AB175" s="418">
        <v>6</v>
      </c>
      <c r="AC175" s="418">
        <v>0</v>
      </c>
      <c r="AD175" s="418">
        <v>9</v>
      </c>
      <c r="AE175" s="416">
        <f t="shared" si="43"/>
      </c>
      <c r="AF175" s="356" t="s">
        <v>253</v>
      </c>
      <c r="AG175" s="357" t="s">
        <v>254</v>
      </c>
      <c r="AH175" s="420">
        <v>26</v>
      </c>
    </row>
    <row r="176">
      <c r="A176" s="397"/>
      <c r="B176" s="410" t="s">
        <v>246</v>
      </c>
      <c r="C176" s="411" t="s">
        <v>261</v>
      </c>
      <c r="D176" s="412">
        <v>2541.81</v>
      </c>
      <c r="E176" s="424"/>
      <c r="F176" s="424">
        <v>8</v>
      </c>
      <c r="G176" s="424">
        <v>5</v>
      </c>
      <c r="H176" s="412">
        <v>5608.349999999999</v>
      </c>
      <c r="I176" s="416">
        <f t="shared" si="199"/>
      </c>
      <c r="J176" s="416">
        <f t="shared" si="259"/>
      </c>
      <c r="K176" s="416">
        <f t="shared" si="319"/>
      </c>
      <c r="L176" s="416"/>
      <c r="M176" s="416">
        <f t="shared" si="13"/>
      </c>
      <c r="N176" s="416">
        <f t="shared" si="79"/>
      </c>
      <c r="O176" s="417">
        <f t="shared" si="109"/>
      </c>
      <c r="P176" s="417">
        <f t="shared" si="139"/>
      </c>
      <c r="Q176" s="417">
        <f t="shared" si="169"/>
      </c>
      <c r="R176" s="417">
        <f t="shared" si="229"/>
      </c>
      <c r="S176" s="418">
        <f t="shared" si="289"/>
      </c>
      <c r="T176" s="419">
        <v>0.0708</v>
      </c>
      <c r="U176" s="420">
        <v>47</v>
      </c>
      <c r="V176" s="416">
        <f t="shared" si="349"/>
      </c>
      <c r="W176" s="418">
        <v>11828</v>
      </c>
      <c r="X176" s="418">
        <v>452</v>
      </c>
      <c r="Y176" s="418">
        <v>84</v>
      </c>
      <c r="Z176" s="418">
        <v>486</v>
      </c>
      <c r="AA176" s="418">
        <v>98</v>
      </c>
      <c r="AB176" s="418">
        <v>7</v>
      </c>
      <c r="AC176" s="418">
        <v>0</v>
      </c>
      <c r="AD176" s="418">
        <v>9</v>
      </c>
      <c r="AE176" s="416">
        <f t="shared" si="43"/>
      </c>
      <c r="AF176" s="356" t="s">
        <v>253</v>
      </c>
      <c r="AG176" s="357" t="s">
        <v>254</v>
      </c>
      <c r="AH176" s="420">
        <v>37</v>
      </c>
    </row>
    <row r="177">
      <c r="A177" s="397"/>
      <c r="B177" s="410" t="s">
        <v>246</v>
      </c>
      <c r="C177" s="425" t="s">
        <v>262</v>
      </c>
      <c r="D177" s="426">
        <v>3306.28</v>
      </c>
      <c r="E177" s="414"/>
      <c r="F177" s="414">
        <v>10</v>
      </c>
      <c r="G177" s="414">
        <v>8</v>
      </c>
      <c r="H177" s="426">
        <v>4510</v>
      </c>
      <c r="I177" s="416">
        <f t="shared" si="199"/>
      </c>
      <c r="J177" s="416">
        <f t="shared" si="259"/>
      </c>
      <c r="K177" s="416">
        <f t="shared" si="319"/>
      </c>
      <c r="L177" s="416"/>
      <c r="M177" s="416">
        <f t="shared" si="13"/>
      </c>
      <c r="N177" s="416">
        <f t="shared" si="79"/>
      </c>
      <c r="O177" s="417">
        <f t="shared" si="109"/>
      </c>
      <c r="P177" s="417">
        <f t="shared" si="139"/>
      </c>
      <c r="Q177" s="417">
        <f t="shared" si="169"/>
      </c>
      <c r="R177" s="417">
        <f t="shared" si="229"/>
      </c>
      <c r="S177" s="418">
        <f t="shared" si="289"/>
      </c>
      <c r="T177" s="419">
        <v>0.0622</v>
      </c>
      <c r="U177" s="420">
        <v>50</v>
      </c>
      <c r="V177" s="416">
        <f t="shared" si="349"/>
      </c>
      <c r="W177" s="418">
        <v>22885</v>
      </c>
      <c r="X177" s="418">
        <v>523</v>
      </c>
      <c r="Y177" s="418">
        <v>92</v>
      </c>
      <c r="Z177" s="418">
        <v>573</v>
      </c>
      <c r="AA177" s="418">
        <v>108</v>
      </c>
      <c r="AB177" s="418">
        <v>5</v>
      </c>
      <c r="AC177" s="418">
        <v>0</v>
      </c>
      <c r="AD177" s="418">
        <v>27</v>
      </c>
      <c r="AE177" s="416">
        <f t="shared" si="43"/>
      </c>
      <c r="AF177" s="356" t="s">
        <v>253</v>
      </c>
      <c r="AG177" s="357" t="s">
        <v>254</v>
      </c>
      <c r="AH177" s="420">
        <v>29</v>
      </c>
    </row>
    <row r="178">
      <c r="A178" s="397"/>
      <c r="B178" s="427" t="s">
        <v>240</v>
      </c>
      <c r="C178" s="427"/>
      <c r="D178" s="428">
        <f>SUM(D174:D177)</f>
      </c>
      <c r="E178" s="429"/>
      <c r="F178" s="429">
        <f>SUM(F174:F177)</f>
      </c>
      <c r="G178" s="429">
        <f>SUM(G174:G177)</f>
      </c>
      <c r="H178" s="428">
        <f>SUM(H174:H177)</f>
      </c>
      <c r="I178" s="430">
        <f t="shared" si="199"/>
      </c>
      <c r="J178" s="430">
        <f t="shared" si="259"/>
      </c>
      <c r="K178" s="430">
        <f t="shared" si="319"/>
      </c>
      <c r="L178" s="430"/>
      <c r="M178" s="430">
        <f t="shared" si="13"/>
      </c>
      <c r="N178" s="430">
        <f t="shared" si="79"/>
      </c>
      <c r="O178" s="431">
        <f t="shared" si="109"/>
      </c>
      <c r="P178" s="431">
        <f t="shared" si="139"/>
      </c>
      <c r="Q178" s="431">
        <f t="shared" si="169"/>
      </c>
      <c r="R178" s="431">
        <f t="shared" si="229"/>
      </c>
      <c r="S178" s="432">
        <f t="shared" si="289"/>
      </c>
      <c r="T178" s="431">
        <f>AVERAGE(T174:T177)</f>
      </c>
      <c r="U178" s="428">
        <f>AVERAGE(U174:U177)</f>
      </c>
      <c r="V178" s="430">
        <f t="shared" si="349"/>
      </c>
      <c r="W178" s="432">
        <f>SUM(W174:W177)</f>
      </c>
      <c r="X178" s="432">
        <f>SUM(X174:X177)</f>
      </c>
      <c r="Y178" s="432">
        <f>SUM(Y174:Y177)</f>
      </c>
      <c r="Z178" s="432">
        <f>SUM(Z174:Z177)</f>
      </c>
      <c r="AA178" s="432">
        <f>SUM(AA174:AA177)</f>
      </c>
      <c r="AB178" s="432">
        <f>SUM(AB174:AB177)</f>
      </c>
      <c r="AC178" s="432">
        <f>SUM(AC174:AC177)</f>
      </c>
      <c r="AD178" s="432">
        <f>SUM(AD174:AD177)</f>
      </c>
      <c r="AE178" s="433">
        <f t="shared" si="43"/>
      </c>
      <c r="AF178" s="434"/>
      <c r="AG178" s="434"/>
      <c r="AH178" s="435">
        <f>SUM(AH174:AH177)</f>
      </c>
    </row>
    <row r="179">
      <c r="A179" s="397"/>
      <c r="B179" s="375" t="s">
        <v>249</v>
      </c>
      <c r="C179" s="411" t="s">
        <v>243</v>
      </c>
      <c r="D179" s="349">
        <v>2679.76</v>
      </c>
      <c r="E179" s="350"/>
      <c r="F179" s="350">
        <v>7</v>
      </c>
      <c r="G179" s="350">
        <v>4</v>
      </c>
      <c r="H179" s="349">
        <v>5913.5999999999985</v>
      </c>
      <c r="I179" s="351">
        <f t="shared" si="199"/>
      </c>
      <c r="J179" s="351">
        <f t="shared" si="259"/>
      </c>
      <c r="K179" s="351">
        <f t="shared" si="319"/>
      </c>
      <c r="L179" s="351"/>
      <c r="M179" s="351">
        <f t="shared" si="13"/>
      </c>
      <c r="N179" s="351">
        <f t="shared" si="79"/>
      </c>
      <c r="O179" s="352">
        <f t="shared" si="109"/>
      </c>
      <c r="P179" s="352">
        <f t="shared" si="139"/>
      </c>
      <c r="Q179" s="352">
        <f t="shared" si="169"/>
      </c>
      <c r="R179" s="352">
        <f t="shared" si="229"/>
      </c>
      <c r="S179" s="353">
        <f t="shared" si="289"/>
      </c>
      <c r="T179" s="354">
        <v>0.0554</v>
      </c>
      <c r="U179" s="355">
        <v>59</v>
      </c>
      <c r="V179" s="351">
        <f t="shared" si="349"/>
      </c>
      <c r="W179" s="355">
        <v>16417</v>
      </c>
      <c r="X179" s="355">
        <v>420</v>
      </c>
      <c r="Y179" s="353">
        <v>76</v>
      </c>
      <c r="Z179" s="353">
        <v>462</v>
      </c>
      <c r="AA179" s="353">
        <v>71</v>
      </c>
      <c r="AB179" s="353">
        <v>13</v>
      </c>
      <c r="AC179" s="355">
        <v>6</v>
      </c>
      <c r="AD179" s="355">
        <v>22</v>
      </c>
      <c r="AE179" s="351">
        <f t="shared" si="43"/>
      </c>
      <c r="AF179" s="356" t="s">
        <v>234</v>
      </c>
      <c r="AG179" s="357" t="s">
        <v>251</v>
      </c>
      <c r="AH179" s="355">
        <v>29</v>
      </c>
    </row>
    <row r="180">
      <c r="A180" s="397"/>
      <c r="B180" s="375" t="s">
        <v>249</v>
      </c>
      <c r="C180" s="422" t="s">
        <v>244</v>
      </c>
      <c r="D180" s="349">
        <v>2376.8</v>
      </c>
      <c r="E180" s="350"/>
      <c r="F180" s="350">
        <v>3</v>
      </c>
      <c r="G180" s="350">
        <v>2</v>
      </c>
      <c r="H180" s="349">
        <v>2996.4</v>
      </c>
      <c r="I180" s="351">
        <f t="shared" si="199"/>
      </c>
      <c r="J180" s="351">
        <f t="shared" si="259"/>
      </c>
      <c r="K180" s="351">
        <f t="shared" si="319"/>
      </c>
      <c r="L180" s="351"/>
      <c r="M180" s="351">
        <f t="shared" si="13"/>
      </c>
      <c r="N180" s="351">
        <f t="shared" si="79"/>
      </c>
      <c r="O180" s="352">
        <f t="shared" si="109"/>
      </c>
      <c r="P180" s="352">
        <f t="shared" si="139"/>
      </c>
      <c r="Q180" s="352">
        <f t="shared" si="169"/>
      </c>
      <c r="R180" s="352">
        <f t="shared" si="229"/>
      </c>
      <c r="S180" s="353">
        <f t="shared" si="289"/>
      </c>
      <c r="T180" s="354">
        <v>0.0488</v>
      </c>
      <c r="U180" s="355">
        <v>62</v>
      </c>
      <c r="V180" s="351">
        <f t="shared" si="349"/>
      </c>
      <c r="W180" s="353">
        <v>19293</v>
      </c>
      <c r="X180" s="353">
        <v>352</v>
      </c>
      <c r="Y180" s="353">
        <v>67</v>
      </c>
      <c r="Z180" s="353">
        <v>394</v>
      </c>
      <c r="AA180" s="353">
        <v>79</v>
      </c>
      <c r="AB180" s="353">
        <v>11</v>
      </c>
      <c r="AC180" s="353">
        <v>1</v>
      </c>
      <c r="AD180" s="355">
        <v>24</v>
      </c>
      <c r="AE180" s="351">
        <f t="shared" si="43"/>
      </c>
      <c r="AF180" s="356" t="s">
        <v>234</v>
      </c>
      <c r="AG180" s="357" t="s">
        <v>251</v>
      </c>
      <c r="AH180" s="355">
        <v>24</v>
      </c>
    </row>
    <row r="181">
      <c r="A181" s="397"/>
      <c r="B181" s="375" t="s">
        <v>249</v>
      </c>
      <c r="C181" s="411" t="s">
        <v>245</v>
      </c>
      <c r="D181" s="349">
        <v>2163.31</v>
      </c>
      <c r="E181" s="350"/>
      <c r="F181" s="350">
        <v>2</v>
      </c>
      <c r="G181" s="350">
        <v>0</v>
      </c>
      <c r="H181" s="349">
        <v>902</v>
      </c>
      <c r="I181" s="351">
        <f t="shared" si="199"/>
      </c>
      <c r="J181" s="351">
        <f t="shared" si="259"/>
      </c>
      <c r="K181" s="351">
        <f t="shared" si="319"/>
      </c>
      <c r="L181" s="351"/>
      <c r="M181" s="351">
        <f t="shared" si="13"/>
      </c>
      <c r="N181" s="351">
        <f t="shared" si="79"/>
      </c>
      <c r="O181" s="352">
        <f t="shared" si="109"/>
      </c>
      <c r="P181" s="352">
        <f t="shared" si="139"/>
      </c>
      <c r="Q181" s="352">
        <f t="shared" si="169"/>
      </c>
      <c r="R181" s="352">
        <f t="shared" si="229"/>
      </c>
      <c r="S181" s="353">
        <f t="shared" si="289"/>
      </c>
      <c r="T181" s="354">
        <v>0.0367</v>
      </c>
      <c r="U181" s="355">
        <v>62</v>
      </c>
      <c r="V181" s="351">
        <f t="shared" si="349"/>
      </c>
      <c r="W181" s="355">
        <v>16662</v>
      </c>
      <c r="X181" s="355">
        <v>357</v>
      </c>
      <c r="Y181" s="355">
        <v>53</v>
      </c>
      <c r="Z181" s="355">
        <v>392</v>
      </c>
      <c r="AA181" s="355">
        <v>37</v>
      </c>
      <c r="AB181" s="355">
        <v>8</v>
      </c>
      <c r="AC181" s="355">
        <v>1</v>
      </c>
      <c r="AD181" s="355">
        <v>18</v>
      </c>
      <c r="AE181" s="351">
        <f t="shared" si="43"/>
      </c>
      <c r="AF181" s="356" t="s">
        <v>234</v>
      </c>
      <c r="AG181" s="357" t="s">
        <v>251</v>
      </c>
      <c r="AH181" s="355">
        <v>15</v>
      </c>
    </row>
    <row r="182">
      <c r="A182" s="397"/>
      <c r="B182" s="375" t="s">
        <v>249</v>
      </c>
      <c r="C182" s="411" t="s">
        <v>233</v>
      </c>
      <c r="D182" s="349">
        <v>1336.31</v>
      </c>
      <c r="E182" s="350"/>
      <c r="F182" s="350">
        <v>4</v>
      </c>
      <c r="G182" s="350">
        <v>4</v>
      </c>
      <c r="H182" s="349">
        <v>3933.6</v>
      </c>
      <c r="I182" s="351">
        <f t="shared" si="199"/>
      </c>
      <c r="J182" s="351">
        <f t="shared" si="259"/>
      </c>
      <c r="K182" s="351">
        <f t="shared" si="319"/>
      </c>
      <c r="L182" s="351"/>
      <c r="M182" s="351">
        <f t="shared" si="13"/>
      </c>
      <c r="N182" s="351">
        <f t="shared" si="79"/>
      </c>
      <c r="O182" s="352">
        <f t="shared" si="109"/>
      </c>
      <c r="P182" s="352">
        <f t="shared" si="139"/>
      </c>
      <c r="Q182" s="352">
        <f t="shared" si="169"/>
      </c>
      <c r="R182" s="352">
        <f t="shared" si="229"/>
      </c>
      <c r="S182" s="353">
        <f t="shared" si="289"/>
      </c>
      <c r="T182" s="354">
        <v>0.0815</v>
      </c>
      <c r="U182" s="355">
        <v>63</v>
      </c>
      <c r="V182" s="351">
        <f t="shared" si="349"/>
      </c>
      <c r="W182" s="355">
        <v>10198</v>
      </c>
      <c r="X182" s="355">
        <v>312</v>
      </c>
      <c r="Y182" s="353">
        <v>58</v>
      </c>
      <c r="Z182" s="353">
        <v>351</v>
      </c>
      <c r="AA182" s="353">
        <v>71</v>
      </c>
      <c r="AB182" s="353">
        <v>4</v>
      </c>
      <c r="AC182" s="355">
        <v>4</v>
      </c>
      <c r="AD182" s="355">
        <v>18</v>
      </c>
      <c r="AE182" s="351">
        <f t="shared" si="43"/>
      </c>
      <c r="AF182" s="356" t="s">
        <v>234</v>
      </c>
      <c r="AG182" s="357" t="s">
        <v>251</v>
      </c>
      <c r="AH182" s="355">
        <v>19</v>
      </c>
    </row>
    <row r="183">
      <c r="A183" s="397"/>
      <c r="B183" s="360" t="s">
        <v>240</v>
      </c>
      <c r="C183" s="360"/>
      <c r="D183" s="405">
        <f>SUM(D179:D182)</f>
      </c>
      <c r="E183" s="362"/>
      <c r="F183" s="362">
        <f>SUM(F179:F182)</f>
      </c>
      <c r="G183" s="362">
        <f>SUM(G179:G182)</f>
      </c>
      <c r="H183" s="361">
        <f>SUM(H179:H182)</f>
      </c>
      <c r="I183" s="363">
        <f t="shared" si="199"/>
      </c>
      <c r="J183" s="363">
        <f t="shared" si="259"/>
      </c>
      <c r="K183" s="363">
        <f t="shared" si="319"/>
      </c>
      <c r="L183" s="363"/>
      <c r="M183" s="363">
        <f t="shared" si="13"/>
      </c>
      <c r="N183" s="363">
        <f t="shared" si="79"/>
      </c>
      <c r="O183" s="364">
        <f t="shared" si="109"/>
      </c>
      <c r="P183" s="364">
        <f t="shared" si="139"/>
      </c>
      <c r="Q183" s="364">
        <f t="shared" si="169"/>
      </c>
      <c r="R183" s="364">
        <f t="shared" si="229"/>
      </c>
      <c r="S183" s="365">
        <f t="shared" si="289"/>
      </c>
      <c r="T183" s="364">
        <f>AVERAGE(T179:T182)</f>
      </c>
      <c r="U183" s="361">
        <f>AVERAGE(U179:U182)</f>
      </c>
      <c r="V183" s="363">
        <f t="shared" si="349"/>
      </c>
      <c r="W183" s="365">
        <f>SUM(W179:W182)</f>
      </c>
      <c r="X183" s="365">
        <f>SUM(X179:X182)</f>
      </c>
      <c r="Y183" s="365">
        <f>SUM(Y179:Y182)</f>
      </c>
      <c r="Z183" s="365">
        <f>SUM(Z179:Z182)</f>
      </c>
      <c r="AA183" s="365">
        <f>SUM(AA179:AA182)</f>
      </c>
      <c r="AB183" s="365">
        <f>SUM(AB179:AB182)</f>
      </c>
      <c r="AC183" s="365">
        <f>SUM(AC179:AC182)</f>
      </c>
      <c r="AD183" s="365">
        <f>SUM(AD179:AD182)</f>
      </c>
      <c r="AE183" s="366">
        <f t="shared" si="43"/>
      </c>
      <c r="AF183" s="367"/>
      <c r="AG183" s="367"/>
      <c r="AH183" s="365">
        <f>SUM(AH179:AH182)</f>
      </c>
    </row>
    <row r="184">
      <c r="A184" s="397"/>
      <c r="B184" s="369" t="s">
        <v>241</v>
      </c>
      <c r="C184" s="369"/>
      <c r="D184" s="370">
        <f>D173+D183+D178</f>
      </c>
      <c r="E184" s="370"/>
      <c r="F184" s="370">
        <f>F173+F183+F178</f>
      </c>
      <c r="G184" s="370">
        <f>G173+G183+G178</f>
      </c>
      <c r="H184" s="370">
        <f>H173+H183+H178</f>
      </c>
      <c r="I184" s="372">
        <f t="shared" si="199"/>
      </c>
      <c r="J184" s="372">
        <f t="shared" si="259"/>
      </c>
      <c r="K184" s="372">
        <f t="shared" si="319"/>
      </c>
      <c r="L184" s="372"/>
      <c r="M184" s="372">
        <f t="shared" si="13"/>
      </c>
      <c r="N184" s="372">
        <f t="shared" si="79"/>
      </c>
      <c r="O184" s="373">
        <f t="shared" si="109"/>
      </c>
      <c r="P184" s="373">
        <f t="shared" si="139"/>
      </c>
      <c r="Q184" s="373">
        <f t="shared" si="169"/>
      </c>
      <c r="R184" s="373">
        <f t="shared" si="229"/>
      </c>
      <c r="S184" s="374">
        <f t="shared" si="289"/>
      </c>
      <c r="T184" s="373">
        <f>(T173+T183+T178)/3</f>
      </c>
      <c r="U184" s="373">
        <f>(U173+U183+U178)/3</f>
      </c>
      <c r="V184" s="370">
        <f t="shared" si="349"/>
      </c>
      <c r="W184" s="374">
        <f>W173+W183+W178</f>
      </c>
      <c r="X184" s="374">
        <f>X173+X183+X178</f>
      </c>
      <c r="Y184" s="374">
        <f>Y173+Y183+Y178</f>
      </c>
      <c r="Z184" s="374">
        <f>Z173+Z183+Z178</f>
      </c>
      <c r="AA184" s="374">
        <f>AA173+AA183+AA178</f>
      </c>
      <c r="AB184" s="374">
        <f>AB173+AB183+AB178</f>
      </c>
      <c r="AC184" s="374">
        <f>AC173+AC183+AC178</f>
      </c>
      <c r="AD184" s="374">
        <f>AD173+AD183+AD178</f>
      </c>
      <c r="AE184" s="372">
        <f>AE173</f>
      </c>
      <c r="AF184" s="369"/>
      <c r="AG184" s="369"/>
      <c r="AH184" s="374">
        <f>AH173+AH183+AH178</f>
      </c>
    </row>
    <row r="185">
      <c r="A185" s="380" t="s">
        <v>197</v>
      </c>
      <c r="B185" s="396" t="s">
        <v>198</v>
      </c>
      <c r="C185" s="396"/>
      <c r="D185" s="381" t="s">
        <v>199</v>
      </c>
      <c r="E185" s="381"/>
      <c r="F185" s="381"/>
      <c r="G185" s="381"/>
      <c r="H185" s="381"/>
      <c r="I185" s="381"/>
      <c r="J185" s="381"/>
      <c r="K185" s="381"/>
      <c r="L185" s="381"/>
      <c r="M185" s="381"/>
      <c r="N185" s="382" t="s">
        <v>200</v>
      </c>
      <c r="O185" s="382"/>
      <c r="P185" s="382"/>
      <c r="Q185" s="382"/>
      <c r="R185" s="382"/>
      <c r="S185" s="382"/>
      <c r="T185" s="382"/>
      <c r="U185" s="382"/>
      <c r="V185" s="382"/>
      <c r="W185" s="382"/>
      <c r="X185" s="382"/>
      <c r="Y185" s="382"/>
      <c r="Z185" s="382"/>
      <c r="AA185" s="382"/>
      <c r="AB185" s="382"/>
      <c r="AC185" s="382"/>
      <c r="AD185" s="382"/>
      <c r="AE185" s="382"/>
      <c r="AF185" s="382"/>
      <c r="AG185" s="382"/>
      <c r="AH185" s="340"/>
    </row>
    <row r="186">
      <c r="A186" s="380"/>
      <c r="B186" s="396" t="s">
        <v>201</v>
      </c>
      <c r="C186" s="398" t="s">
        <v>202</v>
      </c>
      <c r="D186" s="399" t="s">
        <v>203</v>
      </c>
      <c r="E186" s="391"/>
      <c r="F186" s="391" t="s">
        <v>204</v>
      </c>
      <c r="G186" s="391" t="s">
        <v>205</v>
      </c>
      <c r="H186" s="399" t="s">
        <v>206</v>
      </c>
      <c r="I186" s="384" t="s">
        <v>207</v>
      </c>
      <c r="J186" s="384" t="s">
        <v>208</v>
      </c>
      <c r="K186" s="384" t="s">
        <v>209</v>
      </c>
      <c r="L186" s="384"/>
      <c r="M186" s="384" t="s">
        <v>210</v>
      </c>
      <c r="N186" s="385" t="s">
        <v>211</v>
      </c>
      <c r="O186" s="386" t="s">
        <v>212</v>
      </c>
      <c r="P186" s="386" t="s">
        <v>213</v>
      </c>
      <c r="Q186" s="386" t="s">
        <v>214</v>
      </c>
      <c r="R186" s="386" t="s">
        <v>215</v>
      </c>
      <c r="S186" s="387" t="s">
        <v>216</v>
      </c>
      <c r="T186" s="392" t="s">
        <v>217</v>
      </c>
      <c r="U186" s="393" t="s">
        <v>218</v>
      </c>
      <c r="V186" s="382" t="s">
        <v>219</v>
      </c>
      <c r="W186" s="394" t="s">
        <v>220</v>
      </c>
      <c r="X186" s="394" t="s">
        <v>221</v>
      </c>
      <c r="Y186" s="394" t="s">
        <v>222</v>
      </c>
      <c r="Z186" s="394" t="s">
        <v>223</v>
      </c>
      <c r="AA186" s="394" t="s">
        <v>224</v>
      </c>
      <c r="AB186" s="394" t="s">
        <v>225</v>
      </c>
      <c r="AC186" s="394" t="s">
        <v>226</v>
      </c>
      <c r="AD186" s="394" t="s">
        <v>227</v>
      </c>
      <c r="AE186" s="382" t="s">
        <v>228</v>
      </c>
      <c r="AF186" s="389" t="s">
        <v>229</v>
      </c>
      <c r="AG186" s="389" t="s">
        <v>230</v>
      </c>
      <c r="AH186" s="340" t="s">
        <v>231</v>
      </c>
    </row>
    <row r="187">
      <c r="A187" s="397">
        <v>46158</v>
      </c>
      <c r="B187" s="400" t="s">
        <v>248</v>
      </c>
      <c r="C187" s="400" t="s">
        <v>252</v>
      </c>
      <c r="D187" s="349">
        <v>2531.21</v>
      </c>
      <c r="E187" s="350"/>
      <c r="F187" s="350">
        <v>4</v>
      </c>
      <c r="G187" s="350">
        <v>2</v>
      </c>
      <c r="H187" s="349">
        <v>2794</v>
      </c>
      <c r="I187" s="436">
        <f t="shared" ref="I187:I202" si="200">H187/D187</f>
      </c>
      <c r="J187" s="351">
        <f t="shared" ref="J187:J202" si="260">D187/F187</f>
      </c>
      <c r="K187" s="351">
        <f t="shared" ref="K187:K202" si="320">D187/G187</f>
      </c>
      <c r="L187" s="351"/>
      <c r="M187" s="351">
        <f t="shared" ref="M187:M202" si="14">H187/F187</f>
      </c>
      <c r="N187" s="351">
        <f t="shared" ref="N187:N202" si="80">D187/X187</f>
      </c>
      <c r="O187" s="352">
        <f t="shared" ref="O187:O202" si="110">S187/W187*1</f>
      </c>
      <c r="P187" s="352">
        <f t="shared" ref="P187:P202" si="140">X187/W187</f>
      </c>
      <c r="Q187" s="352">
        <f t="shared" ref="Q187:Q202" si="170">Z187/W187</f>
      </c>
      <c r="R187" s="352">
        <f t="shared" ref="R187:R202" si="230">AA187/Z187</f>
      </c>
      <c r="S187" s="353">
        <f t="shared" ref="S187:S202" si="290">Y187/T187</f>
      </c>
      <c r="T187" s="354">
        <v>0.0471</v>
      </c>
      <c r="U187" s="355">
        <v>45</v>
      </c>
      <c r="V187" s="351">
        <f t="shared" ref="V187:V202" si="350">(D187/W187)*1000</f>
      </c>
      <c r="W187" s="355">
        <v>11406</v>
      </c>
      <c r="X187" s="355">
        <v>442</v>
      </c>
      <c r="Y187" s="353">
        <v>69</v>
      </c>
      <c r="Z187" s="353">
        <v>522</v>
      </c>
      <c r="AA187" s="353">
        <v>46</v>
      </c>
      <c r="AB187" s="353">
        <v>9</v>
      </c>
      <c r="AC187" s="353">
        <v>0</v>
      </c>
      <c r="AD187" s="355">
        <v>15</v>
      </c>
      <c r="AE187" s="351">
        <f t="shared" ref="AE187:AE201" si="44">AH187*1000/D187</f>
      </c>
      <c r="AF187" s="356" t="s">
        <v>253</v>
      </c>
      <c r="AG187" s="357" t="s">
        <v>250</v>
      </c>
      <c r="AH187" s="355">
        <v>19</v>
      </c>
    </row>
    <row r="188">
      <c r="A188" s="397"/>
      <c r="B188" s="348" t="s">
        <v>248</v>
      </c>
      <c r="C188" s="437" t="s">
        <v>255</v>
      </c>
      <c r="D188" s="349">
        <v>1791</v>
      </c>
      <c r="E188" s="350"/>
      <c r="F188" s="350">
        <v>1</v>
      </c>
      <c r="G188" s="350">
        <v>1</v>
      </c>
      <c r="H188" s="349">
        <v>451</v>
      </c>
      <c r="I188" s="436">
        <f t="shared" si="200"/>
      </c>
      <c r="J188" s="351">
        <f t="shared" si="260"/>
      </c>
      <c r="K188" s="351">
        <f t="shared" si="320"/>
      </c>
      <c r="L188" s="351"/>
      <c r="M188" s="351">
        <f t="shared" si="14"/>
      </c>
      <c r="N188" s="351">
        <f t="shared" si="80"/>
      </c>
      <c r="O188" s="352">
        <f t="shared" si="110"/>
      </c>
      <c r="P188" s="352">
        <f t="shared" si="140"/>
      </c>
      <c r="Q188" s="352">
        <f t="shared" si="170"/>
      </c>
      <c r="R188" s="352">
        <f t="shared" si="230"/>
      </c>
      <c r="S188" s="353">
        <f t="shared" si="290"/>
      </c>
      <c r="T188" s="354">
        <v>0.034</v>
      </c>
      <c r="U188" s="355">
        <v>39</v>
      </c>
      <c r="V188" s="351">
        <f t="shared" si="350"/>
      </c>
      <c r="W188" s="355">
        <v>8056</v>
      </c>
      <c r="X188" s="355">
        <v>400</v>
      </c>
      <c r="Y188" s="353">
        <v>43</v>
      </c>
      <c r="Z188" s="353">
        <v>440</v>
      </c>
      <c r="AA188" s="355">
        <v>26</v>
      </c>
      <c r="AB188" s="353">
        <v>3</v>
      </c>
      <c r="AC188" s="355">
        <v>2</v>
      </c>
      <c r="AD188" s="355">
        <v>10</v>
      </c>
      <c r="AE188" s="351">
        <f t="shared" si="44"/>
      </c>
      <c r="AF188" s="356" t="s">
        <v>253</v>
      </c>
      <c r="AG188" s="357" t="s">
        <v>250</v>
      </c>
      <c r="AH188" s="355">
        <v>17</v>
      </c>
    </row>
    <row r="189">
      <c r="A189" s="397"/>
      <c r="B189" s="348" t="s">
        <v>248</v>
      </c>
      <c r="C189" s="400" t="s">
        <v>256</v>
      </c>
      <c r="D189" s="349">
        <v>1240.66</v>
      </c>
      <c r="E189" s="350"/>
      <c r="F189" s="350">
        <v>3</v>
      </c>
      <c r="G189" s="350">
        <v>3</v>
      </c>
      <c r="H189" s="349">
        <v>2791.8</v>
      </c>
      <c r="I189" s="436">
        <f t="shared" si="200"/>
      </c>
      <c r="J189" s="351">
        <f t="shared" si="260"/>
      </c>
      <c r="K189" s="351">
        <f t="shared" si="320"/>
      </c>
      <c r="L189" s="351"/>
      <c r="M189" s="351">
        <f t="shared" si="14"/>
      </c>
      <c r="N189" s="351">
        <f t="shared" si="80"/>
      </c>
      <c r="O189" s="352">
        <f t="shared" si="110"/>
      </c>
      <c r="P189" s="352">
        <f t="shared" si="140"/>
      </c>
      <c r="Q189" s="352">
        <f t="shared" si="170"/>
      </c>
      <c r="R189" s="352">
        <f t="shared" si="230"/>
      </c>
      <c r="S189" s="353">
        <f t="shared" si="290"/>
      </c>
      <c r="T189" s="354">
        <v>0.0402</v>
      </c>
      <c r="U189" s="355">
        <v>40</v>
      </c>
      <c r="V189" s="351">
        <f t="shared" si="350"/>
      </c>
      <c r="W189" s="355">
        <v>6272</v>
      </c>
      <c r="X189" s="355">
        <v>445</v>
      </c>
      <c r="Y189" s="355">
        <v>50</v>
      </c>
      <c r="Z189" s="355">
        <v>493</v>
      </c>
      <c r="AA189" s="355">
        <v>67</v>
      </c>
      <c r="AB189" s="355">
        <v>5</v>
      </c>
      <c r="AC189" s="355">
        <v>0</v>
      </c>
      <c r="AD189" s="355">
        <v>5</v>
      </c>
      <c r="AE189" s="351">
        <f t="shared" si="44"/>
      </c>
      <c r="AF189" s="356" t="s">
        <v>253</v>
      </c>
      <c r="AG189" s="357" t="s">
        <v>250</v>
      </c>
      <c r="AH189" s="355">
        <v>20</v>
      </c>
    </row>
    <row r="190">
      <c r="A190" s="397"/>
      <c r="B190" s="348" t="s">
        <v>248</v>
      </c>
      <c r="C190" s="348" t="s">
        <v>257</v>
      </c>
      <c r="D190" s="438">
        <v>549.25</v>
      </c>
      <c r="E190" s="379"/>
      <c r="F190" s="379">
        <v>2</v>
      </c>
      <c r="G190" s="379">
        <v>2</v>
      </c>
      <c r="H190" s="438">
        <v>1232</v>
      </c>
      <c r="I190" s="351">
        <f t="shared" si="200"/>
      </c>
      <c r="J190" s="351">
        <f t="shared" si="260"/>
      </c>
      <c r="K190" s="351">
        <f t="shared" si="320"/>
      </c>
      <c r="L190" s="351"/>
      <c r="M190" s="351">
        <f t="shared" si="14"/>
      </c>
      <c r="N190" s="351">
        <f t="shared" si="80"/>
      </c>
      <c r="O190" s="352">
        <f t="shared" si="110"/>
      </c>
      <c r="P190" s="352">
        <f t="shared" si="140"/>
      </c>
      <c r="Q190" s="352">
        <f t="shared" si="170"/>
      </c>
      <c r="R190" s="352">
        <f t="shared" si="230"/>
      </c>
      <c r="S190" s="353">
        <f t="shared" si="290"/>
      </c>
      <c r="T190" s="354">
        <v>0.0158</v>
      </c>
      <c r="U190" s="355">
        <v>39</v>
      </c>
      <c r="V190" s="351">
        <f t="shared" si="350"/>
      </c>
      <c r="W190" s="353">
        <v>2528</v>
      </c>
      <c r="X190" s="353">
        <v>369</v>
      </c>
      <c r="Y190" s="353">
        <v>17</v>
      </c>
      <c r="Z190" s="353">
        <v>418</v>
      </c>
      <c r="AA190" s="353">
        <v>16</v>
      </c>
      <c r="AB190" s="353">
        <v>0</v>
      </c>
      <c r="AC190" s="353">
        <v>1</v>
      </c>
      <c r="AD190" s="353">
        <v>1</v>
      </c>
      <c r="AE190" s="351">
        <f t="shared" si="44"/>
      </c>
      <c r="AF190" s="356" t="s">
        <v>253</v>
      </c>
      <c r="AG190" s="357" t="s">
        <v>250</v>
      </c>
      <c r="AH190" s="355">
        <v>8</v>
      </c>
    </row>
    <row r="191">
      <c r="A191" s="397"/>
      <c r="B191" s="360" t="s">
        <v>240</v>
      </c>
      <c r="C191" s="360"/>
      <c r="D191" s="361">
        <f>SUM(D187:D190)</f>
      </c>
      <c r="E191" s="362"/>
      <c r="F191" s="362">
        <f>SUM(F187:F190)</f>
      </c>
      <c r="G191" s="362">
        <f>SUM(G187:G190)</f>
      </c>
      <c r="H191" s="361">
        <f>SUM(H187:H190)</f>
      </c>
      <c r="I191" s="363">
        <f t="shared" si="200"/>
      </c>
      <c r="J191" s="363">
        <f t="shared" si="260"/>
      </c>
      <c r="K191" s="363">
        <f t="shared" si="320"/>
      </c>
      <c r="L191" s="363"/>
      <c r="M191" s="363">
        <f t="shared" si="14"/>
      </c>
      <c r="N191" s="363">
        <f t="shared" si="80"/>
      </c>
      <c r="O191" s="364">
        <f t="shared" si="110"/>
      </c>
      <c r="P191" s="364">
        <f t="shared" si="140"/>
      </c>
      <c r="Q191" s="364">
        <f t="shared" si="170"/>
      </c>
      <c r="R191" s="364">
        <f t="shared" si="230"/>
      </c>
      <c r="S191" s="365">
        <f t="shared" si="290"/>
      </c>
      <c r="T191" s="364">
        <f>AVERAGE(T187:T190)</f>
      </c>
      <c r="U191" s="361">
        <f>AVERAGE(U187:U190)</f>
      </c>
      <c r="V191" s="363">
        <f t="shared" si="350"/>
      </c>
      <c r="W191" s="365">
        <f>SUM(W187:W190)</f>
      </c>
      <c r="X191" s="365">
        <f>SUM(X187:X190)</f>
      </c>
      <c r="Y191" s="365">
        <f>SUM(Y187:Y190)</f>
      </c>
      <c r="Z191" s="365">
        <f>SUM(Z187:Z190)</f>
      </c>
      <c r="AA191" s="365">
        <f>SUM(AA187:AA190)</f>
      </c>
      <c r="AB191" s="365">
        <f>SUM(AB187:AB190)</f>
      </c>
      <c r="AC191" s="365">
        <f>SUM(AC187:AC190)</f>
      </c>
      <c r="AD191" s="365">
        <f>SUM(AD187:AD190)</f>
      </c>
      <c r="AE191" s="366">
        <f t="shared" si="44"/>
      </c>
      <c r="AF191" s="367"/>
      <c r="AG191" s="367"/>
      <c r="AH191" s="368">
        <f>SUM(AH187:AH190)</f>
      </c>
    </row>
    <row r="192">
      <c r="A192" s="397"/>
      <c r="B192" s="410" t="s">
        <v>246</v>
      </c>
      <c r="C192" s="411" t="s">
        <v>258</v>
      </c>
      <c r="D192" s="426">
        <v>803.63</v>
      </c>
      <c r="E192" s="413"/>
      <c r="F192" s="413">
        <v>1</v>
      </c>
      <c r="G192" s="414">
        <v>1</v>
      </c>
      <c r="H192" s="415">
        <v>451</v>
      </c>
      <c r="I192" s="416">
        <f t="shared" si="200"/>
      </c>
      <c r="J192" s="416">
        <f t="shared" si="260"/>
      </c>
      <c r="K192" s="416">
        <f t="shared" si="320"/>
      </c>
      <c r="L192" s="416"/>
      <c r="M192" s="416">
        <f t="shared" si="14"/>
      </c>
      <c r="N192" s="416">
        <f t="shared" si="80"/>
      </c>
      <c r="O192" s="417">
        <f t="shared" si="110"/>
      </c>
      <c r="P192" s="417">
        <f t="shared" si="140"/>
      </c>
      <c r="Q192" s="417">
        <f t="shared" si="170"/>
      </c>
      <c r="R192" s="417">
        <f t="shared" si="230"/>
      </c>
      <c r="S192" s="418">
        <f t="shared" si="290"/>
      </c>
      <c r="T192" s="419">
        <v>0.0212</v>
      </c>
      <c r="U192" s="420">
        <v>38</v>
      </c>
      <c r="V192" s="416">
        <f t="shared" si="350"/>
      </c>
      <c r="W192" s="418">
        <v>3413</v>
      </c>
      <c r="X192" s="418">
        <v>424</v>
      </c>
      <c r="Y192" s="418">
        <v>28</v>
      </c>
      <c r="Z192" s="418">
        <v>477</v>
      </c>
      <c r="AA192" s="418">
        <v>36</v>
      </c>
      <c r="AB192" s="418">
        <v>5</v>
      </c>
      <c r="AC192" s="418">
        <v>2</v>
      </c>
      <c r="AD192" s="418">
        <v>7</v>
      </c>
      <c r="AE192" s="416">
        <f t="shared" si="44"/>
      </c>
      <c r="AF192" s="356" t="s">
        <v>253</v>
      </c>
      <c r="AG192" s="357" t="s">
        <v>250</v>
      </c>
      <c r="AH192" s="420">
        <v>10</v>
      </c>
    </row>
    <row r="193">
      <c r="A193" s="397"/>
      <c r="B193" s="410" t="s">
        <v>246</v>
      </c>
      <c r="C193" s="422" t="s">
        <v>260</v>
      </c>
      <c r="D193" s="439">
        <v>1413</v>
      </c>
      <c r="E193" s="424"/>
      <c r="F193" s="424">
        <v>2</v>
      </c>
      <c r="G193" s="424">
        <v>2</v>
      </c>
      <c r="H193" s="415">
        <v>3601.4000000000005</v>
      </c>
      <c r="I193" s="416">
        <f t="shared" si="200"/>
      </c>
      <c r="J193" s="416">
        <f t="shared" si="260"/>
      </c>
      <c r="K193" s="416">
        <f t="shared" si="320"/>
      </c>
      <c r="L193" s="416"/>
      <c r="M193" s="416">
        <f t="shared" si="14"/>
      </c>
      <c r="N193" s="416">
        <f t="shared" si="80"/>
      </c>
      <c r="O193" s="417">
        <f t="shared" si="110"/>
      </c>
      <c r="P193" s="417">
        <f t="shared" si="140"/>
      </c>
      <c r="Q193" s="417">
        <f t="shared" si="170"/>
      </c>
      <c r="R193" s="417">
        <f t="shared" si="230"/>
      </c>
      <c r="S193" s="418">
        <f t="shared" si="290"/>
      </c>
      <c r="T193" s="419">
        <v>0.0247</v>
      </c>
      <c r="U193" s="420">
        <v>37</v>
      </c>
      <c r="V193" s="416">
        <f t="shared" si="350"/>
      </c>
      <c r="W193" s="418">
        <v>6363</v>
      </c>
      <c r="X193" s="418">
        <v>551</v>
      </c>
      <c r="Y193" s="418">
        <v>41</v>
      </c>
      <c r="Z193" s="418">
        <v>601</v>
      </c>
      <c r="AA193" s="418">
        <v>57</v>
      </c>
      <c r="AB193" s="418">
        <v>2</v>
      </c>
      <c r="AC193" s="418">
        <v>2</v>
      </c>
      <c r="AD193" s="418">
        <v>6</v>
      </c>
      <c r="AE193" s="416">
        <f t="shared" si="44"/>
      </c>
      <c r="AF193" s="356" t="s">
        <v>253</v>
      </c>
      <c r="AG193" s="357" t="s">
        <v>250</v>
      </c>
      <c r="AH193" s="420">
        <v>13</v>
      </c>
    </row>
    <row r="194">
      <c r="A194" s="397"/>
      <c r="B194" s="410" t="s">
        <v>246</v>
      </c>
      <c r="C194" s="411" t="s">
        <v>261</v>
      </c>
      <c r="D194" s="426">
        <v>1245.21</v>
      </c>
      <c r="E194" s="424"/>
      <c r="F194" s="424">
        <v>2</v>
      </c>
      <c r="G194" s="424">
        <v>2</v>
      </c>
      <c r="H194" s="412">
        <v>1668.699999999999</v>
      </c>
      <c r="I194" s="416">
        <f t="shared" si="200"/>
      </c>
      <c r="J194" s="416">
        <f t="shared" si="260"/>
      </c>
      <c r="K194" s="416">
        <f t="shared" si="320"/>
      </c>
      <c r="L194" s="416"/>
      <c r="M194" s="416">
        <f t="shared" si="14"/>
      </c>
      <c r="N194" s="416">
        <f t="shared" si="80"/>
      </c>
      <c r="O194" s="417">
        <f t="shared" si="110"/>
      </c>
      <c r="P194" s="417">
        <f t="shared" si="140"/>
      </c>
      <c r="Q194" s="417">
        <f t="shared" si="170"/>
      </c>
      <c r="R194" s="417">
        <f t="shared" si="230"/>
      </c>
      <c r="S194" s="418">
        <f t="shared" si="290"/>
      </c>
      <c r="T194" s="419">
        <v>0.0185</v>
      </c>
      <c r="U194" s="420">
        <v>37</v>
      </c>
      <c r="V194" s="416">
        <f t="shared" si="350"/>
      </c>
      <c r="W194" s="418">
        <v>6396</v>
      </c>
      <c r="X194" s="418">
        <v>569</v>
      </c>
      <c r="Y194" s="418">
        <v>32</v>
      </c>
      <c r="Z194" s="418">
        <v>635</v>
      </c>
      <c r="AA194" s="418">
        <v>44</v>
      </c>
      <c r="AB194" s="418">
        <v>6</v>
      </c>
      <c r="AC194" s="418">
        <v>0</v>
      </c>
      <c r="AD194" s="418">
        <v>3</v>
      </c>
      <c r="AE194" s="416">
        <f t="shared" si="44"/>
      </c>
      <c r="AF194" s="356" t="s">
        <v>253</v>
      </c>
      <c r="AG194" s="357" t="s">
        <v>250</v>
      </c>
      <c r="AH194" s="420">
        <v>19</v>
      </c>
    </row>
    <row r="195">
      <c r="A195" s="397"/>
      <c r="B195" s="410" t="s">
        <v>246</v>
      </c>
      <c r="C195" s="425" t="s">
        <v>262</v>
      </c>
      <c r="D195" s="426">
        <v>999.74</v>
      </c>
      <c r="E195" s="414"/>
      <c r="F195" s="414">
        <v>2</v>
      </c>
      <c r="G195" s="414">
        <v>2</v>
      </c>
      <c r="H195" s="426">
        <v>1232</v>
      </c>
      <c r="I195" s="416">
        <f t="shared" si="200"/>
      </c>
      <c r="J195" s="416">
        <f t="shared" si="260"/>
      </c>
      <c r="K195" s="416">
        <f t="shared" si="320"/>
      </c>
      <c r="L195" s="416"/>
      <c r="M195" s="416">
        <f t="shared" si="14"/>
      </c>
      <c r="N195" s="416">
        <f t="shared" si="80"/>
      </c>
      <c r="O195" s="417">
        <f t="shared" si="110"/>
      </c>
      <c r="P195" s="417">
        <f t="shared" si="140"/>
      </c>
      <c r="Q195" s="417">
        <f t="shared" si="170"/>
      </c>
      <c r="R195" s="417">
        <f t="shared" si="230"/>
      </c>
      <c r="S195" s="418">
        <f t="shared" si="290"/>
      </c>
      <c r="T195" s="419">
        <v>0.0203</v>
      </c>
      <c r="U195" s="420">
        <v>35</v>
      </c>
      <c r="V195" s="416">
        <f t="shared" si="350"/>
      </c>
      <c r="W195" s="418">
        <v>5154</v>
      </c>
      <c r="X195" s="418">
        <v>601</v>
      </c>
      <c r="Y195" s="418">
        <v>33</v>
      </c>
      <c r="Z195" s="418">
        <v>678</v>
      </c>
      <c r="AA195" s="418">
        <v>37</v>
      </c>
      <c r="AB195" s="418">
        <v>2</v>
      </c>
      <c r="AC195" s="418">
        <v>0</v>
      </c>
      <c r="AD195" s="418">
        <v>4</v>
      </c>
      <c r="AE195" s="416">
        <f t="shared" si="44"/>
      </c>
      <c r="AF195" s="356" t="s">
        <v>253</v>
      </c>
      <c r="AG195" s="357" t="s">
        <v>250</v>
      </c>
      <c r="AH195" s="420">
        <v>15</v>
      </c>
    </row>
    <row r="196">
      <c r="A196" s="397"/>
      <c r="B196" s="427" t="s">
        <v>240</v>
      </c>
      <c r="C196" s="427"/>
      <c r="D196" s="428">
        <f>SUM(D192:D195)</f>
      </c>
      <c r="E196" s="429"/>
      <c r="F196" s="429">
        <f>SUM(F192:F195)</f>
      </c>
      <c r="G196" s="429">
        <f>SUM(G192:G195)</f>
      </c>
      <c r="H196" s="428">
        <f>SUM(H192:H195)</f>
      </c>
      <c r="I196" s="430">
        <f t="shared" si="200"/>
      </c>
      <c r="J196" s="430">
        <f t="shared" si="260"/>
      </c>
      <c r="K196" s="430">
        <f t="shared" si="320"/>
      </c>
      <c r="L196" s="430"/>
      <c r="M196" s="430">
        <f t="shared" si="14"/>
      </c>
      <c r="N196" s="430">
        <f t="shared" si="80"/>
      </c>
      <c r="O196" s="431">
        <f t="shared" si="110"/>
      </c>
      <c r="P196" s="431">
        <f t="shared" si="140"/>
      </c>
      <c r="Q196" s="431">
        <f t="shared" si="170"/>
      </c>
      <c r="R196" s="431">
        <f t="shared" si="230"/>
      </c>
      <c r="S196" s="432">
        <f t="shared" si="290"/>
      </c>
      <c r="T196" s="431">
        <f>AVERAGE(T192:T195)</f>
      </c>
      <c r="U196" s="428">
        <f>AVERAGE(U192:U195)</f>
      </c>
      <c r="V196" s="430">
        <f t="shared" si="350"/>
      </c>
      <c r="W196" s="432">
        <f>SUM(W192:W195)</f>
      </c>
      <c r="X196" s="432">
        <f>SUM(X192:X195)</f>
      </c>
      <c r="Y196" s="432">
        <f>SUM(Y192:Y195)</f>
      </c>
      <c r="Z196" s="432">
        <f>SUM(Z192:Z195)</f>
      </c>
      <c r="AA196" s="432">
        <f>SUM(AA192:AA195)</f>
      </c>
      <c r="AB196" s="432">
        <f>SUM(AB192:AB195)</f>
      </c>
      <c r="AC196" s="432">
        <f>SUM(AC192:AC195)</f>
      </c>
      <c r="AD196" s="432">
        <f>SUM(AD192:AD195)</f>
      </c>
      <c r="AE196" s="433">
        <f t="shared" si="44"/>
      </c>
      <c r="AF196" s="434"/>
      <c r="AG196" s="434"/>
      <c r="AH196" s="435">
        <f>SUM(AH192:AH195)</f>
      </c>
    </row>
    <row r="197">
      <c r="A197" s="397"/>
      <c r="B197" s="375" t="s">
        <v>249</v>
      </c>
      <c r="C197" s="411" t="s">
        <v>243</v>
      </c>
      <c r="D197" s="349">
        <v>1761.74</v>
      </c>
      <c r="E197" s="350"/>
      <c r="F197" s="350">
        <v>1</v>
      </c>
      <c r="G197" s="350">
        <v>1</v>
      </c>
      <c r="H197" s="349">
        <v>451</v>
      </c>
      <c r="I197" s="351">
        <f t="shared" si="200"/>
      </c>
      <c r="J197" s="351">
        <f t="shared" si="260"/>
      </c>
      <c r="K197" s="351">
        <f t="shared" si="320"/>
      </c>
      <c r="L197" s="351"/>
      <c r="M197" s="351">
        <f t="shared" si="14"/>
      </c>
      <c r="N197" s="351">
        <f t="shared" si="80"/>
      </c>
      <c r="O197" s="352">
        <f t="shared" si="110"/>
      </c>
      <c r="P197" s="352">
        <f t="shared" si="140"/>
      </c>
      <c r="Q197" s="352">
        <f t="shared" si="170"/>
      </c>
      <c r="R197" s="352">
        <f t="shared" si="230"/>
      </c>
      <c r="S197" s="353">
        <f t="shared" si="290"/>
      </c>
      <c r="T197" s="354">
        <v>0.0364</v>
      </c>
      <c r="U197" s="355">
        <v>36</v>
      </c>
      <c r="V197" s="351">
        <f t="shared" si="350"/>
      </c>
      <c r="W197" s="355">
        <v>8214</v>
      </c>
      <c r="X197" s="355">
        <v>581</v>
      </c>
      <c r="Y197" s="353">
        <v>63</v>
      </c>
      <c r="Z197" s="353">
        <v>647</v>
      </c>
      <c r="AA197" s="353">
        <v>18</v>
      </c>
      <c r="AB197" s="353">
        <v>5</v>
      </c>
      <c r="AC197" s="355">
        <v>0</v>
      </c>
      <c r="AD197" s="355">
        <v>6</v>
      </c>
      <c r="AE197" s="351">
        <f t="shared" si="44"/>
      </c>
      <c r="AF197" s="356" t="s">
        <v>234</v>
      </c>
      <c r="AG197" s="357" t="s">
        <v>251</v>
      </c>
      <c r="AH197" s="355">
        <v>14</v>
      </c>
    </row>
    <row r="198">
      <c r="A198" s="397"/>
      <c r="B198" s="375" t="s">
        <v>249</v>
      </c>
      <c r="C198" s="422" t="s">
        <v>244</v>
      </c>
      <c r="D198" s="349">
        <v>2332.12</v>
      </c>
      <c r="E198" s="350"/>
      <c r="F198" s="350">
        <v>8</v>
      </c>
      <c r="G198" s="350">
        <v>7</v>
      </c>
      <c r="H198" s="349">
        <v>6098.4</v>
      </c>
      <c r="I198" s="351">
        <f t="shared" si="200"/>
      </c>
      <c r="J198" s="351">
        <f t="shared" si="260"/>
      </c>
      <c r="K198" s="351">
        <f t="shared" si="320"/>
      </c>
      <c r="L198" s="351"/>
      <c r="M198" s="351">
        <f t="shared" si="14"/>
      </c>
      <c r="N198" s="351">
        <f t="shared" si="80"/>
      </c>
      <c r="O198" s="352">
        <f t="shared" si="110"/>
      </c>
      <c r="P198" s="352">
        <f t="shared" si="140"/>
      </c>
      <c r="Q198" s="352">
        <f t="shared" si="170"/>
      </c>
      <c r="R198" s="352">
        <f t="shared" si="230"/>
      </c>
      <c r="S198" s="353">
        <f t="shared" si="290"/>
      </c>
      <c r="T198" s="354">
        <v>0.051</v>
      </c>
      <c r="U198" s="355">
        <v>37</v>
      </c>
      <c r="V198" s="351">
        <f t="shared" si="350"/>
      </c>
      <c r="W198" s="353">
        <v>10532</v>
      </c>
      <c r="X198" s="353">
        <v>597</v>
      </c>
      <c r="Y198" s="353">
        <v>73</v>
      </c>
      <c r="Z198" s="353">
        <v>665</v>
      </c>
      <c r="AA198" s="353">
        <v>67</v>
      </c>
      <c r="AB198" s="353">
        <v>6</v>
      </c>
      <c r="AC198" s="353">
        <v>1</v>
      </c>
      <c r="AD198" s="355">
        <v>13</v>
      </c>
      <c r="AE198" s="351">
        <f t="shared" si="44"/>
      </c>
      <c r="AF198" s="356" t="s">
        <v>234</v>
      </c>
      <c r="AG198" s="357" t="s">
        <v>251</v>
      </c>
      <c r="AH198" s="355">
        <v>23</v>
      </c>
    </row>
    <row r="199">
      <c r="A199" s="397"/>
      <c r="B199" s="375" t="s">
        <v>249</v>
      </c>
      <c r="C199" s="411" t="s">
        <v>245</v>
      </c>
      <c r="D199" s="349">
        <v>2181.25</v>
      </c>
      <c r="E199" s="350"/>
      <c r="F199" s="350">
        <v>2</v>
      </c>
      <c r="G199" s="350">
        <v>2</v>
      </c>
      <c r="H199" s="349">
        <v>1232</v>
      </c>
      <c r="I199" s="351">
        <f t="shared" si="200"/>
      </c>
      <c r="J199" s="351">
        <f t="shared" si="260"/>
      </c>
      <c r="K199" s="351">
        <f t="shared" si="320"/>
      </c>
      <c r="L199" s="351"/>
      <c r="M199" s="351">
        <f t="shared" si="14"/>
      </c>
      <c r="N199" s="351">
        <f t="shared" si="80"/>
      </c>
      <c r="O199" s="352">
        <f t="shared" si="110"/>
      </c>
      <c r="P199" s="352">
        <f t="shared" si="140"/>
      </c>
      <c r="Q199" s="352">
        <f t="shared" si="170"/>
      </c>
      <c r="R199" s="352">
        <f t="shared" si="230"/>
      </c>
      <c r="S199" s="353">
        <f t="shared" si="290"/>
      </c>
      <c r="T199" s="354">
        <v>0.045</v>
      </c>
      <c r="U199" s="355">
        <v>37</v>
      </c>
      <c r="V199" s="351">
        <f t="shared" si="350"/>
      </c>
      <c r="W199" s="355">
        <v>13255</v>
      </c>
      <c r="X199" s="355">
        <v>573</v>
      </c>
      <c r="Y199" s="355">
        <v>55</v>
      </c>
      <c r="Z199" s="355">
        <v>642</v>
      </c>
      <c r="AA199" s="355">
        <v>75</v>
      </c>
      <c r="AB199" s="355">
        <v>11</v>
      </c>
      <c r="AC199" s="355">
        <v>4</v>
      </c>
      <c r="AD199" s="355">
        <v>18</v>
      </c>
      <c r="AE199" s="351">
        <f t="shared" si="44"/>
      </c>
      <c r="AF199" s="356" t="s">
        <v>234</v>
      </c>
      <c r="AG199" s="357" t="s">
        <v>251</v>
      </c>
      <c r="AH199" s="355">
        <v>21</v>
      </c>
    </row>
    <row r="200">
      <c r="A200" s="397"/>
      <c r="B200" s="375" t="s">
        <v>249</v>
      </c>
      <c r="C200" s="411" t="s">
        <v>233</v>
      </c>
      <c r="D200" s="349">
        <v>729.33</v>
      </c>
      <c r="E200" s="350"/>
      <c r="F200" s="350">
        <v>8</v>
      </c>
      <c r="G200" s="350">
        <v>1</v>
      </c>
      <c r="H200" s="349">
        <v>3595.35</v>
      </c>
      <c r="I200" s="351">
        <f t="shared" si="200"/>
      </c>
      <c r="J200" s="351">
        <f t="shared" si="260"/>
      </c>
      <c r="K200" s="351">
        <f t="shared" si="320"/>
      </c>
      <c r="L200" s="351"/>
      <c r="M200" s="351">
        <f t="shared" si="14"/>
      </c>
      <c r="N200" s="351">
        <f t="shared" si="80"/>
      </c>
      <c r="O200" s="352">
        <f t="shared" si="110"/>
      </c>
      <c r="P200" s="352">
        <f t="shared" si="140"/>
      </c>
      <c r="Q200" s="352">
        <f t="shared" si="170"/>
      </c>
      <c r="R200" s="352">
        <f t="shared" si="230"/>
      </c>
      <c r="S200" s="353">
        <f t="shared" si="290"/>
      </c>
      <c r="T200" s="354">
        <v>0.0429</v>
      </c>
      <c r="U200" s="355">
        <v>39</v>
      </c>
      <c r="V200" s="351">
        <f t="shared" si="350"/>
      </c>
      <c r="W200" s="355">
        <v>4503</v>
      </c>
      <c r="X200" s="355">
        <v>324</v>
      </c>
      <c r="Y200" s="353">
        <v>30</v>
      </c>
      <c r="Z200" s="353">
        <v>382</v>
      </c>
      <c r="AA200" s="353">
        <v>51</v>
      </c>
      <c r="AB200" s="353">
        <v>2</v>
      </c>
      <c r="AC200" s="355">
        <v>1</v>
      </c>
      <c r="AD200" s="355">
        <v>4</v>
      </c>
      <c r="AE200" s="351">
        <f t="shared" si="44"/>
      </c>
      <c r="AF200" s="356" t="s">
        <v>234</v>
      </c>
      <c r="AG200" s="357" t="s">
        <v>251</v>
      </c>
      <c r="AH200" s="355">
        <v>16</v>
      </c>
    </row>
    <row r="201">
      <c r="A201" s="397"/>
      <c r="B201" s="360" t="s">
        <v>240</v>
      </c>
      <c r="C201" s="360"/>
      <c r="D201" s="405">
        <f>SUM(D197:D200)</f>
      </c>
      <c r="E201" s="440"/>
      <c r="F201" s="440">
        <f>SUM(F197:F200)</f>
      </c>
      <c r="G201" s="440">
        <f>SUM(G197:G200)</f>
      </c>
      <c r="H201" s="405">
        <f>SUM(H197:H200)</f>
      </c>
      <c r="I201" s="363">
        <f t="shared" si="200"/>
      </c>
      <c r="J201" s="363">
        <f t="shared" si="260"/>
      </c>
      <c r="K201" s="363">
        <f t="shared" si="320"/>
      </c>
      <c r="L201" s="363"/>
      <c r="M201" s="363">
        <f t="shared" si="14"/>
      </c>
      <c r="N201" s="363">
        <f t="shared" si="80"/>
      </c>
      <c r="O201" s="364">
        <f t="shared" si="110"/>
      </c>
      <c r="P201" s="364">
        <f t="shared" si="140"/>
      </c>
      <c r="Q201" s="364">
        <f t="shared" si="170"/>
      </c>
      <c r="R201" s="364">
        <f t="shared" si="230"/>
      </c>
      <c r="S201" s="365">
        <f t="shared" si="290"/>
      </c>
      <c r="T201" s="364">
        <f>AVERAGE(T197:T200)</f>
      </c>
      <c r="U201" s="361">
        <f>AVERAGE(U197:U200)</f>
      </c>
      <c r="V201" s="363">
        <f t="shared" si="350"/>
      </c>
      <c r="W201" s="365">
        <f>SUM(W197:W200)</f>
      </c>
      <c r="X201" s="365">
        <f>SUM(X197:X200)</f>
      </c>
      <c r="Y201" s="365">
        <f>SUM(Y197:Y200)</f>
      </c>
      <c r="Z201" s="365">
        <f>SUM(Z197:Z200)</f>
      </c>
      <c r="AA201" s="365">
        <f>SUM(AA197:AA200)</f>
      </c>
      <c r="AB201" s="365">
        <f>SUM(AB197:AB200)</f>
      </c>
      <c r="AC201" s="365">
        <f>SUM(AC197:AC200)</f>
      </c>
      <c r="AD201" s="365">
        <f>SUM(AD197:AD200)</f>
      </c>
      <c r="AE201" s="366">
        <f t="shared" si="44"/>
      </c>
      <c r="AF201" s="367"/>
      <c r="AG201" s="367"/>
      <c r="AH201" s="365">
        <f>SUM(AH197:AH200)</f>
      </c>
    </row>
    <row r="202">
      <c r="A202" s="397"/>
      <c r="B202" s="369" t="s">
        <v>241</v>
      </c>
      <c r="C202" s="369"/>
      <c r="D202" s="441">
        <f>D191+D201+D196</f>
      </c>
      <c r="E202" s="370"/>
      <c r="F202" s="370">
        <f>F191+F201+F196</f>
      </c>
      <c r="G202" s="370">
        <f>G191+G201+G196</f>
      </c>
      <c r="H202" s="370">
        <f>H191+H201+H196</f>
      </c>
      <c r="I202" s="442">
        <f t="shared" si="200"/>
      </c>
      <c r="J202" s="372">
        <f t="shared" si="260"/>
      </c>
      <c r="K202" s="372">
        <f t="shared" si="320"/>
      </c>
      <c r="L202" s="372"/>
      <c r="M202" s="372">
        <f t="shared" si="14"/>
      </c>
      <c r="N202" s="372">
        <f t="shared" si="80"/>
      </c>
      <c r="O202" s="373">
        <f t="shared" si="110"/>
      </c>
      <c r="P202" s="373">
        <f t="shared" si="140"/>
      </c>
      <c r="Q202" s="373">
        <f t="shared" si="170"/>
      </c>
      <c r="R202" s="373">
        <f t="shared" si="230"/>
      </c>
      <c r="S202" s="374">
        <f t="shared" si="290"/>
      </c>
      <c r="T202" s="373">
        <f>(T191+T201+T196)/3</f>
      </c>
      <c r="U202" s="373">
        <f>(U191+U201+U196)/3</f>
      </c>
      <c r="V202" s="370">
        <f t="shared" si="350"/>
      </c>
      <c r="W202" s="374">
        <f>W191+W201+W196</f>
      </c>
      <c r="X202" s="374">
        <f>X191+X201+X196</f>
      </c>
      <c r="Y202" s="374">
        <f>Y191+Y201+Y196</f>
      </c>
      <c r="Z202" s="374">
        <f>Z191+Z201+Z196</f>
      </c>
      <c r="AA202" s="374">
        <f>AA191+AA201+AA196</f>
      </c>
      <c r="AB202" s="374">
        <f>AB191+AB201+AB196</f>
      </c>
      <c r="AC202" s="374">
        <f>AC191+AC201+AC196</f>
      </c>
      <c r="AD202" s="374">
        <f>AD191+AD201+AD196</f>
      </c>
      <c r="AE202" s="372">
        <f>AE191</f>
      </c>
      <c r="AF202" s="369"/>
      <c r="AG202" s="369"/>
      <c r="AH202" s="374">
        <f>AH191+AH201+AH196</f>
      </c>
    </row>
    <row r="203">
      <c r="A203" s="380" t="s">
        <v>197</v>
      </c>
      <c r="B203" s="396" t="s">
        <v>198</v>
      </c>
      <c r="C203" s="396"/>
      <c r="D203" s="381" t="s">
        <v>199</v>
      </c>
      <c r="E203" s="381"/>
      <c r="F203" s="381"/>
      <c r="G203" s="381"/>
      <c r="H203" s="381"/>
      <c r="I203" s="381"/>
      <c r="J203" s="381"/>
      <c r="K203" s="381"/>
      <c r="L203" s="381"/>
      <c r="M203" s="381"/>
      <c r="N203" s="382" t="s">
        <v>200</v>
      </c>
      <c r="O203" s="382"/>
      <c r="P203" s="382"/>
      <c r="Q203" s="382"/>
      <c r="R203" s="382"/>
      <c r="S203" s="382"/>
      <c r="T203" s="382"/>
      <c r="U203" s="382"/>
      <c r="V203" s="382"/>
      <c r="W203" s="382"/>
      <c r="X203" s="382"/>
      <c r="Y203" s="382"/>
      <c r="Z203" s="382"/>
      <c r="AA203" s="382"/>
      <c r="AB203" s="382"/>
      <c r="AC203" s="382"/>
      <c r="AD203" s="382"/>
      <c r="AE203" s="382"/>
      <c r="AF203" s="382"/>
      <c r="AG203" s="382"/>
      <c r="AH203" s="340"/>
    </row>
    <row r="204">
      <c r="A204" s="380"/>
      <c r="B204" s="396" t="s">
        <v>201</v>
      </c>
      <c r="C204" s="398" t="s">
        <v>202</v>
      </c>
      <c r="D204" s="399" t="s">
        <v>203</v>
      </c>
      <c r="E204" s="391"/>
      <c r="F204" s="391" t="s">
        <v>204</v>
      </c>
      <c r="G204" s="391" t="s">
        <v>205</v>
      </c>
      <c r="H204" s="399" t="s">
        <v>206</v>
      </c>
      <c r="I204" s="384" t="s">
        <v>207</v>
      </c>
      <c r="J204" s="384" t="s">
        <v>208</v>
      </c>
      <c r="K204" s="384" t="s">
        <v>209</v>
      </c>
      <c r="L204" s="384"/>
      <c r="M204" s="384" t="s">
        <v>210</v>
      </c>
      <c r="N204" s="385" t="s">
        <v>211</v>
      </c>
      <c r="O204" s="386" t="s">
        <v>212</v>
      </c>
      <c r="P204" s="386" t="s">
        <v>213</v>
      </c>
      <c r="Q204" s="386" t="s">
        <v>214</v>
      </c>
      <c r="R204" s="386" t="s">
        <v>215</v>
      </c>
      <c r="S204" s="387" t="s">
        <v>216</v>
      </c>
      <c r="T204" s="392" t="s">
        <v>217</v>
      </c>
      <c r="U204" s="393" t="s">
        <v>218</v>
      </c>
      <c r="V204" s="382" t="s">
        <v>219</v>
      </c>
      <c r="W204" s="394" t="s">
        <v>220</v>
      </c>
      <c r="X204" s="394" t="s">
        <v>221</v>
      </c>
      <c r="Y204" s="394" t="s">
        <v>222</v>
      </c>
      <c r="Z204" s="394" t="s">
        <v>223</v>
      </c>
      <c r="AA204" s="394" t="s">
        <v>224</v>
      </c>
      <c r="AB204" s="394" t="s">
        <v>225</v>
      </c>
      <c r="AC204" s="394" t="s">
        <v>226</v>
      </c>
      <c r="AD204" s="394" t="s">
        <v>227</v>
      </c>
      <c r="AE204" s="382" t="s">
        <v>228</v>
      </c>
      <c r="AF204" s="389" t="s">
        <v>229</v>
      </c>
      <c r="AG204" s="389" t="s">
        <v>230</v>
      </c>
      <c r="AH204" s="340" t="s">
        <v>231</v>
      </c>
    </row>
    <row r="205">
      <c r="A205" s="397">
        <v>46159</v>
      </c>
      <c r="B205" s="400" t="s">
        <v>248</v>
      </c>
      <c r="C205" s="400" t="s">
        <v>252</v>
      </c>
      <c r="D205" s="349">
        <v>2774.61</v>
      </c>
      <c r="E205" s="350"/>
      <c r="F205" s="350">
        <v>7</v>
      </c>
      <c r="G205" s="350">
        <v>6</v>
      </c>
      <c r="H205" s="349">
        <v>3487</v>
      </c>
      <c r="I205" s="436">
        <f t="shared" ref="I205:I220" si="201">H205/D205</f>
      </c>
      <c r="J205" s="351">
        <f t="shared" ref="J205:J220" si="261">D205/F205</f>
      </c>
      <c r="K205" s="351">
        <f t="shared" ref="K205:K220" si="321">D205/G205</f>
      </c>
      <c r="L205" s="351"/>
      <c r="M205" s="351">
        <f t="shared" ref="M205:M220" si="15">H205/F205</f>
      </c>
      <c r="N205" s="351">
        <f t="shared" ref="N205:N220" si="81">D205/X205</f>
      </c>
      <c r="O205" s="352">
        <f t="shared" ref="O205:O220" si="111">S205/W205*1</f>
      </c>
      <c r="P205" s="352">
        <f t="shared" ref="P205:P220" si="141">X205/W205</f>
      </c>
      <c r="Q205" s="352">
        <f t="shared" ref="Q205:Q220" si="171">Z205/W205</f>
      </c>
      <c r="R205" s="352">
        <f t="shared" ref="R205:R220" si="231">AA205/Z205</f>
      </c>
      <c r="S205" s="353">
        <f t="shared" ref="S205:S220" si="291">Y205/T205</f>
      </c>
      <c r="T205" s="354">
        <v>0.0344</v>
      </c>
      <c r="U205" s="355">
        <v>48</v>
      </c>
      <c r="V205" s="351">
        <f t="shared" ref="V205:V220" si="351">(D205/W205)*1000</f>
      </c>
      <c r="W205" s="355">
        <v>11967</v>
      </c>
      <c r="X205" s="355">
        <v>615</v>
      </c>
      <c r="Y205" s="353">
        <v>79</v>
      </c>
      <c r="Z205" s="353">
        <v>711</v>
      </c>
      <c r="AA205" s="353">
        <v>60</v>
      </c>
      <c r="AB205" s="353">
        <v>4</v>
      </c>
      <c r="AC205" s="353">
        <v>0</v>
      </c>
      <c r="AD205" s="355">
        <v>13</v>
      </c>
      <c r="AE205" s="351">
        <f t="shared" ref="AE205:AE219" si="45">AH205*1000/D205</f>
      </c>
      <c r="AF205" s="356" t="s">
        <v>253</v>
      </c>
      <c r="AG205" s="357" t="s">
        <v>250</v>
      </c>
      <c r="AH205" s="355">
        <v>38</v>
      </c>
    </row>
    <row r="206">
      <c r="A206" s="397"/>
      <c r="B206" s="348" t="s">
        <v>248</v>
      </c>
      <c r="C206" s="437" t="s">
        <v>255</v>
      </c>
      <c r="D206" s="349">
        <v>4031.29</v>
      </c>
      <c r="E206" s="350"/>
      <c r="F206" s="350">
        <v>6</v>
      </c>
      <c r="G206" s="350">
        <v>6</v>
      </c>
      <c r="H206" s="349">
        <v>2706</v>
      </c>
      <c r="I206" s="436">
        <f t="shared" si="201"/>
      </c>
      <c r="J206" s="351">
        <f t="shared" si="261"/>
      </c>
      <c r="K206" s="351">
        <f t="shared" si="321"/>
      </c>
      <c r="L206" s="351"/>
      <c r="M206" s="351">
        <f t="shared" si="15"/>
      </c>
      <c r="N206" s="351">
        <f t="shared" si="81"/>
      </c>
      <c r="O206" s="352">
        <f t="shared" si="111"/>
      </c>
      <c r="P206" s="352">
        <f t="shared" si="141"/>
      </c>
      <c r="Q206" s="352">
        <f t="shared" si="171"/>
      </c>
      <c r="R206" s="352">
        <f t="shared" si="231"/>
      </c>
      <c r="S206" s="353">
        <f t="shared" si="291"/>
      </c>
      <c r="T206" s="354">
        <v>0.0416</v>
      </c>
      <c r="U206" s="355">
        <v>52</v>
      </c>
      <c r="V206" s="351">
        <f t="shared" si="351"/>
      </c>
      <c r="W206" s="355">
        <v>21193</v>
      </c>
      <c r="X206" s="355">
        <v>769</v>
      </c>
      <c r="Y206" s="353">
        <v>115</v>
      </c>
      <c r="Z206" s="353">
        <v>852</v>
      </c>
      <c r="AA206" s="355">
        <v>128</v>
      </c>
      <c r="AB206" s="353">
        <v>14</v>
      </c>
      <c r="AC206" s="355">
        <v>1</v>
      </c>
      <c r="AD206" s="355">
        <v>24</v>
      </c>
      <c r="AE206" s="351">
        <f t="shared" si="45"/>
      </c>
      <c r="AF206" s="356" t="s">
        <v>253</v>
      </c>
      <c r="AG206" s="357" t="s">
        <v>250</v>
      </c>
      <c r="AH206" s="355">
        <v>45</v>
      </c>
    </row>
    <row r="207">
      <c r="A207" s="397"/>
      <c r="B207" s="348" t="s">
        <v>248</v>
      </c>
      <c r="C207" s="400" t="s">
        <v>256</v>
      </c>
      <c r="D207" s="349">
        <v>3670.16</v>
      </c>
      <c r="E207" s="350"/>
      <c r="F207" s="350">
        <v>8</v>
      </c>
      <c r="G207" s="350">
        <v>8</v>
      </c>
      <c r="H207" s="349">
        <v>4673.9</v>
      </c>
      <c r="I207" s="436">
        <f t="shared" si="201"/>
      </c>
      <c r="J207" s="351">
        <f t="shared" si="261"/>
      </c>
      <c r="K207" s="351">
        <f t="shared" si="321"/>
      </c>
      <c r="L207" s="351"/>
      <c r="M207" s="351">
        <f t="shared" si="15"/>
      </c>
      <c r="N207" s="351">
        <f t="shared" si="81"/>
      </c>
      <c r="O207" s="352">
        <f t="shared" si="111"/>
      </c>
      <c r="P207" s="352">
        <f t="shared" si="141"/>
      </c>
      <c r="Q207" s="352">
        <f t="shared" si="171"/>
      </c>
      <c r="R207" s="352">
        <f t="shared" si="231"/>
      </c>
      <c r="S207" s="353">
        <f t="shared" si="291"/>
      </c>
      <c r="T207" s="354">
        <v>0.0445</v>
      </c>
      <c r="U207" s="355">
        <v>53</v>
      </c>
      <c r="V207" s="351">
        <f t="shared" si="351"/>
      </c>
      <c r="W207" s="355">
        <v>18655</v>
      </c>
      <c r="X207" s="355">
        <v>934</v>
      </c>
      <c r="Y207" s="355">
        <v>121</v>
      </c>
      <c r="Z207" s="355">
        <v>1034</v>
      </c>
      <c r="AA207" s="355">
        <v>95</v>
      </c>
      <c r="AB207" s="355">
        <v>15</v>
      </c>
      <c r="AC207" s="355">
        <v>5</v>
      </c>
      <c r="AD207" s="355">
        <v>24</v>
      </c>
      <c r="AE207" s="351">
        <f t="shared" si="45"/>
      </c>
      <c r="AF207" s="356" t="s">
        <v>253</v>
      </c>
      <c r="AG207" s="357" t="s">
        <v>250</v>
      </c>
      <c r="AH207" s="355">
        <v>42</v>
      </c>
    </row>
    <row r="208">
      <c r="A208" s="397"/>
      <c r="B208" s="348" t="s">
        <v>248</v>
      </c>
      <c r="C208" s="348" t="s">
        <v>257</v>
      </c>
      <c r="D208" s="438">
        <v>4434.54</v>
      </c>
      <c r="E208" s="379"/>
      <c r="F208" s="379">
        <v>2</v>
      </c>
      <c r="G208" s="379">
        <v>1</v>
      </c>
      <c r="H208" s="438">
        <v>1621.3999999999996</v>
      </c>
      <c r="I208" s="351">
        <f t="shared" si="201"/>
      </c>
      <c r="J208" s="351">
        <f t="shared" si="261"/>
      </c>
      <c r="K208" s="351">
        <f t="shared" si="321"/>
      </c>
      <c r="L208" s="351"/>
      <c r="M208" s="351">
        <f t="shared" si="15"/>
      </c>
      <c r="N208" s="351">
        <f t="shared" si="81"/>
      </c>
      <c r="O208" s="352">
        <f t="shared" si="111"/>
      </c>
      <c r="P208" s="352">
        <f t="shared" si="141"/>
      </c>
      <c r="Q208" s="352">
        <f t="shared" si="171"/>
      </c>
      <c r="R208" s="352">
        <f t="shared" si="231"/>
      </c>
      <c r="S208" s="353">
        <f t="shared" si="291"/>
      </c>
      <c r="T208" s="354">
        <v>0.0426</v>
      </c>
      <c r="U208" s="355">
        <v>52</v>
      </c>
      <c r="V208" s="351">
        <f t="shared" si="351"/>
      </c>
      <c r="W208" s="353">
        <v>22704</v>
      </c>
      <c r="X208" s="353">
        <v>992</v>
      </c>
      <c r="Y208" s="353">
        <v>136</v>
      </c>
      <c r="Z208" s="353">
        <v>1123</v>
      </c>
      <c r="AA208" s="353">
        <v>123</v>
      </c>
      <c r="AB208" s="353">
        <v>20</v>
      </c>
      <c r="AC208" s="353">
        <v>4</v>
      </c>
      <c r="AD208" s="353">
        <v>32</v>
      </c>
      <c r="AE208" s="351">
        <f t="shared" si="45"/>
      </c>
      <c r="AF208" s="356" t="s">
        <v>253</v>
      </c>
      <c r="AG208" s="357" t="s">
        <v>250</v>
      </c>
      <c r="AH208" s="355">
        <v>52</v>
      </c>
    </row>
    <row r="209">
      <c r="A209" s="397"/>
      <c r="B209" s="360" t="s">
        <v>240</v>
      </c>
      <c r="C209" s="360"/>
      <c r="D209" s="361">
        <f>SUM(D205:D208)</f>
      </c>
      <c r="E209" s="362"/>
      <c r="F209" s="362">
        <f>SUM(F205:F208)</f>
      </c>
      <c r="G209" s="362">
        <f>SUM(G205:G208)</f>
      </c>
      <c r="H209" s="361">
        <f>SUM(H205:H208)</f>
      </c>
      <c r="I209" s="363">
        <f t="shared" si="201"/>
      </c>
      <c r="J209" s="363">
        <f t="shared" si="261"/>
      </c>
      <c r="K209" s="363">
        <f t="shared" si="321"/>
      </c>
      <c r="L209" s="363"/>
      <c r="M209" s="363">
        <f t="shared" si="15"/>
      </c>
      <c r="N209" s="363">
        <f t="shared" si="81"/>
      </c>
      <c r="O209" s="364">
        <f t="shared" si="111"/>
      </c>
      <c r="P209" s="364">
        <f t="shared" si="141"/>
      </c>
      <c r="Q209" s="364">
        <f t="shared" si="171"/>
      </c>
      <c r="R209" s="364">
        <f t="shared" si="231"/>
      </c>
      <c r="S209" s="365">
        <f t="shared" si="291"/>
      </c>
      <c r="T209" s="364">
        <f>AVERAGE(T205:T208)</f>
      </c>
      <c r="U209" s="361">
        <f>AVERAGE(U205:U208)</f>
      </c>
      <c r="V209" s="363">
        <f t="shared" si="351"/>
      </c>
      <c r="W209" s="365">
        <f>SUM(W205:W208)</f>
      </c>
      <c r="X209" s="365">
        <f>SUM(X205:X208)</f>
      </c>
      <c r="Y209" s="365">
        <f>SUM(Y205:Y208)</f>
      </c>
      <c r="Z209" s="365">
        <f>SUM(Z205:Z208)</f>
      </c>
      <c r="AA209" s="365">
        <f>SUM(AA205:AA208)</f>
      </c>
      <c r="AB209" s="365">
        <f>SUM(AB205:AB208)</f>
      </c>
      <c r="AC209" s="365">
        <f>SUM(AC205:AC208)</f>
      </c>
      <c r="AD209" s="365">
        <f>SUM(AD205:AD208)</f>
      </c>
      <c r="AE209" s="366">
        <f t="shared" si="45"/>
      </c>
      <c r="AF209" s="367"/>
      <c r="AG209" s="367"/>
      <c r="AH209" s="368">
        <f>SUM(AH205:AH208)</f>
      </c>
    </row>
    <row r="210">
      <c r="A210" s="397"/>
      <c r="B210" s="410" t="s">
        <v>246</v>
      </c>
      <c r="C210" s="411" t="s">
        <v>258</v>
      </c>
      <c r="D210" s="426">
        <v>2529.49</v>
      </c>
      <c r="E210" s="413"/>
      <c r="F210" s="413">
        <v>1</v>
      </c>
      <c r="G210" s="414">
        <v>1</v>
      </c>
      <c r="H210" s="415">
        <v>451</v>
      </c>
      <c r="I210" s="416">
        <f t="shared" si="201"/>
      </c>
      <c r="J210" s="416">
        <f t="shared" si="261"/>
      </c>
      <c r="K210" s="416">
        <f t="shared" si="321"/>
      </c>
      <c r="L210" s="416"/>
      <c r="M210" s="416">
        <f t="shared" si="15"/>
      </c>
      <c r="N210" s="416">
        <f t="shared" si="81"/>
      </c>
      <c r="O210" s="417">
        <f t="shared" si="111"/>
      </c>
      <c r="P210" s="417">
        <f t="shared" si="141"/>
      </c>
      <c r="Q210" s="417">
        <f t="shared" si="171"/>
      </c>
      <c r="R210" s="417">
        <f t="shared" si="231"/>
      </c>
      <c r="S210" s="418">
        <f t="shared" si="291"/>
      </c>
      <c r="T210" s="419">
        <v>0.0318</v>
      </c>
      <c r="U210" s="420">
        <v>50</v>
      </c>
      <c r="V210" s="416">
        <f t="shared" si="351"/>
      </c>
      <c r="W210" s="418">
        <v>13465</v>
      </c>
      <c r="X210" s="418">
        <v>826</v>
      </c>
      <c r="Y210" s="418">
        <v>84</v>
      </c>
      <c r="Z210" s="418">
        <v>909</v>
      </c>
      <c r="AA210" s="418">
        <v>79</v>
      </c>
      <c r="AB210" s="418">
        <v>7</v>
      </c>
      <c r="AC210" s="418">
        <v>1</v>
      </c>
      <c r="AD210" s="418">
        <v>12</v>
      </c>
      <c r="AE210" s="416">
        <f t="shared" si="45"/>
      </c>
      <c r="AF210" s="356" t="s">
        <v>253</v>
      </c>
      <c r="AG210" s="357" t="s">
        <v>250</v>
      </c>
      <c r="AH210" s="420">
        <v>34</v>
      </c>
    </row>
    <row r="211">
      <c r="A211" s="397"/>
      <c r="B211" s="410" t="s">
        <v>246</v>
      </c>
      <c r="C211" s="422" t="s">
        <v>260</v>
      </c>
      <c r="D211" s="439">
        <v>1622.18</v>
      </c>
      <c r="E211" s="424"/>
      <c r="F211" s="424">
        <v>1</v>
      </c>
      <c r="G211" s="424">
        <v>1</v>
      </c>
      <c r="H211" s="415">
        <v>451</v>
      </c>
      <c r="I211" s="416">
        <f t="shared" si="201"/>
      </c>
      <c r="J211" s="416">
        <f t="shared" si="261"/>
      </c>
      <c r="K211" s="416">
        <f t="shared" si="321"/>
      </c>
      <c r="L211" s="416"/>
      <c r="M211" s="416">
        <f t="shared" si="15"/>
      </c>
      <c r="N211" s="416">
        <f t="shared" si="81"/>
      </c>
      <c r="O211" s="417">
        <f t="shared" si="111"/>
      </c>
      <c r="P211" s="417">
        <f t="shared" si="141"/>
      </c>
      <c r="Q211" s="417">
        <f t="shared" si="171"/>
      </c>
      <c r="R211" s="417">
        <f t="shared" si="231"/>
      </c>
      <c r="S211" s="418">
        <f t="shared" si="291"/>
      </c>
      <c r="T211" s="419">
        <v>0.0325</v>
      </c>
      <c r="U211" s="420">
        <v>50</v>
      </c>
      <c r="V211" s="416">
        <f t="shared" si="351"/>
      </c>
      <c r="W211" s="418">
        <v>8632</v>
      </c>
      <c r="X211" s="418">
        <v>680</v>
      </c>
      <c r="Y211" s="418">
        <v>66</v>
      </c>
      <c r="Z211" s="418">
        <v>773</v>
      </c>
      <c r="AA211" s="418">
        <v>69</v>
      </c>
      <c r="AB211" s="418">
        <v>6</v>
      </c>
      <c r="AC211" s="418">
        <v>0</v>
      </c>
      <c r="AD211" s="418">
        <v>13</v>
      </c>
      <c r="AE211" s="416">
        <f t="shared" si="45"/>
      </c>
      <c r="AF211" s="356" t="s">
        <v>253</v>
      </c>
      <c r="AG211" s="357" t="s">
        <v>250</v>
      </c>
      <c r="AH211" s="420">
        <v>24</v>
      </c>
    </row>
    <row r="212">
      <c r="A212" s="397"/>
      <c r="B212" s="410" t="s">
        <v>246</v>
      </c>
      <c r="C212" s="411" t="s">
        <v>261</v>
      </c>
      <c r="D212" s="426">
        <v>1616.4</v>
      </c>
      <c r="E212" s="424"/>
      <c r="F212" s="424">
        <v>6</v>
      </c>
      <c r="G212" s="424">
        <v>3</v>
      </c>
      <c r="H212" s="412">
        <v>3326.9500000000007</v>
      </c>
      <c r="I212" s="416">
        <f t="shared" si="201"/>
      </c>
      <c r="J212" s="416">
        <f t="shared" si="261"/>
      </c>
      <c r="K212" s="416">
        <f t="shared" si="321"/>
      </c>
      <c r="L212" s="416"/>
      <c r="M212" s="416">
        <f t="shared" si="15"/>
      </c>
      <c r="N212" s="416">
        <f t="shared" si="81"/>
      </c>
      <c r="O212" s="417">
        <f t="shared" si="111"/>
      </c>
      <c r="P212" s="417">
        <f t="shared" si="141"/>
      </c>
      <c r="Q212" s="417">
        <f t="shared" si="171"/>
      </c>
      <c r="R212" s="417">
        <f t="shared" si="231"/>
      </c>
      <c r="S212" s="418">
        <f t="shared" si="291"/>
      </c>
      <c r="T212" s="419">
        <v>0.0341</v>
      </c>
      <c r="U212" s="420">
        <v>51</v>
      </c>
      <c r="V212" s="416">
        <f t="shared" si="351"/>
      </c>
      <c r="W212" s="418">
        <v>8075</v>
      </c>
      <c r="X212" s="418">
        <v>640</v>
      </c>
      <c r="Y212" s="418">
        <v>68</v>
      </c>
      <c r="Z212" s="418">
        <v>689</v>
      </c>
      <c r="AA212" s="418">
        <v>76</v>
      </c>
      <c r="AB212" s="418">
        <v>7</v>
      </c>
      <c r="AC212" s="418">
        <v>1</v>
      </c>
      <c r="AD212" s="418">
        <v>9</v>
      </c>
      <c r="AE212" s="416">
        <f t="shared" si="45"/>
      </c>
      <c r="AF212" s="356" t="s">
        <v>253</v>
      </c>
      <c r="AG212" s="357" t="s">
        <v>250</v>
      </c>
      <c r="AH212" s="420">
        <v>38</v>
      </c>
    </row>
    <row r="213">
      <c r="A213" s="397"/>
      <c r="B213" s="410" t="s">
        <v>246</v>
      </c>
      <c r="C213" s="425" t="s">
        <v>262</v>
      </c>
      <c r="D213" s="426">
        <v>2351.92</v>
      </c>
      <c r="E213" s="414"/>
      <c r="F213" s="414">
        <v>5</v>
      </c>
      <c r="G213" s="414">
        <v>4</v>
      </c>
      <c r="H213" s="426">
        <v>4480.299999999999</v>
      </c>
      <c r="I213" s="416">
        <f t="shared" si="201"/>
      </c>
      <c r="J213" s="416">
        <f t="shared" si="261"/>
      </c>
      <c r="K213" s="416">
        <f t="shared" si="321"/>
      </c>
      <c r="L213" s="416"/>
      <c r="M213" s="416">
        <f t="shared" si="15"/>
      </c>
      <c r="N213" s="416">
        <f t="shared" si="81"/>
      </c>
      <c r="O213" s="417">
        <f t="shared" si="111"/>
      </c>
      <c r="P213" s="417">
        <f t="shared" si="141"/>
      </c>
      <c r="Q213" s="417">
        <f t="shared" si="171"/>
      </c>
      <c r="R213" s="417">
        <f t="shared" si="231"/>
      </c>
      <c r="S213" s="418">
        <f t="shared" si="291"/>
      </c>
      <c r="T213" s="419">
        <v>0.03</v>
      </c>
      <c r="U213" s="420">
        <v>51</v>
      </c>
      <c r="V213" s="416">
        <f t="shared" si="351"/>
      </c>
      <c r="W213" s="418">
        <v>12892</v>
      </c>
      <c r="X213" s="418">
        <v>624</v>
      </c>
      <c r="Y213" s="418">
        <v>67</v>
      </c>
      <c r="Z213" s="418">
        <v>729</v>
      </c>
      <c r="AA213" s="418">
        <v>79</v>
      </c>
      <c r="AB213" s="418">
        <v>6</v>
      </c>
      <c r="AC213" s="418">
        <v>1</v>
      </c>
      <c r="AD213" s="418">
        <v>7</v>
      </c>
      <c r="AE213" s="416">
        <f t="shared" si="45"/>
      </c>
      <c r="AF213" s="356" t="s">
        <v>253</v>
      </c>
      <c r="AG213" s="357" t="s">
        <v>250</v>
      </c>
      <c r="AH213" s="420">
        <v>24</v>
      </c>
    </row>
    <row r="214">
      <c r="A214" s="397"/>
      <c r="B214" s="427" t="s">
        <v>240</v>
      </c>
      <c r="C214" s="427"/>
      <c r="D214" s="428">
        <f>SUM(D210:D213)</f>
      </c>
      <c r="E214" s="429"/>
      <c r="F214" s="429">
        <f>SUM(F210:F213)</f>
      </c>
      <c r="G214" s="429">
        <f>SUM(G210:G213)</f>
      </c>
      <c r="H214" s="428">
        <f>SUM(H210:H213)</f>
      </c>
      <c r="I214" s="430">
        <f t="shared" si="201"/>
      </c>
      <c r="J214" s="430">
        <f t="shared" si="261"/>
      </c>
      <c r="K214" s="430">
        <f t="shared" si="321"/>
      </c>
      <c r="L214" s="430"/>
      <c r="M214" s="430">
        <f t="shared" si="15"/>
      </c>
      <c r="N214" s="430">
        <f t="shared" si="81"/>
      </c>
      <c r="O214" s="431">
        <f t="shared" si="111"/>
      </c>
      <c r="P214" s="431">
        <f t="shared" si="141"/>
      </c>
      <c r="Q214" s="431">
        <f t="shared" si="171"/>
      </c>
      <c r="R214" s="431">
        <f t="shared" si="231"/>
      </c>
      <c r="S214" s="432">
        <f t="shared" si="291"/>
      </c>
      <c r="T214" s="431">
        <f>AVERAGE(T210:T213)</f>
      </c>
      <c r="U214" s="428">
        <f>AVERAGE(U210:U213)</f>
      </c>
      <c r="V214" s="430">
        <f t="shared" si="351"/>
      </c>
      <c r="W214" s="432">
        <f>SUM(W210:W213)</f>
      </c>
      <c r="X214" s="432">
        <f>SUM(X210:X213)</f>
      </c>
      <c r="Y214" s="432">
        <f>SUM(Y210:Y213)</f>
      </c>
      <c r="Z214" s="432">
        <f>SUM(Z210:Z213)</f>
      </c>
      <c r="AA214" s="432">
        <f>SUM(AA210:AA213)</f>
      </c>
      <c r="AB214" s="432">
        <f>SUM(AB210:AB213)</f>
      </c>
      <c r="AC214" s="432">
        <f>SUM(AC210:AC213)</f>
      </c>
      <c r="AD214" s="432">
        <f>SUM(AD210:AD213)</f>
      </c>
      <c r="AE214" s="433">
        <f t="shared" si="45"/>
      </c>
      <c r="AF214" s="434"/>
      <c r="AG214" s="434"/>
      <c r="AH214" s="435">
        <f>SUM(AH210:AH213)</f>
      </c>
    </row>
    <row r="215">
      <c r="A215" s="397"/>
      <c r="B215" s="375" t="s">
        <v>249</v>
      </c>
      <c r="C215" s="411" t="s">
        <v>243</v>
      </c>
      <c r="D215" s="349">
        <v>2481.25</v>
      </c>
      <c r="E215" s="350"/>
      <c r="F215" s="350">
        <v>5</v>
      </c>
      <c r="G215" s="350">
        <v>4</v>
      </c>
      <c r="H215" s="349">
        <v>3216.4000000000015</v>
      </c>
      <c r="I215" s="351">
        <f t="shared" si="201"/>
      </c>
      <c r="J215" s="351">
        <f t="shared" si="261"/>
      </c>
      <c r="K215" s="351">
        <f t="shared" si="321"/>
      </c>
      <c r="L215" s="351"/>
      <c r="M215" s="351">
        <f t="shared" si="15"/>
      </c>
      <c r="N215" s="351">
        <f t="shared" si="81"/>
      </c>
      <c r="O215" s="352">
        <f t="shared" si="111"/>
      </c>
      <c r="P215" s="352">
        <f t="shared" si="141"/>
      </c>
      <c r="Q215" s="352">
        <f t="shared" si="171"/>
      </c>
      <c r="R215" s="352">
        <f t="shared" si="231"/>
      </c>
      <c r="S215" s="353">
        <f t="shared" si="291"/>
      </c>
      <c r="T215" s="354">
        <v>0.0371</v>
      </c>
      <c r="U215" s="355">
        <v>51</v>
      </c>
      <c r="V215" s="351">
        <f t="shared" si="351"/>
      </c>
      <c r="W215" s="355">
        <v>13832</v>
      </c>
      <c r="X215" s="355">
        <v>599</v>
      </c>
      <c r="Y215" s="353">
        <v>81</v>
      </c>
      <c r="Z215" s="353">
        <v>685</v>
      </c>
      <c r="AA215" s="353">
        <v>72</v>
      </c>
      <c r="AB215" s="353">
        <v>6</v>
      </c>
      <c r="AC215" s="355">
        <v>0</v>
      </c>
      <c r="AD215" s="355">
        <v>20</v>
      </c>
      <c r="AE215" s="351">
        <f t="shared" si="45"/>
      </c>
      <c r="AF215" s="356" t="s">
        <v>234</v>
      </c>
      <c r="AG215" s="357" t="s">
        <v>250</v>
      </c>
      <c r="AH215" s="355">
        <v>16</v>
      </c>
    </row>
    <row r="216">
      <c r="A216" s="397"/>
      <c r="B216" s="375" t="s">
        <v>249</v>
      </c>
      <c r="C216" s="422" t="s">
        <v>244</v>
      </c>
      <c r="D216" s="349">
        <v>2000.92</v>
      </c>
      <c r="E216" s="350"/>
      <c r="F216" s="350">
        <v>2</v>
      </c>
      <c r="G216" s="350">
        <v>2</v>
      </c>
      <c r="H216" s="349">
        <v>1307.8999999999978</v>
      </c>
      <c r="I216" s="351">
        <f t="shared" si="201"/>
      </c>
      <c r="J216" s="351">
        <f t="shared" si="261"/>
      </c>
      <c r="K216" s="351">
        <f t="shared" si="321"/>
      </c>
      <c r="L216" s="351"/>
      <c r="M216" s="351">
        <f t="shared" si="15"/>
      </c>
      <c r="N216" s="351">
        <f t="shared" si="81"/>
      </c>
      <c r="O216" s="352">
        <f t="shared" si="111"/>
      </c>
      <c r="P216" s="352">
        <f t="shared" si="141"/>
      </c>
      <c r="Q216" s="352">
        <f t="shared" si="171"/>
      </c>
      <c r="R216" s="352">
        <f t="shared" si="231"/>
      </c>
      <c r="S216" s="353">
        <f t="shared" si="291"/>
      </c>
      <c r="T216" s="354">
        <v>0.0201</v>
      </c>
      <c r="U216" s="355">
        <v>51</v>
      </c>
      <c r="V216" s="351">
        <f t="shared" si="351"/>
      </c>
      <c r="W216" s="353">
        <v>13656</v>
      </c>
      <c r="X216" s="353">
        <v>677</v>
      </c>
      <c r="Y216" s="353">
        <v>62</v>
      </c>
      <c r="Z216" s="353">
        <v>779</v>
      </c>
      <c r="AA216" s="353">
        <v>124</v>
      </c>
      <c r="AB216" s="353">
        <v>8</v>
      </c>
      <c r="AC216" s="353">
        <v>2</v>
      </c>
      <c r="AD216" s="355">
        <v>9</v>
      </c>
      <c r="AE216" s="351">
        <f t="shared" si="45"/>
      </c>
      <c r="AF216" s="356" t="s">
        <v>234</v>
      </c>
      <c r="AG216" s="357" t="s">
        <v>250</v>
      </c>
      <c r="AH216" s="355">
        <v>31</v>
      </c>
    </row>
    <row r="217">
      <c r="A217" s="397"/>
      <c r="B217" s="375" t="s">
        <v>249</v>
      </c>
      <c r="C217" s="411" t="s">
        <v>245</v>
      </c>
      <c r="D217" s="349">
        <v>1449.01</v>
      </c>
      <c r="E217" s="350"/>
      <c r="F217" s="350">
        <v>3</v>
      </c>
      <c r="G217" s="350">
        <v>3</v>
      </c>
      <c r="H217" s="349">
        <v>2769.25</v>
      </c>
      <c r="I217" s="351">
        <f t="shared" si="201"/>
      </c>
      <c r="J217" s="351">
        <f t="shared" si="261"/>
      </c>
      <c r="K217" s="351">
        <f t="shared" si="321"/>
      </c>
      <c r="L217" s="351"/>
      <c r="M217" s="351">
        <f t="shared" si="15"/>
      </c>
      <c r="N217" s="351">
        <f t="shared" si="81"/>
      </c>
      <c r="O217" s="352">
        <f t="shared" si="111"/>
      </c>
      <c r="P217" s="352">
        <f t="shared" si="141"/>
      </c>
      <c r="Q217" s="352">
        <f t="shared" si="171"/>
      </c>
      <c r="R217" s="352">
        <f t="shared" si="231"/>
      </c>
      <c r="S217" s="353">
        <f t="shared" si="291"/>
      </c>
      <c r="T217" s="354">
        <v>0.0164</v>
      </c>
      <c r="U217" s="355">
        <v>50</v>
      </c>
      <c r="V217" s="351">
        <f t="shared" si="351"/>
      </c>
      <c r="W217" s="355">
        <v>10849</v>
      </c>
      <c r="X217" s="355">
        <v>590</v>
      </c>
      <c r="Y217" s="355">
        <v>49</v>
      </c>
      <c r="Z217" s="355">
        <v>696</v>
      </c>
      <c r="AA217" s="355">
        <v>47</v>
      </c>
      <c r="AB217" s="355">
        <v>8</v>
      </c>
      <c r="AC217" s="355">
        <v>1</v>
      </c>
      <c r="AD217" s="355">
        <v>9</v>
      </c>
      <c r="AE217" s="351">
        <f t="shared" si="45"/>
      </c>
      <c r="AF217" s="356" t="s">
        <v>234</v>
      </c>
      <c r="AG217" s="357" t="s">
        <v>250</v>
      </c>
      <c r="AH217" s="355">
        <v>15</v>
      </c>
    </row>
    <row r="218">
      <c r="A218" s="397"/>
      <c r="B218" s="375" t="s">
        <v>249</v>
      </c>
      <c r="C218" s="411" t="s">
        <v>233</v>
      </c>
      <c r="D218" s="349">
        <v>735.43</v>
      </c>
      <c r="E218" s="350"/>
      <c r="F218" s="350">
        <v>5</v>
      </c>
      <c r="G218" s="350">
        <v>5</v>
      </c>
      <c r="H218" s="349">
        <v>3500.75</v>
      </c>
      <c r="I218" s="351">
        <f t="shared" si="201"/>
      </c>
      <c r="J218" s="351">
        <f t="shared" si="261"/>
      </c>
      <c r="K218" s="351">
        <f t="shared" si="321"/>
      </c>
      <c r="L218" s="351"/>
      <c r="M218" s="351">
        <f t="shared" si="15"/>
      </c>
      <c r="N218" s="351">
        <f t="shared" si="81"/>
      </c>
      <c r="O218" s="352">
        <f t="shared" si="111"/>
      </c>
      <c r="P218" s="352">
        <f t="shared" si="141"/>
      </c>
      <c r="Q218" s="352">
        <f t="shared" si="171"/>
      </c>
      <c r="R218" s="352">
        <f t="shared" si="231"/>
      </c>
      <c r="S218" s="353">
        <f t="shared" si="291"/>
      </c>
      <c r="T218" s="354">
        <v>0.0209</v>
      </c>
      <c r="U218" s="355">
        <v>50</v>
      </c>
      <c r="V218" s="351">
        <f t="shared" si="351"/>
      </c>
      <c r="W218" s="355">
        <v>5468</v>
      </c>
      <c r="X218" s="355">
        <v>296</v>
      </c>
      <c r="Y218" s="353">
        <v>26</v>
      </c>
      <c r="Z218" s="353">
        <v>354</v>
      </c>
      <c r="AA218" s="353">
        <v>41</v>
      </c>
      <c r="AB218" s="353">
        <v>1</v>
      </c>
      <c r="AC218" s="355">
        <v>0</v>
      </c>
      <c r="AD218" s="355">
        <v>10</v>
      </c>
      <c r="AE218" s="351">
        <f t="shared" si="45"/>
      </c>
      <c r="AF218" s="356" t="s">
        <v>234</v>
      </c>
      <c r="AG218" s="357" t="s">
        <v>250</v>
      </c>
      <c r="AH218" s="355">
        <v>8</v>
      </c>
    </row>
    <row r="219">
      <c r="A219" s="397"/>
      <c r="B219" s="360" t="s">
        <v>240</v>
      </c>
      <c r="C219" s="360"/>
      <c r="D219" s="405">
        <f>SUM(D215:D218)</f>
      </c>
      <c r="E219" s="440"/>
      <c r="F219" s="440">
        <f>SUM(F215:F218)</f>
      </c>
      <c r="G219" s="440">
        <f>SUM(G215:G218)</f>
      </c>
      <c r="H219" s="405">
        <f>SUM(H215:H218)</f>
      </c>
      <c r="I219" s="363">
        <f t="shared" si="201"/>
      </c>
      <c r="J219" s="363">
        <f t="shared" si="261"/>
      </c>
      <c r="K219" s="363">
        <f t="shared" si="321"/>
      </c>
      <c r="L219" s="363"/>
      <c r="M219" s="363">
        <f t="shared" si="15"/>
      </c>
      <c r="N219" s="363">
        <f t="shared" si="81"/>
      </c>
      <c r="O219" s="364">
        <f t="shared" si="111"/>
      </c>
      <c r="P219" s="364">
        <f t="shared" si="141"/>
      </c>
      <c r="Q219" s="364">
        <f t="shared" si="171"/>
      </c>
      <c r="R219" s="364">
        <f t="shared" si="231"/>
      </c>
      <c r="S219" s="365">
        <f t="shared" si="291"/>
      </c>
      <c r="T219" s="364">
        <f>AVERAGE(T215:T218)</f>
      </c>
      <c r="U219" s="361">
        <f>AVERAGE(U215:U218)</f>
      </c>
      <c r="V219" s="363">
        <f t="shared" si="351"/>
      </c>
      <c r="W219" s="365">
        <f>SUM(W215:W218)</f>
      </c>
      <c r="X219" s="365">
        <f>SUM(X215:X218)</f>
      </c>
      <c r="Y219" s="365">
        <f>SUM(Y215:Y218)</f>
      </c>
      <c r="Z219" s="365">
        <f>SUM(Z215:Z218)</f>
      </c>
      <c r="AA219" s="365">
        <f>SUM(AA215:AA218)</f>
      </c>
      <c r="AB219" s="365">
        <f>SUM(AB215:AB218)</f>
      </c>
      <c r="AC219" s="365">
        <f>SUM(AC215:AC218)</f>
      </c>
      <c r="AD219" s="365">
        <f>SUM(AD215:AD218)</f>
      </c>
      <c r="AE219" s="366">
        <f t="shared" si="45"/>
      </c>
      <c r="AF219" s="367"/>
      <c r="AG219" s="367"/>
      <c r="AH219" s="365">
        <f>SUM(AH215:AH218)</f>
      </c>
    </row>
    <row r="220">
      <c r="A220" s="397"/>
      <c r="B220" s="369" t="s">
        <v>241</v>
      </c>
      <c r="C220" s="369"/>
      <c r="D220" s="441">
        <f>D209+D219+D214</f>
      </c>
      <c r="E220" s="370"/>
      <c r="F220" s="370">
        <f>F209+F219+F214</f>
      </c>
      <c r="G220" s="370">
        <f>G209+G219+G214</f>
      </c>
      <c r="H220" s="370">
        <f>H209+H219+H214</f>
      </c>
      <c r="I220" s="442">
        <f t="shared" si="201"/>
      </c>
      <c r="J220" s="372">
        <f t="shared" si="261"/>
      </c>
      <c r="K220" s="372">
        <f t="shared" si="321"/>
      </c>
      <c r="L220" s="372"/>
      <c r="M220" s="372">
        <f t="shared" si="15"/>
      </c>
      <c r="N220" s="372">
        <f t="shared" si="81"/>
      </c>
      <c r="O220" s="373">
        <f t="shared" si="111"/>
      </c>
      <c r="P220" s="373">
        <f t="shared" si="141"/>
      </c>
      <c r="Q220" s="373">
        <f t="shared" si="171"/>
      </c>
      <c r="R220" s="373">
        <f t="shared" si="231"/>
      </c>
      <c r="S220" s="374">
        <f t="shared" si="291"/>
      </c>
      <c r="T220" s="373">
        <f>(T209+T219+T214)/3</f>
      </c>
      <c r="U220" s="373">
        <f>(U209+U219+U214)/3</f>
      </c>
      <c r="V220" s="370">
        <f t="shared" si="351"/>
      </c>
      <c r="W220" s="374">
        <f>W209+W219+W214</f>
      </c>
      <c r="X220" s="374">
        <f>X209+X219+X214</f>
      </c>
      <c r="Y220" s="374">
        <f>Y209+Y219+Y214</f>
      </c>
      <c r="Z220" s="374">
        <f>Z209+Z219+Z214</f>
      </c>
      <c r="AA220" s="374">
        <f>AA209+AA219+AA214</f>
      </c>
      <c r="AB220" s="374">
        <f>AB209+AB219+AB214</f>
      </c>
      <c r="AC220" s="374">
        <f>AC209+AC219+AC214</f>
      </c>
      <c r="AD220" s="374">
        <f>AD209+AD219+AD214</f>
      </c>
      <c r="AE220" s="372">
        <f>AE209</f>
      </c>
      <c r="AF220" s="369"/>
      <c r="AG220" s="369"/>
      <c r="AH220" s="374">
        <f>AH209+AH219+AH214</f>
      </c>
    </row>
    <row r="221">
      <c r="A221" s="380" t="s">
        <v>197</v>
      </c>
      <c r="B221" s="396" t="s">
        <v>198</v>
      </c>
      <c r="C221" s="396"/>
      <c r="D221" s="381" t="s">
        <v>199</v>
      </c>
      <c r="E221" s="381"/>
      <c r="F221" s="381"/>
      <c r="G221" s="381"/>
      <c r="H221" s="381"/>
      <c r="I221" s="381"/>
      <c r="J221" s="381"/>
      <c r="K221" s="381"/>
      <c r="L221" s="381"/>
      <c r="M221" s="381"/>
      <c r="N221" s="382" t="s">
        <v>200</v>
      </c>
      <c r="O221" s="382"/>
      <c r="P221" s="382"/>
      <c r="Q221" s="382"/>
      <c r="R221" s="382"/>
      <c r="S221" s="382"/>
      <c r="T221" s="382"/>
      <c r="U221" s="382"/>
      <c r="V221" s="382"/>
      <c r="W221" s="382"/>
      <c r="X221" s="382"/>
      <c r="Y221" s="382"/>
      <c r="Z221" s="382"/>
      <c r="AA221" s="382"/>
      <c r="AB221" s="382"/>
      <c r="AC221" s="382"/>
      <c r="AD221" s="382"/>
      <c r="AE221" s="382"/>
      <c r="AF221" s="382"/>
      <c r="AG221" s="382"/>
      <c r="AH221" s="340"/>
    </row>
    <row r="222">
      <c r="A222" s="380"/>
      <c r="B222" s="396" t="s">
        <v>201</v>
      </c>
      <c r="C222" s="398" t="s">
        <v>202</v>
      </c>
      <c r="D222" s="399" t="s">
        <v>203</v>
      </c>
      <c r="E222" s="391"/>
      <c r="F222" s="391" t="s">
        <v>204</v>
      </c>
      <c r="G222" s="391" t="s">
        <v>205</v>
      </c>
      <c r="H222" s="399" t="s">
        <v>206</v>
      </c>
      <c r="I222" s="384" t="s">
        <v>207</v>
      </c>
      <c r="J222" s="384" t="s">
        <v>208</v>
      </c>
      <c r="K222" s="384" t="s">
        <v>209</v>
      </c>
      <c r="L222" s="384"/>
      <c r="M222" s="384" t="s">
        <v>210</v>
      </c>
      <c r="N222" s="385" t="s">
        <v>211</v>
      </c>
      <c r="O222" s="386" t="s">
        <v>212</v>
      </c>
      <c r="P222" s="386" t="s">
        <v>213</v>
      </c>
      <c r="Q222" s="386" t="s">
        <v>214</v>
      </c>
      <c r="R222" s="386" t="s">
        <v>215</v>
      </c>
      <c r="S222" s="387" t="s">
        <v>216</v>
      </c>
      <c r="T222" s="392" t="s">
        <v>217</v>
      </c>
      <c r="U222" s="393" t="s">
        <v>218</v>
      </c>
      <c r="V222" s="382" t="s">
        <v>219</v>
      </c>
      <c r="W222" s="394" t="s">
        <v>220</v>
      </c>
      <c r="X222" s="394" t="s">
        <v>221</v>
      </c>
      <c r="Y222" s="394" t="s">
        <v>222</v>
      </c>
      <c r="Z222" s="394" t="s">
        <v>223</v>
      </c>
      <c r="AA222" s="394" t="s">
        <v>224</v>
      </c>
      <c r="AB222" s="394" t="s">
        <v>225</v>
      </c>
      <c r="AC222" s="394" t="s">
        <v>226</v>
      </c>
      <c r="AD222" s="394" t="s">
        <v>227</v>
      </c>
      <c r="AE222" s="382" t="s">
        <v>228</v>
      </c>
      <c r="AF222" s="389" t="s">
        <v>229</v>
      </c>
      <c r="AG222" s="389" t="s">
        <v>230</v>
      </c>
      <c r="AH222" s="340" t="s">
        <v>231</v>
      </c>
    </row>
    <row r="223">
      <c r="A223" s="397">
        <v>46160</v>
      </c>
      <c r="B223" s="400" t="s">
        <v>248</v>
      </c>
      <c r="C223" s="400" t="s">
        <v>252</v>
      </c>
      <c r="D223" s="349">
        <v>2034.59</v>
      </c>
      <c r="E223" s="350"/>
      <c r="F223" s="350">
        <v>4</v>
      </c>
      <c r="G223" s="350">
        <v>3</v>
      </c>
      <c r="H223" s="349">
        <v>2836.9</v>
      </c>
      <c r="I223" s="436">
        <f t="shared" ref="I223:I238" si="202">H223/D223</f>
      </c>
      <c r="J223" s="351">
        <f t="shared" ref="J223:J238" si="262">D223/F223</f>
      </c>
      <c r="K223" s="351">
        <f t="shared" ref="K223:K238" si="322">D223/G223</f>
      </c>
      <c r="L223" s="351"/>
      <c r="M223" s="351">
        <f t="shared" ref="M223:M238" si="16">H223/F223</f>
      </c>
      <c r="N223" s="351">
        <f t="shared" ref="N223:N238" si="82">D223/X223</f>
      </c>
      <c r="O223" s="352">
        <f t="shared" ref="O223:O238" si="112">S223/W223*1</f>
      </c>
      <c r="P223" s="352">
        <f t="shared" ref="P223:P238" si="142">X223/W223</f>
      </c>
      <c r="Q223" s="352">
        <f t="shared" ref="Q223:Q238" si="172">Z223/W223</f>
      </c>
      <c r="R223" s="352">
        <f t="shared" ref="R223:R238" si="232">AA223/Z223</f>
      </c>
      <c r="S223" s="353">
        <f t="shared" ref="S223:S238" si="292">Y223/T223</f>
      </c>
      <c r="T223" s="354">
        <v>0.0181</v>
      </c>
      <c r="U223" s="355">
        <v>41</v>
      </c>
      <c r="V223" s="351">
        <f t="shared" ref="V223:V238" si="352">(D223/W223)*1000</f>
      </c>
      <c r="W223" s="355">
        <v>10068</v>
      </c>
      <c r="X223" s="355">
        <v>518</v>
      </c>
      <c r="Y223" s="353">
        <v>55</v>
      </c>
      <c r="Z223" s="353">
        <v>634</v>
      </c>
      <c r="AA223" s="353">
        <v>58</v>
      </c>
      <c r="AB223" s="353">
        <v>10</v>
      </c>
      <c r="AC223" s="353">
        <v>1</v>
      </c>
      <c r="AD223" s="355">
        <v>5</v>
      </c>
      <c r="AE223" s="351">
        <f t="shared" ref="AE223:AE237" si="46">AH223*1000/D223</f>
      </c>
      <c r="AF223" s="356" t="s">
        <v>253</v>
      </c>
      <c r="AG223" s="357" t="s">
        <v>250</v>
      </c>
      <c r="AH223" s="355">
        <v>22</v>
      </c>
    </row>
    <row r="224">
      <c r="A224" s="397"/>
      <c r="B224" s="348" t="s">
        <v>248</v>
      </c>
      <c r="C224" s="437" t="s">
        <v>255</v>
      </c>
      <c r="D224" s="349">
        <v>2178.63</v>
      </c>
      <c r="E224" s="350"/>
      <c r="F224" s="350">
        <v>1</v>
      </c>
      <c r="G224" s="350">
        <v>1</v>
      </c>
      <c r="H224" s="349">
        <v>451</v>
      </c>
      <c r="I224" s="436">
        <f t="shared" si="202"/>
      </c>
      <c r="J224" s="351">
        <f t="shared" si="262"/>
      </c>
      <c r="K224" s="351">
        <f t="shared" si="322"/>
      </c>
      <c r="L224" s="351"/>
      <c r="M224" s="351">
        <f t="shared" si="16"/>
      </c>
      <c r="N224" s="351">
        <f t="shared" si="82"/>
      </c>
      <c r="O224" s="352">
        <f t="shared" si="112"/>
      </c>
      <c r="P224" s="352">
        <f t="shared" si="142"/>
      </c>
      <c r="Q224" s="352">
        <f t="shared" si="172"/>
      </c>
      <c r="R224" s="352">
        <f t="shared" si="232"/>
      </c>
      <c r="S224" s="353">
        <f t="shared" si="292"/>
      </c>
      <c r="T224" s="354">
        <v>0.0241</v>
      </c>
      <c r="U224" s="355">
        <v>39</v>
      </c>
      <c r="V224" s="351">
        <f t="shared" si="352"/>
      </c>
      <c r="W224" s="355">
        <v>11602</v>
      </c>
      <c r="X224" s="355">
        <v>503</v>
      </c>
      <c r="Y224" s="353">
        <v>49</v>
      </c>
      <c r="Z224" s="353">
        <v>629</v>
      </c>
      <c r="AA224" s="355">
        <v>47</v>
      </c>
      <c r="AB224" s="353">
        <v>6</v>
      </c>
      <c r="AC224" s="355">
        <v>1</v>
      </c>
      <c r="AD224" s="355">
        <v>4</v>
      </c>
      <c r="AE224" s="351">
        <f t="shared" si="46"/>
      </c>
      <c r="AF224" s="356" t="s">
        <v>253</v>
      </c>
      <c r="AG224" s="357" t="s">
        <v>250</v>
      </c>
      <c r="AH224" s="355">
        <v>22</v>
      </c>
    </row>
    <row r="225">
      <c r="A225" s="397"/>
      <c r="B225" s="348" t="s">
        <v>248</v>
      </c>
      <c r="C225" s="400" t="s">
        <v>256</v>
      </c>
      <c r="D225" s="349">
        <v>1660.97</v>
      </c>
      <c r="E225" s="350"/>
      <c r="F225" s="350">
        <v>2</v>
      </c>
      <c r="G225" s="350">
        <v>2</v>
      </c>
      <c r="H225" s="349">
        <v>1231.9999999999995</v>
      </c>
      <c r="I225" s="436">
        <f t="shared" si="202"/>
      </c>
      <c r="J225" s="351">
        <f t="shared" si="262"/>
      </c>
      <c r="K225" s="351">
        <f t="shared" si="322"/>
      </c>
      <c r="L225" s="351"/>
      <c r="M225" s="351">
        <f t="shared" si="16"/>
      </c>
      <c r="N225" s="351">
        <f t="shared" si="82"/>
      </c>
      <c r="O225" s="352">
        <f t="shared" si="112"/>
      </c>
      <c r="P225" s="352">
        <f t="shared" si="142"/>
      </c>
      <c r="Q225" s="352">
        <f t="shared" si="172"/>
      </c>
      <c r="R225" s="352">
        <f t="shared" si="232"/>
      </c>
      <c r="S225" s="353">
        <f t="shared" si="292"/>
      </c>
      <c r="T225" s="354">
        <v>0.0195</v>
      </c>
      <c r="U225" s="355">
        <v>40</v>
      </c>
      <c r="V225" s="351">
        <f t="shared" si="352"/>
      </c>
      <c r="W225" s="355">
        <v>9985</v>
      </c>
      <c r="X225" s="355">
        <v>496</v>
      </c>
      <c r="Y225" s="355">
        <v>41</v>
      </c>
      <c r="Z225" s="355">
        <v>550</v>
      </c>
      <c r="AA225" s="355">
        <v>32</v>
      </c>
      <c r="AB225" s="355">
        <v>4</v>
      </c>
      <c r="AC225" s="355">
        <v>0</v>
      </c>
      <c r="AD225" s="355">
        <v>9</v>
      </c>
      <c r="AE225" s="351">
        <f t="shared" si="46"/>
      </c>
      <c r="AF225" s="356" t="s">
        <v>253</v>
      </c>
      <c r="AG225" s="357" t="s">
        <v>250</v>
      </c>
      <c r="AH225" s="355">
        <v>19</v>
      </c>
    </row>
    <row r="226">
      <c r="A226" s="397"/>
      <c r="B226" s="348" t="s">
        <v>248</v>
      </c>
      <c r="C226" s="348" t="s">
        <v>257</v>
      </c>
      <c r="D226" s="438">
        <v>974.84</v>
      </c>
      <c r="E226" s="379"/>
      <c r="F226" s="379">
        <v>1</v>
      </c>
      <c r="G226" s="379">
        <v>1</v>
      </c>
      <c r="H226" s="438">
        <v>451</v>
      </c>
      <c r="I226" s="351">
        <f t="shared" si="202"/>
      </c>
      <c r="J226" s="351">
        <f t="shared" si="262"/>
      </c>
      <c r="K226" s="351">
        <f t="shared" si="322"/>
      </c>
      <c r="L226" s="351"/>
      <c r="M226" s="351">
        <f t="shared" si="16"/>
      </c>
      <c r="N226" s="351">
        <f t="shared" si="82"/>
      </c>
      <c r="O226" s="352">
        <f t="shared" si="112"/>
      </c>
      <c r="P226" s="352">
        <f t="shared" si="142"/>
      </c>
      <c r="Q226" s="352">
        <f t="shared" si="172"/>
      </c>
      <c r="R226" s="352">
        <f t="shared" si="232"/>
      </c>
      <c r="S226" s="353">
        <f t="shared" si="292"/>
      </c>
      <c r="T226" s="354">
        <v>0.0132</v>
      </c>
      <c r="U226" s="355">
        <v>38</v>
      </c>
      <c r="V226" s="351">
        <f t="shared" si="352"/>
      </c>
      <c r="W226" s="353">
        <v>5702</v>
      </c>
      <c r="X226" s="353">
        <v>443</v>
      </c>
      <c r="Y226" s="353">
        <v>25</v>
      </c>
      <c r="Z226" s="353">
        <v>523</v>
      </c>
      <c r="AA226" s="353">
        <v>47</v>
      </c>
      <c r="AB226" s="353">
        <v>1</v>
      </c>
      <c r="AC226" s="353">
        <v>1</v>
      </c>
      <c r="AD226" s="353">
        <v>2</v>
      </c>
      <c r="AE226" s="351">
        <f t="shared" si="46"/>
      </c>
      <c r="AF226" s="356" t="s">
        <v>253</v>
      </c>
      <c r="AG226" s="357" t="s">
        <v>250</v>
      </c>
      <c r="AH226" s="355">
        <v>16</v>
      </c>
    </row>
    <row r="227">
      <c r="A227" s="397"/>
      <c r="B227" s="360" t="s">
        <v>240</v>
      </c>
      <c r="C227" s="360"/>
      <c r="D227" s="361">
        <f>SUM(D223:D226)</f>
      </c>
      <c r="E227" s="362"/>
      <c r="F227" s="362">
        <f>SUM(F223:F226)</f>
      </c>
      <c r="G227" s="362">
        <f>SUM(G223:G226)</f>
      </c>
      <c r="H227" s="361">
        <f>SUM(H223:H226)</f>
      </c>
      <c r="I227" s="363">
        <f t="shared" si="202"/>
      </c>
      <c r="J227" s="363">
        <f t="shared" si="262"/>
      </c>
      <c r="K227" s="363">
        <f t="shared" si="322"/>
      </c>
      <c r="L227" s="363"/>
      <c r="M227" s="363">
        <f t="shared" si="16"/>
      </c>
      <c r="N227" s="363">
        <f t="shared" si="82"/>
      </c>
      <c r="O227" s="364">
        <f t="shared" si="112"/>
      </c>
      <c r="P227" s="364">
        <f t="shared" si="142"/>
      </c>
      <c r="Q227" s="364">
        <f t="shared" si="172"/>
      </c>
      <c r="R227" s="364">
        <f t="shared" si="232"/>
      </c>
      <c r="S227" s="365">
        <f t="shared" si="292"/>
      </c>
      <c r="T227" s="364">
        <f>AVERAGE(T223:T226)</f>
      </c>
      <c r="U227" s="361">
        <f>AVERAGE(U223:U226)</f>
      </c>
      <c r="V227" s="363">
        <f t="shared" si="352"/>
      </c>
      <c r="W227" s="365">
        <f>SUM(W223:W226)</f>
      </c>
      <c r="X227" s="365">
        <f>SUM(X223:X226)</f>
      </c>
      <c r="Y227" s="365">
        <f>SUM(Y223:Y226)</f>
      </c>
      <c r="Z227" s="365">
        <f>SUM(Z223:Z226)</f>
      </c>
      <c r="AA227" s="365">
        <f>SUM(AA223:AA226)</f>
      </c>
      <c r="AB227" s="365">
        <f>SUM(AB223:AB226)</f>
      </c>
      <c r="AC227" s="365">
        <f>SUM(AC223:AC226)</f>
      </c>
      <c r="AD227" s="365">
        <f>SUM(AD223:AD226)</f>
      </c>
      <c r="AE227" s="366">
        <f t="shared" si="46"/>
      </c>
      <c r="AF227" s="367"/>
      <c r="AG227" s="367"/>
      <c r="AH227" s="368">
        <f>SUM(AH223:AH226)</f>
      </c>
    </row>
    <row r="228">
      <c r="A228" s="397"/>
      <c r="B228" s="410" t="s">
        <v>246</v>
      </c>
      <c r="C228" s="411" t="s">
        <v>258</v>
      </c>
      <c r="D228" s="426">
        <v>1205.88</v>
      </c>
      <c r="E228" s="413"/>
      <c r="F228" s="413">
        <v>3</v>
      </c>
      <c r="G228" s="414">
        <v>3</v>
      </c>
      <c r="H228" s="415">
        <v>1643.9500000000007</v>
      </c>
      <c r="I228" s="416">
        <f t="shared" si="202"/>
      </c>
      <c r="J228" s="416">
        <f t="shared" si="262"/>
      </c>
      <c r="K228" s="416">
        <f t="shared" si="322"/>
      </c>
      <c r="L228" s="416"/>
      <c r="M228" s="416">
        <f t="shared" si="16"/>
      </c>
      <c r="N228" s="416">
        <f t="shared" si="82"/>
      </c>
      <c r="O228" s="417">
        <f t="shared" si="112"/>
      </c>
      <c r="P228" s="417">
        <f t="shared" si="142"/>
      </c>
      <c r="Q228" s="417">
        <f t="shared" si="172"/>
      </c>
      <c r="R228" s="417">
        <f t="shared" si="232"/>
      </c>
      <c r="S228" s="418">
        <f t="shared" si="292"/>
      </c>
      <c r="T228" s="419">
        <v>0.0199</v>
      </c>
      <c r="U228" s="420">
        <v>38</v>
      </c>
      <c r="V228" s="416">
        <f t="shared" si="352"/>
      </c>
      <c r="W228" s="418">
        <v>7696</v>
      </c>
      <c r="X228" s="418">
        <v>575</v>
      </c>
      <c r="Y228" s="418">
        <v>49</v>
      </c>
      <c r="Z228" s="418">
        <v>685</v>
      </c>
      <c r="AA228" s="418">
        <v>48</v>
      </c>
      <c r="AB228" s="418">
        <v>8</v>
      </c>
      <c r="AC228" s="418">
        <v>0</v>
      </c>
      <c r="AD228" s="418">
        <v>6</v>
      </c>
      <c r="AE228" s="416">
        <f t="shared" si="46"/>
      </c>
      <c r="AF228" s="356" t="s">
        <v>253</v>
      </c>
      <c r="AG228" s="357" t="s">
        <v>250</v>
      </c>
      <c r="AH228" s="420">
        <v>17</v>
      </c>
    </row>
    <row r="229">
      <c r="A229" s="397"/>
      <c r="B229" s="410" t="s">
        <v>246</v>
      </c>
      <c r="C229" s="422" t="s">
        <v>260</v>
      </c>
      <c r="D229" s="439">
        <v>1208.09</v>
      </c>
      <c r="E229" s="424"/>
      <c r="F229" s="424">
        <v>2</v>
      </c>
      <c r="G229" s="424">
        <v>2</v>
      </c>
      <c r="H229" s="415">
        <v>2262.699999999999</v>
      </c>
      <c r="I229" s="416">
        <f t="shared" si="202"/>
      </c>
      <c r="J229" s="416">
        <f t="shared" si="262"/>
      </c>
      <c r="K229" s="416">
        <f t="shared" si="322"/>
      </c>
      <c r="L229" s="416"/>
      <c r="M229" s="416">
        <f t="shared" si="16"/>
      </c>
      <c r="N229" s="416">
        <f t="shared" si="82"/>
      </c>
      <c r="O229" s="417">
        <f t="shared" si="112"/>
      </c>
      <c r="P229" s="417">
        <f t="shared" si="142"/>
      </c>
      <c r="Q229" s="417">
        <f t="shared" si="172"/>
      </c>
      <c r="R229" s="417">
        <f t="shared" si="232"/>
      </c>
      <c r="S229" s="418">
        <f t="shared" si="292"/>
      </c>
      <c r="T229" s="419">
        <v>0.026</v>
      </c>
      <c r="U229" s="420">
        <v>38</v>
      </c>
      <c r="V229" s="416">
        <f t="shared" si="352"/>
      </c>
      <c r="W229" s="418">
        <v>7792</v>
      </c>
      <c r="X229" s="418">
        <v>542</v>
      </c>
      <c r="Y229" s="418">
        <v>56</v>
      </c>
      <c r="Z229" s="418">
        <v>638</v>
      </c>
      <c r="AA229" s="418">
        <v>50</v>
      </c>
      <c r="AB229" s="418">
        <v>4</v>
      </c>
      <c r="AC229" s="418">
        <v>1</v>
      </c>
      <c r="AD229" s="418">
        <v>7</v>
      </c>
      <c r="AE229" s="416">
        <f t="shared" si="46"/>
      </c>
      <c r="AF229" s="356" t="s">
        <v>253</v>
      </c>
      <c r="AG229" s="357" t="s">
        <v>250</v>
      </c>
      <c r="AH229" s="420">
        <v>28</v>
      </c>
    </row>
    <row r="230">
      <c r="A230" s="397"/>
      <c r="B230" s="410" t="s">
        <v>246</v>
      </c>
      <c r="C230" s="411" t="s">
        <v>261</v>
      </c>
      <c r="D230" s="426">
        <v>1186.93</v>
      </c>
      <c r="E230" s="424"/>
      <c r="F230" s="424">
        <v>2</v>
      </c>
      <c r="G230" s="424">
        <v>2</v>
      </c>
      <c r="H230" s="412">
        <v>3436.4000000000015</v>
      </c>
      <c r="I230" s="416">
        <f t="shared" si="202"/>
      </c>
      <c r="J230" s="416">
        <f t="shared" si="262"/>
      </c>
      <c r="K230" s="416">
        <f t="shared" si="322"/>
      </c>
      <c r="L230" s="416"/>
      <c r="M230" s="416">
        <f t="shared" si="16"/>
      </c>
      <c r="N230" s="416">
        <f t="shared" si="82"/>
      </c>
      <c r="O230" s="417">
        <f t="shared" si="112"/>
      </c>
      <c r="P230" s="417">
        <f t="shared" si="142"/>
      </c>
      <c r="Q230" s="417">
        <f t="shared" si="172"/>
      </c>
      <c r="R230" s="417">
        <f t="shared" si="232"/>
      </c>
      <c r="S230" s="418">
        <f t="shared" si="292"/>
      </c>
      <c r="T230" s="419">
        <v>0.0275</v>
      </c>
      <c r="U230" s="420">
        <v>37</v>
      </c>
      <c r="V230" s="416">
        <f t="shared" si="352"/>
      </c>
      <c r="W230" s="418">
        <v>6862</v>
      </c>
      <c r="X230" s="418">
        <v>402</v>
      </c>
      <c r="Y230" s="418">
        <v>42</v>
      </c>
      <c r="Z230" s="418">
        <v>497</v>
      </c>
      <c r="AA230" s="418">
        <v>29</v>
      </c>
      <c r="AB230" s="418">
        <v>2</v>
      </c>
      <c r="AC230" s="418">
        <v>0</v>
      </c>
      <c r="AD230" s="418">
        <v>7</v>
      </c>
      <c r="AE230" s="416">
        <f t="shared" si="46"/>
      </c>
      <c r="AF230" s="356" t="s">
        <v>253</v>
      </c>
      <c r="AG230" s="357" t="s">
        <v>250</v>
      </c>
      <c r="AH230" s="420">
        <v>14</v>
      </c>
    </row>
    <row r="231">
      <c r="A231" s="397"/>
      <c r="B231" s="410" t="s">
        <v>246</v>
      </c>
      <c r="C231" s="425" t="s">
        <v>262</v>
      </c>
      <c r="D231" s="426">
        <v>1247.48</v>
      </c>
      <c r="E231" s="414"/>
      <c r="F231" s="414">
        <v>0</v>
      </c>
      <c r="G231" s="414">
        <v>0</v>
      </c>
      <c r="H231" s="426">
        <v>0</v>
      </c>
      <c r="I231" s="416">
        <f t="shared" si="202"/>
      </c>
      <c r="J231" s="416">
        <f t="shared" si="262"/>
      </c>
      <c r="K231" s="416">
        <f t="shared" si="322"/>
      </c>
      <c r="L231" s="416"/>
      <c r="M231" s="416">
        <f t="shared" si="16"/>
      </c>
      <c r="N231" s="416">
        <f t="shared" si="82"/>
      </c>
      <c r="O231" s="417">
        <f t="shared" si="112"/>
      </c>
      <c r="P231" s="417">
        <f t="shared" si="142"/>
      </c>
      <c r="Q231" s="417">
        <f t="shared" si="172"/>
      </c>
      <c r="R231" s="417">
        <f t="shared" si="232"/>
      </c>
      <c r="S231" s="418">
        <f t="shared" si="292"/>
      </c>
      <c r="T231" s="419">
        <v>0.0206</v>
      </c>
      <c r="U231" s="420">
        <v>36</v>
      </c>
      <c r="V231" s="416">
        <f t="shared" si="352"/>
      </c>
      <c r="W231" s="418">
        <v>6875</v>
      </c>
      <c r="X231" s="418">
        <v>453</v>
      </c>
      <c r="Y231" s="418">
        <v>43</v>
      </c>
      <c r="Z231" s="418">
        <v>533</v>
      </c>
      <c r="AA231" s="418">
        <v>51</v>
      </c>
      <c r="AB231" s="418">
        <v>4</v>
      </c>
      <c r="AC231" s="418">
        <v>2</v>
      </c>
      <c r="AD231" s="418">
        <v>3</v>
      </c>
      <c r="AE231" s="416">
        <f t="shared" si="46"/>
      </c>
      <c r="AF231" s="356" t="s">
        <v>253</v>
      </c>
      <c r="AG231" s="357" t="s">
        <v>250</v>
      </c>
      <c r="AH231" s="420">
        <v>20</v>
      </c>
    </row>
    <row r="232">
      <c r="A232" s="397"/>
      <c r="B232" s="427" t="s">
        <v>240</v>
      </c>
      <c r="C232" s="427"/>
      <c r="D232" s="428">
        <f>SUM(D228:D231)</f>
      </c>
      <c r="E232" s="429"/>
      <c r="F232" s="429">
        <f>SUM(F228:F231)</f>
      </c>
      <c r="G232" s="429">
        <f>SUM(G228:G231)</f>
      </c>
      <c r="H232" s="428">
        <f>SUM(H228:H231)</f>
      </c>
      <c r="I232" s="430">
        <f t="shared" si="202"/>
      </c>
      <c r="J232" s="430">
        <f t="shared" si="262"/>
      </c>
      <c r="K232" s="430">
        <f t="shared" si="322"/>
      </c>
      <c r="L232" s="430"/>
      <c r="M232" s="430">
        <f t="shared" si="16"/>
      </c>
      <c r="N232" s="430">
        <f t="shared" si="82"/>
      </c>
      <c r="O232" s="431">
        <f t="shared" si="112"/>
      </c>
      <c r="P232" s="431">
        <f t="shared" si="142"/>
      </c>
      <c r="Q232" s="431">
        <f t="shared" si="172"/>
      </c>
      <c r="R232" s="431">
        <f t="shared" si="232"/>
      </c>
      <c r="S232" s="432">
        <f t="shared" si="292"/>
      </c>
      <c r="T232" s="431">
        <f>AVERAGE(T228:T231)</f>
      </c>
      <c r="U232" s="428">
        <f>AVERAGE(U228:U231)</f>
      </c>
      <c r="V232" s="430">
        <f t="shared" si="352"/>
      </c>
      <c r="W232" s="432">
        <f>SUM(W228:W231)</f>
      </c>
      <c r="X232" s="432">
        <f>SUM(X228:X231)</f>
      </c>
      <c r="Y232" s="432">
        <f>SUM(Y228:Y231)</f>
      </c>
      <c r="Z232" s="432">
        <f>SUM(Z228:Z231)</f>
      </c>
      <c r="AA232" s="432">
        <f>SUM(AA228:AA231)</f>
      </c>
      <c r="AB232" s="432">
        <f>SUM(AB228:AB231)</f>
      </c>
      <c r="AC232" s="432">
        <f>SUM(AC228:AC231)</f>
      </c>
      <c r="AD232" s="432">
        <f>SUM(AD228:AD231)</f>
      </c>
      <c r="AE232" s="433">
        <f t="shared" si="46"/>
      </c>
      <c r="AF232" s="434"/>
      <c r="AG232" s="434"/>
      <c r="AH232" s="435">
        <f>SUM(AH228:AH231)</f>
      </c>
    </row>
    <row r="233">
      <c r="A233" s="397"/>
      <c r="B233" s="375" t="s">
        <v>249</v>
      </c>
      <c r="C233" s="411" t="s">
        <v>243</v>
      </c>
      <c r="D233" s="349">
        <v>1315.75</v>
      </c>
      <c r="E233" s="350"/>
      <c r="F233" s="350">
        <v>0</v>
      </c>
      <c r="G233" s="350">
        <v>0</v>
      </c>
      <c r="H233" s="349">
        <v>0</v>
      </c>
      <c r="I233" s="351">
        <f t="shared" si="202"/>
      </c>
      <c r="J233" s="351">
        <f t="shared" si="262"/>
      </c>
      <c r="K233" s="351">
        <f t="shared" si="322"/>
      </c>
      <c r="L233" s="351"/>
      <c r="M233" s="351">
        <f t="shared" si="16"/>
      </c>
      <c r="N233" s="351">
        <f t="shared" si="82"/>
      </c>
      <c r="O233" s="352">
        <f t="shared" si="112"/>
      </c>
      <c r="P233" s="352">
        <f t="shared" si="142"/>
      </c>
      <c r="Q233" s="352">
        <f t="shared" si="172"/>
      </c>
      <c r="R233" s="352">
        <f t="shared" si="232"/>
      </c>
      <c r="S233" s="353">
        <f t="shared" si="292"/>
      </c>
      <c r="T233" s="354">
        <v>0.0204</v>
      </c>
      <c r="U233" s="355">
        <v>36</v>
      </c>
      <c r="V233" s="351">
        <f t="shared" si="352"/>
      </c>
      <c r="W233" s="355">
        <v>7400</v>
      </c>
      <c r="X233" s="355">
        <v>423</v>
      </c>
      <c r="Y233" s="353">
        <v>42</v>
      </c>
      <c r="Z233" s="353">
        <v>483</v>
      </c>
      <c r="AA233" s="353">
        <v>38</v>
      </c>
      <c r="AB233" s="353">
        <v>4</v>
      </c>
      <c r="AC233" s="355">
        <v>0</v>
      </c>
      <c r="AD233" s="355">
        <v>5</v>
      </c>
      <c r="AE233" s="351">
        <f t="shared" si="46"/>
      </c>
      <c r="AF233" s="356" t="s">
        <v>234</v>
      </c>
      <c r="AG233" s="357" t="s">
        <v>250</v>
      </c>
      <c r="AH233" s="355">
        <v>15</v>
      </c>
    </row>
    <row r="234">
      <c r="A234" s="397"/>
      <c r="B234" s="375" t="s">
        <v>249</v>
      </c>
      <c r="C234" s="422" t="s">
        <v>244</v>
      </c>
      <c r="D234" s="349">
        <v>1569.29</v>
      </c>
      <c r="E234" s="350"/>
      <c r="F234" s="350">
        <v>5</v>
      </c>
      <c r="G234" s="350">
        <v>5</v>
      </c>
      <c r="H234" s="349">
        <v>4149.200000000001</v>
      </c>
      <c r="I234" s="351">
        <f t="shared" si="202"/>
      </c>
      <c r="J234" s="351">
        <f t="shared" si="262"/>
      </c>
      <c r="K234" s="351">
        <f t="shared" si="322"/>
      </c>
      <c r="L234" s="351"/>
      <c r="M234" s="351">
        <f t="shared" si="16"/>
      </c>
      <c r="N234" s="351">
        <f t="shared" si="82"/>
      </c>
      <c r="O234" s="352">
        <f t="shared" si="112"/>
      </c>
      <c r="P234" s="352">
        <f t="shared" si="142"/>
      </c>
      <c r="Q234" s="352">
        <f t="shared" si="172"/>
      </c>
      <c r="R234" s="352">
        <f t="shared" si="232"/>
      </c>
      <c r="S234" s="353">
        <f t="shared" si="292"/>
      </c>
      <c r="T234" s="354">
        <v>0.0224</v>
      </c>
      <c r="U234" s="355">
        <v>36</v>
      </c>
      <c r="V234" s="351">
        <f t="shared" si="352"/>
      </c>
      <c r="W234" s="353">
        <v>7798</v>
      </c>
      <c r="X234" s="353">
        <v>470</v>
      </c>
      <c r="Y234" s="353">
        <v>41</v>
      </c>
      <c r="Z234" s="353">
        <v>542</v>
      </c>
      <c r="AA234" s="353">
        <v>45</v>
      </c>
      <c r="AB234" s="353">
        <v>4</v>
      </c>
      <c r="AC234" s="353">
        <v>0</v>
      </c>
      <c r="AD234" s="355">
        <v>5</v>
      </c>
      <c r="AE234" s="351">
        <f t="shared" si="46"/>
      </c>
      <c r="AF234" s="356" t="s">
        <v>234</v>
      </c>
      <c r="AG234" s="357" t="s">
        <v>250</v>
      </c>
      <c r="AH234" s="355">
        <v>17</v>
      </c>
    </row>
    <row r="235">
      <c r="A235" s="397"/>
      <c r="B235" s="375" t="s">
        <v>249</v>
      </c>
      <c r="C235" s="411" t="s">
        <v>245</v>
      </c>
      <c r="D235" s="349">
        <v>1645.71</v>
      </c>
      <c r="E235" s="350"/>
      <c r="F235" s="350">
        <v>2</v>
      </c>
      <c r="G235" s="350">
        <v>2</v>
      </c>
      <c r="H235" s="349">
        <v>3473.7999999999993</v>
      </c>
      <c r="I235" s="351">
        <f t="shared" si="202"/>
      </c>
      <c r="J235" s="351">
        <f t="shared" si="262"/>
      </c>
      <c r="K235" s="351">
        <f t="shared" si="322"/>
      </c>
      <c r="L235" s="351"/>
      <c r="M235" s="351">
        <f t="shared" si="16"/>
      </c>
      <c r="N235" s="351">
        <f t="shared" si="82"/>
      </c>
      <c r="O235" s="352">
        <f t="shared" si="112"/>
      </c>
      <c r="P235" s="352">
        <f t="shared" si="142"/>
      </c>
      <c r="Q235" s="352">
        <f t="shared" si="172"/>
      </c>
      <c r="R235" s="352">
        <f t="shared" si="232"/>
      </c>
      <c r="S235" s="353">
        <f t="shared" si="292"/>
      </c>
      <c r="T235" s="354">
        <v>0.038</v>
      </c>
      <c r="U235" s="355">
        <v>37</v>
      </c>
      <c r="V235" s="351">
        <f t="shared" si="352"/>
      </c>
      <c r="W235" s="355">
        <v>9494</v>
      </c>
      <c r="X235" s="355">
        <v>626</v>
      </c>
      <c r="Y235" s="355">
        <v>69</v>
      </c>
      <c r="Z235" s="355">
        <v>723</v>
      </c>
      <c r="AA235" s="355">
        <v>68</v>
      </c>
      <c r="AB235" s="355">
        <v>4</v>
      </c>
      <c r="AC235" s="355">
        <v>2</v>
      </c>
      <c r="AD235" s="355">
        <v>13</v>
      </c>
      <c r="AE235" s="351">
        <f t="shared" si="46"/>
      </c>
      <c r="AF235" s="356" t="s">
        <v>234</v>
      </c>
      <c r="AG235" s="357" t="s">
        <v>250</v>
      </c>
      <c r="AH235" s="355">
        <v>27</v>
      </c>
    </row>
    <row r="236">
      <c r="A236" s="397"/>
      <c r="B236" s="375" t="s">
        <v>249</v>
      </c>
      <c r="C236" s="411" t="s">
        <v>233</v>
      </c>
      <c r="D236" s="349">
        <v>1142.8</v>
      </c>
      <c r="E236" s="350"/>
      <c r="F236" s="350">
        <v>2</v>
      </c>
      <c r="G236" s="350">
        <v>1</v>
      </c>
      <c r="H236" s="349">
        <v>902</v>
      </c>
      <c r="I236" s="351">
        <f t="shared" si="202"/>
      </c>
      <c r="J236" s="351">
        <f t="shared" si="262"/>
      </c>
      <c r="K236" s="351">
        <f t="shared" si="322"/>
      </c>
      <c r="L236" s="351"/>
      <c r="M236" s="351">
        <f t="shared" si="16"/>
      </c>
      <c r="N236" s="351">
        <f t="shared" si="82"/>
      </c>
      <c r="O236" s="352">
        <f t="shared" si="112"/>
      </c>
      <c r="P236" s="352">
        <f t="shared" si="142"/>
      </c>
      <c r="Q236" s="352">
        <f t="shared" si="172"/>
      </c>
      <c r="R236" s="352">
        <f t="shared" si="232"/>
      </c>
      <c r="S236" s="353">
        <f t="shared" si="292"/>
      </c>
      <c r="T236" s="354">
        <v>0.0341</v>
      </c>
      <c r="U236" s="355">
        <v>37</v>
      </c>
      <c r="V236" s="351">
        <f t="shared" si="352"/>
      </c>
      <c r="W236" s="355">
        <v>6729</v>
      </c>
      <c r="X236" s="355">
        <v>327</v>
      </c>
      <c r="Y236" s="353">
        <v>39</v>
      </c>
      <c r="Z236" s="353">
        <v>378</v>
      </c>
      <c r="AA236" s="353">
        <v>45</v>
      </c>
      <c r="AB236" s="353">
        <v>6</v>
      </c>
      <c r="AC236" s="355">
        <v>1</v>
      </c>
      <c r="AD236" s="355">
        <v>7</v>
      </c>
      <c r="AE236" s="351">
        <f t="shared" si="46"/>
      </c>
      <c r="AF236" s="356" t="s">
        <v>234</v>
      </c>
      <c r="AG236" s="357" t="s">
        <v>250</v>
      </c>
      <c r="AH236" s="355">
        <v>18</v>
      </c>
    </row>
    <row r="237">
      <c r="A237" s="397"/>
      <c r="B237" s="360" t="s">
        <v>240</v>
      </c>
      <c r="C237" s="360"/>
      <c r="D237" s="405">
        <f>SUM(D233:D236)</f>
      </c>
      <c r="E237" s="440"/>
      <c r="F237" s="440">
        <f>SUM(F233:F236)</f>
      </c>
      <c r="G237" s="440">
        <f>SUM(G233:G236)</f>
      </c>
      <c r="H237" s="405">
        <f>SUM(H233:H236)</f>
      </c>
      <c r="I237" s="363">
        <f t="shared" si="202"/>
      </c>
      <c r="J237" s="363">
        <f t="shared" si="262"/>
      </c>
      <c r="K237" s="363">
        <f t="shared" si="322"/>
      </c>
      <c r="L237" s="363"/>
      <c r="M237" s="363">
        <f t="shared" si="16"/>
      </c>
      <c r="N237" s="363">
        <f t="shared" si="82"/>
      </c>
      <c r="O237" s="364">
        <f t="shared" si="112"/>
      </c>
      <c r="P237" s="364">
        <f t="shared" si="142"/>
      </c>
      <c r="Q237" s="364">
        <f t="shared" si="172"/>
      </c>
      <c r="R237" s="364">
        <f t="shared" si="232"/>
      </c>
      <c r="S237" s="365">
        <f t="shared" si="292"/>
      </c>
      <c r="T237" s="364">
        <f>AVERAGE(T233:T236)</f>
      </c>
      <c r="U237" s="361">
        <f>AVERAGE(U233:U236)</f>
      </c>
      <c r="V237" s="363">
        <f t="shared" si="352"/>
      </c>
      <c r="W237" s="365">
        <f>SUM(W233:W236)</f>
      </c>
      <c r="X237" s="365">
        <f>SUM(X233:X236)</f>
      </c>
      <c r="Y237" s="365">
        <f>SUM(Y233:Y236)</f>
      </c>
      <c r="Z237" s="365">
        <f>SUM(Z233:Z236)</f>
      </c>
      <c r="AA237" s="365">
        <f>SUM(AA233:AA236)</f>
      </c>
      <c r="AB237" s="365">
        <f>SUM(AB233:AB236)</f>
      </c>
      <c r="AC237" s="365">
        <f>SUM(AC233:AC236)</f>
      </c>
      <c r="AD237" s="365">
        <f>SUM(AD233:AD236)</f>
      </c>
      <c r="AE237" s="366">
        <f t="shared" si="46"/>
      </c>
      <c r="AF237" s="367"/>
      <c r="AG237" s="367"/>
      <c r="AH237" s="365">
        <f>SUM(AH233:AH236)</f>
      </c>
    </row>
    <row r="238">
      <c r="A238" s="443"/>
      <c r="B238" s="444" t="s">
        <v>241</v>
      </c>
      <c r="C238" s="444"/>
      <c r="D238" s="445">
        <f>D227+D237+D232</f>
      </c>
      <c r="E238" s="409"/>
      <c r="F238" s="409">
        <f>F227+F237+F232</f>
      </c>
      <c r="G238" s="409">
        <f>G227+G237+G232</f>
      </c>
      <c r="H238" s="409">
        <f>H227+H237+H232</f>
      </c>
      <c r="I238" s="446">
        <f t="shared" si="202"/>
      </c>
      <c r="J238" s="447">
        <f t="shared" si="262"/>
      </c>
      <c r="K238" s="447">
        <f t="shared" si="322"/>
      </c>
      <c r="L238" s="447"/>
      <c r="M238" s="447">
        <f t="shared" si="16"/>
      </c>
      <c r="N238" s="447">
        <f t="shared" si="82"/>
      </c>
      <c r="O238" s="448">
        <f t="shared" si="112"/>
      </c>
      <c r="P238" s="448">
        <f t="shared" si="142"/>
      </c>
      <c r="Q238" s="448">
        <f t="shared" si="172"/>
      </c>
      <c r="R238" s="448">
        <f t="shared" si="232"/>
      </c>
      <c r="S238" s="449">
        <f t="shared" si="292"/>
      </c>
      <c r="T238" s="448">
        <f>(T227+T237+T232)/3</f>
      </c>
      <c r="U238" s="448">
        <f>(U227+U237+U232)/3</f>
      </c>
      <c r="V238" s="409">
        <f t="shared" si="352"/>
      </c>
      <c r="W238" s="449">
        <f>W227+W237+W232</f>
      </c>
      <c r="X238" s="449">
        <f>X227+X237+X232</f>
      </c>
      <c r="Y238" s="449">
        <f>Y227+Y237+Y232</f>
      </c>
      <c r="Z238" s="449">
        <f>Z227+Z237+Z232</f>
      </c>
      <c r="AA238" s="449">
        <f>AA227+AA237+AA232</f>
      </c>
      <c r="AB238" s="449">
        <f>AB227+AB237+AB232</f>
      </c>
      <c r="AC238" s="449">
        <f>AC227+AC237+AC232</f>
      </c>
      <c r="AD238" s="449">
        <f>AD227+AD237+AD232</f>
      </c>
      <c r="AE238" s="447">
        <f>AE227</f>
      </c>
      <c r="AF238" s="444"/>
      <c r="AG238" s="444"/>
      <c r="AH238" s="449">
        <f>AH227+AH237+AH232</f>
      </c>
    </row>
    <row r="239">
      <c r="A239" s="380" t="s">
        <v>197</v>
      </c>
      <c r="B239" s="380" t="s">
        <v>198</v>
      </c>
      <c r="C239" s="380"/>
      <c r="D239" s="381" t="s">
        <v>199</v>
      </c>
      <c r="E239" s="381"/>
      <c r="F239" s="381"/>
      <c r="G239" s="381"/>
      <c r="H239" s="381"/>
      <c r="I239" s="381"/>
      <c r="J239" s="381"/>
      <c r="K239" s="381"/>
      <c r="L239" s="381"/>
      <c r="M239" s="381"/>
      <c r="N239" s="382" t="s">
        <v>200</v>
      </c>
      <c r="O239" s="382"/>
      <c r="P239" s="382"/>
      <c r="Q239" s="382"/>
      <c r="R239" s="382"/>
      <c r="S239" s="382"/>
      <c r="T239" s="382"/>
      <c r="U239" s="382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40"/>
    </row>
    <row r="240">
      <c r="A240" s="380"/>
      <c r="B240" s="380" t="s">
        <v>201</v>
      </c>
      <c r="C240" s="380" t="s">
        <v>202</v>
      </c>
      <c r="D240" s="390" t="s">
        <v>203</v>
      </c>
      <c r="E240" s="450"/>
      <c r="F240" s="450" t="s">
        <v>204</v>
      </c>
      <c r="G240" s="450" t="s">
        <v>205</v>
      </c>
      <c r="H240" s="390" t="s">
        <v>206</v>
      </c>
      <c r="I240" s="384" t="s">
        <v>207</v>
      </c>
      <c r="J240" s="384" t="s">
        <v>208</v>
      </c>
      <c r="K240" s="384" t="s">
        <v>209</v>
      </c>
      <c r="L240" s="384"/>
      <c r="M240" s="384" t="s">
        <v>210</v>
      </c>
      <c r="N240" s="385" t="s">
        <v>211</v>
      </c>
      <c r="O240" s="386" t="s">
        <v>212</v>
      </c>
      <c r="P240" s="386" t="s">
        <v>213</v>
      </c>
      <c r="Q240" s="386" t="s">
        <v>214</v>
      </c>
      <c r="R240" s="386" t="s">
        <v>215</v>
      </c>
      <c r="S240" s="387" t="s">
        <v>216</v>
      </c>
      <c r="T240" s="392" t="s">
        <v>217</v>
      </c>
      <c r="U240" s="393" t="s">
        <v>218</v>
      </c>
      <c r="V240" s="382" t="s">
        <v>219</v>
      </c>
      <c r="W240" s="394" t="s">
        <v>220</v>
      </c>
      <c r="X240" s="394" t="s">
        <v>221</v>
      </c>
      <c r="Y240" s="394" t="s">
        <v>222</v>
      </c>
      <c r="Z240" s="394" t="s">
        <v>223</v>
      </c>
      <c r="AA240" s="394" t="s">
        <v>224</v>
      </c>
      <c r="AB240" s="394" t="s">
        <v>225</v>
      </c>
      <c r="AC240" s="394" t="s">
        <v>226</v>
      </c>
      <c r="AD240" s="394" t="s">
        <v>227</v>
      </c>
      <c r="AE240" s="382" t="s">
        <v>228</v>
      </c>
      <c r="AF240" s="389" t="s">
        <v>229</v>
      </c>
      <c r="AG240" s="389" t="s">
        <v>230</v>
      </c>
      <c r="AH240" s="340" t="s">
        <v>231</v>
      </c>
    </row>
    <row r="241">
      <c r="A241" s="347">
        <v>46161</v>
      </c>
      <c r="B241" s="348" t="s">
        <v>248</v>
      </c>
      <c r="C241" s="348" t="s">
        <v>252</v>
      </c>
      <c r="D241" s="349">
        <v>1988.11</v>
      </c>
      <c r="E241" s="350"/>
      <c r="F241" s="350">
        <v>3</v>
      </c>
      <c r="G241" s="350">
        <v>3</v>
      </c>
      <c r="H241" s="349">
        <v>2072.4</v>
      </c>
      <c r="I241" s="351">
        <f t="shared" ref="I241:I253" si="203">H241/D241</f>
      </c>
      <c r="J241" s="351">
        <f t="shared" ref="J241:J253" si="263">D241/F241</f>
      </c>
      <c r="K241" s="351">
        <f t="shared" ref="K241:K253" si="323">D241/G241</f>
      </c>
      <c r="L241" s="351"/>
      <c r="M241" s="351">
        <f t="shared" ref="M241:M253" si="17">H241/F241</f>
      </c>
      <c r="N241" s="351">
        <f t="shared" ref="N241:N253" si="83">D241/X241</f>
      </c>
      <c r="O241" s="352">
        <f t="shared" ref="O241:O253" si="113">S241/W241*1</f>
      </c>
      <c r="P241" s="352">
        <f t="shared" ref="P241:P253" si="143">X241/W241</f>
      </c>
      <c r="Q241" s="352">
        <f t="shared" ref="Q241:Q253" si="173">Z241/W241</f>
      </c>
      <c r="R241" s="352">
        <f t="shared" ref="R241:R253" si="233">AA241/Z241</f>
      </c>
      <c r="S241" s="353">
        <f t="shared" ref="S241:S253" si="293">Y241/T241</f>
      </c>
      <c r="T241" s="354">
        <v>0.0264</v>
      </c>
      <c r="U241" s="355">
        <v>31</v>
      </c>
      <c r="V241" s="351">
        <f t="shared" ref="V241:V253" si="353">(D241/W241)*1000</f>
      </c>
      <c r="W241" s="355">
        <v>9828</v>
      </c>
      <c r="X241" s="355">
        <v>527</v>
      </c>
      <c r="Y241" s="353">
        <v>50</v>
      </c>
      <c r="Z241" s="353">
        <v>652</v>
      </c>
      <c r="AA241" s="353">
        <v>24</v>
      </c>
      <c r="AB241" s="353">
        <v>5</v>
      </c>
      <c r="AC241" s="353">
        <v>0</v>
      </c>
      <c r="AD241" s="355">
        <v>6</v>
      </c>
      <c r="AE241" s="351">
        <f t="shared" ref="AE241:AE252" si="47">AH241*1000/D241</f>
      </c>
      <c r="AF241" s="356" t="s">
        <v>234</v>
      </c>
      <c r="AG241" s="451" t="s">
        <v>259</v>
      </c>
      <c r="AH241" s="355">
        <v>26</v>
      </c>
    </row>
    <row r="242">
      <c r="A242" s="347"/>
      <c r="B242" s="348" t="s">
        <v>248</v>
      </c>
      <c r="C242" s="348" t="s">
        <v>255</v>
      </c>
      <c r="D242" s="349">
        <v>2408.88</v>
      </c>
      <c r="E242" s="350"/>
      <c r="F242" s="350">
        <v>2</v>
      </c>
      <c r="G242" s="350">
        <v>2</v>
      </c>
      <c r="H242" s="349">
        <v>1232</v>
      </c>
      <c r="I242" s="351">
        <f t="shared" si="203"/>
      </c>
      <c r="J242" s="351">
        <f t="shared" si="263"/>
      </c>
      <c r="K242" s="351">
        <f t="shared" si="323"/>
      </c>
      <c r="L242" s="351"/>
      <c r="M242" s="351">
        <f t="shared" si="17"/>
      </c>
      <c r="N242" s="351">
        <f t="shared" si="83"/>
      </c>
      <c r="O242" s="352">
        <f t="shared" si="113"/>
      </c>
      <c r="P242" s="352">
        <f t="shared" si="143"/>
      </c>
      <c r="Q242" s="352">
        <f t="shared" si="173"/>
      </c>
      <c r="R242" s="352">
        <f t="shared" si="233"/>
      </c>
      <c r="S242" s="353">
        <f t="shared" si="293"/>
      </c>
      <c r="T242" s="354">
        <v>0.0347</v>
      </c>
      <c r="U242" s="355">
        <v>31</v>
      </c>
      <c r="V242" s="351">
        <f t="shared" si="353"/>
      </c>
      <c r="W242" s="355">
        <v>13819</v>
      </c>
      <c r="X242" s="355">
        <v>709</v>
      </c>
      <c r="Y242" s="353">
        <v>56</v>
      </c>
      <c r="Z242" s="353">
        <v>812</v>
      </c>
      <c r="AA242" s="355">
        <v>35</v>
      </c>
      <c r="AB242" s="353">
        <v>3</v>
      </c>
      <c r="AC242" s="355">
        <v>0</v>
      </c>
      <c r="AD242" s="355">
        <v>9</v>
      </c>
      <c r="AE242" s="351">
        <f t="shared" si="47"/>
      </c>
      <c r="AF242" s="356" t="s">
        <v>234</v>
      </c>
      <c r="AG242" s="451" t="s">
        <v>259</v>
      </c>
      <c r="AH242" s="355">
        <v>20</v>
      </c>
    </row>
    <row r="243">
      <c r="A243" s="347"/>
      <c r="B243" s="348" t="s">
        <v>248</v>
      </c>
      <c r="C243" s="348" t="s">
        <v>256</v>
      </c>
      <c r="D243" s="349">
        <v>3384.95</v>
      </c>
      <c r="E243" s="350"/>
      <c r="F243" s="350">
        <v>6</v>
      </c>
      <c r="G243" s="350">
        <v>6</v>
      </c>
      <c r="H243" s="349">
        <v>4821.300000000001</v>
      </c>
      <c r="I243" s="351">
        <f t="shared" si="203"/>
      </c>
      <c r="J243" s="351">
        <f t="shared" si="263"/>
      </c>
      <c r="K243" s="351">
        <f t="shared" si="323"/>
      </c>
      <c r="L243" s="351"/>
      <c r="M243" s="351">
        <f t="shared" si="17"/>
      </c>
      <c r="N243" s="351">
        <f t="shared" si="83"/>
      </c>
      <c r="O243" s="352">
        <f t="shared" si="113"/>
      </c>
      <c r="P243" s="352">
        <f t="shared" si="143"/>
      </c>
      <c r="Q243" s="352">
        <f t="shared" si="173"/>
      </c>
      <c r="R243" s="352">
        <f t="shared" si="233"/>
      </c>
      <c r="S243" s="353">
        <f t="shared" si="293"/>
      </c>
      <c r="T243" s="354">
        <v>0.0644</v>
      </c>
      <c r="U243" s="355">
        <v>41</v>
      </c>
      <c r="V243" s="351">
        <f t="shared" si="353"/>
      </c>
      <c r="W243" s="355">
        <v>22066</v>
      </c>
      <c r="X243" s="355">
        <v>758</v>
      </c>
      <c r="Y243" s="355">
        <v>93</v>
      </c>
      <c r="Z243" s="355">
        <v>882</v>
      </c>
      <c r="AA243" s="355">
        <v>115</v>
      </c>
      <c r="AB243" s="355">
        <v>11</v>
      </c>
      <c r="AC243" s="355">
        <v>4</v>
      </c>
      <c r="AD243" s="355">
        <v>27</v>
      </c>
      <c r="AE243" s="351">
        <f t="shared" si="47"/>
      </c>
      <c r="AF243" s="356" t="s">
        <v>234</v>
      </c>
      <c r="AG243" s="451" t="s">
        <v>259</v>
      </c>
      <c r="AH243" s="355">
        <v>36</v>
      </c>
    </row>
    <row r="244">
      <c r="A244" s="347"/>
      <c r="B244" s="348" t="s">
        <v>248</v>
      </c>
      <c r="C244" s="348" t="s">
        <v>257</v>
      </c>
      <c r="D244" s="349">
        <v>2894.35</v>
      </c>
      <c r="E244" s="350"/>
      <c r="F244" s="350">
        <v>6</v>
      </c>
      <c r="G244" s="350">
        <v>5</v>
      </c>
      <c r="H244" s="349">
        <v>3738.8999999999996</v>
      </c>
      <c r="I244" s="351">
        <f t="shared" si="203"/>
      </c>
      <c r="J244" s="351">
        <f t="shared" si="263"/>
      </c>
      <c r="K244" s="351">
        <f t="shared" si="323"/>
      </c>
      <c r="L244" s="351"/>
      <c r="M244" s="351">
        <f t="shared" si="17"/>
      </c>
      <c r="N244" s="351">
        <f t="shared" si="83"/>
      </c>
      <c r="O244" s="352">
        <f t="shared" si="113"/>
      </c>
      <c r="P244" s="352">
        <f t="shared" si="143"/>
      </c>
      <c r="Q244" s="352">
        <f t="shared" si="173"/>
      </c>
      <c r="R244" s="352">
        <f t="shared" si="233"/>
      </c>
      <c r="S244" s="353">
        <f t="shared" si="293"/>
      </c>
      <c r="T244" s="354">
        <v>0.045</v>
      </c>
      <c r="U244" s="355">
        <v>39</v>
      </c>
      <c r="V244" s="351">
        <f t="shared" si="353"/>
      </c>
      <c r="W244" s="353">
        <v>19540</v>
      </c>
      <c r="X244" s="353">
        <v>802</v>
      </c>
      <c r="Y244" s="353">
        <v>83</v>
      </c>
      <c r="Z244" s="353">
        <v>928</v>
      </c>
      <c r="AA244" s="353">
        <v>52</v>
      </c>
      <c r="AB244" s="353">
        <v>7</v>
      </c>
      <c r="AC244" s="353">
        <v>1</v>
      </c>
      <c r="AD244" s="353">
        <v>18</v>
      </c>
      <c r="AE244" s="351">
        <f t="shared" si="47"/>
      </c>
      <c r="AF244" s="356" t="s">
        <v>234</v>
      </c>
      <c r="AG244" s="451" t="s">
        <v>259</v>
      </c>
      <c r="AH244" s="355">
        <v>18</v>
      </c>
    </row>
    <row customHeight="true" ht="18.452380952380953" r="245">
      <c r="A245" s="347"/>
      <c r="B245" s="348" t="s">
        <v>248</v>
      </c>
      <c r="C245" s="375" t="s">
        <v>258</v>
      </c>
      <c r="D245" s="349">
        <v>3948.87</v>
      </c>
      <c r="E245" s="350"/>
      <c r="F245" s="350">
        <v>5</v>
      </c>
      <c r="G245" s="350">
        <v>5</v>
      </c>
      <c r="H245" s="349">
        <v>2585</v>
      </c>
      <c r="I245" s="351">
        <f t="shared" si="203"/>
      </c>
      <c r="J245" s="351">
        <f t="shared" si="263"/>
      </c>
      <c r="K245" s="351">
        <f t="shared" si="323"/>
      </c>
      <c r="L245" s="351"/>
      <c r="M245" s="351">
        <f t="shared" si="17"/>
      </c>
      <c r="N245" s="351">
        <f t="shared" si="83"/>
      </c>
      <c r="O245" s="352">
        <f t="shared" si="113"/>
      </c>
      <c r="P245" s="352">
        <f t="shared" si="143"/>
      </c>
      <c r="Q245" s="352">
        <f t="shared" si="173"/>
      </c>
      <c r="R245" s="352">
        <f t="shared" si="233"/>
      </c>
      <c r="S245" s="353">
        <f t="shared" si="293"/>
      </c>
      <c r="T245" s="354">
        <v>0.039</v>
      </c>
      <c r="U245" s="355">
        <v>38</v>
      </c>
      <c r="V245" s="351">
        <f t="shared" si="353"/>
      </c>
      <c r="W245" s="353">
        <v>30161</v>
      </c>
      <c r="X245" s="353">
        <v>1175</v>
      </c>
      <c r="Y245" s="353">
        <v>114</v>
      </c>
      <c r="Z245" s="353">
        <v>1403</v>
      </c>
      <c r="AA245" s="353">
        <v>133</v>
      </c>
      <c r="AB245" s="353">
        <v>12</v>
      </c>
      <c r="AC245" s="353">
        <v>1</v>
      </c>
      <c r="AD245" s="353">
        <v>20</v>
      </c>
      <c r="AE245" s="351">
        <f t="shared" si="47"/>
      </c>
      <c r="AF245" s="356" t="s">
        <v>234</v>
      </c>
      <c r="AG245" s="451" t="s">
        <v>259</v>
      </c>
      <c r="AH245" s="355">
        <v>38</v>
      </c>
    </row>
    <row r="246">
      <c r="A246" s="347"/>
      <c r="B246" s="360" t="s">
        <v>240</v>
      </c>
      <c r="C246" s="360"/>
      <c r="D246" s="361">
        <f>SUM(D241:D245)</f>
      </c>
      <c r="E246" s="362"/>
      <c r="F246" s="362">
        <f>SUM(F241:F245)</f>
      </c>
      <c r="G246" s="362">
        <f>SUM(G241:G245)</f>
      </c>
      <c r="H246" s="361">
        <f>SUM(H241:H245)</f>
      </c>
      <c r="I246" s="363">
        <f t="shared" si="203"/>
      </c>
      <c r="J246" s="363">
        <f t="shared" si="263"/>
      </c>
      <c r="K246" s="363">
        <f t="shared" si="323"/>
      </c>
      <c r="L246" s="363"/>
      <c r="M246" s="363">
        <f t="shared" si="17"/>
      </c>
      <c r="N246" s="363">
        <f t="shared" si="83"/>
      </c>
      <c r="O246" s="364">
        <f t="shared" si="113"/>
      </c>
      <c r="P246" s="364">
        <f t="shared" si="143"/>
      </c>
      <c r="Q246" s="364">
        <f t="shared" si="173"/>
      </c>
      <c r="R246" s="364">
        <f t="shared" si="233"/>
      </c>
      <c r="S246" s="365">
        <f t="shared" si="293"/>
      </c>
      <c r="T246" s="364">
        <f>AVERAGE(T241:T245)</f>
      </c>
      <c r="U246" s="361">
        <f>AVERAGE(U241:U245)</f>
      </c>
      <c r="V246" s="363">
        <f t="shared" si="353"/>
      </c>
      <c r="W246" s="365">
        <f>SUM(W241:W245)</f>
      </c>
      <c r="X246" s="365">
        <f>SUM(X241:X245)</f>
      </c>
      <c r="Y246" s="365">
        <f>SUM(Y241:Y245)</f>
      </c>
      <c r="Z246" s="365">
        <f>SUM(Z241:Z245)</f>
      </c>
      <c r="AA246" s="365">
        <f>SUM(AA241:AA245)</f>
      </c>
      <c r="AB246" s="365">
        <f>SUM(AB241:AB245)</f>
      </c>
      <c r="AC246" s="365">
        <f>SUM(AC241:AC245)</f>
      </c>
      <c r="AD246" s="365">
        <f>SUM(AD241:AD245)</f>
      </c>
      <c r="AE246" s="366">
        <f t="shared" si="47"/>
      </c>
      <c r="AF246" s="367"/>
      <c r="AG246" s="367"/>
      <c r="AH246" s="368">
        <f>SUM(AH241:AH245)</f>
      </c>
    </row>
    <row r="247">
      <c r="A247" s="347"/>
      <c r="B247" s="375" t="s">
        <v>249</v>
      </c>
      <c r="C247" s="375" t="s">
        <v>260</v>
      </c>
      <c r="D247" s="349">
        <v>3735.78</v>
      </c>
      <c r="E247" s="350"/>
      <c r="F247" s="350">
        <v>7</v>
      </c>
      <c r="G247" s="350">
        <v>7</v>
      </c>
      <c r="H247" s="349">
        <v>3816.999999999998</v>
      </c>
      <c r="I247" s="351">
        <f t="shared" si="203"/>
      </c>
      <c r="J247" s="351">
        <f t="shared" si="263"/>
      </c>
      <c r="K247" s="351">
        <f t="shared" si="323"/>
      </c>
      <c r="L247" s="351"/>
      <c r="M247" s="351">
        <f t="shared" si="17"/>
      </c>
      <c r="N247" s="351">
        <f t="shared" si="83"/>
      </c>
      <c r="O247" s="352">
        <f t="shared" si="113"/>
      </c>
      <c r="P247" s="352">
        <f t="shared" si="143"/>
      </c>
      <c r="Q247" s="352">
        <f t="shared" si="173"/>
      </c>
      <c r="R247" s="352">
        <f t="shared" si="233"/>
      </c>
      <c r="S247" s="353">
        <f t="shared" si="293"/>
      </c>
      <c r="T247" s="354">
        <v>0.037</v>
      </c>
      <c r="U247" s="355">
        <v>39</v>
      </c>
      <c r="V247" s="351">
        <f t="shared" si="353"/>
      </c>
      <c r="W247" s="355">
        <v>27839</v>
      </c>
      <c r="X247" s="355">
        <v>1054</v>
      </c>
      <c r="Y247" s="353">
        <v>91</v>
      </c>
      <c r="Z247" s="353">
        <v>1380</v>
      </c>
      <c r="AA247" s="353">
        <v>113</v>
      </c>
      <c r="AB247" s="353">
        <v>13</v>
      </c>
      <c r="AC247" s="355">
        <v>3</v>
      </c>
      <c r="AD247" s="355">
        <v>27</v>
      </c>
      <c r="AE247" s="351">
        <f t="shared" si="47"/>
      </c>
      <c r="AF247" s="356" t="s">
        <v>234</v>
      </c>
      <c r="AG247" s="451" t="s">
        <v>259</v>
      </c>
      <c r="AH247" s="355">
        <v>38</v>
      </c>
    </row>
    <row r="248">
      <c r="A248" s="347"/>
      <c r="B248" s="375" t="s">
        <v>249</v>
      </c>
      <c r="C248" s="375" t="s">
        <v>261</v>
      </c>
      <c r="D248" s="349">
        <v>3332.19</v>
      </c>
      <c r="E248" s="350"/>
      <c r="F248" s="350">
        <v>7</v>
      </c>
      <c r="G248" s="350">
        <v>6</v>
      </c>
      <c r="H248" s="349">
        <v>3817</v>
      </c>
      <c r="I248" s="351">
        <f t="shared" si="203"/>
      </c>
      <c r="J248" s="351">
        <f t="shared" si="263"/>
      </c>
      <c r="K248" s="351">
        <f t="shared" si="323"/>
      </c>
      <c r="L248" s="351"/>
      <c r="M248" s="351">
        <f t="shared" si="17"/>
      </c>
      <c r="N248" s="351">
        <f t="shared" si="83"/>
      </c>
      <c r="O248" s="352">
        <f t="shared" si="113"/>
      </c>
      <c r="P248" s="352">
        <f t="shared" si="143"/>
      </c>
      <c r="Q248" s="352">
        <f t="shared" si="173"/>
      </c>
      <c r="R248" s="352">
        <f t="shared" si="233"/>
      </c>
      <c r="S248" s="353">
        <f t="shared" si="293"/>
      </c>
      <c r="T248" s="354">
        <v>0.0357</v>
      </c>
      <c r="U248" s="355">
        <v>40</v>
      </c>
      <c r="V248" s="351">
        <f t="shared" si="353"/>
      </c>
      <c r="W248" s="353">
        <v>22398</v>
      </c>
      <c r="X248" s="353">
        <v>871</v>
      </c>
      <c r="Y248" s="353">
        <v>84</v>
      </c>
      <c r="Z248" s="353">
        <v>1157</v>
      </c>
      <c r="AA248" s="353">
        <v>73</v>
      </c>
      <c r="AB248" s="353">
        <v>11</v>
      </c>
      <c r="AC248" s="353">
        <v>0</v>
      </c>
      <c r="AD248" s="355">
        <v>15</v>
      </c>
      <c r="AE248" s="351">
        <f t="shared" si="47"/>
      </c>
      <c r="AF248" s="356" t="s">
        <v>234</v>
      </c>
      <c r="AG248" s="451" t="s">
        <v>259</v>
      </c>
      <c r="AH248" s="355">
        <v>30</v>
      </c>
    </row>
    <row r="249">
      <c r="A249" s="347"/>
      <c r="B249" s="375" t="s">
        <v>249</v>
      </c>
      <c r="C249" s="348" t="s">
        <v>262</v>
      </c>
      <c r="D249" s="349">
        <v>4043.05</v>
      </c>
      <c r="E249" s="350"/>
      <c r="F249" s="350">
        <v>8</v>
      </c>
      <c r="G249" s="350">
        <v>8</v>
      </c>
      <c r="H249" s="349">
        <v>6731.450000000001</v>
      </c>
      <c r="I249" s="351">
        <f t="shared" si="203"/>
      </c>
      <c r="J249" s="351">
        <f t="shared" si="263"/>
      </c>
      <c r="K249" s="351">
        <f t="shared" si="323"/>
      </c>
      <c r="L249" s="351"/>
      <c r="M249" s="351">
        <f t="shared" si="17"/>
      </c>
      <c r="N249" s="351">
        <f t="shared" si="83"/>
      </c>
      <c r="O249" s="352">
        <f t="shared" si="113"/>
      </c>
      <c r="P249" s="352">
        <f t="shared" si="143"/>
      </c>
      <c r="Q249" s="352">
        <f t="shared" si="173"/>
      </c>
      <c r="R249" s="352">
        <f t="shared" si="233"/>
      </c>
      <c r="S249" s="353">
        <f t="shared" si="293"/>
      </c>
      <c r="T249" s="354">
        <v>0.0358</v>
      </c>
      <c r="U249" s="355">
        <v>42</v>
      </c>
      <c r="V249" s="351">
        <f t="shared" si="353"/>
      </c>
      <c r="W249" s="355">
        <v>22612</v>
      </c>
      <c r="X249" s="355">
        <v>807</v>
      </c>
      <c r="Y249" s="355">
        <v>100</v>
      </c>
      <c r="Z249" s="355">
        <v>1088</v>
      </c>
      <c r="AA249" s="355">
        <v>112</v>
      </c>
      <c r="AB249" s="355">
        <v>14</v>
      </c>
      <c r="AC249" s="355">
        <v>2</v>
      </c>
      <c r="AD249" s="355">
        <v>19</v>
      </c>
      <c r="AE249" s="351">
        <f t="shared" si="47"/>
      </c>
      <c r="AF249" s="356" t="s">
        <v>234</v>
      </c>
      <c r="AG249" s="451" t="s">
        <v>259</v>
      </c>
      <c r="AH249" s="355">
        <v>42</v>
      </c>
    </row>
    <row r="250">
      <c r="A250" s="347"/>
      <c r="B250" s="375" t="s">
        <v>249</v>
      </c>
      <c r="C250" s="375" t="s">
        <v>243</v>
      </c>
      <c r="D250" s="349">
        <v>3644.1</v>
      </c>
      <c r="E250" s="350"/>
      <c r="F250" s="350">
        <v>5</v>
      </c>
      <c r="G250" s="350">
        <v>5</v>
      </c>
      <c r="H250" s="349">
        <v>5525.299999999999</v>
      </c>
      <c r="I250" s="351">
        <f t="shared" si="203"/>
      </c>
      <c r="J250" s="351">
        <f t="shared" si="263"/>
      </c>
      <c r="K250" s="351">
        <f t="shared" si="323"/>
      </c>
      <c r="L250" s="351"/>
      <c r="M250" s="351">
        <f t="shared" si="17"/>
      </c>
      <c r="N250" s="351">
        <f t="shared" si="83"/>
      </c>
      <c r="O250" s="352">
        <f t="shared" si="113"/>
      </c>
      <c r="P250" s="352">
        <f t="shared" si="143"/>
      </c>
      <c r="Q250" s="352">
        <f t="shared" si="173"/>
      </c>
      <c r="R250" s="352">
        <f t="shared" si="233"/>
      </c>
      <c r="S250" s="353">
        <f t="shared" si="293"/>
      </c>
      <c r="T250" s="354">
        <v>0.0289</v>
      </c>
      <c r="U250" s="355">
        <v>44</v>
      </c>
      <c r="V250" s="351">
        <f t="shared" si="353"/>
      </c>
      <c r="W250" s="355">
        <v>23261</v>
      </c>
      <c r="X250" s="355">
        <v>723</v>
      </c>
      <c r="Y250" s="353">
        <v>81</v>
      </c>
      <c r="Z250" s="353">
        <v>955</v>
      </c>
      <c r="AA250" s="353">
        <v>106</v>
      </c>
      <c r="AB250" s="353">
        <v>8</v>
      </c>
      <c r="AC250" s="355">
        <v>0</v>
      </c>
      <c r="AD250" s="355">
        <v>23</v>
      </c>
      <c r="AE250" s="351">
        <f t="shared" si="47"/>
      </c>
      <c r="AF250" s="356" t="s">
        <v>234</v>
      </c>
      <c r="AG250" s="451" t="s">
        <v>250</v>
      </c>
      <c r="AH250" s="355">
        <v>31</v>
      </c>
    </row>
    <row customHeight="true" ht="18.452380952380953" r="251">
      <c r="A251" s="347"/>
      <c r="B251" s="375" t="s">
        <v>249</v>
      </c>
      <c r="C251" s="375" t="s">
        <v>244</v>
      </c>
      <c r="D251" s="349">
        <v>1288.83</v>
      </c>
      <c r="E251" s="350"/>
      <c r="F251" s="350">
        <v>4</v>
      </c>
      <c r="G251" s="350">
        <v>4</v>
      </c>
      <c r="H251" s="349">
        <v>3556.300000000003</v>
      </c>
      <c r="I251" s="351">
        <f t="shared" si="203"/>
      </c>
      <c r="J251" s="351">
        <f t="shared" si="263"/>
      </c>
      <c r="K251" s="351">
        <f t="shared" si="323"/>
      </c>
      <c r="L251" s="351"/>
      <c r="M251" s="351">
        <f t="shared" si="17"/>
      </c>
      <c r="N251" s="351">
        <f t="shared" si="83"/>
      </c>
      <c r="O251" s="352">
        <f t="shared" si="113"/>
      </c>
      <c r="P251" s="352">
        <f t="shared" si="143"/>
      </c>
      <c r="Q251" s="352">
        <f t="shared" si="173"/>
      </c>
      <c r="R251" s="352">
        <f t="shared" si="233"/>
      </c>
      <c r="S251" s="353">
        <f t="shared" si="293"/>
      </c>
      <c r="T251" s="354">
        <v>0.0271</v>
      </c>
      <c r="U251" s="355">
        <v>45</v>
      </c>
      <c r="V251" s="351">
        <f t="shared" si="353"/>
      </c>
      <c r="W251" s="355">
        <v>8800</v>
      </c>
      <c r="X251" s="355">
        <v>308</v>
      </c>
      <c r="Y251" s="353">
        <v>52</v>
      </c>
      <c r="Z251" s="353">
        <v>377</v>
      </c>
      <c r="AA251" s="353">
        <v>25</v>
      </c>
      <c r="AB251" s="353">
        <v>11</v>
      </c>
      <c r="AC251" s="355">
        <v>1</v>
      </c>
      <c r="AD251" s="355">
        <v>7</v>
      </c>
      <c r="AE251" s="351">
        <f t="shared" si="47"/>
      </c>
      <c r="AF251" s="356" t="s">
        <v>234</v>
      </c>
      <c r="AG251" s="451" t="s">
        <v>250</v>
      </c>
      <c r="AH251" s="355">
        <v>12</v>
      </c>
    </row>
    <row r="252">
      <c r="A252" s="347"/>
      <c r="B252" s="360" t="s">
        <v>240</v>
      </c>
      <c r="C252" s="360"/>
      <c r="D252" s="361">
        <f>SUM(D247:D251)</f>
      </c>
      <c r="E252" s="362"/>
      <c r="F252" s="362">
        <f>SUM(F247:F251)</f>
      </c>
      <c r="G252" s="362">
        <f>SUM(G247:G251)</f>
      </c>
      <c r="H252" s="361">
        <f>SUM(H247:H251)</f>
      </c>
      <c r="I252" s="363">
        <f t="shared" si="203"/>
      </c>
      <c r="J252" s="363">
        <f t="shared" si="263"/>
      </c>
      <c r="K252" s="363">
        <f t="shared" si="323"/>
      </c>
      <c r="L252" s="363"/>
      <c r="M252" s="363">
        <f t="shared" si="17"/>
      </c>
      <c r="N252" s="363">
        <f t="shared" si="83"/>
      </c>
      <c r="O252" s="364">
        <f t="shared" si="113"/>
      </c>
      <c r="P252" s="364">
        <f t="shared" si="143"/>
      </c>
      <c r="Q252" s="364">
        <f t="shared" si="173"/>
      </c>
      <c r="R252" s="364">
        <f t="shared" si="233"/>
      </c>
      <c r="S252" s="365">
        <f t="shared" si="293"/>
      </c>
      <c r="T252" s="364">
        <f>AVERAGE(T247:T251)</f>
      </c>
      <c r="U252" s="361">
        <f>AVERAGE(U247:U251)</f>
      </c>
      <c r="V252" s="363">
        <f t="shared" si="353"/>
      </c>
      <c r="W252" s="365">
        <f>SUM(W247:W251)</f>
      </c>
      <c r="X252" s="365">
        <f>SUM(X247:X251)</f>
      </c>
      <c r="Y252" s="365">
        <f>SUM(Y247:Y251)</f>
      </c>
      <c r="Z252" s="365">
        <f>SUM(Z247:Z251)</f>
      </c>
      <c r="AA252" s="365">
        <f>SUM(AA247:AA251)</f>
      </c>
      <c r="AB252" s="365">
        <f>SUM(AB247:AB251)</f>
      </c>
      <c r="AC252" s="365">
        <f>SUM(AC247:AC251)</f>
      </c>
      <c r="AD252" s="365">
        <f>SUM(AD247:AD251)</f>
      </c>
      <c r="AE252" s="366">
        <f t="shared" si="47"/>
      </c>
      <c r="AF252" s="367"/>
      <c r="AG252" s="367"/>
      <c r="AH252" s="365">
        <f>SUM(AH247:AH251)</f>
      </c>
    </row>
    <row r="253">
      <c r="A253" s="347"/>
      <c r="B253" s="369" t="s">
        <v>241</v>
      </c>
      <c r="C253" s="369"/>
      <c r="D253" s="370">
        <f>D246+D252</f>
      </c>
      <c r="E253" s="371"/>
      <c r="F253" s="371">
        <f>F246+F252</f>
      </c>
      <c r="G253" s="371">
        <f>G246+G252</f>
      </c>
      <c r="H253" s="370">
        <f>H246+H252</f>
      </c>
      <c r="I253" s="372">
        <f t="shared" si="203"/>
      </c>
      <c r="J253" s="372">
        <f t="shared" si="263"/>
      </c>
      <c r="K253" s="372">
        <f t="shared" si="323"/>
      </c>
      <c r="L253" s="372"/>
      <c r="M253" s="372">
        <f t="shared" si="17"/>
      </c>
      <c r="N253" s="372">
        <f t="shared" si="83"/>
      </c>
      <c r="O253" s="373">
        <f t="shared" si="113"/>
      </c>
      <c r="P253" s="373">
        <f t="shared" si="143"/>
      </c>
      <c r="Q253" s="373">
        <f t="shared" si="173"/>
      </c>
      <c r="R253" s="373">
        <f t="shared" si="233"/>
      </c>
      <c r="S253" s="374">
        <f t="shared" si="293"/>
      </c>
      <c r="T253" s="373">
        <f>(T246+T252)/2</f>
      </c>
      <c r="U253" s="370">
        <f>(U252+U246)/2</f>
      </c>
      <c r="V253" s="370">
        <f t="shared" si="353"/>
      </c>
      <c r="W253" s="374">
        <f>W246+W252</f>
      </c>
      <c r="X253" s="374">
        <f>X246+X252</f>
      </c>
      <c r="Y253" s="374">
        <f>Y246+Y252</f>
      </c>
      <c r="Z253" s="374">
        <f>Z246+Z252</f>
      </c>
      <c r="AA253" s="374">
        <f>AA246+AA252</f>
      </c>
      <c r="AB253" s="374">
        <f>AB246+AB252</f>
      </c>
      <c r="AC253" s="374">
        <f>AC246+AC252</f>
      </c>
      <c r="AD253" s="374">
        <f>AD246+AD252</f>
      </c>
      <c r="AE253" s="372">
        <f>AE246</f>
      </c>
      <c r="AF253" s="369"/>
      <c r="AG253" s="369"/>
      <c r="AH253" s="374">
        <f>AH246+AH252</f>
      </c>
    </row>
    <row r="254">
      <c r="A254" s="452" t="s">
        <v>197</v>
      </c>
      <c r="B254" s="452" t="s">
        <v>198</v>
      </c>
      <c r="C254" s="452"/>
      <c r="D254" s="453" t="s">
        <v>199</v>
      </c>
      <c r="E254" s="453"/>
      <c r="F254" s="453"/>
      <c r="G254" s="453"/>
      <c r="H254" s="453"/>
      <c r="I254" s="453"/>
      <c r="J254" s="453"/>
      <c r="K254" s="453"/>
      <c r="L254" s="453"/>
      <c r="M254" s="453"/>
      <c r="N254" s="454" t="s">
        <v>200</v>
      </c>
      <c r="O254" s="454"/>
      <c r="P254" s="454"/>
      <c r="Q254" s="454"/>
      <c r="R254" s="454"/>
      <c r="S254" s="454"/>
      <c r="T254" s="454"/>
      <c r="U254" s="454"/>
      <c r="V254" s="454"/>
      <c r="W254" s="454"/>
      <c r="X254" s="454"/>
      <c r="Y254" s="454"/>
      <c r="Z254" s="454"/>
      <c r="AA254" s="454"/>
      <c r="AB254" s="454"/>
      <c r="AC254" s="454"/>
      <c r="AD254" s="454"/>
      <c r="AE254" s="454"/>
      <c r="AF254" s="454"/>
      <c r="AG254" s="454"/>
      <c r="AH254" s="455"/>
    </row>
    <row r="255">
      <c r="A255" s="452"/>
      <c r="B255" s="452" t="s">
        <v>201</v>
      </c>
      <c r="C255" s="452" t="s">
        <v>202</v>
      </c>
      <c r="D255" s="456" t="s">
        <v>203</v>
      </c>
      <c r="E255" s="457"/>
      <c r="F255" s="457" t="s">
        <v>204</v>
      </c>
      <c r="G255" s="457" t="s">
        <v>205</v>
      </c>
      <c r="H255" s="456" t="s">
        <v>206</v>
      </c>
      <c r="I255" s="458" t="s">
        <v>207</v>
      </c>
      <c r="J255" s="458" t="s">
        <v>208</v>
      </c>
      <c r="K255" s="458" t="s">
        <v>209</v>
      </c>
      <c r="L255" s="458"/>
      <c r="M255" s="458" t="s">
        <v>210</v>
      </c>
      <c r="N255" s="459" t="s">
        <v>211</v>
      </c>
      <c r="O255" s="460" t="s">
        <v>212</v>
      </c>
      <c r="P255" s="460" t="s">
        <v>213</v>
      </c>
      <c r="Q255" s="460" t="s">
        <v>214</v>
      </c>
      <c r="R255" s="460" t="s">
        <v>215</v>
      </c>
      <c r="S255" s="461" t="s">
        <v>216</v>
      </c>
      <c r="T255" s="462" t="s">
        <v>217</v>
      </c>
      <c r="U255" s="463" t="s">
        <v>218</v>
      </c>
      <c r="V255" s="454" t="s">
        <v>219</v>
      </c>
      <c r="W255" s="464" t="s">
        <v>220</v>
      </c>
      <c r="X255" s="464" t="s">
        <v>221</v>
      </c>
      <c r="Y255" s="464" t="s">
        <v>222</v>
      </c>
      <c r="Z255" s="464" t="s">
        <v>223</v>
      </c>
      <c r="AA255" s="464" t="s">
        <v>224</v>
      </c>
      <c r="AB255" s="464" t="s">
        <v>225</v>
      </c>
      <c r="AC255" s="464" t="s">
        <v>226</v>
      </c>
      <c r="AD255" s="464" t="s">
        <v>227</v>
      </c>
      <c r="AE255" s="454" t="s">
        <v>228</v>
      </c>
      <c r="AF255" s="465" t="s">
        <v>229</v>
      </c>
      <c r="AG255" s="465" t="s">
        <v>230</v>
      </c>
      <c r="AH255" s="455" t="s">
        <v>231</v>
      </c>
    </row>
    <row r="256">
      <c r="A256" s="466">
        <v>46162</v>
      </c>
      <c r="B256" s="411" t="s">
        <v>249</v>
      </c>
      <c r="C256" s="411" t="s">
        <v>252</v>
      </c>
      <c r="D256" s="412">
        <v>3489.72</v>
      </c>
      <c r="E256" s="467"/>
      <c r="F256" s="467">
        <v>3</v>
      </c>
      <c r="G256" s="467">
        <v>3</v>
      </c>
      <c r="H256" s="412">
        <v>2013</v>
      </c>
      <c r="I256" s="416">
        <f t="shared" ref="I256:I268" si="204">H256/D256</f>
      </c>
      <c r="J256" s="416">
        <f t="shared" ref="J256:J268" si="264">D256/F256</f>
      </c>
      <c r="K256" s="416">
        <f t="shared" ref="K256:K268" si="324">D256/G256</f>
      </c>
      <c r="L256" s="416"/>
      <c r="M256" s="416">
        <f t="shared" ref="M256:M268" si="18">H256/F256</f>
      </c>
      <c r="N256" s="416">
        <f t="shared" ref="N256:N268" si="84">D256/X256</f>
      </c>
      <c r="O256" s="417">
        <f t="shared" ref="O256:O268" si="114">S256/W256*1</f>
      </c>
      <c r="P256" s="417">
        <f t="shared" ref="P256:P268" si="144">X256/W256</f>
      </c>
      <c r="Q256" s="417">
        <f t="shared" ref="Q256:Q268" si="174">Z256/W256</f>
      </c>
      <c r="R256" s="417">
        <f t="shared" ref="R256:R268" si="234">AA256/Z256</f>
      </c>
      <c r="S256" s="418">
        <f t="shared" ref="S256:S268" si="294">Y256/T256</f>
      </c>
      <c r="T256" s="417">
        <v>0.0302</v>
      </c>
      <c r="U256" s="418">
        <v>37</v>
      </c>
      <c r="V256" s="416">
        <f t="shared" ref="V256:V268" si="354">(D256/W256)*1000</f>
      </c>
      <c r="W256" s="418">
        <v>16772</v>
      </c>
      <c r="X256" s="418">
        <v>706</v>
      </c>
      <c r="Y256" s="418">
        <v>85</v>
      </c>
      <c r="Z256" s="418">
        <v>948</v>
      </c>
      <c r="AA256" s="418">
        <v>90</v>
      </c>
      <c r="AB256" s="418">
        <v>9</v>
      </c>
      <c r="AC256" s="418">
        <v>2</v>
      </c>
      <c r="AD256" s="418">
        <v>21</v>
      </c>
      <c r="AE256" s="416">
        <f t="shared" ref="AE256:AE267" si="48">AH256*1000/D256</f>
      </c>
      <c r="AF256" s="468" t="s">
        <v>263</v>
      </c>
      <c r="AG256" s="468" t="s">
        <v>259</v>
      </c>
      <c r="AH256" s="418">
        <v>36</v>
      </c>
    </row>
    <row r="257">
      <c r="A257" s="466"/>
      <c r="B257" s="411" t="s">
        <v>249</v>
      </c>
      <c r="C257" s="411" t="s">
        <v>255</v>
      </c>
      <c r="D257" s="412">
        <v>2348.86</v>
      </c>
      <c r="E257" s="467"/>
      <c r="F257" s="467">
        <v>3</v>
      </c>
      <c r="G257" s="467">
        <v>3</v>
      </c>
      <c r="H257" s="412">
        <v>1683</v>
      </c>
      <c r="I257" s="416">
        <f t="shared" si="204"/>
      </c>
      <c r="J257" s="416">
        <f t="shared" si="264"/>
      </c>
      <c r="K257" s="416">
        <f t="shared" si="324"/>
      </c>
      <c r="L257" s="416"/>
      <c r="M257" s="416">
        <f t="shared" si="18"/>
      </c>
      <c r="N257" s="416">
        <f t="shared" si="84"/>
      </c>
      <c r="O257" s="417">
        <f t="shared" si="114"/>
      </c>
      <c r="P257" s="417">
        <f t="shared" si="144"/>
      </c>
      <c r="Q257" s="417">
        <f t="shared" si="174"/>
      </c>
      <c r="R257" s="417">
        <f t="shared" si="234"/>
      </c>
      <c r="S257" s="418">
        <f t="shared" si="294"/>
      </c>
      <c r="T257" s="417">
        <v>0.0602</v>
      </c>
      <c r="U257" s="418">
        <v>40</v>
      </c>
      <c r="V257" s="416">
        <f t="shared" si="354"/>
      </c>
      <c r="W257" s="418">
        <v>13413</v>
      </c>
      <c r="X257" s="418">
        <v>543</v>
      </c>
      <c r="Y257" s="418">
        <v>88</v>
      </c>
      <c r="Z257" s="418">
        <v>688</v>
      </c>
      <c r="AA257" s="418">
        <v>59</v>
      </c>
      <c r="AB257" s="418">
        <v>3</v>
      </c>
      <c r="AC257" s="418">
        <v>0</v>
      </c>
      <c r="AD257" s="418">
        <v>15</v>
      </c>
      <c r="AE257" s="416">
        <f t="shared" si="48"/>
      </c>
      <c r="AF257" s="468" t="s">
        <v>263</v>
      </c>
      <c r="AG257" s="468" t="s">
        <v>254</v>
      </c>
      <c r="AH257" s="418">
        <v>27</v>
      </c>
    </row>
    <row r="258">
      <c r="A258" s="466"/>
      <c r="B258" s="411" t="s">
        <v>249</v>
      </c>
      <c r="C258" s="411" t="s">
        <v>256</v>
      </c>
      <c r="D258" s="412">
        <v>965.66</v>
      </c>
      <c r="E258" s="467"/>
      <c r="F258" s="467">
        <v>2</v>
      </c>
      <c r="G258" s="467">
        <v>0</v>
      </c>
      <c r="H258" s="412">
        <v>902</v>
      </c>
      <c r="I258" s="416">
        <f t="shared" si="204"/>
      </c>
      <c r="J258" s="416">
        <f t="shared" si="264"/>
      </c>
      <c r="K258" s="416">
        <f t="shared" si="324"/>
      </c>
      <c r="L258" s="416"/>
      <c r="M258" s="416">
        <f t="shared" si="18"/>
      </c>
      <c r="N258" s="416">
        <f t="shared" si="84"/>
      </c>
      <c r="O258" s="417">
        <f t="shared" si="114"/>
      </c>
      <c r="P258" s="417">
        <f t="shared" si="144"/>
      </c>
      <c r="Q258" s="417">
        <f t="shared" si="174"/>
      </c>
      <c r="R258" s="417">
        <f t="shared" si="234"/>
      </c>
      <c r="S258" s="418">
        <f t="shared" si="294"/>
      </c>
      <c r="T258" s="417">
        <v>0.0248</v>
      </c>
      <c r="U258" s="418">
        <v>42</v>
      </c>
      <c r="V258" s="416">
        <f t="shared" si="354"/>
      </c>
      <c r="W258" s="418">
        <v>4764</v>
      </c>
      <c r="X258" s="418">
        <v>208</v>
      </c>
      <c r="Y258" s="418">
        <v>26</v>
      </c>
      <c r="Z258" s="418">
        <v>296</v>
      </c>
      <c r="AA258" s="418">
        <v>24</v>
      </c>
      <c r="AB258" s="418">
        <v>4</v>
      </c>
      <c r="AC258" s="418">
        <v>0</v>
      </c>
      <c r="AD258" s="418">
        <v>10</v>
      </c>
      <c r="AE258" s="416">
        <f t="shared" si="48"/>
      </c>
      <c r="AF258" s="468" t="s">
        <v>263</v>
      </c>
      <c r="AG258" s="468" t="s">
        <v>254</v>
      </c>
      <c r="AH258" s="418">
        <v>9</v>
      </c>
    </row>
    <row r="259">
      <c r="A259" s="466"/>
      <c r="B259" s="411" t="s">
        <v>249</v>
      </c>
      <c r="C259" s="411" t="s">
        <v>257</v>
      </c>
      <c r="D259" s="412">
        <v>1337.39</v>
      </c>
      <c r="E259" s="467"/>
      <c r="F259" s="467">
        <v>1</v>
      </c>
      <c r="G259" s="467">
        <v>0</v>
      </c>
      <c r="H259" s="412">
        <v>428.4499999999998</v>
      </c>
      <c r="I259" s="416">
        <f t="shared" si="204"/>
      </c>
      <c r="J259" s="416">
        <f t="shared" si="264"/>
      </c>
      <c r="K259" s="416">
        <f t="shared" si="324"/>
      </c>
      <c r="L259" s="416"/>
      <c r="M259" s="416">
        <f t="shared" si="18"/>
      </c>
      <c r="N259" s="416">
        <f t="shared" si="84"/>
      </c>
      <c r="O259" s="417">
        <f t="shared" si="114"/>
      </c>
      <c r="P259" s="417">
        <f t="shared" si="144"/>
      </c>
      <c r="Q259" s="417">
        <f t="shared" si="174"/>
      </c>
      <c r="R259" s="417">
        <f t="shared" si="234"/>
      </c>
      <c r="S259" s="418">
        <f t="shared" si="294"/>
      </c>
      <c r="T259" s="417">
        <v>0.0292</v>
      </c>
      <c r="U259" s="418">
        <v>43</v>
      </c>
      <c r="V259" s="416">
        <f t="shared" si="354"/>
      </c>
      <c r="W259" s="418">
        <v>6192</v>
      </c>
      <c r="X259" s="418">
        <v>290</v>
      </c>
      <c r="Y259" s="418">
        <v>35</v>
      </c>
      <c r="Z259" s="418">
        <v>412</v>
      </c>
      <c r="AA259" s="418">
        <v>41</v>
      </c>
      <c r="AB259" s="418">
        <v>6</v>
      </c>
      <c r="AC259" s="418">
        <v>1</v>
      </c>
      <c r="AD259" s="418">
        <v>10</v>
      </c>
      <c r="AE259" s="416">
        <f t="shared" si="48"/>
      </c>
      <c r="AF259" s="468" t="s">
        <v>263</v>
      </c>
      <c r="AG259" s="468" t="s">
        <v>254</v>
      </c>
      <c r="AH259" s="418">
        <v>12</v>
      </c>
    </row>
    <row r="260">
      <c r="A260" s="466"/>
      <c r="B260" s="411" t="s">
        <v>249</v>
      </c>
      <c r="C260" s="411" t="s">
        <v>258</v>
      </c>
      <c r="D260" s="412">
        <v>969.74</v>
      </c>
      <c r="E260" s="467"/>
      <c r="F260" s="467">
        <v>1</v>
      </c>
      <c r="G260" s="467">
        <v>0</v>
      </c>
      <c r="H260" s="412">
        <v>451</v>
      </c>
      <c r="I260" s="416">
        <f t="shared" si="204"/>
      </c>
      <c r="J260" s="416">
        <f t="shared" si="264"/>
      </c>
      <c r="K260" s="416">
        <f t="shared" si="324"/>
      </c>
      <c r="L260" s="416"/>
      <c r="M260" s="416">
        <f t="shared" si="18"/>
      </c>
      <c r="N260" s="416">
        <f t="shared" si="84"/>
      </c>
      <c r="O260" s="417">
        <f t="shared" si="114"/>
      </c>
      <c r="P260" s="417">
        <f t="shared" si="144"/>
      </c>
      <c r="Q260" s="417">
        <f t="shared" si="174"/>
      </c>
      <c r="R260" s="417">
        <f t="shared" si="234"/>
      </c>
      <c r="S260" s="418">
        <f t="shared" si="294"/>
      </c>
      <c r="T260" s="417">
        <v>0.0287</v>
      </c>
      <c r="U260" s="418">
        <v>44</v>
      </c>
      <c r="V260" s="416">
        <f t="shared" si="354"/>
      </c>
      <c r="W260" s="418">
        <v>5151</v>
      </c>
      <c r="X260" s="418">
        <v>256</v>
      </c>
      <c r="Y260" s="418">
        <v>34</v>
      </c>
      <c r="Z260" s="418">
        <v>329</v>
      </c>
      <c r="AA260" s="418">
        <v>20</v>
      </c>
      <c r="AB260" s="418">
        <v>2</v>
      </c>
      <c r="AC260" s="418">
        <v>0</v>
      </c>
      <c r="AD260" s="418">
        <v>10</v>
      </c>
      <c r="AE260" s="416">
        <f t="shared" si="48"/>
      </c>
      <c r="AF260" s="468" t="s">
        <v>263</v>
      </c>
      <c r="AG260" s="468" t="s">
        <v>254</v>
      </c>
      <c r="AH260" s="418">
        <v>8</v>
      </c>
    </row>
    <row r="261">
      <c r="A261" s="466"/>
      <c r="B261" s="427" t="s">
        <v>240</v>
      </c>
      <c r="C261" s="427"/>
      <c r="D261" s="428">
        <f>SUM(D256:D260)</f>
      </c>
      <c r="E261" s="429"/>
      <c r="F261" s="429">
        <f>SUM(F256:F260)</f>
      </c>
      <c r="G261" s="429">
        <f>SUM(G256:G260)</f>
      </c>
      <c r="H261" s="428">
        <f>SUM(H256:H260)</f>
      </c>
      <c r="I261" s="430">
        <f t="shared" si="204"/>
      </c>
      <c r="J261" s="430">
        <f t="shared" si="264"/>
      </c>
      <c r="K261" s="430">
        <f t="shared" si="324"/>
      </c>
      <c r="L261" s="430"/>
      <c r="M261" s="430">
        <f t="shared" si="18"/>
      </c>
      <c r="N261" s="430">
        <f t="shared" si="84"/>
      </c>
      <c r="O261" s="431">
        <f t="shared" si="114"/>
      </c>
      <c r="P261" s="431">
        <f t="shared" si="144"/>
      </c>
      <c r="Q261" s="431">
        <f t="shared" si="174"/>
      </c>
      <c r="R261" s="431">
        <f t="shared" si="234"/>
      </c>
      <c r="S261" s="432">
        <f t="shared" si="294"/>
      </c>
      <c r="T261" s="431">
        <f>AVERAGE(T256:T260)</f>
      </c>
      <c r="U261" s="428">
        <f>AVERAGE(U256:U260)</f>
      </c>
      <c r="V261" s="430">
        <f t="shared" si="354"/>
      </c>
      <c r="W261" s="432">
        <f>SUM(W256:W260)</f>
      </c>
      <c r="X261" s="432">
        <f>SUM(X256:X260)</f>
      </c>
      <c r="Y261" s="432">
        <f>SUM(Y256:Y260)</f>
      </c>
      <c r="Z261" s="432">
        <f>SUM(Z256:Z260)</f>
      </c>
      <c r="AA261" s="432">
        <f>SUM(AA256:AA260)</f>
      </c>
      <c r="AB261" s="432">
        <f>SUM(AB256:AB260)</f>
      </c>
      <c r="AC261" s="432">
        <f>SUM(AC256:AC260)</f>
      </c>
      <c r="AD261" s="432">
        <f>SUM(AD256:AD260)</f>
      </c>
      <c r="AE261" s="433">
        <f t="shared" si="48"/>
      </c>
      <c r="AF261" s="434"/>
      <c r="AG261" s="434"/>
      <c r="AH261" s="435">
        <f>SUM(AH256:AH260)</f>
      </c>
    </row>
    <row r="262">
      <c r="A262" s="466"/>
      <c r="B262" s="411" t="s">
        <v>248</v>
      </c>
      <c r="C262" s="411" t="s">
        <v>260</v>
      </c>
      <c r="D262" s="412">
        <v>920.39</v>
      </c>
      <c r="E262" s="467"/>
      <c r="F262" s="467">
        <v>0</v>
      </c>
      <c r="G262" s="467">
        <v>0</v>
      </c>
      <c r="H262" s="412">
        <v>0</v>
      </c>
      <c r="I262" s="416">
        <f t="shared" si="204"/>
      </c>
      <c r="J262" s="416">
        <f t="shared" si="264"/>
      </c>
      <c r="K262" s="416">
        <f t="shared" si="324"/>
      </c>
      <c r="L262" s="416"/>
      <c r="M262" s="416">
        <f t="shared" si="18"/>
      </c>
      <c r="N262" s="416">
        <f t="shared" si="84"/>
      </c>
      <c r="O262" s="417">
        <f t="shared" si="114"/>
      </c>
      <c r="P262" s="417">
        <f t="shared" si="144"/>
      </c>
      <c r="Q262" s="417">
        <f t="shared" si="174"/>
      </c>
      <c r="R262" s="417">
        <f t="shared" si="234"/>
      </c>
      <c r="S262" s="418">
        <f t="shared" si="294"/>
      </c>
      <c r="T262" s="417">
        <v>0.0291</v>
      </c>
      <c r="U262" s="418">
        <v>44</v>
      </c>
      <c r="V262" s="416">
        <f t="shared" si="354"/>
      </c>
      <c r="W262" s="418">
        <v>5292</v>
      </c>
      <c r="X262" s="418">
        <v>261</v>
      </c>
      <c r="Y262" s="418">
        <v>29</v>
      </c>
      <c r="Z262" s="418">
        <v>348</v>
      </c>
      <c r="AA262" s="418">
        <v>14</v>
      </c>
      <c r="AB262" s="418">
        <v>5</v>
      </c>
      <c r="AC262" s="418">
        <v>0</v>
      </c>
      <c r="AD262" s="418">
        <v>5</v>
      </c>
      <c r="AE262" s="416">
        <f t="shared" si="48"/>
      </c>
      <c r="AF262" s="468" t="s">
        <v>263</v>
      </c>
      <c r="AG262" s="468" t="s">
        <v>254</v>
      </c>
      <c r="AH262" s="418">
        <v>10</v>
      </c>
    </row>
    <row r="263">
      <c r="A263" s="466"/>
      <c r="B263" s="411" t="s">
        <v>248</v>
      </c>
      <c r="C263" s="411" t="s">
        <v>261</v>
      </c>
      <c r="D263" s="412">
        <v>1026.59</v>
      </c>
      <c r="E263" s="467"/>
      <c r="F263" s="467">
        <v>4</v>
      </c>
      <c r="G263" s="467">
        <v>4</v>
      </c>
      <c r="H263" s="412">
        <v>4548.500000000001</v>
      </c>
      <c r="I263" s="416">
        <f t="shared" si="204"/>
      </c>
      <c r="J263" s="416">
        <f t="shared" si="264"/>
      </c>
      <c r="K263" s="416">
        <f t="shared" si="324"/>
      </c>
      <c r="L263" s="416"/>
      <c r="M263" s="416">
        <f t="shared" si="18"/>
      </c>
      <c r="N263" s="416">
        <f t="shared" si="84"/>
      </c>
      <c r="O263" s="417">
        <f t="shared" si="114"/>
      </c>
      <c r="P263" s="417">
        <f t="shared" si="144"/>
      </c>
      <c r="Q263" s="417">
        <f t="shared" si="174"/>
      </c>
      <c r="R263" s="417">
        <f t="shared" si="234"/>
      </c>
      <c r="S263" s="418">
        <f t="shared" si="294"/>
      </c>
      <c r="T263" s="417">
        <v>0.021</v>
      </c>
      <c r="U263" s="418">
        <v>45</v>
      </c>
      <c r="V263" s="416">
        <f t="shared" si="354"/>
      </c>
      <c r="W263" s="418">
        <v>5579</v>
      </c>
      <c r="X263" s="418">
        <v>311</v>
      </c>
      <c r="Y263" s="418">
        <v>23</v>
      </c>
      <c r="Z263" s="418">
        <v>404</v>
      </c>
      <c r="AA263" s="418">
        <v>46</v>
      </c>
      <c r="AB263" s="418">
        <v>4</v>
      </c>
      <c r="AC263" s="418">
        <v>0</v>
      </c>
      <c r="AD263" s="418">
        <v>6</v>
      </c>
      <c r="AE263" s="416">
        <f t="shared" si="48"/>
      </c>
      <c r="AF263" s="468" t="s">
        <v>263</v>
      </c>
      <c r="AG263" s="468" t="s">
        <v>254</v>
      </c>
      <c r="AH263" s="418">
        <v>10</v>
      </c>
    </row>
    <row r="264">
      <c r="A264" s="466"/>
      <c r="B264" s="411" t="s">
        <v>248</v>
      </c>
      <c r="C264" s="411" t="s">
        <v>262</v>
      </c>
      <c r="D264" s="412">
        <v>1158.38</v>
      </c>
      <c r="E264" s="467"/>
      <c r="F264" s="467">
        <v>2</v>
      </c>
      <c r="G264" s="467">
        <v>2</v>
      </c>
      <c r="H264" s="412">
        <v>2262.699999999999</v>
      </c>
      <c r="I264" s="416">
        <f t="shared" si="204"/>
      </c>
      <c r="J264" s="416">
        <f t="shared" si="264"/>
      </c>
      <c r="K264" s="416">
        <f t="shared" si="324"/>
      </c>
      <c r="L264" s="416"/>
      <c r="M264" s="416">
        <f t="shared" si="18"/>
      </c>
      <c r="N264" s="416">
        <f t="shared" si="84"/>
      </c>
      <c r="O264" s="417">
        <f t="shared" si="114"/>
      </c>
      <c r="P264" s="417">
        <f t="shared" si="144"/>
      </c>
      <c r="Q264" s="417">
        <f t="shared" si="174"/>
      </c>
      <c r="R264" s="417">
        <f t="shared" si="234"/>
      </c>
      <c r="S264" s="418">
        <f t="shared" si="294"/>
      </c>
      <c r="T264" s="417">
        <v>0.0227</v>
      </c>
      <c r="U264" s="418">
        <v>45</v>
      </c>
      <c r="V264" s="416">
        <f t="shared" si="354"/>
      </c>
      <c r="W264" s="418">
        <v>5864</v>
      </c>
      <c r="X264" s="418">
        <v>353</v>
      </c>
      <c r="Y264" s="418">
        <v>35</v>
      </c>
      <c r="Z264" s="418">
        <v>435</v>
      </c>
      <c r="AA264" s="418">
        <v>39</v>
      </c>
      <c r="AB264" s="418">
        <v>7</v>
      </c>
      <c r="AC264" s="418">
        <v>1</v>
      </c>
      <c r="AD264" s="418">
        <v>6</v>
      </c>
      <c r="AE264" s="416">
        <f t="shared" si="48"/>
      </c>
      <c r="AF264" s="468" t="s">
        <v>263</v>
      </c>
      <c r="AG264" s="468" t="s">
        <v>254</v>
      </c>
      <c r="AH264" s="418">
        <v>14</v>
      </c>
    </row>
    <row r="265">
      <c r="A265" s="466"/>
      <c r="B265" s="411" t="s">
        <v>248</v>
      </c>
      <c r="C265" s="411" t="s">
        <v>243</v>
      </c>
      <c r="D265" s="412">
        <v>1595.04</v>
      </c>
      <c r="E265" s="467"/>
      <c r="F265" s="467">
        <v>3</v>
      </c>
      <c r="G265" s="467">
        <v>1</v>
      </c>
      <c r="H265" s="412">
        <v>2394.1499999999996</v>
      </c>
      <c r="I265" s="416">
        <f t="shared" si="204"/>
      </c>
      <c r="J265" s="416">
        <f t="shared" si="264"/>
      </c>
      <c r="K265" s="416">
        <f t="shared" si="324"/>
      </c>
      <c r="L265" s="416"/>
      <c r="M265" s="416">
        <f t="shared" si="18"/>
      </c>
      <c r="N265" s="416">
        <f t="shared" si="84"/>
      </c>
      <c r="O265" s="417">
        <f t="shared" si="114"/>
      </c>
      <c r="P265" s="417">
        <f t="shared" si="144"/>
      </c>
      <c r="Q265" s="417">
        <f t="shared" si="174"/>
      </c>
      <c r="R265" s="417">
        <f t="shared" si="234"/>
      </c>
      <c r="S265" s="418">
        <f t="shared" si="294"/>
      </c>
      <c r="T265" s="417">
        <v>0.0194</v>
      </c>
      <c r="U265" s="418">
        <v>45</v>
      </c>
      <c r="V265" s="416">
        <f t="shared" si="354"/>
      </c>
      <c r="W265" s="418">
        <v>9278</v>
      </c>
      <c r="X265" s="418">
        <v>465</v>
      </c>
      <c r="Y265" s="418">
        <v>42</v>
      </c>
      <c r="Z265" s="418">
        <v>589</v>
      </c>
      <c r="AA265" s="418">
        <v>21</v>
      </c>
      <c r="AB265" s="418">
        <v>7</v>
      </c>
      <c r="AC265" s="418">
        <v>0</v>
      </c>
      <c r="AD265" s="418">
        <v>5</v>
      </c>
      <c r="AE265" s="416">
        <f t="shared" si="48"/>
      </c>
      <c r="AF265" s="468" t="s">
        <v>234</v>
      </c>
      <c r="AG265" s="468" t="s">
        <v>250</v>
      </c>
      <c r="AH265" s="418">
        <v>11</v>
      </c>
    </row>
    <row r="266">
      <c r="A266" s="466"/>
      <c r="B266" s="411" t="s">
        <v>248</v>
      </c>
      <c r="C266" s="411" t="s">
        <v>244</v>
      </c>
      <c r="D266" s="412">
        <v>648.17</v>
      </c>
      <c r="E266" s="467"/>
      <c r="F266" s="467">
        <v>4</v>
      </c>
      <c r="G266" s="467">
        <v>1</v>
      </c>
      <c r="H266" s="412">
        <v>1804</v>
      </c>
      <c r="I266" s="416">
        <f t="shared" si="204"/>
      </c>
      <c r="J266" s="416">
        <f t="shared" si="264"/>
      </c>
      <c r="K266" s="416">
        <f t="shared" si="324"/>
      </c>
      <c r="L266" s="416"/>
      <c r="M266" s="416">
        <f t="shared" si="18"/>
      </c>
      <c r="N266" s="416">
        <f t="shared" si="84"/>
      </c>
      <c r="O266" s="417">
        <f t="shared" si="114"/>
      </c>
      <c r="P266" s="417">
        <f t="shared" si="144"/>
      </c>
      <c r="Q266" s="417">
        <f t="shared" si="174"/>
      </c>
      <c r="R266" s="417">
        <f t="shared" si="234"/>
      </c>
      <c r="S266" s="418">
        <f t="shared" si="294"/>
      </c>
      <c r="T266" s="417">
        <v>0.019</v>
      </c>
      <c r="U266" s="418">
        <v>46</v>
      </c>
      <c r="V266" s="416">
        <f t="shared" si="354"/>
      </c>
      <c r="W266" s="418">
        <v>4303</v>
      </c>
      <c r="X266" s="418">
        <v>207</v>
      </c>
      <c r="Y266" s="418">
        <v>20</v>
      </c>
      <c r="Z266" s="418">
        <v>306</v>
      </c>
      <c r="AA266" s="418">
        <v>39</v>
      </c>
      <c r="AB266" s="418">
        <v>5</v>
      </c>
      <c r="AC266" s="418">
        <v>1</v>
      </c>
      <c r="AD266" s="418">
        <v>2</v>
      </c>
      <c r="AE266" s="416">
        <f t="shared" si="48"/>
      </c>
      <c r="AF266" s="468" t="s">
        <v>234</v>
      </c>
      <c r="AG266" s="468" t="s">
        <v>250</v>
      </c>
      <c r="AH266" s="418">
        <v>14</v>
      </c>
    </row>
    <row r="267">
      <c r="A267" s="466"/>
      <c r="B267" s="427" t="s">
        <v>240</v>
      </c>
      <c r="C267" s="427"/>
      <c r="D267" s="428">
        <f>SUM(D262:D266)</f>
      </c>
      <c r="E267" s="429"/>
      <c r="F267" s="429">
        <f>SUM(F262:F266)</f>
      </c>
      <c r="G267" s="429">
        <f>SUM(G262:G266)</f>
      </c>
      <c r="H267" s="428">
        <f>SUM(H262:H266)</f>
      </c>
      <c r="I267" s="430">
        <f t="shared" si="204"/>
      </c>
      <c r="J267" s="430">
        <f t="shared" si="264"/>
      </c>
      <c r="K267" s="430">
        <f t="shared" si="324"/>
      </c>
      <c r="L267" s="430"/>
      <c r="M267" s="430">
        <f t="shared" si="18"/>
      </c>
      <c r="N267" s="430">
        <f t="shared" si="84"/>
      </c>
      <c r="O267" s="431">
        <f t="shared" si="114"/>
      </c>
      <c r="P267" s="431">
        <f t="shared" si="144"/>
      </c>
      <c r="Q267" s="431">
        <f t="shared" si="174"/>
      </c>
      <c r="R267" s="431">
        <f t="shared" si="234"/>
      </c>
      <c r="S267" s="432">
        <f t="shared" si="294"/>
      </c>
      <c r="T267" s="431">
        <f>AVERAGE(T262:T266)</f>
      </c>
      <c r="U267" s="428">
        <f>AVERAGE(U262:U266)</f>
      </c>
      <c r="V267" s="430">
        <f t="shared" si="354"/>
      </c>
      <c r="W267" s="432">
        <f>SUM(W262:W266)</f>
      </c>
      <c r="X267" s="432">
        <f>SUM(X262:X266)</f>
      </c>
      <c r="Y267" s="432">
        <f>SUM(Y262:Y266)</f>
      </c>
      <c r="Z267" s="432">
        <f>SUM(Z262:Z266)</f>
      </c>
      <c r="AA267" s="432">
        <f>SUM(AA262:AA266)</f>
      </c>
      <c r="AB267" s="432">
        <f>SUM(AB262:AB266)</f>
      </c>
      <c r="AC267" s="432">
        <f>SUM(AC262:AC266)</f>
      </c>
      <c r="AD267" s="432">
        <f>SUM(AD262:AD266)</f>
      </c>
      <c r="AE267" s="433">
        <f t="shared" si="48"/>
      </c>
      <c r="AF267" s="434"/>
      <c r="AG267" s="434"/>
      <c r="AH267" s="432">
        <f>SUM(AH262:AH266)</f>
      </c>
    </row>
    <row r="268">
      <c r="A268" s="466"/>
      <c r="B268" s="469" t="s">
        <v>241</v>
      </c>
      <c r="C268" s="469"/>
      <c r="D268" s="470">
        <f>D261+D267</f>
      </c>
      <c r="E268" s="471"/>
      <c r="F268" s="471">
        <f>F261+F267</f>
      </c>
      <c r="G268" s="471">
        <f>G261+G267</f>
      </c>
      <c r="H268" s="470">
        <f>H261+H267</f>
      </c>
      <c r="I268" s="472">
        <f t="shared" si="204"/>
      </c>
      <c r="J268" s="472">
        <f t="shared" si="264"/>
      </c>
      <c r="K268" s="472">
        <f t="shared" si="324"/>
      </c>
      <c r="L268" s="472"/>
      <c r="M268" s="472">
        <f t="shared" si="18"/>
      </c>
      <c r="N268" s="472">
        <f t="shared" si="84"/>
      </c>
      <c r="O268" s="473">
        <f t="shared" si="114"/>
      </c>
      <c r="P268" s="473">
        <f t="shared" si="144"/>
      </c>
      <c r="Q268" s="473">
        <f t="shared" si="174"/>
      </c>
      <c r="R268" s="473">
        <f t="shared" si="234"/>
      </c>
      <c r="S268" s="474">
        <f t="shared" si="294"/>
      </c>
      <c r="T268" s="473">
        <f>(T261+T267)/2</f>
      </c>
      <c r="U268" s="470">
        <f>(U267+U261)/2</f>
      </c>
      <c r="V268" s="470">
        <f t="shared" si="354"/>
      </c>
      <c r="W268" s="474">
        <f>W261+W267</f>
      </c>
      <c r="X268" s="474">
        <f>X261+X267</f>
      </c>
      <c r="Y268" s="474">
        <f>Y261+Y267</f>
      </c>
      <c r="Z268" s="474">
        <f>Z261+Z267</f>
      </c>
      <c r="AA268" s="474">
        <f>AA261+AA267</f>
      </c>
      <c r="AB268" s="474">
        <f>AB261+AB267</f>
      </c>
      <c r="AC268" s="474">
        <f>AC261+AC267</f>
      </c>
      <c r="AD268" s="474">
        <f>AD261+AD267</f>
      </c>
      <c r="AE268" s="472">
        <f>AE261</f>
      </c>
      <c r="AF268" s="469"/>
      <c r="AG268" s="469"/>
      <c r="AH268" s="474">
        <f>AH261+AH267</f>
      </c>
    </row>
    <row r="269">
      <c r="A269" s="380" t="s">
        <v>197</v>
      </c>
      <c r="B269" s="396" t="s">
        <v>198</v>
      </c>
      <c r="C269" s="396"/>
      <c r="D269" s="381" t="s">
        <v>199</v>
      </c>
      <c r="E269" s="381"/>
      <c r="F269" s="381"/>
      <c r="G269" s="381"/>
      <c r="H269" s="381"/>
      <c r="I269" s="381"/>
      <c r="J269" s="381"/>
      <c r="K269" s="381"/>
      <c r="L269" s="381"/>
      <c r="M269" s="381"/>
      <c r="N269" s="382" t="s">
        <v>200</v>
      </c>
      <c r="O269" s="382"/>
      <c r="P269" s="382"/>
      <c r="Q269" s="382"/>
      <c r="R269" s="382"/>
      <c r="S269" s="382"/>
      <c r="T269" s="382"/>
      <c r="U269" s="382"/>
      <c r="V269" s="382"/>
      <c r="W269" s="382"/>
      <c r="X269" s="382"/>
      <c r="Y269" s="382"/>
      <c r="Z269" s="382"/>
      <c r="AA269" s="382"/>
      <c r="AB269" s="382"/>
      <c r="AC269" s="382"/>
      <c r="AD269" s="382"/>
      <c r="AE269" s="382"/>
      <c r="AF269" s="382"/>
      <c r="AG269" s="382"/>
      <c r="AH269" s="340"/>
    </row>
    <row r="270">
      <c r="A270" s="380"/>
      <c r="B270" s="396" t="s">
        <v>201</v>
      </c>
      <c r="C270" s="398" t="s">
        <v>202</v>
      </c>
      <c r="D270" s="399" t="s">
        <v>203</v>
      </c>
      <c r="E270" s="391"/>
      <c r="F270" s="391" t="s">
        <v>204</v>
      </c>
      <c r="G270" s="391" t="s">
        <v>205</v>
      </c>
      <c r="H270" s="399" t="s">
        <v>206</v>
      </c>
      <c r="I270" s="384" t="s">
        <v>207</v>
      </c>
      <c r="J270" s="384" t="s">
        <v>208</v>
      </c>
      <c r="K270" s="384" t="s">
        <v>209</v>
      </c>
      <c r="L270" s="384"/>
      <c r="M270" s="384" t="s">
        <v>210</v>
      </c>
      <c r="N270" s="385" t="s">
        <v>211</v>
      </c>
      <c r="O270" s="386" t="s">
        <v>212</v>
      </c>
      <c r="P270" s="386" t="s">
        <v>213</v>
      </c>
      <c r="Q270" s="386" t="s">
        <v>214</v>
      </c>
      <c r="R270" s="386" t="s">
        <v>215</v>
      </c>
      <c r="S270" s="387" t="s">
        <v>216</v>
      </c>
      <c r="T270" s="392" t="s">
        <v>217</v>
      </c>
      <c r="U270" s="393" t="s">
        <v>218</v>
      </c>
      <c r="V270" s="382" t="s">
        <v>219</v>
      </c>
      <c r="W270" s="394" t="s">
        <v>220</v>
      </c>
      <c r="X270" s="394" t="s">
        <v>221</v>
      </c>
      <c r="Y270" s="394" t="s">
        <v>222</v>
      </c>
      <c r="Z270" s="394" t="s">
        <v>223</v>
      </c>
      <c r="AA270" s="394" t="s">
        <v>224</v>
      </c>
      <c r="AB270" s="394" t="s">
        <v>225</v>
      </c>
      <c r="AC270" s="394" t="s">
        <v>226</v>
      </c>
      <c r="AD270" s="394" t="s">
        <v>227</v>
      </c>
      <c r="AE270" s="382" t="s">
        <v>228</v>
      </c>
      <c r="AF270" s="389" t="s">
        <v>229</v>
      </c>
      <c r="AG270" s="389" t="s">
        <v>230</v>
      </c>
      <c r="AH270" s="340" t="s">
        <v>231</v>
      </c>
    </row>
    <row r="271">
      <c r="A271" s="397">
        <v>46163</v>
      </c>
      <c r="B271" s="410" t="s">
        <v>246</v>
      </c>
      <c r="C271" s="400" t="s">
        <v>252</v>
      </c>
      <c r="D271" s="349">
        <v>3628.12</v>
      </c>
      <c r="E271" s="350"/>
      <c r="F271" s="350">
        <v>6</v>
      </c>
      <c r="G271" s="350">
        <v>6</v>
      </c>
      <c r="H271" s="349">
        <v>4068.9</v>
      </c>
      <c r="I271" s="436">
        <f t="shared" ref="I271:I286" si="205">H271/D271</f>
      </c>
      <c r="J271" s="351">
        <f t="shared" ref="J271:J286" si="265">D271/F271</f>
      </c>
      <c r="K271" s="351">
        <f t="shared" ref="K271:K286" si="325">D271/G271</f>
      </c>
      <c r="L271" s="351"/>
      <c r="M271" s="351">
        <f t="shared" ref="M271:M286" si="19">H271/F271</f>
      </c>
      <c r="N271" s="351">
        <f t="shared" ref="N271:N286" si="85">D271/X271</f>
      </c>
      <c r="O271" s="352">
        <f t="shared" ref="O271:O286" si="115">S271/W271*1</f>
      </c>
      <c r="P271" s="352">
        <f t="shared" ref="P271:P286" si="145">X271/W271</f>
      </c>
      <c r="Q271" s="352">
        <f t="shared" ref="Q271:Q286" si="175">Z271/W271</f>
      </c>
      <c r="R271" s="352">
        <f t="shared" ref="R271:R286" si="235">AA271/Z271</f>
      </c>
      <c r="S271" s="353">
        <f t="shared" ref="S271:S286" si="295">Y271/T271</f>
      </c>
      <c r="T271" s="354">
        <v>0.0393</v>
      </c>
      <c r="U271" s="355">
        <v>35</v>
      </c>
      <c r="V271" s="351">
        <f t="shared" ref="V271:V286" si="355">(D271/W271)*1000</f>
      </c>
      <c r="W271" s="355">
        <v>19956</v>
      </c>
      <c r="X271" s="355">
        <v>705</v>
      </c>
      <c r="Y271" s="353">
        <v>83</v>
      </c>
      <c r="Z271" s="353">
        <v>970</v>
      </c>
      <c r="AA271" s="353">
        <v>41</v>
      </c>
      <c r="AB271" s="353">
        <v>11</v>
      </c>
      <c r="AC271" s="353">
        <v>0</v>
      </c>
      <c r="AD271" s="355">
        <v>19</v>
      </c>
      <c r="AE271" s="351">
        <f t="shared" ref="AE271:AE285" si="49">AH271*1000/D271</f>
      </c>
      <c r="AF271" s="356" t="s">
        <v>253</v>
      </c>
      <c r="AG271" s="451" t="s">
        <v>259</v>
      </c>
      <c r="AH271" s="355">
        <v>28</v>
      </c>
    </row>
    <row r="272">
      <c r="A272" s="397"/>
      <c r="B272" s="410" t="s">
        <v>246</v>
      </c>
      <c r="C272" s="437" t="s">
        <v>255</v>
      </c>
      <c r="D272" s="349">
        <v>1995.81</v>
      </c>
      <c r="E272" s="350"/>
      <c r="F272" s="350">
        <v>3</v>
      </c>
      <c r="G272" s="350">
        <v>3</v>
      </c>
      <c r="H272" s="349">
        <v>1352.9999999999995</v>
      </c>
      <c r="I272" s="436">
        <f t="shared" si="205"/>
      </c>
      <c r="J272" s="351">
        <f t="shared" si="265"/>
      </c>
      <c r="K272" s="351">
        <f t="shared" si="325"/>
      </c>
      <c r="L272" s="351"/>
      <c r="M272" s="351">
        <f t="shared" si="19"/>
      </c>
      <c r="N272" s="351">
        <f t="shared" si="85"/>
      </c>
      <c r="O272" s="352">
        <f t="shared" si="115"/>
      </c>
      <c r="P272" s="352">
        <f t="shared" si="145"/>
      </c>
      <c r="Q272" s="352">
        <f t="shared" si="175"/>
      </c>
      <c r="R272" s="352">
        <f t="shared" si="235"/>
      </c>
      <c r="S272" s="353">
        <f t="shared" si="295"/>
      </c>
      <c r="T272" s="354">
        <v>0.0433</v>
      </c>
      <c r="U272" s="355">
        <v>40</v>
      </c>
      <c r="V272" s="351">
        <f t="shared" si="355"/>
      </c>
      <c r="W272" s="355">
        <v>13290</v>
      </c>
      <c r="X272" s="355">
        <v>418</v>
      </c>
      <c r="Y272" s="353">
        <v>66</v>
      </c>
      <c r="Z272" s="353">
        <v>523</v>
      </c>
      <c r="AA272" s="355">
        <v>51</v>
      </c>
      <c r="AB272" s="353">
        <v>6</v>
      </c>
      <c r="AC272" s="355">
        <v>2</v>
      </c>
      <c r="AD272" s="355">
        <v>16</v>
      </c>
      <c r="AE272" s="351">
        <f t="shared" si="49"/>
      </c>
      <c r="AF272" s="356" t="s">
        <v>253</v>
      </c>
      <c r="AG272" s="451" t="s">
        <v>259</v>
      </c>
      <c r="AH272" s="355">
        <v>12</v>
      </c>
    </row>
    <row r="273">
      <c r="A273" s="397"/>
      <c r="B273" s="410" t="s">
        <v>246</v>
      </c>
      <c r="C273" s="400" t="s">
        <v>256</v>
      </c>
      <c r="D273" s="349">
        <v>852.07</v>
      </c>
      <c r="E273" s="350"/>
      <c r="F273" s="350">
        <v>2</v>
      </c>
      <c r="G273" s="350">
        <v>1</v>
      </c>
      <c r="H273" s="349">
        <v>902</v>
      </c>
      <c r="I273" s="436">
        <f t="shared" si="205"/>
      </c>
      <c r="J273" s="351">
        <f t="shared" si="265"/>
      </c>
      <c r="K273" s="351">
        <f t="shared" si="325"/>
      </c>
      <c r="L273" s="351"/>
      <c r="M273" s="351">
        <f t="shared" si="19"/>
      </c>
      <c r="N273" s="351">
        <f t="shared" si="85"/>
      </c>
      <c r="O273" s="352">
        <f t="shared" si="115"/>
      </c>
      <c r="P273" s="352">
        <f t="shared" si="145"/>
      </c>
      <c r="Q273" s="352">
        <f t="shared" si="175"/>
      </c>
      <c r="R273" s="352">
        <f t="shared" si="235"/>
      </c>
      <c r="S273" s="353">
        <f t="shared" si="295"/>
      </c>
      <c r="T273" s="354">
        <v>0.0214</v>
      </c>
      <c r="U273" s="355">
        <v>38</v>
      </c>
      <c r="V273" s="351">
        <f t="shared" si="355"/>
      </c>
      <c r="W273" s="355">
        <v>5509</v>
      </c>
      <c r="X273" s="355">
        <v>219</v>
      </c>
      <c r="Y273" s="355">
        <v>22</v>
      </c>
      <c r="Z273" s="355">
        <v>295</v>
      </c>
      <c r="AA273" s="355">
        <v>16</v>
      </c>
      <c r="AB273" s="355">
        <v>1</v>
      </c>
      <c r="AC273" s="355">
        <v>0</v>
      </c>
      <c r="AD273" s="355">
        <v>4</v>
      </c>
      <c r="AE273" s="351">
        <f t="shared" si="49"/>
      </c>
      <c r="AF273" s="356" t="s">
        <v>253</v>
      </c>
      <c r="AG273" s="451" t="s">
        <v>259</v>
      </c>
      <c r="AH273" s="355">
        <v>21</v>
      </c>
    </row>
    <row r="274">
      <c r="A274" s="397"/>
      <c r="B274" s="410" t="s">
        <v>246</v>
      </c>
      <c r="C274" s="348" t="s">
        <v>257</v>
      </c>
      <c r="D274" s="438">
        <v>2271.82</v>
      </c>
      <c r="E274" s="379"/>
      <c r="F274" s="379">
        <v>0</v>
      </c>
      <c r="G274" s="379">
        <v>0</v>
      </c>
      <c r="H274" s="438">
        <v>0</v>
      </c>
      <c r="I274" s="351">
        <f t="shared" si="205"/>
      </c>
      <c r="J274" s="351">
        <f t="shared" si="265"/>
      </c>
      <c r="K274" s="351">
        <f t="shared" si="325"/>
      </c>
      <c r="L274" s="351"/>
      <c r="M274" s="351">
        <f t="shared" si="19"/>
      </c>
      <c r="N274" s="351">
        <f t="shared" si="85"/>
      </c>
      <c r="O274" s="352">
        <f t="shared" si="115"/>
      </c>
      <c r="P274" s="352">
        <f t="shared" si="145"/>
      </c>
      <c r="Q274" s="352">
        <f t="shared" si="175"/>
      </c>
      <c r="R274" s="352">
        <f t="shared" si="235"/>
      </c>
      <c r="S274" s="353">
        <f t="shared" si="295"/>
      </c>
      <c r="T274" s="354">
        <v>0.0505</v>
      </c>
      <c r="U274" s="355">
        <v>36</v>
      </c>
      <c r="V274" s="351">
        <f t="shared" si="355"/>
      </c>
      <c r="W274" s="353">
        <v>16526</v>
      </c>
      <c r="X274" s="353">
        <v>429</v>
      </c>
      <c r="Y274" s="353">
        <v>60</v>
      </c>
      <c r="Z274" s="353">
        <v>557</v>
      </c>
      <c r="AA274" s="353">
        <v>67</v>
      </c>
      <c r="AB274" s="353">
        <v>5</v>
      </c>
      <c r="AC274" s="353">
        <v>1</v>
      </c>
      <c r="AD274" s="353">
        <v>20</v>
      </c>
      <c r="AE274" s="351">
        <f t="shared" si="49"/>
      </c>
      <c r="AF274" s="356" t="s">
        <v>253</v>
      </c>
      <c r="AG274" s="451" t="s">
        <v>259</v>
      </c>
      <c r="AH274" s="355">
        <v>25</v>
      </c>
    </row>
    <row r="275">
      <c r="A275" s="397"/>
      <c r="B275" s="360" t="s">
        <v>240</v>
      </c>
      <c r="C275" s="360"/>
      <c r="D275" s="361">
        <f>SUM(D271:D274)</f>
      </c>
      <c r="E275" s="362"/>
      <c r="F275" s="362">
        <f>SUM(F271:F274)</f>
      </c>
      <c r="G275" s="362">
        <f>SUM(G271:G274)</f>
      </c>
      <c r="H275" s="361">
        <f>SUM(H271:H274)</f>
      </c>
      <c r="I275" s="363">
        <f t="shared" si="205"/>
      </c>
      <c r="J275" s="363">
        <f t="shared" si="265"/>
      </c>
      <c r="K275" s="363">
        <f t="shared" si="325"/>
      </c>
      <c r="L275" s="363"/>
      <c r="M275" s="363">
        <f t="shared" si="19"/>
      </c>
      <c r="N275" s="363">
        <f t="shared" si="85"/>
      </c>
      <c r="O275" s="364">
        <f t="shared" si="115"/>
      </c>
      <c r="P275" s="364">
        <f t="shared" si="145"/>
      </c>
      <c r="Q275" s="364">
        <f t="shared" si="175"/>
      </c>
      <c r="R275" s="364">
        <f t="shared" si="235"/>
      </c>
      <c r="S275" s="365">
        <f t="shared" si="295"/>
      </c>
      <c r="T275" s="364">
        <f>AVERAGE(T271:T274)</f>
      </c>
      <c r="U275" s="361">
        <f>AVERAGE(U271:U274)</f>
      </c>
      <c r="V275" s="363">
        <f t="shared" si="355"/>
      </c>
      <c r="W275" s="365">
        <f>SUM(W271:W274)</f>
      </c>
      <c r="X275" s="365">
        <f>SUM(X271:X274)</f>
      </c>
      <c r="Y275" s="365">
        <f>SUM(Y271:Y274)</f>
      </c>
      <c r="Z275" s="365">
        <f>SUM(Z271:Z274)</f>
      </c>
      <c r="AA275" s="365">
        <f>SUM(AA271:AA274)</f>
      </c>
      <c r="AB275" s="365">
        <f>SUM(AB271:AB274)</f>
      </c>
      <c r="AC275" s="365">
        <f>SUM(AC271:AC274)</f>
      </c>
      <c r="AD275" s="365">
        <f>SUM(AD271:AD274)</f>
      </c>
      <c r="AE275" s="366">
        <f t="shared" si="49"/>
      </c>
      <c r="AF275" s="367"/>
      <c r="AG275" s="367"/>
      <c r="AH275" s="368">
        <f>SUM(AH271:AH274)</f>
      </c>
    </row>
    <row r="276">
      <c r="A276" s="397"/>
      <c r="B276" s="411" t="s">
        <v>248</v>
      </c>
      <c r="C276" s="411" t="s">
        <v>258</v>
      </c>
      <c r="D276" s="426">
        <v>1245.59</v>
      </c>
      <c r="E276" s="413"/>
      <c r="F276" s="413">
        <v>3</v>
      </c>
      <c r="G276" s="414">
        <v>2</v>
      </c>
      <c r="H276" s="415">
        <v>1353</v>
      </c>
      <c r="I276" s="416">
        <f t="shared" si="205"/>
      </c>
      <c r="J276" s="416">
        <f t="shared" si="265"/>
      </c>
      <c r="K276" s="416">
        <f t="shared" si="325"/>
      </c>
      <c r="L276" s="416"/>
      <c r="M276" s="416">
        <f t="shared" si="19"/>
      </c>
      <c r="N276" s="416">
        <f t="shared" si="85"/>
      </c>
      <c r="O276" s="417">
        <f t="shared" si="115"/>
      </c>
      <c r="P276" s="417">
        <f t="shared" si="145"/>
      </c>
      <c r="Q276" s="417">
        <f t="shared" si="175"/>
      </c>
      <c r="R276" s="417">
        <f t="shared" si="235"/>
      </c>
      <c r="S276" s="418">
        <f t="shared" si="295"/>
      </c>
      <c r="T276" s="419">
        <v>0.0399</v>
      </c>
      <c r="U276" s="420">
        <v>35</v>
      </c>
      <c r="V276" s="416">
        <f t="shared" si="355"/>
      </c>
      <c r="W276" s="418">
        <v>8876</v>
      </c>
      <c r="X276" s="418">
        <v>622</v>
      </c>
      <c r="Y276" s="418">
        <v>52</v>
      </c>
      <c r="Z276" s="418">
        <v>831</v>
      </c>
      <c r="AA276" s="418">
        <v>47</v>
      </c>
      <c r="AB276" s="418">
        <v>4</v>
      </c>
      <c r="AC276" s="418">
        <v>0</v>
      </c>
      <c r="AD276" s="418">
        <v>8</v>
      </c>
      <c r="AE276" s="416">
        <f t="shared" si="49"/>
      </c>
      <c r="AF276" s="356" t="s">
        <v>253</v>
      </c>
      <c r="AG276" s="451" t="s">
        <v>259</v>
      </c>
      <c r="AH276" s="420">
        <v>22</v>
      </c>
    </row>
    <row r="277">
      <c r="A277" s="397"/>
      <c r="B277" s="411" t="s">
        <v>248</v>
      </c>
      <c r="C277" s="422" t="s">
        <v>260</v>
      </c>
      <c r="D277" s="439">
        <v>2575.77</v>
      </c>
      <c r="E277" s="424"/>
      <c r="F277" s="424">
        <v>8</v>
      </c>
      <c r="G277" s="424">
        <v>6</v>
      </c>
      <c r="H277" s="415">
        <v>5018.199999999999</v>
      </c>
      <c r="I277" s="416">
        <f t="shared" si="205"/>
      </c>
      <c r="J277" s="416">
        <f t="shared" si="265"/>
      </c>
      <c r="K277" s="416">
        <f t="shared" si="325"/>
      </c>
      <c r="L277" s="416"/>
      <c r="M277" s="416">
        <f t="shared" si="19"/>
      </c>
      <c r="N277" s="416">
        <f t="shared" si="85"/>
      </c>
      <c r="O277" s="417">
        <f t="shared" si="115"/>
      </c>
      <c r="P277" s="417">
        <f t="shared" si="145"/>
      </c>
      <c r="Q277" s="417">
        <f t="shared" si="175"/>
      </c>
      <c r="R277" s="417">
        <f t="shared" si="235"/>
      </c>
      <c r="S277" s="418">
        <f t="shared" si="295"/>
      </c>
      <c r="T277" s="419">
        <v>0.0549</v>
      </c>
      <c r="U277" s="420">
        <v>38</v>
      </c>
      <c r="V277" s="416">
        <f t="shared" si="355"/>
      </c>
      <c r="W277" s="418">
        <v>13445</v>
      </c>
      <c r="X277" s="418">
        <v>774</v>
      </c>
      <c r="Y277" s="418">
        <v>77</v>
      </c>
      <c r="Z277" s="418">
        <v>975</v>
      </c>
      <c r="AA277" s="418">
        <v>59</v>
      </c>
      <c r="AB277" s="418">
        <v>10</v>
      </c>
      <c r="AC277" s="418">
        <v>0</v>
      </c>
      <c r="AD277" s="418">
        <v>12</v>
      </c>
      <c r="AE277" s="416">
        <f t="shared" si="49"/>
      </c>
      <c r="AF277" s="356" t="s">
        <v>253</v>
      </c>
      <c r="AG277" s="451" t="s">
        <v>259</v>
      </c>
      <c r="AH277" s="420">
        <v>19</v>
      </c>
    </row>
    <row r="278">
      <c r="A278" s="397"/>
      <c r="B278" s="411" t="s">
        <v>248</v>
      </c>
      <c r="C278" s="411" t="s">
        <v>261</v>
      </c>
      <c r="D278" s="426">
        <v>2575.39</v>
      </c>
      <c r="E278" s="424"/>
      <c r="F278" s="424">
        <v>4</v>
      </c>
      <c r="G278" s="424">
        <v>4</v>
      </c>
      <c r="H278" s="412">
        <v>2570.7000000000007</v>
      </c>
      <c r="I278" s="416">
        <f t="shared" si="205"/>
      </c>
      <c r="J278" s="416">
        <f t="shared" si="265"/>
      </c>
      <c r="K278" s="416">
        <f t="shared" si="325"/>
      </c>
      <c r="L278" s="416"/>
      <c r="M278" s="416">
        <f t="shared" si="19"/>
      </c>
      <c r="N278" s="416">
        <f t="shared" si="85"/>
      </c>
      <c r="O278" s="417">
        <f t="shared" si="115"/>
      </c>
      <c r="P278" s="417">
        <f t="shared" si="145"/>
      </c>
      <c r="Q278" s="417">
        <f t="shared" si="175"/>
      </c>
      <c r="R278" s="417">
        <f t="shared" si="235"/>
      </c>
      <c r="S278" s="418">
        <f t="shared" si="295"/>
      </c>
      <c r="T278" s="419">
        <v>0.0563</v>
      </c>
      <c r="U278" s="420">
        <v>41</v>
      </c>
      <c r="V278" s="416">
        <f t="shared" si="355"/>
      </c>
      <c r="W278" s="418">
        <v>17874</v>
      </c>
      <c r="X278" s="418">
        <v>576</v>
      </c>
      <c r="Y278" s="418">
        <v>74</v>
      </c>
      <c r="Z278" s="418">
        <v>691</v>
      </c>
      <c r="AA278" s="418">
        <v>76</v>
      </c>
      <c r="AB278" s="418">
        <v>13</v>
      </c>
      <c r="AC278" s="418">
        <v>3</v>
      </c>
      <c r="AD278" s="418">
        <v>25</v>
      </c>
      <c r="AE278" s="416">
        <f t="shared" si="49"/>
      </c>
      <c r="AF278" s="356" t="s">
        <v>253</v>
      </c>
      <c r="AG278" s="451" t="s">
        <v>259</v>
      </c>
      <c r="AH278" s="420">
        <v>31</v>
      </c>
    </row>
    <row r="279">
      <c r="A279" s="397"/>
      <c r="B279" s="411" t="s">
        <v>248</v>
      </c>
      <c r="C279" s="425" t="s">
        <v>262</v>
      </c>
      <c r="D279" s="426">
        <v>3184.8</v>
      </c>
      <c r="E279" s="414"/>
      <c r="F279" s="414">
        <v>2</v>
      </c>
      <c r="G279" s="414">
        <v>2</v>
      </c>
      <c r="H279" s="426">
        <v>902</v>
      </c>
      <c r="I279" s="416">
        <f t="shared" si="205"/>
      </c>
      <c r="J279" s="416">
        <f t="shared" si="265"/>
      </c>
      <c r="K279" s="416">
        <f t="shared" si="325"/>
      </c>
      <c r="L279" s="416"/>
      <c r="M279" s="416">
        <f t="shared" si="19"/>
      </c>
      <c r="N279" s="416">
        <f t="shared" si="85"/>
      </c>
      <c r="O279" s="417">
        <f t="shared" si="115"/>
      </c>
      <c r="P279" s="417">
        <f t="shared" si="145"/>
      </c>
      <c r="Q279" s="417">
        <f t="shared" si="175"/>
      </c>
      <c r="R279" s="417">
        <f t="shared" si="235"/>
      </c>
      <c r="S279" s="418">
        <f t="shared" si="295"/>
      </c>
      <c r="T279" s="419">
        <v>0.0584</v>
      </c>
      <c r="U279" s="420">
        <v>43</v>
      </c>
      <c r="V279" s="416">
        <f t="shared" si="355"/>
      </c>
      <c r="W279" s="418">
        <v>21251</v>
      </c>
      <c r="X279" s="418">
        <v>419</v>
      </c>
      <c r="Y279" s="418">
        <v>63</v>
      </c>
      <c r="Z279" s="418">
        <v>574</v>
      </c>
      <c r="AA279" s="418">
        <v>56</v>
      </c>
      <c r="AB279" s="418">
        <v>8</v>
      </c>
      <c r="AC279" s="418">
        <v>0</v>
      </c>
      <c r="AD279" s="418">
        <v>21</v>
      </c>
      <c r="AE279" s="416">
        <f t="shared" si="49"/>
      </c>
      <c r="AF279" s="356" t="s">
        <v>253</v>
      </c>
      <c r="AG279" s="451" t="s">
        <v>259</v>
      </c>
      <c r="AH279" s="420">
        <v>27</v>
      </c>
    </row>
    <row r="280">
      <c r="A280" s="397"/>
      <c r="B280" s="427" t="s">
        <v>240</v>
      </c>
      <c r="C280" s="427"/>
      <c r="D280" s="428">
        <f>SUM(D276:D279)</f>
      </c>
      <c r="E280" s="429"/>
      <c r="F280" s="429">
        <f>SUM(F276:F279)</f>
      </c>
      <c r="G280" s="429">
        <f>SUM(G276:G279)</f>
      </c>
      <c r="H280" s="428">
        <f>SUM(H276:H279)</f>
      </c>
      <c r="I280" s="430">
        <f t="shared" si="205"/>
      </c>
      <c r="J280" s="430">
        <f t="shared" si="265"/>
      </c>
      <c r="K280" s="430">
        <f t="shared" si="325"/>
      </c>
      <c r="L280" s="430"/>
      <c r="M280" s="430">
        <f t="shared" si="19"/>
      </c>
      <c r="N280" s="430">
        <f t="shared" si="85"/>
      </c>
      <c r="O280" s="431">
        <f t="shared" si="115"/>
      </c>
      <c r="P280" s="431">
        <f t="shared" si="145"/>
      </c>
      <c r="Q280" s="431">
        <f t="shared" si="175"/>
      </c>
      <c r="R280" s="431">
        <f t="shared" si="235"/>
      </c>
      <c r="S280" s="432">
        <f t="shared" si="295"/>
      </c>
      <c r="T280" s="431">
        <f>AVERAGE(T276:T279)</f>
      </c>
      <c r="U280" s="428">
        <f>AVERAGE(U276:U279)</f>
      </c>
      <c r="V280" s="430">
        <f t="shared" si="355"/>
      </c>
      <c r="W280" s="432">
        <f>SUM(W276:W279)</f>
      </c>
      <c r="X280" s="432">
        <f>SUM(X276:X279)</f>
      </c>
      <c r="Y280" s="432">
        <f>SUM(Y276:Y279)</f>
      </c>
      <c r="Z280" s="432">
        <f>SUM(Z276:Z279)</f>
      </c>
      <c r="AA280" s="432">
        <f>SUM(AA276:AA279)</f>
      </c>
      <c r="AB280" s="432">
        <f>SUM(AB276:AB279)</f>
      </c>
      <c r="AC280" s="432">
        <f>SUM(AC276:AC279)</f>
      </c>
      <c r="AD280" s="432">
        <f>SUM(AD276:AD279)</f>
      </c>
      <c r="AE280" s="433">
        <f t="shared" si="49"/>
      </c>
      <c r="AF280" s="434"/>
      <c r="AG280" s="434"/>
      <c r="AH280" s="435">
        <f>SUM(AH276:AH279)</f>
      </c>
    </row>
    <row r="281">
      <c r="A281" s="397"/>
      <c r="B281" s="375" t="s">
        <v>249</v>
      </c>
      <c r="C281" s="411" t="s">
        <v>243</v>
      </c>
      <c r="D281" s="349">
        <v>2395.49</v>
      </c>
      <c r="E281" s="350"/>
      <c r="F281" s="350">
        <v>3</v>
      </c>
      <c r="G281" s="350">
        <v>2</v>
      </c>
      <c r="H281" s="350">
        <v>1353</v>
      </c>
      <c r="I281" s="351">
        <f t="shared" si="205"/>
      </c>
      <c r="J281" s="351">
        <f t="shared" si="265"/>
      </c>
      <c r="K281" s="351">
        <f t="shared" si="325"/>
      </c>
      <c r="L281" s="351"/>
      <c r="M281" s="351">
        <f t="shared" si="19"/>
      </c>
      <c r="N281" s="351">
        <f t="shared" si="85"/>
      </c>
      <c r="O281" s="352">
        <f t="shared" si="115"/>
      </c>
      <c r="P281" s="352">
        <f t="shared" si="145"/>
      </c>
      <c r="Q281" s="352">
        <f t="shared" si="175"/>
      </c>
      <c r="R281" s="352">
        <f t="shared" si="235"/>
      </c>
      <c r="S281" s="353">
        <f t="shared" si="295"/>
      </c>
      <c r="T281" s="354">
        <v>0.0702</v>
      </c>
      <c r="U281" s="355">
        <v>44</v>
      </c>
      <c r="V281" s="351">
        <f t="shared" si="355"/>
      </c>
      <c r="W281" s="355">
        <v>16943</v>
      </c>
      <c r="X281" s="355">
        <v>475</v>
      </c>
      <c r="Y281" s="353">
        <v>69</v>
      </c>
      <c r="Z281" s="353">
        <v>621</v>
      </c>
      <c r="AA281" s="353">
        <v>47</v>
      </c>
      <c r="AB281" s="353">
        <v>6</v>
      </c>
      <c r="AC281" s="355">
        <v>3</v>
      </c>
      <c r="AD281" s="355">
        <v>22</v>
      </c>
      <c r="AE281" s="351">
        <f t="shared" si="49"/>
      </c>
      <c r="AF281" s="356" t="s">
        <v>234</v>
      </c>
      <c r="AG281" s="451" t="s">
        <v>259</v>
      </c>
      <c r="AH281" s="355">
        <v>16</v>
      </c>
    </row>
    <row r="282">
      <c r="A282" s="397"/>
      <c r="B282" s="375" t="s">
        <v>249</v>
      </c>
      <c r="C282" s="422" t="s">
        <v>244</v>
      </c>
      <c r="D282" s="349">
        <v>2473.29</v>
      </c>
      <c r="E282" s="350"/>
      <c r="F282" s="350">
        <v>3</v>
      </c>
      <c r="G282" s="350">
        <v>3</v>
      </c>
      <c r="H282" s="349">
        <v>1353</v>
      </c>
      <c r="I282" s="351">
        <f t="shared" si="205"/>
      </c>
      <c r="J282" s="351">
        <f t="shared" si="265"/>
      </c>
      <c r="K282" s="351">
        <f t="shared" si="325"/>
      </c>
      <c r="L282" s="351"/>
      <c r="M282" s="351">
        <f t="shared" si="19"/>
      </c>
      <c r="N282" s="351">
        <f t="shared" si="85"/>
      </c>
      <c r="O282" s="352">
        <f t="shared" si="115"/>
      </c>
      <c r="P282" s="352">
        <f t="shared" si="145"/>
      </c>
      <c r="Q282" s="352">
        <f t="shared" si="175"/>
      </c>
      <c r="R282" s="352">
        <f t="shared" si="235"/>
      </c>
      <c r="S282" s="353">
        <f t="shared" si="295"/>
      </c>
      <c r="T282" s="354">
        <v>0.0756</v>
      </c>
      <c r="U282" s="355">
        <v>46</v>
      </c>
      <c r="V282" s="351">
        <f t="shared" si="355"/>
      </c>
      <c r="W282" s="353">
        <v>15981</v>
      </c>
      <c r="X282" s="353">
        <v>415</v>
      </c>
      <c r="Y282" s="353">
        <v>77</v>
      </c>
      <c r="Z282" s="353">
        <v>563</v>
      </c>
      <c r="AA282" s="353">
        <v>94</v>
      </c>
      <c r="AB282" s="353">
        <v>8</v>
      </c>
      <c r="AC282" s="353">
        <v>1</v>
      </c>
      <c r="AD282" s="355">
        <v>18</v>
      </c>
      <c r="AE282" s="351">
        <f t="shared" si="49"/>
      </c>
      <c r="AF282" s="356" t="s">
        <v>234</v>
      </c>
      <c r="AG282" s="451" t="s">
        <v>259</v>
      </c>
      <c r="AH282" s="355">
        <v>27</v>
      </c>
    </row>
    <row r="283">
      <c r="A283" s="397"/>
      <c r="B283" s="375" t="s">
        <v>249</v>
      </c>
      <c r="C283" s="411" t="s">
        <v>245</v>
      </c>
      <c r="D283" s="349">
        <v>1054.32</v>
      </c>
      <c r="E283" s="350"/>
      <c r="F283" s="350">
        <v>8</v>
      </c>
      <c r="G283" s="350">
        <v>2</v>
      </c>
      <c r="H283" s="349">
        <v>4009</v>
      </c>
      <c r="I283" s="351">
        <f t="shared" si="205"/>
      </c>
      <c r="J283" s="351">
        <f t="shared" si="265"/>
      </c>
      <c r="K283" s="351">
        <f t="shared" si="325"/>
      </c>
      <c r="L283" s="351"/>
      <c r="M283" s="351">
        <f t="shared" si="19"/>
      </c>
      <c r="N283" s="351">
        <f t="shared" si="85"/>
      </c>
      <c r="O283" s="352">
        <f t="shared" si="115"/>
      </c>
      <c r="P283" s="352">
        <f t="shared" si="145"/>
      </c>
      <c r="Q283" s="352">
        <f t="shared" si="175"/>
      </c>
      <c r="R283" s="352">
        <f t="shared" si="235"/>
      </c>
      <c r="S283" s="353">
        <f t="shared" si="295"/>
      </c>
      <c r="T283" s="354">
        <v>0.0605</v>
      </c>
      <c r="U283" s="355">
        <v>47</v>
      </c>
      <c r="V283" s="351">
        <f t="shared" si="355"/>
      </c>
      <c r="W283" s="355">
        <v>6957</v>
      </c>
      <c r="X283" s="355">
        <v>263</v>
      </c>
      <c r="Y283" s="355">
        <v>44</v>
      </c>
      <c r="Z283" s="355">
        <v>338</v>
      </c>
      <c r="AA283" s="355">
        <v>19</v>
      </c>
      <c r="AB283" s="355">
        <v>4</v>
      </c>
      <c r="AC283" s="355">
        <v>0</v>
      </c>
      <c r="AD283" s="355">
        <v>7</v>
      </c>
      <c r="AE283" s="351">
        <f t="shared" si="49"/>
      </c>
      <c r="AF283" s="356" t="s">
        <v>234</v>
      </c>
      <c r="AG283" s="357" t="s">
        <v>250</v>
      </c>
      <c r="AH283" s="355">
        <v>8</v>
      </c>
    </row>
    <row r="284">
      <c r="A284" s="397"/>
      <c r="B284" s="375" t="s">
        <v>249</v>
      </c>
      <c r="C284" s="411" t="s">
        <v>233</v>
      </c>
      <c r="D284" s="349">
        <f>1276.59+17.81</f>
      </c>
      <c r="E284" s="350"/>
      <c r="F284" s="350">
        <v>3</v>
      </c>
      <c r="G284" s="350">
        <v>2</v>
      </c>
      <c r="H284" s="349">
        <v>2052.0499999999993</v>
      </c>
      <c r="I284" s="351">
        <f t="shared" si="205"/>
      </c>
      <c r="J284" s="351">
        <f t="shared" si="265"/>
      </c>
      <c r="K284" s="351">
        <f t="shared" si="325"/>
      </c>
      <c r="L284" s="351"/>
      <c r="M284" s="351">
        <f t="shared" si="19"/>
      </c>
      <c r="N284" s="351">
        <f t="shared" si="85"/>
      </c>
      <c r="O284" s="352">
        <f t="shared" si="115"/>
      </c>
      <c r="P284" s="352">
        <f t="shared" si="145"/>
      </c>
      <c r="Q284" s="352">
        <f t="shared" si="175"/>
      </c>
      <c r="R284" s="352">
        <f t="shared" si="235"/>
      </c>
      <c r="S284" s="353">
        <f t="shared" si="295"/>
      </c>
      <c r="T284" s="354">
        <v>0.0651</v>
      </c>
      <c r="U284" s="355">
        <v>62</v>
      </c>
      <c r="V284" s="351">
        <f t="shared" si="355"/>
      </c>
      <c r="W284" s="355">
        <v>8183</v>
      </c>
      <c r="X284" s="355">
        <v>198</v>
      </c>
      <c r="Y284" s="353">
        <v>45</v>
      </c>
      <c r="Z284" s="353">
        <v>259</v>
      </c>
      <c r="AA284" s="353">
        <v>28</v>
      </c>
      <c r="AB284" s="353">
        <v>5</v>
      </c>
      <c r="AC284" s="355">
        <v>0</v>
      </c>
      <c r="AD284" s="355">
        <v>14</v>
      </c>
      <c r="AE284" s="351">
        <f t="shared" si="49"/>
      </c>
      <c r="AF284" s="356" t="s">
        <v>234</v>
      </c>
      <c r="AG284" s="357" t="s">
        <v>250</v>
      </c>
      <c r="AH284" s="355">
        <v>19</v>
      </c>
    </row>
    <row r="285">
      <c r="A285" s="397"/>
      <c r="B285" s="360" t="s">
        <v>240</v>
      </c>
      <c r="C285" s="360"/>
      <c r="D285" s="405">
        <f>SUM(D281:D284)</f>
      </c>
      <c r="E285" s="440"/>
      <c r="F285" s="440">
        <f>SUM(F281:F284)</f>
      </c>
      <c r="G285" s="440">
        <f>SUM(G281:G284)</f>
      </c>
      <c r="H285" s="405">
        <f>SUM(H281:H284)</f>
      </c>
      <c r="I285" s="363">
        <f t="shared" si="205"/>
      </c>
      <c r="J285" s="363">
        <f t="shared" si="265"/>
      </c>
      <c r="K285" s="363">
        <f t="shared" si="325"/>
      </c>
      <c r="L285" s="363"/>
      <c r="M285" s="363">
        <f t="shared" si="19"/>
      </c>
      <c r="N285" s="363">
        <f t="shared" si="85"/>
      </c>
      <c r="O285" s="364">
        <f t="shared" si="115"/>
      </c>
      <c r="P285" s="364">
        <f t="shared" si="145"/>
      </c>
      <c r="Q285" s="364">
        <f t="shared" si="175"/>
      </c>
      <c r="R285" s="364">
        <f t="shared" si="235"/>
      </c>
      <c r="S285" s="365">
        <f t="shared" si="295"/>
      </c>
      <c r="T285" s="364">
        <f>AVERAGE(T281:T284)</f>
      </c>
      <c r="U285" s="361">
        <f>AVERAGE(U281:U284)</f>
      </c>
      <c r="V285" s="363">
        <f t="shared" si="355"/>
      </c>
      <c r="W285" s="365">
        <f>SUM(W281:W284)</f>
      </c>
      <c r="X285" s="365">
        <f>SUM(X281:X284)</f>
      </c>
      <c r="Y285" s="365">
        <f>SUM(Y281:Y284)</f>
      </c>
      <c r="Z285" s="365">
        <f>SUM(Z281:Z284)</f>
      </c>
      <c r="AA285" s="365">
        <f>SUM(AA281:AA284)</f>
      </c>
      <c r="AB285" s="365">
        <f>SUM(AB281:AB284)</f>
      </c>
      <c r="AC285" s="365">
        <f>SUM(AC281:AC284)</f>
      </c>
      <c r="AD285" s="365">
        <f>SUM(AD281:AD284)</f>
      </c>
      <c r="AE285" s="366">
        <f t="shared" si="49"/>
      </c>
      <c r="AF285" s="367"/>
      <c r="AG285" s="367"/>
      <c r="AH285" s="365">
        <f>SUM(AH281:AH284)</f>
      </c>
    </row>
    <row r="286">
      <c r="A286" s="397"/>
      <c r="B286" s="369" t="s">
        <v>241</v>
      </c>
      <c r="C286" s="369"/>
      <c r="D286" s="441">
        <f>D275+D285+D280</f>
      </c>
      <c r="E286" s="370"/>
      <c r="F286" s="370">
        <f>F275+F285+F280</f>
      </c>
      <c r="G286" s="370">
        <f>G275+G285+G280</f>
      </c>
      <c r="H286" s="370">
        <f>H275+H285+H280</f>
      </c>
      <c r="I286" s="442">
        <f t="shared" si="205"/>
      </c>
      <c r="J286" s="372">
        <f t="shared" si="265"/>
      </c>
      <c r="K286" s="372">
        <f t="shared" si="325"/>
      </c>
      <c r="L286" s="372"/>
      <c r="M286" s="372">
        <f t="shared" si="19"/>
      </c>
      <c r="N286" s="372">
        <f t="shared" si="85"/>
      </c>
      <c r="O286" s="373">
        <f t="shared" si="115"/>
      </c>
      <c r="P286" s="373">
        <f t="shared" si="145"/>
      </c>
      <c r="Q286" s="373">
        <f t="shared" si="175"/>
      </c>
      <c r="R286" s="373">
        <f t="shared" si="235"/>
      </c>
      <c r="S286" s="374">
        <f t="shared" si="295"/>
      </c>
      <c r="T286" s="373">
        <f>(T275+T285+T280)/3</f>
      </c>
      <c r="U286" s="373">
        <f>(U275+U285+U280)/3</f>
      </c>
      <c r="V286" s="370">
        <f t="shared" si="355"/>
      </c>
      <c r="W286" s="374">
        <f>W275+W285+W280</f>
      </c>
      <c r="X286" s="374">
        <f>X275+X285+X280</f>
      </c>
      <c r="Y286" s="374">
        <f>Y275+Y285+Y280</f>
      </c>
      <c r="Z286" s="374">
        <f>Z275+Z285+Z280</f>
      </c>
      <c r="AA286" s="374">
        <f>AA275+AA285+AA280</f>
      </c>
      <c r="AB286" s="374">
        <f>AB275+AB285+AB280</f>
      </c>
      <c r="AC286" s="374">
        <f>AC275+AC285+AC280</f>
      </c>
      <c r="AD286" s="374">
        <f>AD275+AD285+AD280</f>
      </c>
      <c r="AE286" s="372">
        <f>AE275</f>
      </c>
      <c r="AF286" s="369"/>
      <c r="AG286" s="369"/>
      <c r="AH286" s="374">
        <f>AH275+AH285+AH280</f>
      </c>
    </row>
    <row r="287">
      <c r="A287" s="380" t="s">
        <v>197</v>
      </c>
      <c r="B287" s="396" t="s">
        <v>198</v>
      </c>
      <c r="C287" s="396"/>
      <c r="D287" s="381" t="s">
        <v>199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2" t="s">
        <v>200</v>
      </c>
      <c r="O287" s="382"/>
      <c r="P287" s="382"/>
      <c r="Q287" s="382"/>
      <c r="R287" s="382"/>
      <c r="S287" s="382"/>
      <c r="T287" s="382"/>
      <c r="U287" s="382"/>
      <c r="V287" s="382"/>
      <c r="W287" s="382"/>
      <c r="X287" s="382"/>
      <c r="Y287" s="382"/>
      <c r="Z287" s="382"/>
      <c r="AA287" s="382"/>
      <c r="AB287" s="382"/>
      <c r="AC287" s="382"/>
      <c r="AD287" s="382"/>
      <c r="AE287" s="382"/>
      <c r="AF287" s="382"/>
      <c r="AG287" s="382"/>
      <c r="AH287" s="340"/>
    </row>
    <row r="288">
      <c r="A288" s="380"/>
      <c r="B288" s="396" t="s">
        <v>201</v>
      </c>
      <c r="C288" s="398" t="s">
        <v>202</v>
      </c>
      <c r="D288" s="399" t="s">
        <v>203</v>
      </c>
      <c r="E288" s="391"/>
      <c r="F288" s="391" t="s">
        <v>204</v>
      </c>
      <c r="G288" s="391" t="s">
        <v>205</v>
      </c>
      <c r="H288" s="399" t="s">
        <v>206</v>
      </c>
      <c r="I288" s="384" t="s">
        <v>207</v>
      </c>
      <c r="J288" s="384" t="s">
        <v>208</v>
      </c>
      <c r="K288" s="384" t="s">
        <v>209</v>
      </c>
      <c r="L288" s="384"/>
      <c r="M288" s="384" t="s">
        <v>210</v>
      </c>
      <c r="N288" s="385" t="s">
        <v>211</v>
      </c>
      <c r="O288" s="386" t="s">
        <v>212</v>
      </c>
      <c r="P288" s="386" t="s">
        <v>213</v>
      </c>
      <c r="Q288" s="386" t="s">
        <v>214</v>
      </c>
      <c r="R288" s="386" t="s">
        <v>215</v>
      </c>
      <c r="S288" s="387" t="s">
        <v>216</v>
      </c>
      <c r="T288" s="392" t="s">
        <v>217</v>
      </c>
      <c r="U288" s="393" t="s">
        <v>218</v>
      </c>
      <c r="V288" s="382" t="s">
        <v>219</v>
      </c>
      <c r="W288" s="394" t="s">
        <v>220</v>
      </c>
      <c r="X288" s="394" t="s">
        <v>221</v>
      </c>
      <c r="Y288" s="394" t="s">
        <v>222</v>
      </c>
      <c r="Z288" s="394" t="s">
        <v>223</v>
      </c>
      <c r="AA288" s="394" t="s">
        <v>224</v>
      </c>
      <c r="AB288" s="394" t="s">
        <v>225</v>
      </c>
      <c r="AC288" s="394" t="s">
        <v>226</v>
      </c>
      <c r="AD288" s="394" t="s">
        <v>227</v>
      </c>
      <c r="AE288" s="382" t="s">
        <v>228</v>
      </c>
      <c r="AF288" s="389" t="s">
        <v>229</v>
      </c>
      <c r="AG288" s="389" t="s">
        <v>230</v>
      </c>
      <c r="AH288" s="340" t="s">
        <v>231</v>
      </c>
    </row>
    <row customHeight="true" ht="18.452380952380953" r="289">
      <c r="A289" s="397">
        <v>46164</v>
      </c>
      <c r="B289" s="411" t="s">
        <v>248</v>
      </c>
      <c r="C289" s="400" t="s">
        <v>264</v>
      </c>
      <c r="D289" s="349">
        <v>2500</v>
      </c>
      <c r="E289" s="350"/>
      <c r="F289" s="350">
        <v>4</v>
      </c>
      <c r="G289" s="350">
        <v>4</v>
      </c>
      <c r="H289" s="349">
        <v>1804</v>
      </c>
      <c r="I289" s="436">
        <f t="shared" ref="I289:I307" si="206">H289/D289</f>
      </c>
      <c r="J289" s="351">
        <f t="shared" ref="J289:J307" si="266">D289/F289</f>
      </c>
      <c r="K289" s="351">
        <f t="shared" ref="K289:K307" si="326">D289/G289</f>
      </c>
      <c r="L289" s="351"/>
      <c r="M289" s="351">
        <f t="shared" ref="M289:M307" si="20">H289/F289</f>
      </c>
      <c r="N289" s="351">
        <f t="shared" ref="N289:N307" si="86">D289/X289</f>
      </c>
      <c r="O289" s="352">
        <f t="shared" ref="O289:O307" si="116">S289/W289*1</f>
      </c>
      <c r="P289" s="352">
        <f t="shared" ref="P289:P307" si="146">X289/W289</f>
      </c>
      <c r="Q289" s="352">
        <f t="shared" ref="Q289:Q307" si="176">Z289/W289</f>
      </c>
      <c r="R289" s="352">
        <f t="shared" ref="R289:R307" si="236">AA289/Z289</f>
      </c>
      <c r="S289" s="353">
        <f t="shared" ref="S289:S307" si="296">Y289/T289</f>
      </c>
      <c r="T289" s="354">
        <v>0.0101</v>
      </c>
      <c r="U289" s="355">
        <v>23</v>
      </c>
      <c r="V289" s="351">
        <f t="shared" ref="V289:V307" si="356">(D289/W289)*1000</f>
      </c>
      <c r="W289" s="355">
        <v>26759</v>
      </c>
      <c r="X289" s="355">
        <v>1526</v>
      </c>
      <c r="Y289" s="353">
        <v>91</v>
      </c>
      <c r="Z289" s="353">
        <v>1710</v>
      </c>
      <c r="AA289" s="353">
        <v>86</v>
      </c>
      <c r="AB289" s="353">
        <v>6</v>
      </c>
      <c r="AC289" s="353">
        <v>3</v>
      </c>
      <c r="AD289" s="355">
        <v>12</v>
      </c>
      <c r="AE289" s="351">
        <f t="shared" ref="AE289:AE306" si="50">AH289*1000/D289</f>
      </c>
      <c r="AF289" s="356" t="s">
        <v>253</v>
      </c>
      <c r="AG289" s="451" t="s">
        <v>259</v>
      </c>
      <c r="AH289" s="355">
        <v>38</v>
      </c>
    </row>
    <row r="290">
      <c r="A290" s="397"/>
      <c r="B290" s="411" t="s">
        <v>248</v>
      </c>
      <c r="C290" s="400" t="s">
        <v>252</v>
      </c>
      <c r="D290" s="349">
        <v>2002.2</v>
      </c>
      <c r="E290" s="350"/>
      <c r="F290" s="350">
        <v>2</v>
      </c>
      <c r="G290" s="350">
        <v>2</v>
      </c>
      <c r="H290" s="349">
        <v>902</v>
      </c>
      <c r="I290" s="436">
        <f t="shared" si="206"/>
      </c>
      <c r="J290" s="351">
        <f t="shared" si="266"/>
      </c>
      <c r="K290" s="351">
        <f t="shared" si="326"/>
      </c>
      <c r="L290" s="351"/>
      <c r="M290" s="351">
        <f t="shared" si="20"/>
      </c>
      <c r="N290" s="351">
        <f t="shared" si="86"/>
      </c>
      <c r="O290" s="352">
        <f t="shared" si="116"/>
      </c>
      <c r="P290" s="352">
        <f t="shared" si="146"/>
      </c>
      <c r="Q290" s="352">
        <f t="shared" si="176"/>
      </c>
      <c r="R290" s="352">
        <f t="shared" si="236"/>
      </c>
      <c r="S290" s="353">
        <f t="shared" si="296"/>
      </c>
      <c r="T290" s="354">
        <v>0.0072</v>
      </c>
      <c r="U290" s="355">
        <v>26</v>
      </c>
      <c r="V290" s="351">
        <f t="shared" si="356"/>
      </c>
      <c r="W290" s="355">
        <v>23418</v>
      </c>
      <c r="X290" s="355">
        <v>748</v>
      </c>
      <c r="Y290" s="353">
        <v>56</v>
      </c>
      <c r="Z290" s="353">
        <v>831</v>
      </c>
      <c r="AA290" s="355">
        <v>61</v>
      </c>
      <c r="AB290" s="353">
        <v>8</v>
      </c>
      <c r="AC290" s="355">
        <v>2</v>
      </c>
      <c r="AD290" s="355">
        <v>11</v>
      </c>
      <c r="AE290" s="351">
        <f t="shared" si="50"/>
      </c>
      <c r="AF290" s="356" t="s">
        <v>253</v>
      </c>
      <c r="AG290" s="451" t="s">
        <v>259</v>
      </c>
      <c r="AH290" s="355">
        <v>26</v>
      </c>
    </row>
    <row r="291">
      <c r="A291" s="397"/>
      <c r="B291" s="411" t="s">
        <v>248</v>
      </c>
      <c r="C291" s="437" t="s">
        <v>255</v>
      </c>
      <c r="D291" s="349">
        <v>2113.63</v>
      </c>
      <c r="E291" s="350"/>
      <c r="F291" s="350">
        <v>2</v>
      </c>
      <c r="G291" s="350">
        <v>2</v>
      </c>
      <c r="H291" s="349">
        <v>902</v>
      </c>
      <c r="I291" s="436">
        <f t="shared" si="206"/>
      </c>
      <c r="J291" s="351">
        <f t="shared" si="266"/>
      </c>
      <c r="K291" s="351">
        <f t="shared" si="326"/>
      </c>
      <c r="L291" s="351"/>
      <c r="M291" s="351">
        <f t="shared" si="20"/>
      </c>
      <c r="N291" s="351">
        <f t="shared" si="86"/>
      </c>
      <c r="O291" s="352">
        <f t="shared" si="116"/>
      </c>
      <c r="P291" s="352">
        <f t="shared" si="146"/>
      </c>
      <c r="Q291" s="352">
        <f t="shared" si="176"/>
      </c>
      <c r="R291" s="352">
        <f t="shared" si="236"/>
      </c>
      <c r="S291" s="353">
        <f t="shared" si="296"/>
      </c>
      <c r="T291" s="354">
        <v>0.0108</v>
      </c>
      <c r="U291" s="355">
        <v>30</v>
      </c>
      <c r="V291" s="351">
        <f t="shared" si="356"/>
      </c>
      <c r="W291" s="355">
        <v>21173</v>
      </c>
      <c r="X291" s="355">
        <v>529</v>
      </c>
      <c r="Y291" s="353">
        <v>67</v>
      </c>
      <c r="Z291" s="353">
        <v>642</v>
      </c>
      <c r="AA291" s="355">
        <v>64</v>
      </c>
      <c r="AB291" s="353">
        <v>6</v>
      </c>
      <c r="AC291" s="355">
        <v>1</v>
      </c>
      <c r="AD291" s="355">
        <v>7</v>
      </c>
      <c r="AE291" s="351">
        <f t="shared" si="50"/>
      </c>
      <c r="AF291" s="356" t="s">
        <v>253</v>
      </c>
      <c r="AG291" s="451" t="s">
        <v>259</v>
      </c>
      <c r="AH291" s="355">
        <v>18</v>
      </c>
    </row>
    <row r="292">
      <c r="A292" s="397"/>
      <c r="B292" s="411" t="s">
        <v>248</v>
      </c>
      <c r="C292" s="400" t="s">
        <v>256</v>
      </c>
      <c r="D292" s="349">
        <v>1275.91</v>
      </c>
      <c r="E292" s="350"/>
      <c r="F292" s="350">
        <v>7</v>
      </c>
      <c r="G292" s="350">
        <v>7</v>
      </c>
      <c r="H292" s="349">
        <v>3817</v>
      </c>
      <c r="I292" s="436">
        <f t="shared" si="206"/>
      </c>
      <c r="J292" s="351">
        <f t="shared" si="266"/>
      </c>
      <c r="K292" s="351">
        <f t="shared" si="326"/>
      </c>
      <c r="L292" s="351"/>
      <c r="M292" s="351">
        <f t="shared" si="20"/>
      </c>
      <c r="N292" s="351">
        <f t="shared" si="86"/>
      </c>
      <c r="O292" s="352">
        <f t="shared" si="116"/>
      </c>
      <c r="P292" s="352">
        <f t="shared" si="146"/>
      </c>
      <c r="Q292" s="352">
        <f t="shared" si="176"/>
      </c>
      <c r="R292" s="352">
        <f t="shared" si="236"/>
      </c>
      <c r="S292" s="353">
        <f t="shared" si="296"/>
      </c>
      <c r="T292" s="354">
        <v>0.0133</v>
      </c>
      <c r="U292" s="355">
        <v>33</v>
      </c>
      <c r="V292" s="351">
        <f t="shared" si="356"/>
      </c>
      <c r="W292" s="355">
        <v>12517</v>
      </c>
      <c r="X292" s="355">
        <v>217</v>
      </c>
      <c r="Y292" s="355">
        <v>44</v>
      </c>
      <c r="Z292" s="355">
        <v>244</v>
      </c>
      <c r="AA292" s="355">
        <v>40</v>
      </c>
      <c r="AB292" s="355">
        <v>8</v>
      </c>
      <c r="AC292" s="355">
        <v>0</v>
      </c>
      <c r="AD292" s="355">
        <v>2</v>
      </c>
      <c r="AE292" s="351">
        <f t="shared" si="50"/>
      </c>
      <c r="AF292" s="356" t="s">
        <v>253</v>
      </c>
      <c r="AG292" s="451" t="s">
        <v>259</v>
      </c>
      <c r="AH292" s="355">
        <v>17</v>
      </c>
    </row>
    <row r="293">
      <c r="A293" s="397"/>
      <c r="B293" s="411" t="s">
        <v>248</v>
      </c>
      <c r="C293" s="348" t="s">
        <v>257</v>
      </c>
      <c r="D293" s="438">
        <v>2394.27</v>
      </c>
      <c r="E293" s="379"/>
      <c r="F293" s="379">
        <v>2</v>
      </c>
      <c r="G293" s="379">
        <v>2</v>
      </c>
      <c r="H293" s="438">
        <v>902</v>
      </c>
      <c r="I293" s="351">
        <f t="shared" si="206"/>
      </c>
      <c r="J293" s="351">
        <f t="shared" si="266"/>
      </c>
      <c r="K293" s="351">
        <f t="shared" si="326"/>
      </c>
      <c r="L293" s="351"/>
      <c r="M293" s="351">
        <f t="shared" si="20"/>
      </c>
      <c r="N293" s="351">
        <f t="shared" si="86"/>
      </c>
      <c r="O293" s="352">
        <f t="shared" si="116"/>
      </c>
      <c r="P293" s="352">
        <f t="shared" si="146"/>
      </c>
      <c r="Q293" s="352">
        <f t="shared" si="176"/>
      </c>
      <c r="R293" s="352">
        <f t="shared" si="236"/>
      </c>
      <c r="S293" s="353">
        <f t="shared" si="296"/>
      </c>
      <c r="T293" s="354">
        <v>0.0103</v>
      </c>
      <c r="U293" s="355">
        <v>34</v>
      </c>
      <c r="V293" s="351">
        <f t="shared" si="356"/>
      </c>
      <c r="W293" s="353">
        <v>24892</v>
      </c>
      <c r="X293" s="353">
        <v>648</v>
      </c>
      <c r="Y293" s="353">
        <v>75</v>
      </c>
      <c r="Z293" s="353">
        <v>717</v>
      </c>
      <c r="AA293" s="353">
        <v>65</v>
      </c>
      <c r="AB293" s="353">
        <v>7</v>
      </c>
      <c r="AC293" s="353">
        <v>2</v>
      </c>
      <c r="AD293" s="353">
        <v>15</v>
      </c>
      <c r="AE293" s="351">
        <f t="shared" si="50"/>
      </c>
      <c r="AF293" s="356" t="s">
        <v>253</v>
      </c>
      <c r="AG293" s="451" t="s">
        <v>259</v>
      </c>
      <c r="AH293" s="355">
        <v>25</v>
      </c>
    </row>
    <row r="294">
      <c r="A294" s="397"/>
      <c r="B294" s="360" t="s">
        <v>240</v>
      </c>
      <c r="C294" s="360"/>
      <c r="D294" s="361">
        <f>SUM(D289:D293)</f>
      </c>
      <c r="E294" s="365"/>
      <c r="F294" s="365">
        <f>SUM(F289:F293)</f>
      </c>
      <c r="G294" s="365">
        <f>SUM(G289:G293)</f>
      </c>
      <c r="H294" s="361">
        <f>SUM(H289:H293)</f>
      </c>
      <c r="I294" s="363">
        <f t="shared" si="206"/>
      </c>
      <c r="J294" s="363">
        <f t="shared" si="266"/>
      </c>
      <c r="K294" s="363">
        <f t="shared" si="326"/>
      </c>
      <c r="L294" s="363"/>
      <c r="M294" s="363">
        <f t="shared" si="20"/>
      </c>
      <c r="N294" s="363">
        <f t="shared" si="86"/>
      </c>
      <c r="O294" s="364">
        <f t="shared" si="116"/>
      </c>
      <c r="P294" s="364">
        <f t="shared" si="146"/>
      </c>
      <c r="Q294" s="364">
        <f t="shared" si="176"/>
      </c>
      <c r="R294" s="364">
        <f t="shared" si="236"/>
      </c>
      <c r="S294" s="365">
        <f t="shared" si="296"/>
      </c>
      <c r="T294" s="364">
        <f>AVERAGE(T289:T293)</f>
      </c>
      <c r="U294" s="361">
        <f>AVERAGE(U289:U293)</f>
      </c>
      <c r="V294" s="363">
        <f t="shared" si="356"/>
      </c>
      <c r="W294" s="365">
        <f>SUM(W289:W293)</f>
      </c>
      <c r="X294" s="365">
        <f>SUM(X289:X293)</f>
      </c>
      <c r="Y294" s="365">
        <f>SUM(Y289:Y293)</f>
      </c>
      <c r="Z294" s="365">
        <f>SUM(Z289:Z293)</f>
      </c>
      <c r="AA294" s="365">
        <f>SUM(AA289:AA293)</f>
      </c>
      <c r="AB294" s="365">
        <f>SUM(AB289:AB293)</f>
      </c>
      <c r="AC294" s="365">
        <f>SUM(AC289:AC293)</f>
      </c>
      <c r="AD294" s="365">
        <f>SUM(AD289:AD293)</f>
      </c>
      <c r="AE294" s="366">
        <f t="shared" si="50"/>
      </c>
      <c r="AF294" s="367"/>
      <c r="AG294" s="367"/>
      <c r="AH294" s="368">
        <f>SUM(AH289:AH293)</f>
      </c>
    </row>
    <row r="295">
      <c r="A295" s="397"/>
      <c r="B295" s="425" t="s">
        <v>232</v>
      </c>
      <c r="C295" s="411" t="s">
        <v>258</v>
      </c>
      <c r="D295" s="426">
        <v>2191.98</v>
      </c>
      <c r="E295" s="413"/>
      <c r="F295" s="413">
        <v>2</v>
      </c>
      <c r="G295" s="414">
        <v>2</v>
      </c>
      <c r="H295" s="475">
        <v>902</v>
      </c>
      <c r="I295" s="416">
        <f t="shared" si="206"/>
      </c>
      <c r="J295" s="416">
        <f t="shared" si="266"/>
      </c>
      <c r="K295" s="416">
        <f t="shared" si="326"/>
      </c>
      <c r="L295" s="416"/>
      <c r="M295" s="416">
        <f t="shared" si="20"/>
      </c>
      <c r="N295" s="416">
        <f t="shared" si="86"/>
      </c>
      <c r="O295" s="417">
        <f t="shared" si="116"/>
      </c>
      <c r="P295" s="417">
        <f t="shared" si="146"/>
      </c>
      <c r="Q295" s="417">
        <f t="shared" si="176"/>
      </c>
      <c r="R295" s="417">
        <f t="shared" si="236"/>
      </c>
      <c r="S295" s="418">
        <f t="shared" si="296"/>
      </c>
      <c r="T295" s="419">
        <v>0.0056</v>
      </c>
      <c r="U295" s="420">
        <v>34</v>
      </c>
      <c r="V295" s="416">
        <f t="shared" si="356"/>
      </c>
      <c r="W295" s="418">
        <v>31125</v>
      </c>
      <c r="X295" s="418">
        <v>923</v>
      </c>
      <c r="Y295" s="418">
        <v>72</v>
      </c>
      <c r="Z295" s="418">
        <v>936</v>
      </c>
      <c r="AA295" s="418">
        <v>55</v>
      </c>
      <c r="AB295" s="418">
        <v>8</v>
      </c>
      <c r="AC295" s="418">
        <v>4</v>
      </c>
      <c r="AD295" s="418">
        <v>12</v>
      </c>
      <c r="AE295" s="416">
        <f t="shared" si="50"/>
      </c>
      <c r="AF295" s="356" t="s">
        <v>253</v>
      </c>
      <c r="AG295" s="451" t="s">
        <v>259</v>
      </c>
      <c r="AH295" s="420">
        <v>25</v>
      </c>
    </row>
    <row r="296">
      <c r="A296" s="397"/>
      <c r="B296" s="425" t="s">
        <v>232</v>
      </c>
      <c r="C296" s="422" t="s">
        <v>260</v>
      </c>
      <c r="D296" s="439">
        <v>1070</v>
      </c>
      <c r="E296" s="424"/>
      <c r="F296" s="424">
        <v>0</v>
      </c>
      <c r="G296" s="424">
        <v>0</v>
      </c>
      <c r="H296" s="475">
        <v>0</v>
      </c>
      <c r="I296" s="416">
        <f t="shared" si="206"/>
      </c>
      <c r="J296" s="416">
        <f t="shared" si="266"/>
      </c>
      <c r="K296" s="416">
        <f t="shared" si="326"/>
      </c>
      <c r="L296" s="416"/>
      <c r="M296" s="416">
        <f t="shared" si="20"/>
      </c>
      <c r="N296" s="416">
        <f t="shared" si="86"/>
      </c>
      <c r="O296" s="417">
        <f t="shared" si="116"/>
      </c>
      <c r="P296" s="417">
        <f t="shared" si="146"/>
      </c>
      <c r="Q296" s="417">
        <f t="shared" si="176"/>
      </c>
      <c r="R296" s="417">
        <f t="shared" si="236"/>
      </c>
      <c r="S296" s="418">
        <f t="shared" si="296"/>
      </c>
      <c r="T296" s="419">
        <v>0.0079</v>
      </c>
      <c r="U296" s="420">
        <v>35</v>
      </c>
      <c r="V296" s="416">
        <f t="shared" si="356"/>
      </c>
      <c r="W296" s="418">
        <v>13940</v>
      </c>
      <c r="X296" s="418">
        <v>249</v>
      </c>
      <c r="Y296" s="418">
        <v>33</v>
      </c>
      <c r="Z296" s="418">
        <v>254</v>
      </c>
      <c r="AA296" s="418">
        <v>31</v>
      </c>
      <c r="AB296" s="418">
        <v>2</v>
      </c>
      <c r="AC296" s="418">
        <v>1</v>
      </c>
      <c r="AD296" s="418">
        <v>6</v>
      </c>
      <c r="AE296" s="416">
        <f t="shared" si="50"/>
      </c>
      <c r="AF296" s="356" t="s">
        <v>253</v>
      </c>
      <c r="AG296" s="451" t="s">
        <v>259</v>
      </c>
      <c r="AH296" s="420">
        <v>11</v>
      </c>
    </row>
    <row r="297">
      <c r="A297" s="397"/>
      <c r="B297" s="425" t="s">
        <v>232</v>
      </c>
      <c r="C297" s="411" t="s">
        <v>261</v>
      </c>
      <c r="D297" s="426">
        <v>1513.14</v>
      </c>
      <c r="E297" s="424"/>
      <c r="F297" s="424">
        <v>1</v>
      </c>
      <c r="G297" s="424">
        <v>1</v>
      </c>
      <c r="H297" s="426">
        <v>451</v>
      </c>
      <c r="I297" s="416">
        <f t="shared" si="206"/>
      </c>
      <c r="J297" s="416">
        <f t="shared" si="266"/>
      </c>
      <c r="K297" s="416">
        <f t="shared" si="326"/>
      </c>
      <c r="L297" s="416"/>
      <c r="M297" s="416">
        <f t="shared" si="20"/>
      </c>
      <c r="N297" s="416">
        <f t="shared" si="86"/>
      </c>
      <c r="O297" s="417">
        <f t="shared" si="116"/>
      </c>
      <c r="P297" s="417">
        <f t="shared" si="146"/>
      </c>
      <c r="Q297" s="417">
        <f t="shared" si="176"/>
      </c>
      <c r="R297" s="417">
        <f t="shared" si="236"/>
      </c>
      <c r="S297" s="418">
        <f t="shared" si="296"/>
      </c>
      <c r="T297" s="419">
        <v>0.0095</v>
      </c>
      <c r="U297" s="420">
        <v>35</v>
      </c>
      <c r="V297" s="416">
        <f t="shared" si="356"/>
      </c>
      <c r="W297" s="418">
        <v>16255</v>
      </c>
      <c r="X297" s="418">
        <v>560</v>
      </c>
      <c r="Y297" s="418">
        <v>57</v>
      </c>
      <c r="Z297" s="418">
        <v>628</v>
      </c>
      <c r="AA297" s="418">
        <v>35</v>
      </c>
      <c r="AB297" s="418">
        <v>5</v>
      </c>
      <c r="AC297" s="418">
        <v>0</v>
      </c>
      <c r="AD297" s="418">
        <v>6</v>
      </c>
      <c r="AE297" s="416">
        <f t="shared" si="50"/>
      </c>
      <c r="AF297" s="356" t="s">
        <v>253</v>
      </c>
      <c r="AG297" s="451" t="s">
        <v>259</v>
      </c>
      <c r="AH297" s="420">
        <v>12</v>
      </c>
    </row>
    <row r="298">
      <c r="A298" s="397"/>
      <c r="B298" s="425" t="s">
        <v>232</v>
      </c>
      <c r="C298" s="425" t="s">
        <v>262</v>
      </c>
      <c r="D298" s="426">
        <v>1861.66</v>
      </c>
      <c r="E298" s="414"/>
      <c r="F298" s="414">
        <v>1</v>
      </c>
      <c r="G298" s="414">
        <v>1</v>
      </c>
      <c r="H298" s="426">
        <v>451</v>
      </c>
      <c r="I298" s="416">
        <f t="shared" si="206"/>
      </c>
      <c r="J298" s="416">
        <f t="shared" si="266"/>
      </c>
      <c r="K298" s="416">
        <f t="shared" si="326"/>
      </c>
      <c r="L298" s="416"/>
      <c r="M298" s="416">
        <f t="shared" si="20"/>
      </c>
      <c r="N298" s="416">
        <f t="shared" si="86"/>
      </c>
      <c r="O298" s="417">
        <f t="shared" si="116"/>
      </c>
      <c r="P298" s="417">
        <f t="shared" si="146"/>
      </c>
      <c r="Q298" s="417">
        <f t="shared" si="176"/>
      </c>
      <c r="R298" s="417">
        <f t="shared" si="236"/>
      </c>
      <c r="S298" s="418">
        <f t="shared" si="296"/>
      </c>
      <c r="T298" s="419">
        <v>0.0101</v>
      </c>
      <c r="U298" s="420">
        <v>35</v>
      </c>
      <c r="V298" s="416">
        <f t="shared" si="356"/>
      </c>
      <c r="W298" s="418">
        <v>19175</v>
      </c>
      <c r="X298" s="418">
        <v>471</v>
      </c>
      <c r="Y298" s="418">
        <v>69</v>
      </c>
      <c r="Z298" s="418">
        <v>546</v>
      </c>
      <c r="AA298" s="418">
        <v>23</v>
      </c>
      <c r="AB298" s="418">
        <v>7</v>
      </c>
      <c r="AC298" s="418">
        <v>0</v>
      </c>
      <c r="AD298" s="418">
        <v>3</v>
      </c>
      <c r="AE298" s="416">
        <f t="shared" si="50"/>
      </c>
      <c r="AF298" s="356" t="s">
        <v>253</v>
      </c>
      <c r="AG298" s="451" t="s">
        <v>259</v>
      </c>
      <c r="AH298" s="420">
        <v>14</v>
      </c>
    </row>
    <row r="299">
      <c r="A299" s="397"/>
      <c r="B299" s="427" t="s">
        <v>240</v>
      </c>
      <c r="C299" s="427"/>
      <c r="D299" s="428">
        <f>SUM(D295:D298)</f>
      </c>
      <c r="E299" s="429"/>
      <c r="F299" s="429">
        <f>SUM(F295:F298)</f>
      </c>
      <c r="G299" s="429">
        <f>SUM(G295:G298)</f>
      </c>
      <c r="H299" s="428">
        <f>SUM(H295:H298)</f>
      </c>
      <c r="I299" s="430">
        <f t="shared" si="206"/>
      </c>
      <c r="J299" s="430">
        <f t="shared" si="266"/>
      </c>
      <c r="K299" s="430">
        <f t="shared" si="326"/>
      </c>
      <c r="L299" s="430"/>
      <c r="M299" s="430">
        <f t="shared" si="20"/>
      </c>
      <c r="N299" s="430">
        <f t="shared" si="86"/>
      </c>
      <c r="O299" s="431">
        <f t="shared" si="116"/>
      </c>
      <c r="P299" s="431">
        <f t="shared" si="146"/>
      </c>
      <c r="Q299" s="431">
        <f t="shared" si="176"/>
      </c>
      <c r="R299" s="431">
        <f t="shared" si="236"/>
      </c>
      <c r="S299" s="432">
        <f t="shared" si="296"/>
      </c>
      <c r="T299" s="431">
        <f>AVERAGE(T295:T298)</f>
      </c>
      <c r="U299" s="428">
        <f>AVERAGE(U295:U298)</f>
      </c>
      <c r="V299" s="430">
        <f t="shared" si="356"/>
      </c>
      <c r="W299" s="432">
        <f>SUM(W295:W298)</f>
      </c>
      <c r="X299" s="432">
        <f>SUM(X295:X298)</f>
      </c>
      <c r="Y299" s="432">
        <f>SUM(Y295:Y298)</f>
      </c>
      <c r="Z299" s="432">
        <f>SUM(Z295:Z298)</f>
      </c>
      <c r="AA299" s="432">
        <f>SUM(AA295:AA298)</f>
      </c>
      <c r="AB299" s="432">
        <f>SUM(AB295:AB298)</f>
      </c>
      <c r="AC299" s="432">
        <f>SUM(AC295:AC298)</f>
      </c>
      <c r="AD299" s="432">
        <f>SUM(AD295:AD298)</f>
      </c>
      <c r="AE299" s="433">
        <f t="shared" si="50"/>
      </c>
      <c r="AF299" s="434"/>
      <c r="AG299" s="434"/>
      <c r="AH299" s="435">
        <f>SUM(AH295:AH298)</f>
      </c>
    </row>
    <row r="300">
      <c r="A300" s="397"/>
      <c r="B300" s="375" t="s">
        <v>249</v>
      </c>
      <c r="C300" s="411" t="s">
        <v>243</v>
      </c>
      <c r="D300" s="349">
        <v>1782.97</v>
      </c>
      <c r="E300" s="350"/>
      <c r="F300" s="350">
        <v>1</v>
      </c>
      <c r="G300" s="350">
        <v>1</v>
      </c>
      <c r="H300" s="350">
        <v>451</v>
      </c>
      <c r="I300" s="351">
        <f t="shared" si="206"/>
      </c>
      <c r="J300" s="351">
        <f t="shared" si="266"/>
      </c>
      <c r="K300" s="351">
        <f t="shared" si="326"/>
      </c>
      <c r="L300" s="351"/>
      <c r="M300" s="351">
        <f t="shared" si="20"/>
      </c>
      <c r="N300" s="351">
        <f t="shared" si="86"/>
      </c>
      <c r="O300" s="352">
        <f t="shared" si="116"/>
      </c>
      <c r="P300" s="352">
        <f t="shared" si="146"/>
      </c>
      <c r="Q300" s="352">
        <f t="shared" si="176"/>
      </c>
      <c r="R300" s="352">
        <f t="shared" si="236"/>
      </c>
      <c r="S300" s="353">
        <f t="shared" si="296"/>
      </c>
      <c r="T300" s="354">
        <v>0.0135</v>
      </c>
      <c r="U300" s="355">
        <v>36</v>
      </c>
      <c r="V300" s="351">
        <f t="shared" si="356"/>
      </c>
      <c r="W300" s="355">
        <v>13426</v>
      </c>
      <c r="X300" s="355">
        <v>518</v>
      </c>
      <c r="Y300" s="353">
        <v>58</v>
      </c>
      <c r="Z300" s="353">
        <v>594</v>
      </c>
      <c r="AA300" s="353">
        <v>44</v>
      </c>
      <c r="AB300" s="353">
        <v>8</v>
      </c>
      <c r="AC300" s="355">
        <v>4</v>
      </c>
      <c r="AD300" s="355">
        <v>6</v>
      </c>
      <c r="AE300" s="351">
        <f t="shared" si="50"/>
      </c>
      <c r="AF300" s="356" t="s">
        <v>234</v>
      </c>
      <c r="AG300" s="451" t="s">
        <v>259</v>
      </c>
      <c r="AH300" s="355">
        <v>24</v>
      </c>
    </row>
    <row r="301">
      <c r="A301" s="397"/>
      <c r="B301" s="375" t="s">
        <v>249</v>
      </c>
      <c r="C301" s="422" t="s">
        <v>244</v>
      </c>
      <c r="D301" s="349">
        <v>1240.86</v>
      </c>
      <c r="E301" s="350"/>
      <c r="F301" s="350">
        <v>1</v>
      </c>
      <c r="G301" s="350">
        <v>1</v>
      </c>
      <c r="H301" s="349">
        <v>451</v>
      </c>
      <c r="I301" s="351">
        <f t="shared" si="206"/>
      </c>
      <c r="J301" s="351">
        <f t="shared" si="266"/>
      </c>
      <c r="K301" s="351">
        <f t="shared" si="326"/>
      </c>
      <c r="L301" s="351"/>
      <c r="M301" s="351">
        <f t="shared" si="20"/>
      </c>
      <c r="N301" s="351">
        <f t="shared" si="86"/>
      </c>
      <c r="O301" s="352">
        <f t="shared" si="116"/>
      </c>
      <c r="P301" s="352">
        <f t="shared" si="146"/>
      </c>
      <c r="Q301" s="352">
        <f t="shared" si="176"/>
      </c>
      <c r="R301" s="352">
        <f t="shared" si="236"/>
      </c>
      <c r="S301" s="353">
        <f t="shared" si="296"/>
      </c>
      <c r="T301" s="354">
        <v>0.0218</v>
      </c>
      <c r="U301" s="355">
        <v>36</v>
      </c>
      <c r="V301" s="351">
        <f t="shared" si="356"/>
      </c>
      <c r="W301" s="353">
        <v>8186</v>
      </c>
      <c r="X301" s="353">
        <v>410</v>
      </c>
      <c r="Y301" s="353">
        <v>44</v>
      </c>
      <c r="Z301" s="353">
        <v>479</v>
      </c>
      <c r="AA301" s="353">
        <v>31</v>
      </c>
      <c r="AB301" s="353">
        <v>3</v>
      </c>
      <c r="AC301" s="353">
        <v>3</v>
      </c>
      <c r="AD301" s="355">
        <v>6</v>
      </c>
      <c r="AE301" s="351">
        <f t="shared" si="50"/>
      </c>
      <c r="AF301" s="356" t="s">
        <v>234</v>
      </c>
      <c r="AG301" s="451" t="s">
        <v>259</v>
      </c>
      <c r="AH301" s="355">
        <v>9</v>
      </c>
    </row>
    <row r="302">
      <c r="A302" s="397"/>
      <c r="B302" s="375" t="s">
        <v>249</v>
      </c>
      <c r="C302" s="411" t="s">
        <v>245</v>
      </c>
      <c r="D302" s="349">
        <v>2806.82</v>
      </c>
      <c r="E302" s="350"/>
      <c r="F302" s="350">
        <v>4</v>
      </c>
      <c r="G302" s="350">
        <v>4</v>
      </c>
      <c r="H302" s="349">
        <v>4090.8999999999996</v>
      </c>
      <c r="I302" s="351">
        <f t="shared" si="206"/>
      </c>
      <c r="J302" s="351">
        <f t="shared" si="266"/>
      </c>
      <c r="K302" s="351">
        <f t="shared" si="326"/>
      </c>
      <c r="L302" s="351"/>
      <c r="M302" s="351">
        <f t="shared" si="20"/>
      </c>
      <c r="N302" s="351">
        <f t="shared" si="86"/>
      </c>
      <c r="O302" s="352">
        <f t="shared" si="116"/>
      </c>
      <c r="P302" s="352">
        <f t="shared" si="146"/>
      </c>
      <c r="Q302" s="352">
        <f t="shared" si="176"/>
      </c>
      <c r="R302" s="352">
        <f t="shared" si="236"/>
      </c>
      <c r="S302" s="353">
        <f t="shared" si="296"/>
      </c>
      <c r="T302" s="354">
        <v>0.006</v>
      </c>
      <c r="U302" s="355">
        <v>34</v>
      </c>
      <c r="V302" s="351">
        <f t="shared" si="356"/>
      </c>
      <c r="W302" s="355">
        <v>28773</v>
      </c>
      <c r="X302" s="355">
        <v>1218</v>
      </c>
      <c r="Y302" s="355">
        <v>83</v>
      </c>
      <c r="Z302" s="355">
        <v>1260</v>
      </c>
      <c r="AA302" s="355">
        <v>59</v>
      </c>
      <c r="AB302" s="355">
        <v>12</v>
      </c>
      <c r="AC302" s="355">
        <v>2</v>
      </c>
      <c r="AD302" s="355">
        <v>5</v>
      </c>
      <c r="AE302" s="351">
        <f t="shared" si="50"/>
      </c>
      <c r="AF302" s="356" t="s">
        <v>234</v>
      </c>
      <c r="AG302" s="357" t="s">
        <v>250</v>
      </c>
      <c r="AH302" s="355">
        <v>26</v>
      </c>
    </row>
    <row r="303">
      <c r="A303" s="397"/>
      <c r="B303" s="375" t="s">
        <v>249</v>
      </c>
      <c r="C303" s="411" t="s">
        <v>233</v>
      </c>
      <c r="D303" s="349">
        <v>1417.09</v>
      </c>
      <c r="E303" s="350"/>
      <c r="F303" s="350">
        <v>0</v>
      </c>
      <c r="G303" s="350">
        <v>0</v>
      </c>
      <c r="H303" s="349">
        <v>0</v>
      </c>
      <c r="I303" s="351">
        <f t="shared" si="206"/>
      </c>
      <c r="J303" s="351">
        <f t="shared" si="266"/>
      </c>
      <c r="K303" s="351">
        <f t="shared" si="326"/>
      </c>
      <c r="L303" s="351"/>
      <c r="M303" s="351">
        <f t="shared" si="20"/>
      </c>
      <c r="N303" s="351">
        <f t="shared" si="86"/>
      </c>
      <c r="O303" s="352">
        <f t="shared" si="116"/>
      </c>
      <c r="P303" s="352">
        <f t="shared" si="146"/>
      </c>
      <c r="Q303" s="352">
        <f t="shared" si="176"/>
      </c>
      <c r="R303" s="352">
        <f t="shared" si="236"/>
      </c>
      <c r="S303" s="353">
        <f t="shared" si="296"/>
      </c>
      <c r="T303" s="354">
        <v>0.0052</v>
      </c>
      <c r="U303" s="355">
        <v>33</v>
      </c>
      <c r="V303" s="351">
        <f t="shared" si="356"/>
      </c>
      <c r="W303" s="355">
        <v>21105</v>
      </c>
      <c r="X303" s="355">
        <v>946</v>
      </c>
      <c r="Y303" s="353">
        <v>55</v>
      </c>
      <c r="Z303" s="353">
        <v>1001</v>
      </c>
      <c r="AA303" s="353">
        <v>61</v>
      </c>
      <c r="AB303" s="353">
        <v>6</v>
      </c>
      <c r="AC303" s="355">
        <v>0</v>
      </c>
      <c r="AD303" s="355">
        <v>4</v>
      </c>
      <c r="AE303" s="351">
        <f t="shared" si="50"/>
      </c>
      <c r="AF303" s="356" t="s">
        <v>234</v>
      </c>
      <c r="AG303" s="357" t="s">
        <v>250</v>
      </c>
      <c r="AH303" s="355">
        <v>20</v>
      </c>
    </row>
    <row r="304">
      <c r="A304" s="397"/>
      <c r="B304" s="360" t="s">
        <v>240</v>
      </c>
      <c r="C304" s="360"/>
      <c r="D304" s="405">
        <f>SUM(D300:D303)</f>
      </c>
      <c r="E304" s="440"/>
      <c r="F304" s="440">
        <f>SUM(F300:F303)</f>
      </c>
      <c r="G304" s="440">
        <f>SUM(G300:G303)</f>
      </c>
      <c r="H304" s="405">
        <f>SUM(H300:H303)</f>
      </c>
      <c r="I304" s="363">
        <f t="shared" si="206"/>
      </c>
      <c r="J304" s="363">
        <f t="shared" si="266"/>
      </c>
      <c r="K304" s="363">
        <f t="shared" si="326"/>
      </c>
      <c r="L304" s="363"/>
      <c r="M304" s="363">
        <f t="shared" si="20"/>
      </c>
      <c r="N304" s="363">
        <f t="shared" si="86"/>
      </c>
      <c r="O304" s="364">
        <f t="shared" si="116"/>
      </c>
      <c r="P304" s="364">
        <f t="shared" si="146"/>
      </c>
      <c r="Q304" s="364">
        <f t="shared" si="176"/>
      </c>
      <c r="R304" s="364">
        <f t="shared" si="236"/>
      </c>
      <c r="S304" s="365">
        <f t="shared" si="296"/>
      </c>
      <c r="T304" s="364">
        <f>AVERAGE(T300:T303)</f>
      </c>
      <c r="U304" s="361">
        <f>AVERAGE(U300:U303)</f>
      </c>
      <c r="V304" s="363">
        <f t="shared" si="356"/>
      </c>
      <c r="W304" s="365">
        <f>SUM(W300:W303)</f>
      </c>
      <c r="X304" s="365">
        <f>SUM(X300:X303)</f>
      </c>
      <c r="Y304" s="365">
        <f>SUM(Y300:Y303)</f>
      </c>
      <c r="Z304" s="365">
        <f>SUM(Z300:Z303)</f>
      </c>
      <c r="AA304" s="365">
        <f>SUM(AA300:AA303)</f>
      </c>
      <c r="AB304" s="365">
        <f>SUM(AB300:AB303)</f>
      </c>
      <c r="AC304" s="365">
        <f>SUM(AC300:AC303)</f>
      </c>
      <c r="AD304" s="365">
        <f>SUM(AD300:AD303)</f>
      </c>
      <c r="AE304" s="366">
        <f t="shared" si="50"/>
      </c>
      <c r="AF304" s="367"/>
      <c r="AG304" s="367"/>
      <c r="AH304" s="365">
        <f>SUM(AH300:AH303)</f>
      </c>
    </row>
    <row customHeight="true" ht="18.452380952380953" r="305">
      <c r="A305" s="397"/>
      <c r="B305" s="410" t="s">
        <v>246</v>
      </c>
      <c r="C305" s="425" t="s">
        <v>236</v>
      </c>
      <c r="D305" s="349">
        <f>1558.36+46.12</f>
      </c>
      <c r="E305" s="350"/>
      <c r="F305" s="350">
        <v>3</v>
      </c>
      <c r="G305" s="350">
        <v>3</v>
      </c>
      <c r="H305" s="349">
        <v>2013.0000000000018</v>
      </c>
      <c r="I305" s="436">
        <f t="shared" si="206"/>
      </c>
      <c r="J305" s="351">
        <f t="shared" si="266"/>
      </c>
      <c r="K305" s="351">
        <f t="shared" si="326"/>
      </c>
      <c r="L305" s="351"/>
      <c r="M305" s="351">
        <f t="shared" si="20"/>
      </c>
      <c r="N305" s="351">
        <f t="shared" si="86"/>
      </c>
      <c r="O305" s="352">
        <f t="shared" si="116"/>
      </c>
      <c r="P305" s="352">
        <f t="shared" si="146"/>
      </c>
      <c r="Q305" s="352">
        <f t="shared" si="176"/>
      </c>
      <c r="R305" s="352">
        <f t="shared" si="236"/>
      </c>
      <c r="S305" s="353">
        <f t="shared" si="296"/>
      </c>
      <c r="T305" s="354">
        <v>0.0084</v>
      </c>
      <c r="U305" s="355">
        <v>33</v>
      </c>
      <c r="V305" s="351">
        <f t="shared" si="356"/>
      </c>
      <c r="W305" s="355">
        <v>19590</v>
      </c>
      <c r="X305" s="355">
        <v>702</v>
      </c>
      <c r="Y305" s="353">
        <v>74</v>
      </c>
      <c r="Z305" s="353">
        <v>730</v>
      </c>
      <c r="AA305" s="353">
        <v>45</v>
      </c>
      <c r="AB305" s="353">
        <v>8</v>
      </c>
      <c r="AC305" s="353">
        <v>1</v>
      </c>
      <c r="AD305" s="355">
        <v>2</v>
      </c>
      <c r="AE305" s="351">
        <f t="shared" si="50"/>
      </c>
      <c r="AF305" s="356" t="s">
        <v>234</v>
      </c>
      <c r="AG305" s="357" t="s">
        <v>250</v>
      </c>
      <c r="AH305" s="355">
        <v>21</v>
      </c>
    </row>
    <row customHeight="true" ht="18.452380952380953" r="306">
      <c r="A306" s="397"/>
      <c r="B306" s="360" t="s">
        <v>240</v>
      </c>
      <c r="C306" s="360"/>
      <c r="D306" s="361">
        <f>SUM(D305)</f>
      </c>
      <c r="E306" s="362"/>
      <c r="F306" s="362">
        <f>SUM(F305)</f>
      </c>
      <c r="G306" s="362">
        <f>SUM(G305)</f>
      </c>
      <c r="H306" s="361">
        <f>SUM(H305)</f>
      </c>
      <c r="I306" s="363">
        <f t="shared" si="206"/>
      </c>
      <c r="J306" s="363">
        <f t="shared" si="266"/>
      </c>
      <c r="K306" s="363">
        <f t="shared" si="326"/>
      </c>
      <c r="L306" s="363"/>
      <c r="M306" s="363">
        <f t="shared" si="20"/>
      </c>
      <c r="N306" s="363">
        <f t="shared" si="86"/>
      </c>
      <c r="O306" s="364">
        <f t="shared" si="116"/>
      </c>
      <c r="P306" s="364">
        <f t="shared" si="146"/>
      </c>
      <c r="Q306" s="364">
        <f t="shared" si="176"/>
      </c>
      <c r="R306" s="364">
        <f t="shared" si="236"/>
      </c>
      <c r="S306" s="365">
        <f t="shared" si="296"/>
      </c>
      <c r="T306" s="364">
        <f>AVERAGE(T305)</f>
      </c>
      <c r="U306" s="361">
        <f>AVERAGE(U305)</f>
      </c>
      <c r="V306" s="363">
        <f t="shared" si="356"/>
      </c>
      <c r="W306" s="365">
        <f>SUM(W305)</f>
      </c>
      <c r="X306" s="365">
        <f>SUM(X305)</f>
      </c>
      <c r="Y306" s="365">
        <f>SUM(Y305)</f>
      </c>
      <c r="Z306" s="365">
        <f>SUM(Z305)</f>
      </c>
      <c r="AA306" s="365">
        <f>SUM(AA305)</f>
      </c>
      <c r="AB306" s="365">
        <f>SUM(AB305)</f>
      </c>
      <c r="AC306" s="365">
        <f>SUM(AC305)</f>
      </c>
      <c r="AD306" s="365">
        <f>SUM(AD305)</f>
      </c>
      <c r="AE306" s="366">
        <f t="shared" si="50"/>
      </c>
      <c r="AF306" s="367"/>
      <c r="AG306" s="367"/>
      <c r="AH306" s="368">
        <f>SUM(AH305)</f>
      </c>
    </row>
    <row r="307">
      <c r="A307" s="397"/>
      <c r="B307" s="369" t="s">
        <v>241</v>
      </c>
      <c r="C307" s="369"/>
      <c r="D307" s="441">
        <f>D294+D299+D304+D306</f>
      </c>
      <c r="E307" s="441"/>
      <c r="F307" s="441">
        <f>F294+F299+F304+F306</f>
      </c>
      <c r="G307" s="441">
        <f>G294+G299+G304+G306</f>
      </c>
      <c r="H307" s="441">
        <f>H294+H299+H304+H306</f>
      </c>
      <c r="I307" s="442">
        <f t="shared" si="206"/>
      </c>
      <c r="J307" s="372">
        <f t="shared" si="266"/>
      </c>
      <c r="K307" s="372">
        <f t="shared" si="326"/>
      </c>
      <c r="L307" s="372"/>
      <c r="M307" s="372">
        <f t="shared" si="20"/>
      </c>
      <c r="N307" s="372">
        <f t="shared" si="86"/>
      </c>
      <c r="O307" s="373">
        <f t="shared" si="116"/>
      </c>
      <c r="P307" s="373">
        <f t="shared" si="146"/>
      </c>
      <c r="Q307" s="373">
        <f t="shared" si="176"/>
      </c>
      <c r="R307" s="373">
        <f t="shared" si="236"/>
      </c>
      <c r="S307" s="374">
        <f t="shared" si="296"/>
      </c>
      <c r="T307" s="373">
        <f>(T294+T304+T299+T306)/4</f>
      </c>
      <c r="U307" s="373">
        <f>(U294+U304+U299+U306)/4</f>
      </c>
      <c r="V307" s="370">
        <f t="shared" si="356"/>
      </c>
      <c r="W307" s="374">
        <f>W294+W299+W304+W306</f>
      </c>
      <c r="X307" s="374">
        <f>X294+X299+X304+X306</f>
      </c>
      <c r="Y307" s="374">
        <f>Y294+Y299+Y304+Y306</f>
      </c>
      <c r="Z307" s="374">
        <f>Z294+Z299+Z304+Z306</f>
      </c>
      <c r="AA307" s="374">
        <f>AA294+AA299+AA304+AA306</f>
      </c>
      <c r="AB307" s="374">
        <f>AB294+AB299+AB304+AB306</f>
      </c>
      <c r="AC307" s="374">
        <f>AC294+AC299+AC304+AC306</f>
      </c>
      <c r="AD307" s="374">
        <f>AD294+AD299+AD304+AD306</f>
      </c>
      <c r="AE307" s="372">
        <f>AE294</f>
      </c>
      <c r="AF307" s="369"/>
      <c r="AG307" s="369"/>
      <c r="AH307" s="374">
        <f>AH294+AH299+AH304+AH306</f>
      </c>
    </row>
    <row customHeight="true" ht="23.767006802720626" r="308">
      <c r="A308" s="380" t="s">
        <v>197</v>
      </c>
      <c r="B308" s="396" t="s">
        <v>198</v>
      </c>
      <c r="C308" s="396"/>
      <c r="D308" s="381" t="s">
        <v>199</v>
      </c>
      <c r="E308" s="381"/>
      <c r="F308" s="381"/>
      <c r="G308" s="381"/>
      <c r="H308" s="381"/>
      <c r="I308" s="381"/>
      <c r="J308" s="381"/>
      <c r="K308" s="381"/>
      <c r="L308" s="381"/>
      <c r="M308" s="381"/>
      <c r="N308" s="382" t="s">
        <v>200</v>
      </c>
      <c r="O308" s="382"/>
      <c r="P308" s="382"/>
      <c r="Q308" s="382"/>
      <c r="R308" s="382"/>
      <c r="S308" s="382"/>
      <c r="T308" s="382"/>
      <c r="U308" s="382"/>
      <c r="V308" s="382"/>
      <c r="W308" s="382"/>
      <c r="X308" s="382"/>
      <c r="Y308" s="382"/>
      <c r="Z308" s="382"/>
      <c r="AA308" s="382"/>
      <c r="AB308" s="382"/>
      <c r="AC308" s="382"/>
      <c r="AD308" s="382"/>
      <c r="AE308" s="382"/>
      <c r="AF308" s="382"/>
      <c r="AG308" s="382"/>
      <c r="AH308" s="340"/>
    </row>
    <row customHeight="true" ht="34.43877551020424" r="309">
      <c r="A309" s="380"/>
      <c r="B309" s="396" t="s">
        <v>201</v>
      </c>
      <c r="C309" s="398" t="s">
        <v>202</v>
      </c>
      <c r="D309" s="399" t="s">
        <v>203</v>
      </c>
      <c r="E309" s="391"/>
      <c r="F309" s="391" t="s">
        <v>204</v>
      </c>
      <c r="G309" s="391" t="s">
        <v>205</v>
      </c>
      <c r="H309" s="399" t="s">
        <v>206</v>
      </c>
      <c r="I309" s="384" t="s">
        <v>207</v>
      </c>
      <c r="J309" s="384" t="s">
        <v>208</v>
      </c>
      <c r="K309" s="384" t="s">
        <v>209</v>
      </c>
      <c r="L309" s="384"/>
      <c r="M309" s="384" t="s">
        <v>210</v>
      </c>
      <c r="N309" s="385" t="s">
        <v>211</v>
      </c>
      <c r="O309" s="386" t="s">
        <v>212</v>
      </c>
      <c r="P309" s="386" t="s">
        <v>213</v>
      </c>
      <c r="Q309" s="386" t="s">
        <v>214</v>
      </c>
      <c r="R309" s="386" t="s">
        <v>215</v>
      </c>
      <c r="S309" s="387" t="s">
        <v>216</v>
      </c>
      <c r="T309" s="392" t="s">
        <v>217</v>
      </c>
      <c r="U309" s="393" t="s">
        <v>218</v>
      </c>
      <c r="V309" s="382" t="s">
        <v>219</v>
      </c>
      <c r="W309" s="394" t="s">
        <v>220</v>
      </c>
      <c r="X309" s="394" t="s">
        <v>221</v>
      </c>
      <c r="Y309" s="394" t="s">
        <v>222</v>
      </c>
      <c r="Z309" s="394" t="s">
        <v>223</v>
      </c>
      <c r="AA309" s="394" t="s">
        <v>224</v>
      </c>
      <c r="AB309" s="394" t="s">
        <v>225</v>
      </c>
      <c r="AC309" s="394" t="s">
        <v>226</v>
      </c>
      <c r="AD309" s="394" t="s">
        <v>227</v>
      </c>
      <c r="AE309" s="382" t="s">
        <v>228</v>
      </c>
      <c r="AF309" s="389" t="s">
        <v>229</v>
      </c>
      <c r="AG309" s="389" t="s">
        <v>230</v>
      </c>
      <c r="AH309" s="340" t="s">
        <v>231</v>
      </c>
    </row>
    <row r="310">
      <c r="A310" s="397">
        <v>46165</v>
      </c>
      <c r="B310" s="425" t="s">
        <v>232</v>
      </c>
      <c r="C310" s="400" t="s">
        <v>264</v>
      </c>
      <c r="D310" s="349">
        <v>2000</v>
      </c>
      <c r="E310" s="350"/>
      <c r="F310" s="350">
        <v>4</v>
      </c>
      <c r="G310" s="350">
        <v>4</v>
      </c>
      <c r="H310" s="349">
        <v>1804</v>
      </c>
      <c r="I310" s="436">
        <f t="shared" ref="I310:I331" si="207">H310/D310</f>
      </c>
      <c r="J310" s="351">
        <f t="shared" ref="J310:J331" si="267">D310/F310</f>
      </c>
      <c r="K310" s="351">
        <f t="shared" ref="K310:K331" si="327">D310/G310</f>
      </c>
      <c r="L310" s="351"/>
      <c r="M310" s="351">
        <f t="shared" ref="M310:M331" si="21">H310/F310</f>
      </c>
      <c r="N310" s="351">
        <f t="shared" ref="N310:N331" si="87">D310/X310</f>
      </c>
      <c r="O310" s="352">
        <f t="shared" ref="O310:O331" si="117">S310/W310*1</f>
      </c>
      <c r="P310" s="352">
        <f t="shared" ref="P310:P331" si="147">X310/W310</f>
      </c>
      <c r="Q310" s="352">
        <f t="shared" ref="Q310:Q331" si="177">Z310/W310</f>
      </c>
      <c r="R310" s="352">
        <f t="shared" ref="R310:R331" si="237">AA310/Z310</f>
      </c>
      <c r="S310" s="353">
        <f t="shared" ref="S310:S331" si="297">Y310/T310</f>
      </c>
      <c r="T310" s="354">
        <v>0.013</v>
      </c>
      <c r="U310" s="355">
        <v>28</v>
      </c>
      <c r="V310" s="351">
        <f t="shared" ref="V310:V331" si="357">(D310/W310)*1000</f>
      </c>
      <c r="W310" s="355">
        <v>17375</v>
      </c>
      <c r="X310" s="355">
        <v>879</v>
      </c>
      <c r="Y310" s="353">
        <v>93</v>
      </c>
      <c r="Z310" s="353">
        <v>1226</v>
      </c>
      <c r="AA310" s="353">
        <v>80</v>
      </c>
      <c r="AB310" s="353">
        <v>8</v>
      </c>
      <c r="AC310" s="353">
        <v>3</v>
      </c>
      <c r="AD310" s="355">
        <v>8</v>
      </c>
      <c r="AE310" s="351">
        <f t="shared" ref="AE310:AE330" si="51">AH310*1000/D310</f>
      </c>
      <c r="AF310" s="356" t="s">
        <v>253</v>
      </c>
      <c r="AG310" s="451" t="s">
        <v>259</v>
      </c>
      <c r="AH310" s="355">
        <v>28</v>
      </c>
    </row>
    <row r="311">
      <c r="A311" s="397"/>
      <c r="B311" s="425" t="s">
        <v>232</v>
      </c>
      <c r="C311" s="400" t="s">
        <v>252</v>
      </c>
      <c r="D311" s="349">
        <v>2301.11</v>
      </c>
      <c r="E311" s="350"/>
      <c r="F311" s="350">
        <v>3</v>
      </c>
      <c r="G311" s="350">
        <v>2</v>
      </c>
      <c r="H311" s="349">
        <v>2066.35</v>
      </c>
      <c r="I311" s="436">
        <f t="shared" si="207"/>
      </c>
      <c r="J311" s="351">
        <f t="shared" si="267"/>
      </c>
      <c r="K311" s="351">
        <f t="shared" si="327"/>
      </c>
      <c r="L311" s="351"/>
      <c r="M311" s="351">
        <f t="shared" si="21"/>
      </c>
      <c r="N311" s="351">
        <f t="shared" si="87"/>
      </c>
      <c r="O311" s="352">
        <f t="shared" si="117"/>
      </c>
      <c r="P311" s="352">
        <f t="shared" si="147"/>
      </c>
      <c r="Q311" s="352">
        <f t="shared" si="177"/>
      </c>
      <c r="R311" s="352">
        <f t="shared" si="237"/>
      </c>
      <c r="S311" s="353">
        <f t="shared" si="297"/>
      </c>
      <c r="T311" s="354">
        <v>0.0162</v>
      </c>
      <c r="U311" s="355">
        <v>29</v>
      </c>
      <c r="V311" s="351">
        <f t="shared" si="357"/>
      </c>
      <c r="W311" s="355">
        <v>17865</v>
      </c>
      <c r="X311" s="355">
        <v>703</v>
      </c>
      <c r="Y311" s="353">
        <v>91</v>
      </c>
      <c r="Z311" s="353">
        <v>1045</v>
      </c>
      <c r="AA311" s="355">
        <v>74</v>
      </c>
      <c r="AB311" s="353">
        <v>12</v>
      </c>
      <c r="AC311" s="355">
        <v>1</v>
      </c>
      <c r="AD311" s="355">
        <v>13</v>
      </c>
      <c r="AE311" s="351">
        <f t="shared" si="51"/>
      </c>
      <c r="AF311" s="356" t="s">
        <v>253</v>
      </c>
      <c r="AG311" s="451" t="s">
        <v>259</v>
      </c>
      <c r="AH311" s="355">
        <v>33</v>
      </c>
    </row>
    <row r="312">
      <c r="A312" s="397"/>
      <c r="B312" s="425" t="s">
        <v>232</v>
      </c>
      <c r="C312" s="437" t="s">
        <v>255</v>
      </c>
      <c r="D312" s="349">
        <v>1310.89</v>
      </c>
      <c r="E312" s="350"/>
      <c r="F312" s="350">
        <v>1</v>
      </c>
      <c r="G312" s="350">
        <v>1</v>
      </c>
      <c r="H312" s="349">
        <v>856.9000000000001</v>
      </c>
      <c r="I312" s="436">
        <f t="shared" si="207"/>
      </c>
      <c r="J312" s="351">
        <f t="shared" si="267"/>
      </c>
      <c r="K312" s="351">
        <f t="shared" si="327"/>
      </c>
      <c r="L312" s="351"/>
      <c r="M312" s="351">
        <f t="shared" si="21"/>
      </c>
      <c r="N312" s="351">
        <f t="shared" si="87"/>
      </c>
      <c r="O312" s="352">
        <f t="shared" si="117"/>
      </c>
      <c r="P312" s="352">
        <f t="shared" si="147"/>
      </c>
      <c r="Q312" s="352">
        <f t="shared" si="177"/>
      </c>
      <c r="R312" s="352">
        <f t="shared" si="237"/>
      </c>
      <c r="S312" s="353">
        <f t="shared" si="297"/>
      </c>
      <c r="T312" s="354">
        <v>0.0226</v>
      </c>
      <c r="U312" s="355">
        <v>31</v>
      </c>
      <c r="V312" s="351">
        <f t="shared" si="357"/>
      </c>
      <c r="W312" s="355">
        <v>8552</v>
      </c>
      <c r="X312" s="355">
        <v>236</v>
      </c>
      <c r="Y312" s="353">
        <v>51</v>
      </c>
      <c r="Z312" s="353">
        <v>268</v>
      </c>
      <c r="AA312" s="355">
        <v>35</v>
      </c>
      <c r="AB312" s="353">
        <v>2</v>
      </c>
      <c r="AC312" s="355">
        <v>0</v>
      </c>
      <c r="AD312" s="355">
        <v>6</v>
      </c>
      <c r="AE312" s="351">
        <f t="shared" si="51"/>
      </c>
      <c r="AF312" s="356" t="s">
        <v>253</v>
      </c>
      <c r="AG312" s="451" t="s">
        <v>259</v>
      </c>
      <c r="AH312" s="355">
        <v>14</v>
      </c>
    </row>
    <row r="313">
      <c r="A313" s="397"/>
      <c r="B313" s="425" t="s">
        <v>232</v>
      </c>
      <c r="C313" s="400" t="s">
        <v>256</v>
      </c>
      <c r="D313" s="349">
        <v>831.26</v>
      </c>
      <c r="E313" s="350"/>
      <c r="F313" s="350">
        <v>3</v>
      </c>
      <c r="G313" s="350">
        <v>2</v>
      </c>
      <c r="H313" s="349">
        <v>4596.9</v>
      </c>
      <c r="I313" s="436">
        <f t="shared" si="207"/>
      </c>
      <c r="J313" s="351">
        <f t="shared" si="267"/>
      </c>
      <c r="K313" s="351">
        <f t="shared" si="327"/>
      </c>
      <c r="L313" s="351"/>
      <c r="M313" s="351">
        <f t="shared" si="21"/>
      </c>
      <c r="N313" s="351">
        <f t="shared" si="87"/>
      </c>
      <c r="O313" s="352">
        <f t="shared" si="117"/>
      </c>
      <c r="P313" s="352">
        <f t="shared" si="147"/>
      </c>
      <c r="Q313" s="352">
        <f t="shared" si="177"/>
      </c>
      <c r="R313" s="352">
        <f t="shared" si="237"/>
      </c>
      <c r="S313" s="353">
        <f t="shared" si="297"/>
      </c>
      <c r="T313" s="354">
        <v>0.0307</v>
      </c>
      <c r="U313" s="355">
        <v>32</v>
      </c>
      <c r="V313" s="351">
        <f t="shared" si="357"/>
      </c>
      <c r="W313" s="355">
        <v>5816</v>
      </c>
      <c r="X313" s="355">
        <v>350</v>
      </c>
      <c r="Y313" s="355">
        <v>36</v>
      </c>
      <c r="Z313" s="355">
        <v>458</v>
      </c>
      <c r="AA313" s="355">
        <v>35</v>
      </c>
      <c r="AB313" s="355">
        <v>0</v>
      </c>
      <c r="AC313" s="355">
        <v>0</v>
      </c>
      <c r="AD313" s="355">
        <v>9</v>
      </c>
      <c r="AE313" s="351">
        <f t="shared" si="51"/>
      </c>
      <c r="AF313" s="356" t="s">
        <v>253</v>
      </c>
      <c r="AG313" s="451" t="s">
        <v>259</v>
      </c>
      <c r="AH313" s="355">
        <v>12</v>
      </c>
    </row>
    <row r="314">
      <c r="A314" s="397"/>
      <c r="B314" s="425" t="s">
        <v>232</v>
      </c>
      <c r="C314" s="348" t="s">
        <v>257</v>
      </c>
      <c r="D314" s="438">
        <v>418.65</v>
      </c>
      <c r="E314" s="379"/>
      <c r="F314" s="379">
        <v>1</v>
      </c>
      <c r="G314" s="379">
        <v>0</v>
      </c>
      <c r="H314" s="438">
        <v>1483.8999999999996</v>
      </c>
      <c r="I314" s="351">
        <f t="shared" si="207"/>
      </c>
      <c r="J314" s="351">
        <f t="shared" si="267"/>
      </c>
      <c r="K314" s="351">
        <f t="shared" si="327"/>
      </c>
      <c r="L314" s="351"/>
      <c r="M314" s="351">
        <f t="shared" si="21"/>
      </c>
      <c r="N314" s="351">
        <f t="shared" si="87"/>
      </c>
      <c r="O314" s="352">
        <f t="shared" si="117"/>
      </c>
      <c r="P314" s="352">
        <f t="shared" si="147"/>
      </c>
      <c r="Q314" s="352">
        <f t="shared" si="177"/>
      </c>
      <c r="R314" s="352">
        <f t="shared" si="237"/>
      </c>
      <c r="S314" s="353">
        <f t="shared" si="297"/>
      </c>
      <c r="T314" s="354">
        <v>0.0316</v>
      </c>
      <c r="U314" s="355">
        <v>32</v>
      </c>
      <c r="V314" s="351">
        <f t="shared" si="357"/>
      </c>
      <c r="W314" s="353">
        <v>2426</v>
      </c>
      <c r="X314" s="353">
        <v>143</v>
      </c>
      <c r="Y314" s="353">
        <v>18</v>
      </c>
      <c r="Z314" s="353">
        <v>176</v>
      </c>
      <c r="AA314" s="353">
        <v>17</v>
      </c>
      <c r="AB314" s="353">
        <v>2</v>
      </c>
      <c r="AC314" s="353">
        <v>0</v>
      </c>
      <c r="AD314" s="353">
        <v>2</v>
      </c>
      <c r="AE314" s="351">
        <f t="shared" si="51"/>
      </c>
      <c r="AF314" s="356" t="s">
        <v>253</v>
      </c>
      <c r="AG314" s="451" t="s">
        <v>259</v>
      </c>
      <c r="AH314" s="355">
        <v>7</v>
      </c>
    </row>
    <row r="315">
      <c r="A315" s="397"/>
      <c r="B315" s="360" t="s">
        <v>240</v>
      </c>
      <c r="C315" s="360"/>
      <c r="D315" s="361">
        <f>SUM(D310:D314)</f>
      </c>
      <c r="E315" s="365"/>
      <c r="F315" s="365">
        <f>SUM(F310:F314)</f>
      </c>
      <c r="G315" s="365">
        <f>SUM(G310:G314)</f>
      </c>
      <c r="H315" s="361">
        <f>SUM(H310:H314)</f>
      </c>
      <c r="I315" s="363">
        <f t="shared" si="207"/>
      </c>
      <c r="J315" s="363">
        <f t="shared" si="267"/>
      </c>
      <c r="K315" s="363">
        <f t="shared" si="327"/>
      </c>
      <c r="L315" s="363"/>
      <c r="M315" s="363">
        <f t="shared" si="21"/>
      </c>
      <c r="N315" s="363">
        <f t="shared" si="87"/>
      </c>
      <c r="O315" s="364">
        <f t="shared" si="117"/>
      </c>
      <c r="P315" s="364">
        <f t="shared" si="147"/>
      </c>
      <c r="Q315" s="364">
        <f t="shared" si="177"/>
      </c>
      <c r="R315" s="364">
        <f t="shared" si="237"/>
      </c>
      <c r="S315" s="365">
        <f t="shared" si="297"/>
      </c>
      <c r="T315" s="364">
        <f>AVERAGE(T310:T314)</f>
      </c>
      <c r="U315" s="361">
        <f>AVERAGE(U310:U314)</f>
      </c>
      <c r="V315" s="363">
        <f t="shared" si="357"/>
      </c>
      <c r="W315" s="365">
        <f>SUM(W310:W314)</f>
      </c>
      <c r="X315" s="365">
        <f>SUM(X310:X314)</f>
      </c>
      <c r="Y315" s="365">
        <f>SUM(Y310:Y314)</f>
      </c>
      <c r="Z315" s="365">
        <f>SUM(Z310:Z314)</f>
      </c>
      <c r="AA315" s="365">
        <f>SUM(AA310:AA314)</f>
      </c>
      <c r="AB315" s="365">
        <f>SUM(AB310:AB314)</f>
      </c>
      <c r="AC315" s="365">
        <f>SUM(AC310:AC314)</f>
      </c>
      <c r="AD315" s="365">
        <f>SUM(AD310:AD314)</f>
      </c>
      <c r="AE315" s="366">
        <f t="shared" si="51"/>
      </c>
      <c r="AF315" s="367"/>
      <c r="AG315" s="367"/>
      <c r="AH315" s="368">
        <f>SUM(AH310:AH314)</f>
      </c>
    </row>
    <row r="316">
      <c r="A316" s="397"/>
      <c r="B316" s="425" t="s">
        <v>265</v>
      </c>
      <c r="C316" s="411" t="s">
        <v>258</v>
      </c>
      <c r="D316" s="426">
        <v>1192.68</v>
      </c>
      <c r="E316" s="413"/>
      <c r="F316" s="413">
        <v>2</v>
      </c>
      <c r="G316" s="414">
        <v>2</v>
      </c>
      <c r="H316" s="475">
        <v>902</v>
      </c>
      <c r="I316" s="416">
        <f t="shared" si="207"/>
      </c>
      <c r="J316" s="416">
        <f t="shared" si="267"/>
      </c>
      <c r="K316" s="416">
        <f t="shared" si="327"/>
      </c>
      <c r="L316" s="416"/>
      <c r="M316" s="416">
        <f t="shared" si="21"/>
      </c>
      <c r="N316" s="416">
        <f t="shared" si="87"/>
      </c>
      <c r="O316" s="417">
        <f t="shared" si="117"/>
      </c>
      <c r="P316" s="417">
        <f t="shared" si="147"/>
      </c>
      <c r="Q316" s="417">
        <f t="shared" si="177"/>
      </c>
      <c r="R316" s="417">
        <f t="shared" si="237"/>
      </c>
      <c r="S316" s="418">
        <f t="shared" si="297"/>
      </c>
      <c r="T316" s="419">
        <v>0.0597</v>
      </c>
      <c r="U316" s="420">
        <v>34</v>
      </c>
      <c r="V316" s="416">
        <f t="shared" si="357"/>
      </c>
      <c r="W316" s="418">
        <v>6550</v>
      </c>
      <c r="X316" s="418">
        <v>419</v>
      </c>
      <c r="Y316" s="418">
        <v>46</v>
      </c>
      <c r="Z316" s="418">
        <v>484</v>
      </c>
      <c r="AA316" s="418">
        <v>39</v>
      </c>
      <c r="AB316" s="418">
        <v>7</v>
      </c>
      <c r="AC316" s="418">
        <v>0</v>
      </c>
      <c r="AD316" s="418">
        <v>10</v>
      </c>
      <c r="AE316" s="416">
        <f t="shared" si="51"/>
      </c>
      <c r="AF316" s="356" t="s">
        <v>253</v>
      </c>
      <c r="AG316" s="451" t="s">
        <v>259</v>
      </c>
      <c r="AH316" s="420">
        <v>12</v>
      </c>
    </row>
    <row r="317">
      <c r="A317" s="397"/>
      <c r="B317" s="425" t="s">
        <v>265</v>
      </c>
      <c r="C317" s="422" t="s">
        <v>260</v>
      </c>
      <c r="D317" s="439">
        <v>2066.32</v>
      </c>
      <c r="E317" s="424"/>
      <c r="F317" s="424">
        <v>7</v>
      </c>
      <c r="G317" s="424">
        <v>6</v>
      </c>
      <c r="H317" s="475">
        <v>5538.5</v>
      </c>
      <c r="I317" s="416">
        <f t="shared" si="207"/>
      </c>
      <c r="J317" s="416">
        <f t="shared" si="267"/>
      </c>
      <c r="K317" s="416">
        <f t="shared" si="327"/>
      </c>
      <c r="L317" s="416"/>
      <c r="M317" s="416">
        <f t="shared" si="21"/>
      </c>
      <c r="N317" s="416">
        <f t="shared" si="87"/>
      </c>
      <c r="O317" s="417">
        <f t="shared" si="117"/>
      </c>
      <c r="P317" s="417">
        <f t="shared" si="147"/>
      </c>
      <c r="Q317" s="417">
        <f t="shared" si="177"/>
      </c>
      <c r="R317" s="417">
        <f t="shared" si="237"/>
      </c>
      <c r="S317" s="418">
        <f t="shared" si="297"/>
      </c>
      <c r="T317" s="419">
        <v>0.0777</v>
      </c>
      <c r="U317" s="420">
        <v>36</v>
      </c>
      <c r="V317" s="416">
        <f t="shared" si="357"/>
      </c>
      <c r="W317" s="418">
        <v>11190</v>
      </c>
      <c r="X317" s="418">
        <v>510</v>
      </c>
      <c r="Y317" s="418">
        <v>64</v>
      </c>
      <c r="Z317" s="418">
        <v>622</v>
      </c>
      <c r="AA317" s="418">
        <v>92</v>
      </c>
      <c r="AB317" s="418">
        <v>8</v>
      </c>
      <c r="AC317" s="418">
        <v>3</v>
      </c>
      <c r="AD317" s="418">
        <v>17</v>
      </c>
      <c r="AE317" s="416">
        <f t="shared" si="51"/>
      </c>
      <c r="AF317" s="356" t="s">
        <v>253</v>
      </c>
      <c r="AG317" s="451" t="s">
        <v>259</v>
      </c>
      <c r="AH317" s="420">
        <v>29</v>
      </c>
    </row>
    <row r="318">
      <c r="A318" s="397"/>
      <c r="B318" s="427" t="s">
        <v>240</v>
      </c>
      <c r="C318" s="427"/>
      <c r="D318" s="428">
        <f>SUM(D316:D317)</f>
      </c>
      <c r="E318" s="429"/>
      <c r="F318" s="429">
        <f>SUM(F316:F317)</f>
      </c>
      <c r="G318" s="429">
        <f>SUM(G316:G317)</f>
      </c>
      <c r="H318" s="428">
        <f>SUM(H316:H317)</f>
      </c>
      <c r="I318" s="430">
        <f t="shared" si="207"/>
      </c>
      <c r="J318" s="430">
        <f t="shared" si="267"/>
      </c>
      <c r="K318" s="430">
        <f t="shared" si="327"/>
      </c>
      <c r="L318" s="430"/>
      <c r="M318" s="430">
        <f t="shared" si="21"/>
      </c>
      <c r="N318" s="430">
        <f t="shared" si="87"/>
      </c>
      <c r="O318" s="431">
        <f t="shared" si="117"/>
      </c>
      <c r="P318" s="431">
        <f t="shared" si="147"/>
      </c>
      <c r="Q318" s="431">
        <f t="shared" si="177"/>
      </c>
      <c r="R318" s="431">
        <f t="shared" si="237"/>
      </c>
      <c r="S318" s="432">
        <f t="shared" si="297"/>
      </c>
      <c r="T318" s="431">
        <f>AVERAGE(T316:T317)</f>
      </c>
      <c r="U318" s="428">
        <f>AVERAGE(U316:U317)</f>
      </c>
      <c r="V318" s="430">
        <f t="shared" si="357"/>
      </c>
      <c r="W318" s="432">
        <f>SUM(W316:W317)</f>
      </c>
      <c r="X318" s="432">
        <f>SUM(X316:X317)</f>
      </c>
      <c r="Y318" s="432">
        <f>SUM(Y316:Y317)</f>
      </c>
      <c r="Z318" s="432">
        <f>SUM(Z316:Z317)</f>
      </c>
      <c r="AA318" s="432">
        <f>SUM(AA316:AA317)</f>
      </c>
      <c r="AB318" s="432">
        <f>SUM(AB316:AB317)</f>
      </c>
      <c r="AC318" s="432">
        <f>SUM(AC316:AC317)</f>
      </c>
      <c r="AD318" s="432">
        <f>SUM(AD316:AD317)</f>
      </c>
      <c r="AE318" s="433">
        <f t="shared" si="51"/>
      </c>
      <c r="AF318" s="434"/>
      <c r="AG318" s="434"/>
      <c r="AH318" s="435">
        <f>SUM(AH316:AH317)</f>
      </c>
    </row>
    <row r="319">
      <c r="A319" s="397"/>
      <c r="B319" s="375" t="s">
        <v>249</v>
      </c>
      <c r="C319" s="411" t="s">
        <v>261</v>
      </c>
      <c r="D319" s="349">
        <v>2422.16</v>
      </c>
      <c r="E319" s="350"/>
      <c r="F319" s="350">
        <v>2</v>
      </c>
      <c r="G319" s="350">
        <v>2</v>
      </c>
      <c r="H319" s="350">
        <v>902</v>
      </c>
      <c r="I319" s="351">
        <f t="shared" si="207"/>
      </c>
      <c r="J319" s="351">
        <f t="shared" si="267"/>
      </c>
      <c r="K319" s="351">
        <f t="shared" si="327"/>
      </c>
      <c r="L319" s="351"/>
      <c r="M319" s="351">
        <f t="shared" si="21"/>
      </c>
      <c r="N319" s="351">
        <f t="shared" si="87"/>
      </c>
      <c r="O319" s="352">
        <f t="shared" si="117"/>
      </c>
      <c r="P319" s="352">
        <f t="shared" si="147"/>
      </c>
      <c r="Q319" s="352">
        <f t="shared" si="177"/>
      </c>
      <c r="R319" s="352">
        <f t="shared" si="237"/>
      </c>
      <c r="S319" s="353">
        <f t="shared" si="297"/>
      </c>
      <c r="T319" s="354">
        <v>0.1008</v>
      </c>
      <c r="U319" s="355">
        <v>38</v>
      </c>
      <c r="V319" s="351">
        <f t="shared" si="357"/>
      </c>
      <c r="W319" s="355">
        <v>15314</v>
      </c>
      <c r="X319" s="355">
        <v>555</v>
      </c>
      <c r="Y319" s="353">
        <v>89</v>
      </c>
      <c r="Z319" s="353">
        <v>652</v>
      </c>
      <c r="AA319" s="353">
        <v>50</v>
      </c>
      <c r="AB319" s="353">
        <v>7</v>
      </c>
      <c r="AC319" s="353">
        <v>6</v>
      </c>
      <c r="AD319" s="355">
        <v>25</v>
      </c>
      <c r="AE319" s="351">
        <f t="shared" si="51"/>
      </c>
      <c r="AF319" s="356" t="s">
        <v>253</v>
      </c>
      <c r="AG319" s="451" t="s">
        <v>259</v>
      </c>
      <c r="AH319" s="355">
        <v>19</v>
      </c>
    </row>
    <row r="320">
      <c r="A320" s="397"/>
      <c r="B320" s="375" t="s">
        <v>249</v>
      </c>
      <c r="C320" s="425" t="s">
        <v>262</v>
      </c>
      <c r="D320" s="349">
        <v>1792.72</v>
      </c>
      <c r="E320" s="350"/>
      <c r="F320" s="350">
        <v>2</v>
      </c>
      <c r="G320" s="350">
        <v>2</v>
      </c>
      <c r="H320" s="349">
        <v>1307.9000000000015</v>
      </c>
      <c r="I320" s="351">
        <f t="shared" si="207"/>
      </c>
      <c r="J320" s="351">
        <f t="shared" si="267"/>
      </c>
      <c r="K320" s="351">
        <f t="shared" si="327"/>
      </c>
      <c r="L320" s="351"/>
      <c r="M320" s="351">
        <f t="shared" si="21"/>
      </c>
      <c r="N320" s="351">
        <f t="shared" si="87"/>
      </c>
      <c r="O320" s="352">
        <f t="shared" si="117"/>
      </c>
      <c r="P320" s="352">
        <f t="shared" si="147"/>
      </c>
      <c r="Q320" s="352">
        <f t="shared" si="177"/>
      </c>
      <c r="R320" s="352">
        <f t="shared" si="237"/>
      </c>
      <c r="S320" s="353">
        <f t="shared" si="297"/>
      </c>
      <c r="T320" s="354">
        <v>0.088</v>
      </c>
      <c r="U320" s="355">
        <v>38</v>
      </c>
      <c r="V320" s="351">
        <f t="shared" si="357"/>
      </c>
      <c r="W320" s="355">
        <v>12257</v>
      </c>
      <c r="X320" s="355">
        <v>496</v>
      </c>
      <c r="Y320" s="353">
        <v>66</v>
      </c>
      <c r="Z320" s="353">
        <v>584</v>
      </c>
      <c r="AA320" s="355">
        <v>36</v>
      </c>
      <c r="AB320" s="353">
        <v>9</v>
      </c>
      <c r="AC320" s="355">
        <v>1</v>
      </c>
      <c r="AD320" s="355">
        <v>15</v>
      </c>
      <c r="AE320" s="351">
        <f t="shared" si="51"/>
      </c>
      <c r="AF320" s="356" t="s">
        <v>253</v>
      </c>
      <c r="AG320" s="451" t="s">
        <v>259</v>
      </c>
      <c r="AH320" s="355">
        <v>20</v>
      </c>
    </row>
    <row r="321">
      <c r="A321" s="397"/>
      <c r="B321" s="375" t="s">
        <v>249</v>
      </c>
      <c r="C321" s="411" t="s">
        <v>243</v>
      </c>
      <c r="D321" s="349">
        <v>2197.7</v>
      </c>
      <c r="E321" s="350"/>
      <c r="F321" s="350">
        <v>5</v>
      </c>
      <c r="G321" s="350">
        <v>5</v>
      </c>
      <c r="H321" s="349">
        <v>2584.9999999999964</v>
      </c>
      <c r="I321" s="351">
        <f t="shared" si="207"/>
      </c>
      <c r="J321" s="351">
        <f t="shared" si="267"/>
      </c>
      <c r="K321" s="351">
        <f t="shared" si="327"/>
      </c>
      <c r="L321" s="351"/>
      <c r="M321" s="351">
        <f t="shared" si="21"/>
      </c>
      <c r="N321" s="351">
        <f t="shared" si="87"/>
      </c>
      <c r="O321" s="352">
        <f t="shared" si="117"/>
      </c>
      <c r="P321" s="352">
        <f t="shared" si="147"/>
      </c>
      <c r="Q321" s="352">
        <f t="shared" si="177"/>
      </c>
      <c r="R321" s="352">
        <f t="shared" si="237"/>
      </c>
      <c r="S321" s="353">
        <f t="shared" si="297"/>
      </c>
      <c r="T321" s="354">
        <v>0.0838</v>
      </c>
      <c r="U321" s="355">
        <v>38</v>
      </c>
      <c r="V321" s="351">
        <f t="shared" si="357"/>
      </c>
      <c r="W321" s="355">
        <v>14354</v>
      </c>
      <c r="X321" s="355">
        <v>490</v>
      </c>
      <c r="Y321" s="353">
        <v>65</v>
      </c>
      <c r="Z321" s="353">
        <v>575</v>
      </c>
      <c r="AA321" s="355">
        <v>49</v>
      </c>
      <c r="AB321" s="353">
        <v>7</v>
      </c>
      <c r="AC321" s="355">
        <v>2</v>
      </c>
      <c r="AD321" s="355">
        <v>19</v>
      </c>
      <c r="AE321" s="351">
        <f t="shared" si="51"/>
      </c>
      <c r="AF321" s="356" t="s">
        <v>234</v>
      </c>
      <c r="AG321" s="451" t="s">
        <v>259</v>
      </c>
      <c r="AH321" s="355">
        <v>12</v>
      </c>
    </row>
    <row r="322">
      <c r="A322" s="397"/>
      <c r="B322" s="375" t="s">
        <v>249</v>
      </c>
      <c r="C322" s="422" t="s">
        <v>244</v>
      </c>
      <c r="D322" s="349">
        <v>1692.8</v>
      </c>
      <c r="E322" s="350"/>
      <c r="F322" s="350">
        <v>1</v>
      </c>
      <c r="G322" s="350">
        <v>1</v>
      </c>
      <c r="H322" s="349">
        <v>451.00000000000364</v>
      </c>
      <c r="I322" s="351">
        <f t="shared" si="207"/>
      </c>
      <c r="J322" s="351">
        <f t="shared" si="267"/>
      </c>
      <c r="K322" s="351">
        <f t="shared" si="327"/>
      </c>
      <c r="L322" s="351"/>
      <c r="M322" s="351">
        <f t="shared" si="21"/>
      </c>
      <c r="N322" s="351">
        <f t="shared" si="87"/>
      </c>
      <c r="O322" s="352">
        <f t="shared" si="117"/>
      </c>
      <c r="P322" s="352">
        <f t="shared" si="147"/>
      </c>
      <c r="Q322" s="352">
        <f t="shared" si="177"/>
      </c>
      <c r="R322" s="352">
        <f t="shared" si="237"/>
      </c>
      <c r="S322" s="353">
        <f t="shared" si="297"/>
      </c>
      <c r="T322" s="354">
        <v>0.081</v>
      </c>
      <c r="U322" s="355">
        <v>38</v>
      </c>
      <c r="V322" s="351">
        <f t="shared" si="357"/>
      </c>
      <c r="W322" s="355">
        <v>12867</v>
      </c>
      <c r="X322" s="355">
        <v>392</v>
      </c>
      <c r="Y322" s="355">
        <v>56</v>
      </c>
      <c r="Z322" s="355">
        <v>485</v>
      </c>
      <c r="AA322" s="355">
        <v>53</v>
      </c>
      <c r="AB322" s="355">
        <v>1</v>
      </c>
      <c r="AC322" s="355">
        <v>1</v>
      </c>
      <c r="AD322" s="355">
        <v>15</v>
      </c>
      <c r="AE322" s="351">
        <f t="shared" si="51"/>
      </c>
      <c r="AF322" s="356" t="s">
        <v>234</v>
      </c>
      <c r="AG322" s="451" t="s">
        <v>259</v>
      </c>
      <c r="AH322" s="355">
        <v>12</v>
      </c>
    </row>
    <row customHeight="true" ht="18.452380952380953" r="323">
      <c r="A323" s="397"/>
      <c r="B323" s="375" t="s">
        <v>249</v>
      </c>
      <c r="C323" s="411" t="s">
        <v>245</v>
      </c>
      <c r="D323" s="349">
        <v>1702.89</v>
      </c>
      <c r="E323" s="350"/>
      <c r="F323" s="350">
        <v>4</v>
      </c>
      <c r="G323" s="350">
        <v>3</v>
      </c>
      <c r="H323" s="349">
        <v>3166.899999999998</v>
      </c>
      <c r="I323" s="351">
        <f t="shared" si="207"/>
      </c>
      <c r="J323" s="351">
        <f t="shared" si="267"/>
      </c>
      <c r="K323" s="351">
        <f t="shared" si="327"/>
      </c>
      <c r="L323" s="351"/>
      <c r="M323" s="351">
        <f t="shared" si="21"/>
      </c>
      <c r="N323" s="351">
        <f t="shared" si="87"/>
      </c>
      <c r="O323" s="352">
        <f t="shared" si="117"/>
      </c>
      <c r="P323" s="352">
        <f t="shared" si="147"/>
      </c>
      <c r="Q323" s="352">
        <f t="shared" si="177"/>
      </c>
      <c r="R323" s="352">
        <f t="shared" si="237"/>
      </c>
      <c r="S323" s="353">
        <f t="shared" si="297"/>
      </c>
      <c r="T323" s="354">
        <v>0.0872</v>
      </c>
      <c r="U323" s="355">
        <v>39</v>
      </c>
      <c r="V323" s="351">
        <f t="shared" si="357"/>
      </c>
      <c r="W323" s="353">
        <v>13657</v>
      </c>
      <c r="X323" s="353">
        <v>400</v>
      </c>
      <c r="Y323" s="353">
        <v>58</v>
      </c>
      <c r="Z323" s="353">
        <v>481</v>
      </c>
      <c r="AA323" s="353">
        <v>48</v>
      </c>
      <c r="AB323" s="353">
        <v>6</v>
      </c>
      <c r="AC323" s="353">
        <v>1</v>
      </c>
      <c r="AD323" s="353">
        <v>16</v>
      </c>
      <c r="AE323" s="351">
        <f t="shared" si="51"/>
      </c>
      <c r="AF323" s="356" t="s">
        <v>234</v>
      </c>
      <c r="AG323" s="357" t="s">
        <v>250</v>
      </c>
      <c r="AH323" s="355">
        <v>15</v>
      </c>
    </row>
    <row r="324">
      <c r="A324" s="397"/>
      <c r="B324" s="360" t="s">
        <v>240</v>
      </c>
      <c r="C324" s="360"/>
      <c r="D324" s="405">
        <f>SUM(D319:D323)</f>
      </c>
      <c r="E324" s="476"/>
      <c r="F324" s="476">
        <f>SUM(F319:F323)</f>
      </c>
      <c r="G324" s="476">
        <f>SUM(G319:G323)</f>
      </c>
      <c r="H324" s="405">
        <f>SUM(H319:H323)</f>
      </c>
      <c r="I324" s="363">
        <f t="shared" si="207"/>
      </c>
      <c r="J324" s="363">
        <f t="shared" si="267"/>
      </c>
      <c r="K324" s="363">
        <f t="shared" si="327"/>
      </c>
      <c r="L324" s="363"/>
      <c r="M324" s="363">
        <f t="shared" si="21"/>
      </c>
      <c r="N324" s="363">
        <f t="shared" si="87"/>
      </c>
      <c r="O324" s="364">
        <f t="shared" si="117"/>
      </c>
      <c r="P324" s="364">
        <f t="shared" si="147"/>
      </c>
      <c r="Q324" s="364">
        <f t="shared" si="177"/>
      </c>
      <c r="R324" s="364">
        <f t="shared" si="237"/>
      </c>
      <c r="S324" s="365">
        <f t="shared" si="297"/>
      </c>
      <c r="T324" s="364">
        <f>AVERAGE(T319:T323)</f>
      </c>
      <c r="U324" s="361">
        <f>AVERAGE(U319:U323)</f>
      </c>
      <c r="V324" s="363">
        <f t="shared" si="357"/>
      </c>
      <c r="W324" s="365">
        <f>SUM(W319:W323)</f>
      </c>
      <c r="X324" s="365">
        <f>SUM(X319:X323)</f>
      </c>
      <c r="Y324" s="365">
        <f>SUM(Y319:Y323)</f>
      </c>
      <c r="Z324" s="365">
        <f>SUM(Z319:Z323)</f>
      </c>
      <c r="AA324" s="365">
        <f>SUM(AA319:AA323)</f>
      </c>
      <c r="AB324" s="365">
        <f>SUM(AB319:AB323)</f>
      </c>
      <c r="AC324" s="365">
        <f>SUM(AC319:AC323)</f>
      </c>
      <c r="AD324" s="365">
        <f>SUM(AD319:AD323)</f>
      </c>
      <c r="AE324" s="366">
        <f t="shared" si="51"/>
      </c>
      <c r="AF324" s="367"/>
      <c r="AG324" s="367"/>
      <c r="AH324" s="368">
        <f>SUM(AH319:AH323)</f>
      </c>
    </row>
    <row r="325">
      <c r="A325" s="397"/>
      <c r="B325" s="410" t="s">
        <v>246</v>
      </c>
      <c r="C325" s="411" t="s">
        <v>233</v>
      </c>
      <c r="D325" s="349">
        <v>1881.56</v>
      </c>
      <c r="E325" s="350"/>
      <c r="F325" s="350">
        <v>2</v>
      </c>
      <c r="G325" s="350">
        <v>2</v>
      </c>
      <c r="H325" s="349">
        <v>902</v>
      </c>
      <c r="I325" s="436">
        <f t="shared" si="207"/>
      </c>
      <c r="J325" s="351">
        <f t="shared" si="267"/>
      </c>
      <c r="K325" s="351">
        <f t="shared" si="327"/>
      </c>
      <c r="L325" s="351"/>
      <c r="M325" s="351">
        <f t="shared" si="21"/>
      </c>
      <c r="N325" s="351">
        <f t="shared" si="87"/>
      </c>
      <c r="O325" s="352">
        <f t="shared" si="117"/>
      </c>
      <c r="P325" s="352">
        <f t="shared" si="147"/>
      </c>
      <c r="Q325" s="352">
        <f t="shared" si="177"/>
      </c>
      <c r="R325" s="352">
        <f t="shared" si="237"/>
      </c>
      <c r="S325" s="353">
        <f t="shared" si="297"/>
      </c>
      <c r="T325" s="354">
        <v>0.0913</v>
      </c>
      <c r="U325" s="355">
        <v>38</v>
      </c>
      <c r="V325" s="351">
        <f t="shared" si="357"/>
      </c>
      <c r="W325" s="355">
        <v>14069</v>
      </c>
      <c r="X325" s="355">
        <v>419</v>
      </c>
      <c r="Y325" s="353">
        <v>60</v>
      </c>
      <c r="Z325" s="353">
        <v>522</v>
      </c>
      <c r="AA325" s="353">
        <v>37</v>
      </c>
      <c r="AB325" s="353">
        <v>3</v>
      </c>
      <c r="AC325" s="353">
        <v>0</v>
      </c>
      <c r="AD325" s="355">
        <v>14</v>
      </c>
      <c r="AE325" s="351">
        <f t="shared" si="51"/>
      </c>
      <c r="AF325" s="356" t="s">
        <v>234</v>
      </c>
      <c r="AG325" s="357" t="s">
        <v>250</v>
      </c>
      <c r="AH325" s="355">
        <v>18</v>
      </c>
    </row>
    <row customHeight="true" ht="18.452380952380953" r="326">
      <c r="A326" s="397"/>
      <c r="B326" s="410" t="s">
        <v>246</v>
      </c>
      <c r="C326" s="425" t="s">
        <v>236</v>
      </c>
      <c r="D326" s="349">
        <v>1422.43</v>
      </c>
      <c r="E326" s="350"/>
      <c r="F326" s="350">
        <v>1</v>
      </c>
      <c r="G326" s="350">
        <v>1</v>
      </c>
      <c r="H326" s="349">
        <v>856.9000000000015</v>
      </c>
      <c r="I326" s="436">
        <f t="shared" si="207"/>
      </c>
      <c r="J326" s="351">
        <f t="shared" si="267"/>
      </c>
      <c r="K326" s="351">
        <f t="shared" si="327"/>
      </c>
      <c r="L326" s="351"/>
      <c r="M326" s="351">
        <f t="shared" si="21"/>
      </c>
      <c r="N326" s="351">
        <f t="shared" si="87"/>
      </c>
      <c r="O326" s="352">
        <f t="shared" si="117"/>
      </c>
      <c r="P326" s="352">
        <f t="shared" si="147"/>
      </c>
      <c r="Q326" s="352">
        <f t="shared" si="177"/>
      </c>
      <c r="R326" s="352">
        <f t="shared" si="237"/>
      </c>
      <c r="S326" s="353">
        <f t="shared" si="297"/>
      </c>
      <c r="T326" s="354">
        <v>0.0805</v>
      </c>
      <c r="U326" s="355">
        <v>38</v>
      </c>
      <c r="V326" s="351">
        <f t="shared" si="357"/>
      </c>
      <c r="W326" s="355">
        <v>11115</v>
      </c>
      <c r="X326" s="355">
        <v>448</v>
      </c>
      <c r="Y326" s="353">
        <v>57</v>
      </c>
      <c r="Z326" s="353">
        <v>539</v>
      </c>
      <c r="AA326" s="355">
        <v>70</v>
      </c>
      <c r="AB326" s="353">
        <v>7</v>
      </c>
      <c r="AC326" s="355">
        <v>2</v>
      </c>
      <c r="AD326" s="355">
        <v>13</v>
      </c>
      <c r="AE326" s="351">
        <f t="shared" si="51"/>
      </c>
      <c r="AF326" s="356" t="s">
        <v>234</v>
      </c>
      <c r="AG326" s="357" t="s">
        <v>250</v>
      </c>
      <c r="AH326" s="355">
        <v>23</v>
      </c>
    </row>
    <row customHeight="true" ht="18.452380952380953" r="327">
      <c r="A327" s="397"/>
      <c r="B327" s="410" t="s">
        <v>246</v>
      </c>
      <c r="C327" s="425" t="s">
        <v>237</v>
      </c>
      <c r="D327" s="349">
        <v>1878.86</v>
      </c>
      <c r="E327" s="350"/>
      <c r="F327" s="350">
        <v>5</v>
      </c>
      <c r="G327" s="350">
        <v>5</v>
      </c>
      <c r="H327" s="349">
        <v>2660.9000000000015</v>
      </c>
      <c r="I327" s="436">
        <f t="shared" si="207"/>
      </c>
      <c r="J327" s="351">
        <f t="shared" si="267"/>
      </c>
      <c r="K327" s="351">
        <f t="shared" si="327"/>
      </c>
      <c r="L327" s="351"/>
      <c r="M327" s="351">
        <f t="shared" si="21"/>
      </c>
      <c r="N327" s="351">
        <f t="shared" si="87"/>
      </c>
      <c r="O327" s="352">
        <f t="shared" si="117"/>
      </c>
      <c r="P327" s="352">
        <f t="shared" si="147"/>
      </c>
      <c r="Q327" s="352">
        <f t="shared" si="177"/>
      </c>
      <c r="R327" s="352">
        <f t="shared" si="237"/>
      </c>
      <c r="S327" s="353">
        <f t="shared" si="297"/>
      </c>
      <c r="T327" s="354">
        <v>0.0669</v>
      </c>
      <c r="U327" s="355">
        <v>39</v>
      </c>
      <c r="V327" s="351">
        <f t="shared" si="357"/>
      </c>
      <c r="W327" s="355">
        <v>12601</v>
      </c>
      <c r="X327" s="355">
        <v>486</v>
      </c>
      <c r="Y327" s="353">
        <v>57</v>
      </c>
      <c r="Z327" s="353">
        <v>603</v>
      </c>
      <c r="AA327" s="355">
        <v>43</v>
      </c>
      <c r="AB327" s="353">
        <v>5</v>
      </c>
      <c r="AC327" s="355">
        <v>0</v>
      </c>
      <c r="AD327" s="355">
        <v>13</v>
      </c>
      <c r="AE327" s="351">
        <f t="shared" si="51"/>
      </c>
      <c r="AF327" s="356" t="s">
        <v>234</v>
      </c>
      <c r="AG327" s="357" t="s">
        <v>250</v>
      </c>
      <c r="AH327" s="355">
        <v>18</v>
      </c>
    </row>
    <row customHeight="true" ht="18.452380952380953" r="328">
      <c r="A328" s="397"/>
      <c r="B328" s="410" t="s">
        <v>246</v>
      </c>
      <c r="C328" s="425" t="s">
        <v>238</v>
      </c>
      <c r="D328" s="349">
        <v>2316.65</v>
      </c>
      <c r="E328" s="350"/>
      <c r="F328" s="350">
        <v>6</v>
      </c>
      <c r="G328" s="350">
        <v>5</v>
      </c>
      <c r="H328" s="349">
        <v>3036</v>
      </c>
      <c r="I328" s="436">
        <f t="shared" si="207"/>
      </c>
      <c r="J328" s="351">
        <f t="shared" si="267"/>
      </c>
      <c r="K328" s="351">
        <f t="shared" si="327"/>
      </c>
      <c r="L328" s="351"/>
      <c r="M328" s="351">
        <f t="shared" si="21"/>
      </c>
      <c r="N328" s="351">
        <f t="shared" si="87"/>
      </c>
      <c r="O328" s="352">
        <f t="shared" si="117"/>
      </c>
      <c r="P328" s="352">
        <f t="shared" si="147"/>
      </c>
      <c r="Q328" s="352">
        <f t="shared" si="177"/>
      </c>
      <c r="R328" s="352">
        <f t="shared" si="237"/>
      </c>
      <c r="S328" s="353">
        <f t="shared" si="297"/>
      </c>
      <c r="T328" s="354">
        <v>0.1045</v>
      </c>
      <c r="U328" s="355">
        <v>41</v>
      </c>
      <c r="V328" s="351">
        <f t="shared" si="357"/>
      </c>
      <c r="W328" s="355">
        <v>19978</v>
      </c>
      <c r="X328" s="355">
        <v>460</v>
      </c>
      <c r="Y328" s="355">
        <v>81</v>
      </c>
      <c r="Z328" s="355">
        <v>589</v>
      </c>
      <c r="AA328" s="355">
        <v>89</v>
      </c>
      <c r="AB328" s="355">
        <v>10</v>
      </c>
      <c r="AC328" s="355">
        <v>2</v>
      </c>
      <c r="AD328" s="355">
        <v>25</v>
      </c>
      <c r="AE328" s="351">
        <f t="shared" si="51"/>
      </c>
      <c r="AF328" s="356" t="s">
        <v>234</v>
      </c>
      <c r="AG328" s="357" t="s">
        <v>250</v>
      </c>
      <c r="AH328" s="355">
        <v>33</v>
      </c>
    </row>
    <row customHeight="true" ht="18.452380952380953" r="329">
      <c r="A329" s="397"/>
      <c r="B329" s="410" t="s">
        <v>246</v>
      </c>
      <c r="C329" s="425" t="s">
        <v>239</v>
      </c>
      <c r="D329" s="349">
        <v>1435</v>
      </c>
      <c r="E329" s="350"/>
      <c r="F329" s="350">
        <v>3</v>
      </c>
      <c r="G329" s="350">
        <v>2</v>
      </c>
      <c r="H329" s="349">
        <v>3480.4000000000015</v>
      </c>
      <c r="I329" s="436">
        <f t="shared" si="207"/>
      </c>
      <c r="J329" s="351">
        <f t="shared" si="267"/>
      </c>
      <c r="K329" s="351">
        <f t="shared" si="327"/>
      </c>
      <c r="L329" s="351"/>
      <c r="M329" s="351">
        <f t="shared" si="21"/>
      </c>
      <c r="N329" s="351">
        <f t="shared" si="87"/>
      </c>
      <c r="O329" s="352">
        <f t="shared" si="117"/>
      </c>
      <c r="P329" s="352">
        <f t="shared" si="147"/>
      </c>
      <c r="Q329" s="352">
        <f t="shared" si="177"/>
      </c>
      <c r="R329" s="352">
        <f t="shared" si="237"/>
      </c>
      <c r="S329" s="353">
        <f t="shared" si="297"/>
      </c>
      <c r="T329" s="354">
        <v>0.0897</v>
      </c>
      <c r="U329" s="355">
        <v>42</v>
      </c>
      <c r="V329" s="351">
        <f t="shared" si="357"/>
      </c>
      <c r="W329" s="353">
        <v>13048</v>
      </c>
      <c r="X329" s="353">
        <v>185</v>
      </c>
      <c r="Y329" s="353">
        <v>54</v>
      </c>
      <c r="Z329" s="353">
        <v>263</v>
      </c>
      <c r="AA329" s="353">
        <v>36</v>
      </c>
      <c r="AB329" s="353">
        <v>5</v>
      </c>
      <c r="AC329" s="353">
        <v>1</v>
      </c>
      <c r="AD329" s="353">
        <v>19</v>
      </c>
      <c r="AE329" s="351">
        <f t="shared" si="51"/>
      </c>
      <c r="AF329" s="356" t="s">
        <v>234</v>
      </c>
      <c r="AG329" s="357" t="s">
        <v>250</v>
      </c>
      <c r="AH329" s="355">
        <v>19</v>
      </c>
    </row>
    <row r="330">
      <c r="A330" s="397"/>
      <c r="B330" s="360" t="s">
        <v>240</v>
      </c>
      <c r="C330" s="360"/>
      <c r="D330" s="361">
        <f>SUM(D325:D329)</f>
      </c>
      <c r="E330" s="365"/>
      <c r="F330" s="365">
        <f>SUM(F325:F329)</f>
      </c>
      <c r="G330" s="365">
        <f>SUM(G325:G329)</f>
      </c>
      <c r="H330" s="361">
        <f>SUM(H325:H329)</f>
      </c>
      <c r="I330" s="363">
        <f t="shared" si="207"/>
      </c>
      <c r="J330" s="363">
        <f t="shared" si="267"/>
      </c>
      <c r="K330" s="363">
        <f t="shared" si="327"/>
      </c>
      <c r="L330" s="363"/>
      <c r="M330" s="363">
        <f t="shared" si="21"/>
      </c>
      <c r="N330" s="363">
        <f t="shared" si="87"/>
      </c>
      <c r="O330" s="364">
        <f t="shared" si="117"/>
      </c>
      <c r="P330" s="364">
        <f t="shared" si="147"/>
      </c>
      <c r="Q330" s="364">
        <f t="shared" si="177"/>
      </c>
      <c r="R330" s="364">
        <f t="shared" si="237"/>
      </c>
      <c r="S330" s="365">
        <f t="shared" si="297"/>
      </c>
      <c r="T330" s="364">
        <f>AVERAGE(T325:T329)</f>
      </c>
      <c r="U330" s="361">
        <f>AVERAGE(U325:U329)</f>
      </c>
      <c r="V330" s="363">
        <f t="shared" si="357"/>
      </c>
      <c r="W330" s="365">
        <f>SUM(W325:W329)</f>
      </c>
      <c r="X330" s="365">
        <f>SUM(X325:X329)</f>
      </c>
      <c r="Y330" s="365">
        <f>SUM(Y325:Y329)</f>
      </c>
      <c r="Z330" s="365">
        <f>SUM(Z325:Z329)</f>
      </c>
      <c r="AA330" s="365">
        <f>SUM(AA325:AA329)</f>
      </c>
      <c r="AB330" s="365">
        <f>SUM(AB325:AB329)</f>
      </c>
      <c r="AC330" s="365">
        <f>SUM(AC325:AC329)</f>
      </c>
      <c r="AD330" s="365">
        <f>SUM(AD325:AD329)</f>
      </c>
      <c r="AE330" s="366">
        <f t="shared" si="51"/>
      </c>
      <c r="AF330" s="367"/>
      <c r="AG330" s="367"/>
      <c r="AH330" s="368">
        <f>SUM(AH325:AH329)</f>
      </c>
    </row>
    <row r="331">
      <c r="A331" s="397"/>
      <c r="B331" s="369" t="s">
        <v>241</v>
      </c>
      <c r="C331" s="369"/>
      <c r="D331" s="441">
        <f>D315+D318+D324+D330</f>
      </c>
      <c r="E331" s="441"/>
      <c r="F331" s="441">
        <f>F315+F318+F324+F330</f>
      </c>
      <c r="G331" s="441">
        <f>G315+G318+G324+G330</f>
      </c>
      <c r="H331" s="441">
        <f>H315+H318+H324+H330</f>
      </c>
      <c r="I331" s="442">
        <f t="shared" si="207"/>
      </c>
      <c r="J331" s="372">
        <f t="shared" si="267"/>
      </c>
      <c r="K331" s="372">
        <f t="shared" si="327"/>
      </c>
      <c r="L331" s="372"/>
      <c r="M331" s="372">
        <f t="shared" si="21"/>
      </c>
      <c r="N331" s="372">
        <f t="shared" si="87"/>
      </c>
      <c r="O331" s="373">
        <f t="shared" si="117"/>
      </c>
      <c r="P331" s="373">
        <f t="shared" si="147"/>
      </c>
      <c r="Q331" s="373">
        <f t="shared" si="177"/>
      </c>
      <c r="R331" s="373">
        <f t="shared" si="237"/>
      </c>
      <c r="S331" s="374">
        <f t="shared" si="297"/>
      </c>
      <c r="T331" s="373">
        <f>(T315+T324+T318+T330)/4</f>
      </c>
      <c r="U331" s="373">
        <f>(U315+U324+U318+U330)/4</f>
      </c>
      <c r="V331" s="370">
        <f t="shared" si="357"/>
      </c>
      <c r="W331" s="374">
        <f>W315+W318+W324+W330</f>
      </c>
      <c r="X331" s="374">
        <f>X315+X318+X324+X330</f>
      </c>
      <c r="Y331" s="374">
        <f>Y315+Y318+Y324+Y330</f>
      </c>
      <c r="Z331" s="374">
        <f>Z315+Z318+Z324+Z330</f>
      </c>
      <c r="AA331" s="374">
        <f>AA315+AA318+AA324+AA330</f>
      </c>
      <c r="AB331" s="374">
        <f>AB315+AB318+AB324+AB330</f>
      </c>
      <c r="AC331" s="374">
        <f>AC315+AC318+AC324+AC330</f>
      </c>
      <c r="AD331" s="374">
        <f>AD315+AD318+AD324+AD330</f>
      </c>
      <c r="AE331" s="372">
        <f>AE315</f>
      </c>
      <c r="AF331" s="369"/>
      <c r="AG331" s="369"/>
      <c r="AH331" s="374">
        <f>AH315+AH318+AH324+AH330</f>
      </c>
    </row>
    <row r="332">
      <c r="A332" s="380" t="s">
        <v>197</v>
      </c>
      <c r="B332" s="396" t="s">
        <v>198</v>
      </c>
      <c r="C332" s="396"/>
      <c r="D332" s="381" t="s">
        <v>199</v>
      </c>
      <c r="E332" s="381"/>
      <c r="F332" s="381"/>
      <c r="G332" s="381"/>
      <c r="H332" s="381"/>
      <c r="I332" s="381"/>
      <c r="J332" s="381"/>
      <c r="K332" s="381"/>
      <c r="L332" s="381"/>
      <c r="M332" s="381"/>
      <c r="N332" s="382" t="s">
        <v>200</v>
      </c>
      <c r="O332" s="382"/>
      <c r="P332" s="382"/>
      <c r="Q332" s="382"/>
      <c r="R332" s="382"/>
      <c r="S332" s="382"/>
      <c r="T332" s="382"/>
      <c r="U332" s="382"/>
      <c r="V332" s="382"/>
      <c r="W332" s="382"/>
      <c r="X332" s="382"/>
      <c r="Y332" s="382"/>
      <c r="Z332" s="382"/>
      <c r="AA332" s="382"/>
      <c r="AB332" s="382"/>
      <c r="AC332" s="382"/>
      <c r="AD332" s="382"/>
      <c r="AE332" s="382"/>
      <c r="AF332" s="382"/>
      <c r="AG332" s="382"/>
      <c r="AH332" s="340"/>
    </row>
    <row r="333">
      <c r="A333" s="380"/>
      <c r="B333" s="396" t="s">
        <v>201</v>
      </c>
      <c r="C333" s="398" t="s">
        <v>202</v>
      </c>
      <c r="D333" s="399" t="s">
        <v>203</v>
      </c>
      <c r="E333" s="391"/>
      <c r="F333" s="391" t="s">
        <v>204</v>
      </c>
      <c r="G333" s="391" t="s">
        <v>205</v>
      </c>
      <c r="H333" s="399" t="s">
        <v>206</v>
      </c>
      <c r="I333" s="384" t="s">
        <v>207</v>
      </c>
      <c r="J333" s="384" t="s">
        <v>208</v>
      </c>
      <c r="K333" s="384" t="s">
        <v>209</v>
      </c>
      <c r="L333" s="384"/>
      <c r="M333" s="384" t="s">
        <v>210</v>
      </c>
      <c r="N333" s="385" t="s">
        <v>211</v>
      </c>
      <c r="O333" s="386" t="s">
        <v>212</v>
      </c>
      <c r="P333" s="386" t="s">
        <v>213</v>
      </c>
      <c r="Q333" s="386" t="s">
        <v>214</v>
      </c>
      <c r="R333" s="386" t="s">
        <v>215</v>
      </c>
      <c r="S333" s="387" t="s">
        <v>216</v>
      </c>
      <c r="T333" s="392" t="s">
        <v>217</v>
      </c>
      <c r="U333" s="393" t="s">
        <v>218</v>
      </c>
      <c r="V333" s="382" t="s">
        <v>219</v>
      </c>
      <c r="W333" s="394" t="s">
        <v>220</v>
      </c>
      <c r="X333" s="394" t="s">
        <v>221</v>
      </c>
      <c r="Y333" s="394" t="s">
        <v>222</v>
      </c>
      <c r="Z333" s="394" t="s">
        <v>223</v>
      </c>
      <c r="AA333" s="394" t="s">
        <v>224</v>
      </c>
      <c r="AB333" s="394" t="s">
        <v>225</v>
      </c>
      <c r="AC333" s="394" t="s">
        <v>226</v>
      </c>
      <c r="AD333" s="394" t="s">
        <v>227</v>
      </c>
      <c r="AE333" s="382" t="s">
        <v>228</v>
      </c>
      <c r="AF333" s="389" t="s">
        <v>229</v>
      </c>
      <c r="AG333" s="389" t="s">
        <v>230</v>
      </c>
      <c r="AH333" s="340" t="s">
        <v>231</v>
      </c>
    </row>
    <row r="334">
      <c r="A334" s="397">
        <v>46166</v>
      </c>
      <c r="B334" s="425" t="s">
        <v>232</v>
      </c>
      <c r="C334" s="400" t="s">
        <v>264</v>
      </c>
      <c r="D334" s="349">
        <v>2000</v>
      </c>
      <c r="E334" s="350"/>
      <c r="F334" s="350">
        <v>6</v>
      </c>
      <c r="G334" s="350">
        <v>6</v>
      </c>
      <c r="H334" s="349">
        <v>4788.3</v>
      </c>
      <c r="I334" s="436">
        <f t="shared" ref="I334:I355" si="208">H334/D334</f>
      </c>
      <c r="J334" s="351">
        <f t="shared" ref="J334:J355" si="268">D334/F334</f>
      </c>
      <c r="K334" s="351">
        <f t="shared" ref="K334:K355" si="328">D334/G334</f>
      </c>
      <c r="L334" s="351"/>
      <c r="M334" s="351">
        <f t="shared" ref="M334:M355" si="22">H334/F334</f>
      </c>
      <c r="N334" s="351">
        <f t="shared" ref="N334:N355" si="88">D334/X334</f>
      </c>
      <c r="O334" s="352">
        <f t="shared" ref="O334:O355" si="118">S334/W334*1</f>
      </c>
      <c r="P334" s="352">
        <f t="shared" ref="P334:P355" si="148">X334/W334</f>
      </c>
      <c r="Q334" s="352">
        <f t="shared" ref="Q334:Q355" si="178">Z334/W334</f>
      </c>
      <c r="R334" s="352">
        <f t="shared" ref="R334:R355" si="238">AA334/Z334</f>
      </c>
      <c r="S334" s="353">
        <f t="shared" ref="S334:S355" si="298">Y334/T334</f>
      </c>
      <c r="T334" s="354">
        <v>0.011</v>
      </c>
      <c r="U334" s="355">
        <v>24</v>
      </c>
      <c r="V334" s="351">
        <f t="shared" ref="V334:V355" si="358">(D334/W334)*1000</f>
      </c>
      <c r="W334" s="355">
        <v>19547</v>
      </c>
      <c r="X334" s="355">
        <v>1105</v>
      </c>
      <c r="Y334" s="353">
        <v>77</v>
      </c>
      <c r="Z334" s="353">
        <v>2189</v>
      </c>
      <c r="AA334" s="353">
        <v>102</v>
      </c>
      <c r="AB334" s="353">
        <v>16</v>
      </c>
      <c r="AC334" s="353">
        <v>1</v>
      </c>
      <c r="AD334" s="355">
        <v>7</v>
      </c>
      <c r="AE334" s="351">
        <f t="shared" ref="AE334:AE354" si="52">AH334*1000/D334</f>
      </c>
      <c r="AF334" s="356" t="s">
        <v>253</v>
      </c>
      <c r="AG334" s="451" t="s">
        <v>259</v>
      </c>
      <c r="AH334" s="355">
        <v>33</v>
      </c>
    </row>
    <row r="335">
      <c r="A335" s="397"/>
      <c r="B335" s="425" t="s">
        <v>232</v>
      </c>
      <c r="C335" s="400" t="s">
        <v>252</v>
      </c>
      <c r="D335" s="349">
        <v>2023.46</v>
      </c>
      <c r="E335" s="350"/>
      <c r="F335" s="350">
        <v>3</v>
      </c>
      <c r="G335" s="350">
        <v>3</v>
      </c>
      <c r="H335" s="349">
        <v>2855.5999999999995</v>
      </c>
      <c r="I335" s="436">
        <f t="shared" si="208"/>
      </c>
      <c r="J335" s="351">
        <f t="shared" si="268"/>
      </c>
      <c r="K335" s="351">
        <f t="shared" si="328"/>
      </c>
      <c r="L335" s="351"/>
      <c r="M335" s="351">
        <f t="shared" si="22"/>
      </c>
      <c r="N335" s="351">
        <f t="shared" si="88"/>
      </c>
      <c r="O335" s="352">
        <f t="shared" si="118"/>
      </c>
      <c r="P335" s="352">
        <f t="shared" si="148"/>
      </c>
      <c r="Q335" s="352">
        <f t="shared" si="178"/>
      </c>
      <c r="R335" s="352">
        <f t="shared" si="238"/>
      </c>
      <c r="S335" s="353">
        <f t="shared" si="298"/>
      </c>
      <c r="T335" s="354">
        <v>0.016</v>
      </c>
      <c r="U335" s="355">
        <v>28</v>
      </c>
      <c r="V335" s="351">
        <f t="shared" si="358"/>
      </c>
      <c r="W335" s="355">
        <v>16016</v>
      </c>
      <c r="X335" s="355">
        <v>604</v>
      </c>
      <c r="Y335" s="353">
        <v>82</v>
      </c>
      <c r="Z335" s="353">
        <v>1013</v>
      </c>
      <c r="AA335" s="355">
        <v>60</v>
      </c>
      <c r="AB335" s="353">
        <v>11</v>
      </c>
      <c r="AC335" s="355">
        <v>3</v>
      </c>
      <c r="AD335" s="355">
        <v>4</v>
      </c>
      <c r="AE335" s="351">
        <f t="shared" si="52"/>
      </c>
      <c r="AF335" s="356" t="s">
        <v>253</v>
      </c>
      <c r="AG335" s="451" t="s">
        <v>259</v>
      </c>
      <c r="AH335" s="355">
        <v>23</v>
      </c>
    </row>
    <row r="336">
      <c r="A336" s="397"/>
      <c r="B336" s="425" t="s">
        <v>232</v>
      </c>
      <c r="C336" s="437" t="s">
        <v>255</v>
      </c>
      <c r="D336" s="349">
        <v>3479.77</v>
      </c>
      <c r="E336" s="350"/>
      <c r="F336" s="350">
        <v>6</v>
      </c>
      <c r="G336" s="350">
        <v>5</v>
      </c>
      <c r="H336" s="349">
        <v>3441.8999999999996</v>
      </c>
      <c r="I336" s="436">
        <f t="shared" si="208"/>
      </c>
      <c r="J336" s="351">
        <f t="shared" si="268"/>
      </c>
      <c r="K336" s="351">
        <f t="shared" si="328"/>
      </c>
      <c r="L336" s="351"/>
      <c r="M336" s="351">
        <f t="shared" si="22"/>
      </c>
      <c r="N336" s="351">
        <f t="shared" si="88"/>
      </c>
      <c r="O336" s="352">
        <f t="shared" si="118"/>
      </c>
      <c r="P336" s="352">
        <f t="shared" si="148"/>
      </c>
      <c r="Q336" s="352">
        <f t="shared" si="178"/>
      </c>
      <c r="R336" s="352">
        <f t="shared" si="238"/>
      </c>
      <c r="S336" s="353">
        <f t="shared" si="298"/>
      </c>
      <c r="T336" s="354">
        <v>0.0281</v>
      </c>
      <c r="U336" s="355">
        <v>32</v>
      </c>
      <c r="V336" s="351">
        <f t="shared" si="358"/>
      </c>
      <c r="W336" s="355">
        <v>22961</v>
      </c>
      <c r="X336" s="355">
        <v>866</v>
      </c>
      <c r="Y336" s="353">
        <v>113</v>
      </c>
      <c r="Z336" s="353">
        <v>1345</v>
      </c>
      <c r="AA336" s="355">
        <v>94</v>
      </c>
      <c r="AB336" s="353">
        <v>9</v>
      </c>
      <c r="AC336" s="355">
        <v>2</v>
      </c>
      <c r="AD336" s="355">
        <v>26</v>
      </c>
      <c r="AE336" s="351">
        <f t="shared" si="52"/>
      </c>
      <c r="AF336" s="356" t="s">
        <v>253</v>
      </c>
      <c r="AG336" s="451" t="s">
        <v>259</v>
      </c>
      <c r="AH336" s="355">
        <v>41</v>
      </c>
    </row>
    <row r="337">
      <c r="A337" s="397"/>
      <c r="B337" s="425" t="s">
        <v>232</v>
      </c>
      <c r="C337" s="400" t="s">
        <v>256</v>
      </c>
      <c r="D337" s="349">
        <v>2894.19</v>
      </c>
      <c r="E337" s="350"/>
      <c r="F337" s="350">
        <v>3</v>
      </c>
      <c r="G337" s="350">
        <v>3</v>
      </c>
      <c r="H337" s="349">
        <v>1353</v>
      </c>
      <c r="I337" s="436">
        <f t="shared" si="208"/>
      </c>
      <c r="J337" s="351">
        <f t="shared" si="268"/>
      </c>
      <c r="K337" s="351">
        <f t="shared" si="328"/>
      </c>
      <c r="L337" s="351"/>
      <c r="M337" s="351">
        <f t="shared" si="22"/>
      </c>
      <c r="N337" s="351">
        <f t="shared" si="88"/>
      </c>
      <c r="O337" s="352">
        <f t="shared" si="118"/>
      </c>
      <c r="P337" s="352">
        <f t="shared" si="148"/>
      </c>
      <c r="Q337" s="352">
        <f t="shared" si="178"/>
      </c>
      <c r="R337" s="352">
        <f t="shared" si="238"/>
      </c>
      <c r="S337" s="353">
        <f t="shared" si="298"/>
      </c>
      <c r="T337" s="354">
        <v>0.036</v>
      </c>
      <c r="U337" s="355">
        <v>35</v>
      </c>
      <c r="V337" s="351">
        <f t="shared" si="358"/>
      </c>
      <c r="W337" s="355">
        <v>18258</v>
      </c>
      <c r="X337" s="355">
        <v>604</v>
      </c>
      <c r="Y337" s="355">
        <v>83</v>
      </c>
      <c r="Z337" s="355">
        <v>937</v>
      </c>
      <c r="AA337" s="355">
        <v>70</v>
      </c>
      <c r="AB337" s="355">
        <v>11</v>
      </c>
      <c r="AC337" s="355">
        <v>2</v>
      </c>
      <c r="AD337" s="355">
        <v>23</v>
      </c>
      <c r="AE337" s="351">
        <f t="shared" si="52"/>
      </c>
      <c r="AF337" s="356" t="s">
        <v>253</v>
      </c>
      <c r="AG337" s="451" t="s">
        <v>259</v>
      </c>
      <c r="AH337" s="355">
        <v>27</v>
      </c>
    </row>
    <row r="338">
      <c r="A338" s="397"/>
      <c r="B338" s="425" t="s">
        <v>232</v>
      </c>
      <c r="C338" s="348" t="s">
        <v>257</v>
      </c>
      <c r="D338" s="438">
        <v>3012.91</v>
      </c>
      <c r="E338" s="379"/>
      <c r="F338" s="379">
        <v>6</v>
      </c>
      <c r="G338" s="379">
        <v>5</v>
      </c>
      <c r="H338" s="438">
        <v>4864.200000000001</v>
      </c>
      <c r="I338" s="351">
        <f t="shared" si="208"/>
      </c>
      <c r="J338" s="351">
        <f t="shared" si="268"/>
      </c>
      <c r="K338" s="351">
        <f t="shared" si="328"/>
      </c>
      <c r="L338" s="351"/>
      <c r="M338" s="351">
        <f t="shared" si="22"/>
      </c>
      <c r="N338" s="351">
        <f t="shared" si="88"/>
      </c>
      <c r="O338" s="352">
        <f t="shared" si="118"/>
      </c>
      <c r="P338" s="352">
        <f t="shared" si="148"/>
      </c>
      <c r="Q338" s="352">
        <f t="shared" si="178"/>
      </c>
      <c r="R338" s="352">
        <f t="shared" si="238"/>
      </c>
      <c r="S338" s="353">
        <f t="shared" si="298"/>
      </c>
      <c r="T338" s="354">
        <v>0.07</v>
      </c>
      <c r="U338" s="355">
        <v>36</v>
      </c>
      <c r="V338" s="351">
        <f t="shared" si="358"/>
      </c>
      <c r="W338" s="353">
        <v>18922</v>
      </c>
      <c r="X338" s="353">
        <v>513</v>
      </c>
      <c r="Y338" s="353">
        <v>72</v>
      </c>
      <c r="Z338" s="353">
        <v>734</v>
      </c>
      <c r="AA338" s="353">
        <v>62</v>
      </c>
      <c r="AB338" s="353">
        <v>8</v>
      </c>
      <c r="AC338" s="353">
        <v>1</v>
      </c>
      <c r="AD338" s="353">
        <v>24</v>
      </c>
      <c r="AE338" s="351">
        <f t="shared" si="52"/>
      </c>
      <c r="AF338" s="356" t="s">
        <v>253</v>
      </c>
      <c r="AG338" s="451" t="s">
        <v>259</v>
      </c>
      <c r="AH338" s="355">
        <v>26</v>
      </c>
    </row>
    <row r="339">
      <c r="A339" s="397"/>
      <c r="B339" s="360" t="s">
        <v>240</v>
      </c>
      <c r="C339" s="360"/>
      <c r="D339" s="361">
        <f>SUM(D334:D338)</f>
      </c>
      <c r="E339" s="365"/>
      <c r="F339" s="365">
        <f>SUM(F334:F338)</f>
      </c>
      <c r="G339" s="365">
        <f>SUM(G334:G338)</f>
      </c>
      <c r="H339" s="361">
        <f>SUM(H334:H338)</f>
      </c>
      <c r="I339" s="363">
        <f t="shared" si="208"/>
      </c>
      <c r="J339" s="363">
        <f t="shared" si="268"/>
      </c>
      <c r="K339" s="363">
        <f t="shared" si="328"/>
      </c>
      <c r="L339" s="363"/>
      <c r="M339" s="363">
        <f t="shared" si="22"/>
      </c>
      <c r="N339" s="363">
        <f t="shared" si="88"/>
      </c>
      <c r="O339" s="364">
        <f t="shared" si="118"/>
      </c>
      <c r="P339" s="364">
        <f t="shared" si="148"/>
      </c>
      <c r="Q339" s="364">
        <f t="shared" si="178"/>
      </c>
      <c r="R339" s="364">
        <f t="shared" si="238"/>
      </c>
      <c r="S339" s="365">
        <f t="shared" si="298"/>
      </c>
      <c r="T339" s="364">
        <f>AVERAGE(T334:T338)</f>
      </c>
      <c r="U339" s="361">
        <f>AVERAGE(U334:U338)</f>
      </c>
      <c r="V339" s="363">
        <f t="shared" si="358"/>
      </c>
      <c r="W339" s="365">
        <f>SUM(W334:W338)</f>
      </c>
      <c r="X339" s="365">
        <f>SUM(X334:X338)</f>
      </c>
      <c r="Y339" s="365">
        <f>SUM(Y334:Y338)</f>
      </c>
      <c r="Z339" s="365">
        <f>SUM(Z334:Z338)</f>
      </c>
      <c r="AA339" s="365">
        <f>SUM(AA334:AA338)</f>
      </c>
      <c r="AB339" s="365">
        <f>SUM(AB334:AB338)</f>
      </c>
      <c r="AC339" s="365">
        <f>SUM(AC334:AC338)</f>
      </c>
      <c r="AD339" s="365">
        <f>SUM(AD334:AD338)</f>
      </c>
      <c r="AE339" s="366">
        <f t="shared" si="52"/>
      </c>
      <c r="AF339" s="367"/>
      <c r="AG339" s="367"/>
      <c r="AH339" s="368">
        <f>SUM(AH334:AH338)</f>
      </c>
    </row>
    <row r="340">
      <c r="A340" s="397"/>
      <c r="B340" s="425" t="s">
        <v>265</v>
      </c>
      <c r="C340" s="411" t="s">
        <v>258</v>
      </c>
      <c r="D340" s="426">
        <v>2737.75</v>
      </c>
      <c r="E340" s="413"/>
      <c r="F340" s="413">
        <v>7</v>
      </c>
      <c r="G340" s="414">
        <v>6</v>
      </c>
      <c r="H340" s="475">
        <v>3157</v>
      </c>
      <c r="I340" s="416">
        <f t="shared" si="208"/>
      </c>
      <c r="J340" s="416">
        <f t="shared" si="268"/>
      </c>
      <c r="K340" s="416">
        <f t="shared" si="328"/>
      </c>
      <c r="L340" s="416"/>
      <c r="M340" s="416">
        <f t="shared" si="22"/>
      </c>
      <c r="N340" s="416">
        <f t="shared" si="88"/>
      </c>
      <c r="O340" s="417">
        <f t="shared" si="118"/>
      </c>
      <c r="P340" s="417">
        <f t="shared" si="148"/>
      </c>
      <c r="Q340" s="417">
        <f t="shared" si="178"/>
      </c>
      <c r="R340" s="417">
        <f t="shared" si="238"/>
      </c>
      <c r="S340" s="418">
        <f t="shared" si="298"/>
      </c>
      <c r="T340" s="419">
        <v>0.0744</v>
      </c>
      <c r="U340" s="420">
        <v>38</v>
      </c>
      <c r="V340" s="416">
        <f t="shared" si="358"/>
      </c>
      <c r="W340" s="418">
        <v>19412</v>
      </c>
      <c r="X340" s="418">
        <v>522</v>
      </c>
      <c r="Y340" s="418">
        <v>74</v>
      </c>
      <c r="Z340" s="418">
        <v>717</v>
      </c>
      <c r="AA340" s="418">
        <v>65</v>
      </c>
      <c r="AB340" s="418">
        <v>9</v>
      </c>
      <c r="AC340" s="418">
        <v>0</v>
      </c>
      <c r="AD340" s="418">
        <v>23</v>
      </c>
      <c r="AE340" s="416">
        <f t="shared" si="52"/>
      </c>
      <c r="AF340" s="356" t="s">
        <v>253</v>
      </c>
      <c r="AG340" s="451" t="s">
        <v>259</v>
      </c>
      <c r="AH340" s="420">
        <v>20</v>
      </c>
    </row>
    <row r="341">
      <c r="A341" s="397"/>
      <c r="B341" s="425" t="s">
        <v>265</v>
      </c>
      <c r="C341" s="422" t="s">
        <v>260</v>
      </c>
      <c r="D341" s="439">
        <v>2883.1</v>
      </c>
      <c r="E341" s="424"/>
      <c r="F341" s="424">
        <v>6</v>
      </c>
      <c r="G341" s="424">
        <v>6</v>
      </c>
      <c r="H341" s="475">
        <v>4917</v>
      </c>
      <c r="I341" s="416">
        <f t="shared" si="208"/>
      </c>
      <c r="J341" s="416">
        <f t="shared" si="268"/>
      </c>
      <c r="K341" s="416">
        <f t="shared" si="328"/>
      </c>
      <c r="L341" s="416"/>
      <c r="M341" s="416">
        <f t="shared" si="22"/>
      </c>
      <c r="N341" s="416">
        <f t="shared" si="88"/>
      </c>
      <c r="O341" s="417">
        <f t="shared" si="118"/>
      </c>
      <c r="P341" s="417">
        <f t="shared" si="148"/>
      </c>
      <c r="Q341" s="417">
        <f t="shared" si="178"/>
      </c>
      <c r="R341" s="417">
        <f t="shared" si="238"/>
      </c>
      <c r="S341" s="418">
        <f t="shared" si="298"/>
      </c>
      <c r="T341" s="419">
        <v>0.0737</v>
      </c>
      <c r="U341" s="420">
        <v>41</v>
      </c>
      <c r="V341" s="416">
        <f t="shared" si="358"/>
      </c>
      <c r="W341" s="418">
        <v>21532</v>
      </c>
      <c r="X341" s="418">
        <v>584</v>
      </c>
      <c r="Y341" s="418">
        <v>83</v>
      </c>
      <c r="Z341" s="418">
        <v>757</v>
      </c>
      <c r="AA341" s="418">
        <v>78</v>
      </c>
      <c r="AB341" s="418">
        <v>6</v>
      </c>
      <c r="AC341" s="418">
        <v>1</v>
      </c>
      <c r="AD341" s="418">
        <v>28</v>
      </c>
      <c r="AE341" s="416">
        <f t="shared" si="52"/>
      </c>
      <c r="AF341" s="356" t="s">
        <v>253</v>
      </c>
      <c r="AG341" s="451" t="s">
        <v>259</v>
      </c>
      <c r="AH341" s="420">
        <v>21</v>
      </c>
    </row>
    <row r="342">
      <c r="A342" s="397"/>
      <c r="B342" s="427" t="s">
        <v>240</v>
      </c>
      <c r="C342" s="427"/>
      <c r="D342" s="428">
        <f>SUM(D340:D341)</f>
      </c>
      <c r="E342" s="429"/>
      <c r="F342" s="429">
        <f>SUM(F340:F341)</f>
      </c>
      <c r="G342" s="429">
        <f>SUM(G340:G341)</f>
      </c>
      <c r="H342" s="428">
        <f>SUM(H340:H341)</f>
      </c>
      <c r="I342" s="430">
        <f t="shared" si="208"/>
      </c>
      <c r="J342" s="430">
        <f t="shared" si="268"/>
      </c>
      <c r="K342" s="430">
        <f t="shared" si="328"/>
      </c>
      <c r="L342" s="430"/>
      <c r="M342" s="430">
        <f t="shared" si="22"/>
      </c>
      <c r="N342" s="430">
        <f t="shared" si="88"/>
      </c>
      <c r="O342" s="431">
        <f t="shared" si="118"/>
      </c>
      <c r="P342" s="431">
        <f t="shared" si="148"/>
      </c>
      <c r="Q342" s="431">
        <f t="shared" si="178"/>
      </c>
      <c r="R342" s="431">
        <f t="shared" si="238"/>
      </c>
      <c r="S342" s="432">
        <f t="shared" si="298"/>
      </c>
      <c r="T342" s="431">
        <f>AVERAGE(T340:T341)</f>
      </c>
      <c r="U342" s="428">
        <f>AVERAGE(U340:U341)</f>
      </c>
      <c r="V342" s="430">
        <f t="shared" si="358"/>
      </c>
      <c r="W342" s="432">
        <f>SUM(W340:W341)</f>
      </c>
      <c r="X342" s="432">
        <f>SUM(X340:X341)</f>
      </c>
      <c r="Y342" s="432">
        <f>SUM(Y340:Y341)</f>
      </c>
      <c r="Z342" s="432">
        <f>SUM(Z340:Z341)</f>
      </c>
      <c r="AA342" s="432">
        <f>SUM(AA340:AA341)</f>
      </c>
      <c r="AB342" s="432">
        <f>SUM(AB340:AB341)</f>
      </c>
      <c r="AC342" s="432">
        <f>SUM(AC340:AC341)</f>
      </c>
      <c r="AD342" s="432">
        <f>SUM(AD340:AD341)</f>
      </c>
      <c r="AE342" s="433">
        <f t="shared" si="52"/>
      </c>
      <c r="AF342" s="434"/>
      <c r="AG342" s="434"/>
      <c r="AH342" s="435">
        <f>SUM(AH340:AH341)</f>
      </c>
    </row>
    <row r="343">
      <c r="A343" s="397"/>
      <c r="B343" s="375" t="s">
        <v>249</v>
      </c>
      <c r="C343" s="411" t="s">
        <v>261</v>
      </c>
      <c r="D343" s="349">
        <v>3377.85</v>
      </c>
      <c r="E343" s="350"/>
      <c r="F343" s="350">
        <v>7</v>
      </c>
      <c r="G343" s="350">
        <v>7</v>
      </c>
      <c r="H343" s="350">
        <v>4956.5999999999985</v>
      </c>
      <c r="I343" s="351">
        <f t="shared" si="208"/>
      </c>
      <c r="J343" s="351">
        <f t="shared" si="268"/>
      </c>
      <c r="K343" s="351">
        <f t="shared" si="328"/>
      </c>
      <c r="L343" s="351"/>
      <c r="M343" s="351">
        <f t="shared" si="22"/>
      </c>
      <c r="N343" s="351">
        <f t="shared" si="88"/>
      </c>
      <c r="O343" s="352">
        <f t="shared" si="118"/>
      </c>
      <c r="P343" s="352">
        <f t="shared" si="148"/>
      </c>
      <c r="Q343" s="352">
        <f t="shared" si="178"/>
      </c>
      <c r="R343" s="352">
        <f t="shared" si="238"/>
      </c>
      <c r="S343" s="353">
        <f t="shared" si="298"/>
      </c>
      <c r="T343" s="354">
        <v>0.076</v>
      </c>
      <c r="U343" s="355">
        <v>43</v>
      </c>
      <c r="V343" s="351">
        <f t="shared" si="358"/>
      </c>
      <c r="W343" s="355">
        <v>22608</v>
      </c>
      <c r="X343" s="355">
        <v>648</v>
      </c>
      <c r="Y343" s="353">
        <v>99</v>
      </c>
      <c r="Z343" s="353">
        <v>841</v>
      </c>
      <c r="AA343" s="353">
        <v>79</v>
      </c>
      <c r="AB343" s="353">
        <v>9</v>
      </c>
      <c r="AC343" s="353">
        <v>2</v>
      </c>
      <c r="AD343" s="355">
        <v>22</v>
      </c>
      <c r="AE343" s="351">
        <f t="shared" si="52"/>
      </c>
      <c r="AF343" s="356" t="s">
        <v>253</v>
      </c>
      <c r="AG343" s="451" t="s">
        <v>259</v>
      </c>
      <c r="AH343" s="355">
        <v>34</v>
      </c>
    </row>
    <row r="344">
      <c r="A344" s="397"/>
      <c r="B344" s="375" t="s">
        <v>249</v>
      </c>
      <c r="C344" s="425" t="s">
        <v>262</v>
      </c>
      <c r="D344" s="349">
        <v>3289.68</v>
      </c>
      <c r="E344" s="350"/>
      <c r="F344" s="350">
        <v>3</v>
      </c>
      <c r="G344" s="350">
        <v>2</v>
      </c>
      <c r="H344" s="349">
        <v>1353</v>
      </c>
      <c r="I344" s="351">
        <f t="shared" si="208"/>
      </c>
      <c r="J344" s="351">
        <f t="shared" si="268"/>
      </c>
      <c r="K344" s="351">
        <f t="shared" si="328"/>
      </c>
      <c r="L344" s="351"/>
      <c r="M344" s="351">
        <f t="shared" si="22"/>
      </c>
      <c r="N344" s="351">
        <f t="shared" si="88"/>
      </c>
      <c r="O344" s="352">
        <f t="shared" si="118"/>
      </c>
      <c r="P344" s="352">
        <f t="shared" si="148"/>
      </c>
      <c r="Q344" s="352">
        <f t="shared" si="178"/>
      </c>
      <c r="R344" s="352">
        <f t="shared" si="238"/>
      </c>
      <c r="S344" s="353">
        <f t="shared" si="298"/>
      </c>
      <c r="T344" s="354">
        <v>0.0753</v>
      </c>
      <c r="U344" s="355">
        <v>45</v>
      </c>
      <c r="V344" s="351">
        <f t="shared" si="358"/>
      </c>
      <c r="W344" s="355">
        <v>23886</v>
      </c>
      <c r="X344" s="355">
        <v>653</v>
      </c>
      <c r="Y344" s="353">
        <v>90</v>
      </c>
      <c r="Z344" s="353">
        <v>828</v>
      </c>
      <c r="AA344" s="355">
        <v>90</v>
      </c>
      <c r="AB344" s="353">
        <v>10</v>
      </c>
      <c r="AC344" s="355">
        <v>3</v>
      </c>
      <c r="AD344" s="355">
        <v>30</v>
      </c>
      <c r="AE344" s="351">
        <f t="shared" si="52"/>
      </c>
      <c r="AF344" s="356" t="s">
        <v>253</v>
      </c>
      <c r="AG344" s="451" t="s">
        <v>259</v>
      </c>
      <c r="AH344" s="355">
        <v>36</v>
      </c>
    </row>
    <row r="345">
      <c r="A345" s="397"/>
      <c r="B345" s="375" t="s">
        <v>249</v>
      </c>
      <c r="C345" s="411" t="s">
        <v>243</v>
      </c>
      <c r="D345" s="349">
        <v>2426.78</v>
      </c>
      <c r="E345" s="350"/>
      <c r="F345" s="350">
        <v>3</v>
      </c>
      <c r="G345" s="350">
        <v>4</v>
      </c>
      <c r="H345" s="349">
        <v>3010.7000000000044</v>
      </c>
      <c r="I345" s="351">
        <f t="shared" si="208"/>
      </c>
      <c r="J345" s="351">
        <f t="shared" si="268"/>
      </c>
      <c r="K345" s="351">
        <f t="shared" si="328"/>
      </c>
      <c r="L345" s="351"/>
      <c r="M345" s="351">
        <f t="shared" si="22"/>
      </c>
      <c r="N345" s="351">
        <f t="shared" si="88"/>
      </c>
      <c r="O345" s="352">
        <f t="shared" si="118"/>
      </c>
      <c r="P345" s="352">
        <f t="shared" si="148"/>
      </c>
      <c r="Q345" s="352">
        <f t="shared" si="178"/>
      </c>
      <c r="R345" s="352">
        <f t="shared" si="238"/>
      </c>
      <c r="S345" s="353">
        <f t="shared" si="298"/>
      </c>
      <c r="T345" s="354">
        <v>0.0605</v>
      </c>
      <c r="U345" s="355">
        <v>45</v>
      </c>
      <c r="V345" s="351">
        <f t="shared" si="358"/>
      </c>
      <c r="W345" s="355">
        <v>16123</v>
      </c>
      <c r="X345" s="355">
        <v>579</v>
      </c>
      <c r="Y345" s="353">
        <v>67</v>
      </c>
      <c r="Z345" s="353">
        <v>725</v>
      </c>
      <c r="AA345" s="355">
        <v>119</v>
      </c>
      <c r="AB345" s="353">
        <v>12</v>
      </c>
      <c r="AC345" s="355">
        <v>1</v>
      </c>
      <c r="AD345" s="355">
        <v>19</v>
      </c>
      <c r="AE345" s="351">
        <f t="shared" si="52"/>
      </c>
      <c r="AF345" s="356" t="s">
        <v>234</v>
      </c>
      <c r="AG345" s="451" t="s">
        <v>259</v>
      </c>
      <c r="AH345" s="355">
        <v>24</v>
      </c>
    </row>
    <row r="346">
      <c r="A346" s="397"/>
      <c r="B346" s="375" t="s">
        <v>249</v>
      </c>
      <c r="C346" s="422" t="s">
        <v>244</v>
      </c>
      <c r="D346" s="349">
        <v>1806.21</v>
      </c>
      <c r="E346" s="350"/>
      <c r="F346" s="350">
        <v>2</v>
      </c>
      <c r="G346" s="350">
        <v>1</v>
      </c>
      <c r="H346" s="349">
        <v>1621.3999999999942</v>
      </c>
      <c r="I346" s="351">
        <f t="shared" si="208"/>
      </c>
      <c r="J346" s="351">
        <f t="shared" si="268"/>
      </c>
      <c r="K346" s="351">
        <f t="shared" si="328"/>
      </c>
      <c r="L346" s="351"/>
      <c r="M346" s="351">
        <f t="shared" si="22"/>
      </c>
      <c r="N346" s="351">
        <f t="shared" si="88"/>
      </c>
      <c r="O346" s="352">
        <f t="shared" si="118"/>
      </c>
      <c r="P346" s="352">
        <f t="shared" si="148"/>
      </c>
      <c r="Q346" s="352">
        <f t="shared" si="178"/>
      </c>
      <c r="R346" s="352">
        <f t="shared" si="238"/>
      </c>
      <c r="S346" s="353">
        <f t="shared" si="298"/>
      </c>
      <c r="T346" s="354">
        <v>0.0424</v>
      </c>
      <c r="U346" s="355">
        <v>42</v>
      </c>
      <c r="V346" s="351">
        <f t="shared" si="358"/>
      </c>
      <c r="W346" s="355">
        <v>12126</v>
      </c>
      <c r="X346" s="355">
        <v>503</v>
      </c>
      <c r="Y346" s="355">
        <v>44</v>
      </c>
      <c r="Z346" s="355">
        <v>632</v>
      </c>
      <c r="AA346" s="355">
        <v>66</v>
      </c>
      <c r="AB346" s="355">
        <v>9</v>
      </c>
      <c r="AC346" s="355">
        <v>0</v>
      </c>
      <c r="AD346" s="355">
        <v>11</v>
      </c>
      <c r="AE346" s="351">
        <f t="shared" si="52"/>
      </c>
      <c r="AF346" s="356" t="s">
        <v>234</v>
      </c>
      <c r="AG346" s="451" t="s">
        <v>259</v>
      </c>
      <c r="AH346" s="355">
        <v>21</v>
      </c>
    </row>
    <row r="347">
      <c r="A347" s="397"/>
      <c r="B347" s="375" t="s">
        <v>249</v>
      </c>
      <c r="C347" s="411" t="s">
        <v>245</v>
      </c>
      <c r="D347" s="349">
        <v>1304.6</v>
      </c>
      <c r="E347" s="350"/>
      <c r="F347" s="350">
        <v>5</v>
      </c>
      <c r="G347" s="350">
        <v>4</v>
      </c>
      <c r="H347" s="349">
        <v>7740.700000000004</v>
      </c>
      <c r="I347" s="351">
        <f t="shared" si="208"/>
      </c>
      <c r="J347" s="351">
        <f t="shared" si="268"/>
      </c>
      <c r="K347" s="351">
        <f t="shared" si="328"/>
      </c>
      <c r="L347" s="351"/>
      <c r="M347" s="351">
        <f t="shared" si="22"/>
      </c>
      <c r="N347" s="351">
        <f t="shared" si="88"/>
      </c>
      <c r="O347" s="352">
        <f t="shared" si="118"/>
      </c>
      <c r="P347" s="352">
        <f t="shared" si="148"/>
      </c>
      <c r="Q347" s="352">
        <f t="shared" si="178"/>
      </c>
      <c r="R347" s="352">
        <f t="shared" si="238"/>
      </c>
      <c r="S347" s="353">
        <f t="shared" si="298"/>
      </c>
      <c r="T347" s="354">
        <v>0.0349</v>
      </c>
      <c r="U347" s="355">
        <v>46</v>
      </c>
      <c r="V347" s="351">
        <f t="shared" si="358"/>
      </c>
      <c r="W347" s="353">
        <v>8770</v>
      </c>
      <c r="X347" s="353">
        <v>445</v>
      </c>
      <c r="Y347" s="353">
        <v>36</v>
      </c>
      <c r="Z347" s="353">
        <v>552</v>
      </c>
      <c r="AA347" s="353">
        <v>49</v>
      </c>
      <c r="AB347" s="353">
        <v>5</v>
      </c>
      <c r="AC347" s="353">
        <v>2</v>
      </c>
      <c r="AD347" s="353">
        <v>7</v>
      </c>
      <c r="AE347" s="351">
        <f t="shared" si="52"/>
      </c>
      <c r="AF347" s="356" t="s">
        <v>234</v>
      </c>
      <c r="AG347" s="357" t="s">
        <v>250</v>
      </c>
      <c r="AH347" s="355">
        <v>12</v>
      </c>
    </row>
    <row r="348">
      <c r="A348" s="397"/>
      <c r="B348" s="360" t="s">
        <v>240</v>
      </c>
      <c r="C348" s="360"/>
      <c r="D348" s="405">
        <f>SUM(D343:D347)</f>
      </c>
      <c r="E348" s="476"/>
      <c r="F348" s="476">
        <f>SUM(F343:F347)</f>
      </c>
      <c r="G348" s="476">
        <f>SUM(G343:G347)</f>
      </c>
      <c r="H348" s="405">
        <f>SUM(H343:H347)</f>
      </c>
      <c r="I348" s="363">
        <f t="shared" si="208"/>
      </c>
      <c r="J348" s="363">
        <f t="shared" si="268"/>
      </c>
      <c r="K348" s="363">
        <f t="shared" si="328"/>
      </c>
      <c r="L348" s="363"/>
      <c r="M348" s="363">
        <f t="shared" si="22"/>
      </c>
      <c r="N348" s="363">
        <f t="shared" si="88"/>
      </c>
      <c r="O348" s="364">
        <f t="shared" si="118"/>
      </c>
      <c r="P348" s="364">
        <f t="shared" si="148"/>
      </c>
      <c r="Q348" s="364">
        <f t="shared" si="178"/>
      </c>
      <c r="R348" s="364">
        <f t="shared" si="238"/>
      </c>
      <c r="S348" s="365">
        <f t="shared" si="298"/>
      </c>
      <c r="T348" s="364">
        <f>AVERAGE(T343:T347)</f>
      </c>
      <c r="U348" s="361">
        <f>AVERAGE(U343:U347)</f>
      </c>
      <c r="V348" s="363">
        <f t="shared" si="358"/>
      </c>
      <c r="W348" s="365">
        <f>SUM(W343:W347)</f>
      </c>
      <c r="X348" s="365">
        <f>SUM(X343:X347)</f>
      </c>
      <c r="Y348" s="365">
        <f>SUM(Y343:Y347)</f>
      </c>
      <c r="Z348" s="365">
        <f>SUM(Z343:Z347)</f>
      </c>
      <c r="AA348" s="365">
        <f>SUM(AA343:AA347)</f>
      </c>
      <c r="AB348" s="365">
        <f>SUM(AB343:AB347)</f>
      </c>
      <c r="AC348" s="365">
        <f>SUM(AC343:AC347)</f>
      </c>
      <c r="AD348" s="365">
        <f>SUM(AD343:AD347)</f>
      </c>
      <c r="AE348" s="366">
        <f t="shared" si="52"/>
      </c>
      <c r="AF348" s="367"/>
      <c r="AG348" s="367"/>
      <c r="AH348" s="368">
        <f>SUM(AH343:AH347)</f>
      </c>
    </row>
    <row r="349">
      <c r="A349" s="397"/>
      <c r="B349" s="410" t="s">
        <v>246</v>
      </c>
      <c r="C349" s="411" t="s">
        <v>233</v>
      </c>
      <c r="D349" s="349">
        <v>971.74</v>
      </c>
      <c r="E349" s="350"/>
      <c r="F349" s="350">
        <v>0</v>
      </c>
      <c r="G349" s="350">
        <v>0</v>
      </c>
      <c r="H349" s="349">
        <v>0</v>
      </c>
      <c r="I349" s="436">
        <f t="shared" si="208"/>
      </c>
      <c r="J349" s="351">
        <f t="shared" si="268"/>
      </c>
      <c r="K349" s="351">
        <f t="shared" si="328"/>
      </c>
      <c r="L349" s="351"/>
      <c r="M349" s="351">
        <f t="shared" si="22"/>
      </c>
      <c r="N349" s="351">
        <f t="shared" si="88"/>
      </c>
      <c r="O349" s="352">
        <f t="shared" si="118"/>
      </c>
      <c r="P349" s="352">
        <f t="shared" si="148"/>
      </c>
      <c r="Q349" s="352">
        <f t="shared" si="178"/>
      </c>
      <c r="R349" s="352">
        <f t="shared" si="238"/>
      </c>
      <c r="S349" s="353">
        <f t="shared" si="298"/>
      </c>
      <c r="T349" s="354">
        <v>0.0476</v>
      </c>
      <c r="U349" s="355">
        <v>45</v>
      </c>
      <c r="V349" s="351">
        <f t="shared" si="358"/>
      </c>
      <c r="W349" s="355">
        <v>6202</v>
      </c>
      <c r="X349" s="355">
        <v>398</v>
      </c>
      <c r="Y349" s="353">
        <v>42</v>
      </c>
      <c r="Z349" s="353">
        <v>509</v>
      </c>
      <c r="AA349" s="353">
        <v>35</v>
      </c>
      <c r="AB349" s="353">
        <v>4</v>
      </c>
      <c r="AC349" s="353">
        <v>1</v>
      </c>
      <c r="AD349" s="355">
        <v>6</v>
      </c>
      <c r="AE349" s="351">
        <f t="shared" si="52"/>
      </c>
      <c r="AF349" s="356" t="s">
        <v>234</v>
      </c>
      <c r="AG349" s="357" t="s">
        <v>250</v>
      </c>
      <c r="AH349" s="355">
        <v>12</v>
      </c>
    </row>
    <row r="350">
      <c r="A350" s="397"/>
      <c r="B350" s="410" t="s">
        <v>246</v>
      </c>
      <c r="C350" s="425" t="s">
        <v>236</v>
      </c>
      <c r="D350" s="349">
        <v>1116.04</v>
      </c>
      <c r="E350" s="350"/>
      <c r="F350" s="350">
        <v>1</v>
      </c>
      <c r="G350" s="350">
        <v>1</v>
      </c>
      <c r="H350" s="349">
        <v>781</v>
      </c>
      <c r="I350" s="436">
        <f t="shared" si="208"/>
      </c>
      <c r="J350" s="351">
        <f t="shared" si="268"/>
      </c>
      <c r="K350" s="351">
        <f t="shared" si="328"/>
      </c>
      <c r="L350" s="351"/>
      <c r="M350" s="351">
        <f t="shared" si="22"/>
      </c>
      <c r="N350" s="351">
        <f t="shared" si="88"/>
      </c>
      <c r="O350" s="352">
        <f t="shared" si="118"/>
      </c>
      <c r="P350" s="352">
        <f t="shared" si="148"/>
      </c>
      <c r="Q350" s="352">
        <f t="shared" si="178"/>
      </c>
      <c r="R350" s="352">
        <f t="shared" si="238"/>
      </c>
      <c r="S350" s="353">
        <f t="shared" si="298"/>
      </c>
      <c r="T350" s="354">
        <v>0.0411</v>
      </c>
      <c r="U350" s="355">
        <v>45</v>
      </c>
      <c r="V350" s="351">
        <f t="shared" si="358"/>
      </c>
      <c r="W350" s="355">
        <v>6569</v>
      </c>
      <c r="X350" s="355">
        <v>479</v>
      </c>
      <c r="Y350" s="353">
        <v>44</v>
      </c>
      <c r="Z350" s="353">
        <v>589</v>
      </c>
      <c r="AA350" s="355">
        <v>31</v>
      </c>
      <c r="AB350" s="353">
        <v>2</v>
      </c>
      <c r="AC350" s="355">
        <v>0</v>
      </c>
      <c r="AD350" s="355">
        <v>9</v>
      </c>
      <c r="AE350" s="351">
        <f t="shared" si="52"/>
      </c>
      <c r="AF350" s="356" t="s">
        <v>234</v>
      </c>
      <c r="AG350" s="357" t="s">
        <v>250</v>
      </c>
      <c r="AH350" s="355">
        <v>13</v>
      </c>
    </row>
    <row r="351">
      <c r="A351" s="397"/>
      <c r="B351" s="410" t="s">
        <v>246</v>
      </c>
      <c r="C351" s="425" t="s">
        <v>237</v>
      </c>
      <c r="D351" s="349">
        <v>1056.57</v>
      </c>
      <c r="E351" s="350"/>
      <c r="F351" s="350">
        <v>2</v>
      </c>
      <c r="G351" s="350">
        <v>2</v>
      </c>
      <c r="H351" s="349">
        <v>1934.9000000000015</v>
      </c>
      <c r="I351" s="436">
        <f t="shared" si="208"/>
      </c>
      <c r="J351" s="351">
        <f t="shared" si="268"/>
      </c>
      <c r="K351" s="351">
        <f t="shared" si="328"/>
      </c>
      <c r="L351" s="351"/>
      <c r="M351" s="351">
        <f t="shared" si="22"/>
      </c>
      <c r="N351" s="351">
        <f t="shared" si="88"/>
      </c>
      <c r="O351" s="352">
        <f t="shared" si="118"/>
      </c>
      <c r="P351" s="352">
        <f t="shared" si="148"/>
      </c>
      <c r="Q351" s="352">
        <f t="shared" si="178"/>
      </c>
      <c r="R351" s="352">
        <f t="shared" si="238"/>
      </c>
      <c r="S351" s="353">
        <f t="shared" si="298"/>
      </c>
      <c r="T351" s="354">
        <v>0.0334</v>
      </c>
      <c r="U351" s="355">
        <v>43</v>
      </c>
      <c r="V351" s="351">
        <f t="shared" si="358"/>
      </c>
      <c r="W351" s="355">
        <v>6907</v>
      </c>
      <c r="X351" s="355">
        <v>573</v>
      </c>
      <c r="Y351" s="353">
        <v>42</v>
      </c>
      <c r="Z351" s="353">
        <v>728</v>
      </c>
      <c r="AA351" s="355">
        <v>32</v>
      </c>
      <c r="AB351" s="353">
        <v>4</v>
      </c>
      <c r="AC351" s="355">
        <v>1</v>
      </c>
      <c r="AD351" s="355">
        <v>9</v>
      </c>
      <c r="AE351" s="351">
        <f t="shared" si="52"/>
      </c>
      <c r="AF351" s="356" t="s">
        <v>234</v>
      </c>
      <c r="AG351" s="357" t="s">
        <v>250</v>
      </c>
      <c r="AH351" s="355">
        <v>11</v>
      </c>
    </row>
    <row r="352">
      <c r="A352" s="397"/>
      <c r="B352" s="410" t="s">
        <v>246</v>
      </c>
      <c r="C352" s="425" t="s">
        <v>238</v>
      </c>
      <c r="D352" s="349">
        <v>1009.04</v>
      </c>
      <c r="E352" s="350"/>
      <c r="F352" s="350">
        <v>3</v>
      </c>
      <c r="G352" s="350">
        <v>2</v>
      </c>
      <c r="H352" s="349">
        <v>2072.399999999994</v>
      </c>
      <c r="I352" s="436">
        <f t="shared" si="208"/>
      </c>
      <c r="J352" s="351">
        <f t="shared" si="268"/>
      </c>
      <c r="K352" s="351">
        <f t="shared" si="328"/>
      </c>
      <c r="L352" s="351"/>
      <c r="M352" s="351">
        <f t="shared" si="22"/>
      </c>
      <c r="N352" s="351">
        <f t="shared" si="88"/>
      </c>
      <c r="O352" s="352">
        <f t="shared" si="118"/>
      </c>
      <c r="P352" s="352">
        <f t="shared" si="148"/>
      </c>
      <c r="Q352" s="352">
        <f t="shared" si="178"/>
      </c>
      <c r="R352" s="352">
        <f t="shared" si="238"/>
      </c>
      <c r="S352" s="353">
        <f t="shared" si="298"/>
      </c>
      <c r="T352" s="354">
        <v>0.0214</v>
      </c>
      <c r="U352" s="355">
        <v>42</v>
      </c>
      <c r="V352" s="351">
        <f t="shared" si="358"/>
      </c>
      <c r="W352" s="355">
        <v>6179</v>
      </c>
      <c r="X352" s="355">
        <v>666</v>
      </c>
      <c r="Y352" s="355">
        <v>36</v>
      </c>
      <c r="Z352" s="355">
        <v>796</v>
      </c>
      <c r="AA352" s="355">
        <v>27</v>
      </c>
      <c r="AB352" s="355">
        <v>4</v>
      </c>
      <c r="AC352" s="355">
        <v>1</v>
      </c>
      <c r="AD352" s="355">
        <v>5</v>
      </c>
      <c r="AE352" s="351">
        <f t="shared" si="52"/>
      </c>
      <c r="AF352" s="356" t="s">
        <v>234</v>
      </c>
      <c r="AG352" s="357" t="s">
        <v>250</v>
      </c>
      <c r="AH352" s="355">
        <v>10</v>
      </c>
    </row>
    <row r="353">
      <c r="A353" s="397"/>
      <c r="B353" s="410" t="s">
        <v>246</v>
      </c>
      <c r="C353" s="425" t="s">
        <v>239</v>
      </c>
      <c r="D353" s="349">
        <v>509.47</v>
      </c>
      <c r="E353" s="350"/>
      <c r="F353" s="350">
        <v>4</v>
      </c>
      <c r="G353" s="350">
        <v>3</v>
      </c>
      <c r="H353" s="349">
        <v>2853.4000000000015</v>
      </c>
      <c r="I353" s="436">
        <f t="shared" si="208"/>
      </c>
      <c r="J353" s="351">
        <f t="shared" si="268"/>
      </c>
      <c r="K353" s="351">
        <f t="shared" si="328"/>
      </c>
      <c r="L353" s="351"/>
      <c r="M353" s="351">
        <f t="shared" si="22"/>
      </c>
      <c r="N353" s="351">
        <f t="shared" si="88"/>
      </c>
      <c r="O353" s="352">
        <f t="shared" si="118"/>
      </c>
      <c r="P353" s="352">
        <f t="shared" si="148"/>
      </c>
      <c r="Q353" s="352">
        <f t="shared" si="178"/>
      </c>
      <c r="R353" s="352">
        <f t="shared" si="238"/>
      </c>
      <c r="S353" s="353">
        <f t="shared" si="298"/>
      </c>
      <c r="T353" s="354">
        <v>0.0389</v>
      </c>
      <c r="U353" s="355">
        <v>43</v>
      </c>
      <c r="V353" s="351">
        <f t="shared" si="358"/>
      </c>
      <c r="W353" s="353">
        <v>3452</v>
      </c>
      <c r="X353" s="353">
        <v>338</v>
      </c>
      <c r="Y353" s="353">
        <v>34</v>
      </c>
      <c r="Z353" s="353">
        <v>402</v>
      </c>
      <c r="AA353" s="353">
        <v>95</v>
      </c>
      <c r="AB353" s="353">
        <v>5</v>
      </c>
      <c r="AC353" s="353">
        <v>1</v>
      </c>
      <c r="AD353" s="353">
        <v>2</v>
      </c>
      <c r="AE353" s="351">
        <f t="shared" si="52"/>
      </c>
      <c r="AF353" s="356" t="s">
        <v>234</v>
      </c>
      <c r="AG353" s="357" t="s">
        <v>250</v>
      </c>
      <c r="AH353" s="355">
        <v>13</v>
      </c>
    </row>
    <row r="354">
      <c r="A354" s="397"/>
      <c r="B354" s="360" t="s">
        <v>240</v>
      </c>
      <c r="C354" s="360"/>
      <c r="D354" s="361">
        <f>SUM(D349:D353)</f>
      </c>
      <c r="E354" s="365"/>
      <c r="F354" s="365">
        <f>SUM(F349:F353)</f>
      </c>
      <c r="G354" s="365">
        <f>SUM(G349:G353)</f>
      </c>
      <c r="H354" s="361">
        <f>SUM(H349:H353)</f>
      </c>
      <c r="I354" s="363">
        <f t="shared" si="208"/>
      </c>
      <c r="J354" s="363">
        <f t="shared" si="268"/>
      </c>
      <c r="K354" s="363">
        <f t="shared" si="328"/>
      </c>
      <c r="L354" s="363"/>
      <c r="M354" s="363">
        <f t="shared" si="22"/>
      </c>
      <c r="N354" s="363">
        <f t="shared" si="88"/>
      </c>
      <c r="O354" s="364">
        <f t="shared" si="118"/>
      </c>
      <c r="P354" s="364">
        <f t="shared" si="148"/>
      </c>
      <c r="Q354" s="364">
        <f t="shared" si="178"/>
      </c>
      <c r="R354" s="364">
        <f t="shared" si="238"/>
      </c>
      <c r="S354" s="365">
        <f t="shared" si="298"/>
      </c>
      <c r="T354" s="364">
        <f>AVERAGE(T349:T353)</f>
      </c>
      <c r="U354" s="361">
        <f>AVERAGE(U349:U353)</f>
      </c>
      <c r="V354" s="363">
        <f t="shared" si="358"/>
      </c>
      <c r="W354" s="365">
        <f>SUM(W349:W353)</f>
      </c>
      <c r="X354" s="365">
        <f>SUM(X349:X353)</f>
      </c>
      <c r="Y354" s="365">
        <f>SUM(Y349:Y353)</f>
      </c>
      <c r="Z354" s="365">
        <f>SUM(Z349:Z353)</f>
      </c>
      <c r="AA354" s="365">
        <f>SUM(AA349:AA353)</f>
      </c>
      <c r="AB354" s="365">
        <f>SUM(AB349:AB353)</f>
      </c>
      <c r="AC354" s="365">
        <f>SUM(AC349:AC353)</f>
      </c>
      <c r="AD354" s="365">
        <f>SUM(AD349:AD353)</f>
      </c>
      <c r="AE354" s="366">
        <f t="shared" si="52"/>
      </c>
      <c r="AF354" s="367"/>
      <c r="AG354" s="367"/>
      <c r="AH354" s="368">
        <f>SUM(AH349:AH353)</f>
      </c>
    </row>
    <row r="355">
      <c r="A355" s="397"/>
      <c r="B355" s="369" t="s">
        <v>241</v>
      </c>
      <c r="C355" s="369"/>
      <c r="D355" s="441">
        <f>D339+D342+D348+D354</f>
      </c>
      <c r="E355" s="441"/>
      <c r="F355" s="441">
        <f>F339+F342+F348+F354</f>
      </c>
      <c r="G355" s="441">
        <f>G339+G342+G348+G354</f>
      </c>
      <c r="H355" s="441">
        <f>H339+H342+H348+H354</f>
      </c>
      <c r="I355" s="442">
        <f t="shared" si="208"/>
      </c>
      <c r="J355" s="372">
        <f t="shared" si="268"/>
      </c>
      <c r="K355" s="372">
        <f t="shared" si="328"/>
      </c>
      <c r="L355" s="372"/>
      <c r="M355" s="372">
        <f t="shared" si="22"/>
      </c>
      <c r="N355" s="372">
        <f t="shared" si="88"/>
      </c>
      <c r="O355" s="373">
        <f t="shared" si="118"/>
      </c>
      <c r="P355" s="373">
        <f t="shared" si="148"/>
      </c>
      <c r="Q355" s="373">
        <f t="shared" si="178"/>
      </c>
      <c r="R355" s="373">
        <f t="shared" si="238"/>
      </c>
      <c r="S355" s="374">
        <f t="shared" si="298"/>
      </c>
      <c r="T355" s="373">
        <f>(T339+T348+T342+T354)/4</f>
      </c>
      <c r="U355" s="373">
        <f>(U339+U348+U342+U354)/4</f>
      </c>
      <c r="V355" s="370">
        <f t="shared" si="358"/>
      </c>
      <c r="W355" s="374">
        <f>W339+W342+W348+W354</f>
      </c>
      <c r="X355" s="374">
        <f>X339+X342+X348+X354</f>
      </c>
      <c r="Y355" s="374">
        <f>Y339+Y342+Y348+Y354</f>
      </c>
      <c r="Z355" s="374">
        <f>Z339+Z342+Z348+Z354</f>
      </c>
      <c r="AA355" s="374">
        <f>AA339+AA342+AA348+AA354</f>
      </c>
      <c r="AB355" s="374">
        <f>AB339+AB342+AB348+AB354</f>
      </c>
      <c r="AC355" s="374">
        <f>AC339+AC342+AC348+AC354</f>
      </c>
      <c r="AD355" s="374">
        <f>AD339+AD342+AD348+AD354</f>
      </c>
      <c r="AE355" s="372">
        <f>AE339</f>
      </c>
      <c r="AF355" s="369"/>
      <c r="AG355" s="369"/>
      <c r="AH355" s="374">
        <f>AH339+AH342+AH348+AH354</f>
      </c>
    </row>
    <row r="356">
      <c r="A356" s="380" t="s">
        <v>197</v>
      </c>
      <c r="B356" s="396" t="s">
        <v>198</v>
      </c>
      <c r="C356" s="396"/>
      <c r="D356" s="381" t="s">
        <v>199</v>
      </c>
      <c r="E356" s="381"/>
      <c r="F356" s="381"/>
      <c r="G356" s="381"/>
      <c r="H356" s="381"/>
      <c r="I356" s="381"/>
      <c r="J356" s="381"/>
      <c r="K356" s="381"/>
      <c r="L356" s="381"/>
      <c r="M356" s="381"/>
      <c r="N356" s="382" t="s">
        <v>200</v>
      </c>
      <c r="O356" s="382"/>
      <c r="P356" s="382"/>
      <c r="Q356" s="382"/>
      <c r="R356" s="382"/>
      <c r="S356" s="382"/>
      <c r="T356" s="382"/>
      <c r="U356" s="382"/>
      <c r="V356" s="382"/>
      <c r="W356" s="382"/>
      <c r="X356" s="382"/>
      <c r="Y356" s="382"/>
      <c r="Z356" s="382"/>
      <c r="AA356" s="382"/>
      <c r="AB356" s="382"/>
      <c r="AC356" s="382"/>
      <c r="AD356" s="382"/>
      <c r="AE356" s="382"/>
      <c r="AF356" s="382"/>
      <c r="AG356" s="382"/>
      <c r="AH356" s="340"/>
    </row>
    <row r="357">
      <c r="A357" s="380"/>
      <c r="B357" s="396" t="s">
        <v>201</v>
      </c>
      <c r="C357" s="398" t="s">
        <v>202</v>
      </c>
      <c r="D357" s="399" t="s">
        <v>203</v>
      </c>
      <c r="E357" s="391"/>
      <c r="F357" s="391" t="s">
        <v>204</v>
      </c>
      <c r="G357" s="391" t="s">
        <v>205</v>
      </c>
      <c r="H357" s="399" t="s">
        <v>206</v>
      </c>
      <c r="I357" s="384" t="s">
        <v>207</v>
      </c>
      <c r="J357" s="384" t="s">
        <v>208</v>
      </c>
      <c r="K357" s="384" t="s">
        <v>209</v>
      </c>
      <c r="L357" s="384"/>
      <c r="M357" s="384" t="s">
        <v>210</v>
      </c>
      <c r="N357" s="385" t="s">
        <v>211</v>
      </c>
      <c r="O357" s="386" t="s">
        <v>212</v>
      </c>
      <c r="P357" s="386" t="s">
        <v>213</v>
      </c>
      <c r="Q357" s="386" t="s">
        <v>214</v>
      </c>
      <c r="R357" s="386" t="s">
        <v>215</v>
      </c>
      <c r="S357" s="387" t="s">
        <v>216</v>
      </c>
      <c r="T357" s="392" t="s">
        <v>217</v>
      </c>
      <c r="U357" s="393" t="s">
        <v>218</v>
      </c>
      <c r="V357" s="382" t="s">
        <v>219</v>
      </c>
      <c r="W357" s="394" t="s">
        <v>220</v>
      </c>
      <c r="X357" s="394" t="s">
        <v>221</v>
      </c>
      <c r="Y357" s="394" t="s">
        <v>222</v>
      </c>
      <c r="Z357" s="394" t="s">
        <v>223</v>
      </c>
      <c r="AA357" s="394" t="s">
        <v>224</v>
      </c>
      <c r="AB357" s="394" t="s">
        <v>225</v>
      </c>
      <c r="AC357" s="394" t="s">
        <v>226</v>
      </c>
      <c r="AD357" s="394" t="s">
        <v>227</v>
      </c>
      <c r="AE357" s="382" t="s">
        <v>228</v>
      </c>
      <c r="AF357" s="389" t="s">
        <v>229</v>
      </c>
      <c r="AG357" s="389" t="s">
        <v>230</v>
      </c>
      <c r="AH357" s="340" t="s">
        <v>231</v>
      </c>
    </row>
    <row r="358">
      <c r="A358" s="397">
        <v>46167</v>
      </c>
      <c r="B358" s="411" t="s">
        <v>248</v>
      </c>
      <c r="C358" s="400" t="s">
        <v>264</v>
      </c>
      <c r="D358" s="349">
        <f>1397.87+1.31</f>
      </c>
      <c r="E358" s="350"/>
      <c r="F358" s="350">
        <v>0</v>
      </c>
      <c r="G358" s="350">
        <v>0</v>
      </c>
      <c r="H358" s="349">
        <v>0</v>
      </c>
      <c r="I358" s="436">
        <f t="shared" ref="I358:I379" si="209">H358/D358</f>
      </c>
      <c r="J358" s="351">
        <f t="shared" ref="J358:J379" si="269">D358/F358</f>
      </c>
      <c r="K358" s="351">
        <f t="shared" ref="K358:K379" si="329">D358/G358</f>
      </c>
      <c r="L358" s="351"/>
      <c r="M358" s="351">
        <f t="shared" ref="M358:M379" si="23">H358/F358</f>
      </c>
      <c r="N358" s="351">
        <f t="shared" ref="N358:N379" si="89">D358/X358</f>
      </c>
      <c r="O358" s="352">
        <f t="shared" ref="O358:O379" si="119">S358/W358*1</f>
      </c>
      <c r="P358" s="352">
        <f t="shared" ref="P358:P379" si="149">X358/W358</f>
      </c>
      <c r="Q358" s="352">
        <f t="shared" ref="Q358:Q379" si="179">Z358/W358</f>
      </c>
      <c r="R358" s="352">
        <f t="shared" ref="R358:R379" si="239">AA358/Z358</f>
      </c>
      <c r="S358" s="353">
        <f t="shared" ref="S358:S379" si="299">Y358/T358</f>
      </c>
      <c r="T358" s="354">
        <v>0.0095</v>
      </c>
      <c r="U358" s="355">
        <v>13</v>
      </c>
      <c r="V358" s="351">
        <f t="shared" ref="V358:V379" si="359">(D358/W358)*1000</f>
      </c>
      <c r="W358" s="355">
        <v>12930</v>
      </c>
      <c r="X358" s="355">
        <v>649</v>
      </c>
      <c r="Y358" s="353">
        <v>38</v>
      </c>
      <c r="Z358" s="353">
        <v>1547</v>
      </c>
      <c r="AA358" s="353">
        <v>19</v>
      </c>
      <c r="AB358" s="353">
        <v>8</v>
      </c>
      <c r="AC358" s="353">
        <v>0</v>
      </c>
      <c r="AD358" s="355">
        <v>7</v>
      </c>
      <c r="AE358" s="351">
        <f t="shared" ref="AE358:AE378" si="53">AH358*1000/D358</f>
      </c>
      <c r="AF358" s="356" t="s">
        <v>253</v>
      </c>
      <c r="AG358" s="451" t="s">
        <v>259</v>
      </c>
      <c r="AH358" s="355">
        <v>13</v>
      </c>
    </row>
    <row r="359">
      <c r="A359" s="397"/>
      <c r="B359" s="411" t="s">
        <v>248</v>
      </c>
      <c r="C359" s="400" t="s">
        <v>252</v>
      </c>
      <c r="D359" s="349">
        <v>550.99</v>
      </c>
      <c r="E359" s="350"/>
      <c r="F359" s="350">
        <v>2</v>
      </c>
      <c r="G359" s="350">
        <v>2</v>
      </c>
      <c r="H359" s="349">
        <v>902</v>
      </c>
      <c r="I359" s="436">
        <f t="shared" si="209"/>
      </c>
      <c r="J359" s="351">
        <f t="shared" si="269"/>
      </c>
      <c r="K359" s="351">
        <f t="shared" si="329"/>
      </c>
      <c r="L359" s="351"/>
      <c r="M359" s="351">
        <f t="shared" si="23"/>
      </c>
      <c r="N359" s="351">
        <f t="shared" si="89"/>
      </c>
      <c r="O359" s="352">
        <f t="shared" si="119"/>
      </c>
      <c r="P359" s="352">
        <f t="shared" si="149"/>
      </c>
      <c r="Q359" s="352">
        <f t="shared" si="179"/>
      </c>
      <c r="R359" s="352">
        <f t="shared" si="239"/>
      </c>
      <c r="S359" s="353">
        <f t="shared" si="299"/>
      </c>
      <c r="T359" s="354">
        <v>0.0335</v>
      </c>
      <c r="U359" s="355">
        <v>15</v>
      </c>
      <c r="V359" s="351">
        <f t="shared" si="359"/>
      </c>
      <c r="W359" s="355">
        <v>4715</v>
      </c>
      <c r="X359" s="355">
        <v>243</v>
      </c>
      <c r="Y359" s="353">
        <v>16</v>
      </c>
      <c r="Z359" s="353">
        <v>1109</v>
      </c>
      <c r="AA359" s="355">
        <v>9</v>
      </c>
      <c r="AB359" s="353">
        <v>3</v>
      </c>
      <c r="AC359" s="355">
        <v>0</v>
      </c>
      <c r="AD359" s="355">
        <v>3</v>
      </c>
      <c r="AE359" s="351">
        <f t="shared" si="53"/>
      </c>
      <c r="AF359" s="356" t="s">
        <v>253</v>
      </c>
      <c r="AG359" s="451" t="s">
        <v>259</v>
      </c>
      <c r="AH359" s="355">
        <v>9</v>
      </c>
    </row>
    <row r="360">
      <c r="A360" s="397"/>
      <c r="B360" s="411" t="s">
        <v>248</v>
      </c>
      <c r="C360" s="437" t="s">
        <v>255</v>
      </c>
      <c r="D360" s="349">
        <v>1819.15</v>
      </c>
      <c r="E360" s="350"/>
      <c r="F360" s="350">
        <v>4</v>
      </c>
      <c r="G360" s="350">
        <v>3</v>
      </c>
      <c r="H360" s="349">
        <v>1804</v>
      </c>
      <c r="I360" s="436">
        <f t="shared" si="209"/>
      </c>
      <c r="J360" s="351">
        <f t="shared" si="269"/>
      </c>
      <c r="K360" s="351">
        <f t="shared" si="329"/>
      </c>
      <c r="L360" s="351"/>
      <c r="M360" s="351">
        <f t="shared" si="23"/>
      </c>
      <c r="N360" s="351">
        <f t="shared" si="89"/>
      </c>
      <c r="O360" s="352">
        <f t="shared" si="119"/>
      </c>
      <c r="P360" s="352">
        <f t="shared" si="149"/>
      </c>
      <c r="Q360" s="352">
        <f t="shared" si="179"/>
      </c>
      <c r="R360" s="352">
        <f t="shared" si="239"/>
      </c>
      <c r="S360" s="353">
        <f t="shared" si="299"/>
      </c>
      <c r="T360" s="354">
        <v>0.0388</v>
      </c>
      <c r="U360" s="355">
        <v>20</v>
      </c>
      <c r="V360" s="351">
        <f t="shared" si="359"/>
      </c>
      <c r="W360" s="355">
        <v>9183</v>
      </c>
      <c r="X360" s="355">
        <v>434</v>
      </c>
      <c r="Y360" s="353">
        <v>55</v>
      </c>
      <c r="Z360" s="353">
        <v>851</v>
      </c>
      <c r="AA360" s="355">
        <v>46</v>
      </c>
      <c r="AB360" s="353">
        <v>3</v>
      </c>
      <c r="AC360" s="355">
        <v>0</v>
      </c>
      <c r="AD360" s="355">
        <v>11</v>
      </c>
      <c r="AE360" s="351">
        <f t="shared" si="53"/>
      </c>
      <c r="AF360" s="356" t="s">
        <v>253</v>
      </c>
      <c r="AG360" s="451" t="s">
        <v>259</v>
      </c>
      <c r="AH360" s="355">
        <v>14</v>
      </c>
    </row>
    <row r="361">
      <c r="A361" s="397"/>
      <c r="B361" s="411" t="s">
        <v>248</v>
      </c>
      <c r="C361" s="400" t="s">
        <v>256</v>
      </c>
      <c r="D361" s="349">
        <v>1722.23</v>
      </c>
      <c r="E361" s="350"/>
      <c r="F361" s="350">
        <v>3</v>
      </c>
      <c r="G361" s="350">
        <v>2</v>
      </c>
      <c r="H361" s="349">
        <v>2385.8999999999996</v>
      </c>
      <c r="I361" s="436">
        <f t="shared" si="209"/>
      </c>
      <c r="J361" s="351">
        <f t="shared" si="269"/>
      </c>
      <c r="K361" s="351">
        <f t="shared" si="329"/>
      </c>
      <c r="L361" s="351"/>
      <c r="M361" s="351">
        <f t="shared" si="23"/>
      </c>
      <c r="N361" s="351">
        <f t="shared" si="89"/>
      </c>
      <c r="O361" s="352">
        <f t="shared" si="119"/>
      </c>
      <c r="P361" s="352">
        <f t="shared" si="149"/>
      </c>
      <c r="Q361" s="352">
        <f t="shared" si="179"/>
      </c>
      <c r="R361" s="352">
        <f t="shared" si="239"/>
      </c>
      <c r="S361" s="353">
        <f t="shared" si="299"/>
      </c>
      <c r="T361" s="354">
        <v>0.0545</v>
      </c>
      <c r="U361" s="355">
        <v>30</v>
      </c>
      <c r="V361" s="351">
        <f t="shared" si="359"/>
      </c>
      <c r="W361" s="355">
        <v>8257</v>
      </c>
      <c r="X361" s="355">
        <v>376</v>
      </c>
      <c r="Y361" s="355">
        <v>57</v>
      </c>
      <c r="Z361" s="355">
        <v>588</v>
      </c>
      <c r="AA361" s="355">
        <v>55</v>
      </c>
      <c r="AB361" s="355">
        <v>10</v>
      </c>
      <c r="AC361" s="355">
        <v>0</v>
      </c>
      <c r="AD361" s="355">
        <v>11</v>
      </c>
      <c r="AE361" s="351">
        <f t="shared" si="53"/>
      </c>
      <c r="AF361" s="356" t="s">
        <v>253</v>
      </c>
      <c r="AG361" s="451" t="s">
        <v>259</v>
      </c>
      <c r="AH361" s="355">
        <v>19</v>
      </c>
    </row>
    <row r="362">
      <c r="A362" s="397"/>
      <c r="B362" s="411" t="s">
        <v>248</v>
      </c>
      <c r="C362" s="348" t="s">
        <v>257</v>
      </c>
      <c r="D362" s="438">
        <v>1350.51</v>
      </c>
      <c r="E362" s="379"/>
      <c r="F362" s="379">
        <v>5</v>
      </c>
      <c r="G362" s="379">
        <v>2</v>
      </c>
      <c r="H362" s="438">
        <v>2562.4500000000007</v>
      </c>
      <c r="I362" s="351">
        <f t="shared" si="209"/>
      </c>
      <c r="J362" s="351">
        <f t="shared" si="269"/>
      </c>
      <c r="K362" s="351">
        <f t="shared" si="329"/>
      </c>
      <c r="L362" s="351"/>
      <c r="M362" s="351">
        <f t="shared" si="23"/>
      </c>
      <c r="N362" s="351">
        <f t="shared" si="89"/>
      </c>
      <c r="O362" s="352">
        <f t="shared" si="119"/>
      </c>
      <c r="P362" s="352">
        <f t="shared" si="149"/>
      </c>
      <c r="Q362" s="352">
        <f t="shared" si="179"/>
      </c>
      <c r="R362" s="352">
        <f t="shared" si="239"/>
      </c>
      <c r="S362" s="353">
        <f t="shared" si="299"/>
      </c>
      <c r="T362" s="354">
        <v>0.028</v>
      </c>
      <c r="U362" s="355">
        <v>32</v>
      </c>
      <c r="V362" s="351">
        <f t="shared" si="359"/>
      </c>
      <c r="W362" s="353">
        <v>7102</v>
      </c>
      <c r="X362" s="353">
        <v>310</v>
      </c>
      <c r="Y362" s="353">
        <v>42</v>
      </c>
      <c r="Z362" s="353">
        <v>457</v>
      </c>
      <c r="AA362" s="353">
        <v>28</v>
      </c>
      <c r="AB362" s="353">
        <v>5</v>
      </c>
      <c r="AC362" s="353">
        <v>0</v>
      </c>
      <c r="AD362" s="353">
        <v>3</v>
      </c>
      <c r="AE362" s="351">
        <f t="shared" si="53"/>
      </c>
      <c r="AF362" s="356" t="s">
        <v>253</v>
      </c>
      <c r="AG362" s="451" t="s">
        <v>259</v>
      </c>
      <c r="AH362" s="355">
        <v>15</v>
      </c>
    </row>
    <row r="363">
      <c r="A363" s="397"/>
      <c r="B363" s="360" t="s">
        <v>240</v>
      </c>
      <c r="C363" s="360"/>
      <c r="D363" s="361">
        <f>SUM(D358:D362)</f>
      </c>
      <c r="E363" s="365"/>
      <c r="F363" s="365">
        <f>SUM(F358:F362)</f>
      </c>
      <c r="G363" s="365">
        <f>SUM(G358:G362)</f>
      </c>
      <c r="H363" s="361">
        <f>SUM(H358:H362)</f>
      </c>
      <c r="I363" s="363">
        <f t="shared" si="209"/>
      </c>
      <c r="J363" s="363">
        <f t="shared" si="269"/>
      </c>
      <c r="K363" s="363">
        <f t="shared" si="329"/>
      </c>
      <c r="L363" s="363"/>
      <c r="M363" s="363">
        <f t="shared" si="23"/>
      </c>
      <c r="N363" s="363">
        <f t="shared" si="89"/>
      </c>
      <c r="O363" s="364">
        <f t="shared" si="119"/>
      </c>
      <c r="P363" s="364">
        <f t="shared" si="149"/>
      </c>
      <c r="Q363" s="364">
        <f t="shared" si="179"/>
      </c>
      <c r="R363" s="364">
        <f t="shared" si="239"/>
      </c>
      <c r="S363" s="365">
        <f t="shared" si="299"/>
      </c>
      <c r="T363" s="364">
        <f>AVERAGE(T358:T362)</f>
      </c>
      <c r="U363" s="361">
        <f>AVERAGE(U358:U362)</f>
      </c>
      <c r="V363" s="363">
        <f t="shared" si="359"/>
      </c>
      <c r="W363" s="365">
        <f>SUM(W358:W362)</f>
      </c>
      <c r="X363" s="365">
        <f>SUM(X358:X362)</f>
      </c>
      <c r="Y363" s="365">
        <f>SUM(Y358:Y362)</f>
      </c>
      <c r="Z363" s="365">
        <f>SUM(Z358:Z362)</f>
      </c>
      <c r="AA363" s="365">
        <f>SUM(AA358:AA362)</f>
      </c>
      <c r="AB363" s="365">
        <f>SUM(AB358:AB362)</f>
      </c>
      <c r="AC363" s="365">
        <f>SUM(AC358:AC362)</f>
      </c>
      <c r="AD363" s="365">
        <f>SUM(AD358:AD362)</f>
      </c>
      <c r="AE363" s="366">
        <f t="shared" si="53"/>
      </c>
      <c r="AF363" s="367"/>
      <c r="AG363" s="367"/>
      <c r="AH363" s="368">
        <f>SUM(AH358:AH362)</f>
      </c>
    </row>
    <row r="364">
      <c r="A364" s="397"/>
      <c r="B364" s="425" t="s">
        <v>232</v>
      </c>
      <c r="C364" s="411" t="s">
        <v>258</v>
      </c>
      <c r="D364" s="426">
        <v>804.42</v>
      </c>
      <c r="E364" s="413"/>
      <c r="F364" s="413">
        <v>2</v>
      </c>
      <c r="G364" s="414">
        <v>2</v>
      </c>
      <c r="H364" s="475">
        <v>901.9999999999982</v>
      </c>
      <c r="I364" s="416">
        <f t="shared" si="209"/>
      </c>
      <c r="J364" s="416">
        <f t="shared" si="269"/>
      </c>
      <c r="K364" s="416">
        <f t="shared" si="329"/>
      </c>
      <c r="L364" s="416"/>
      <c r="M364" s="416">
        <f t="shared" si="23"/>
      </c>
      <c r="N364" s="416">
        <f t="shared" si="89"/>
      </c>
      <c r="O364" s="417">
        <f t="shared" si="119"/>
      </c>
      <c r="P364" s="417">
        <f t="shared" si="149"/>
      </c>
      <c r="Q364" s="417">
        <f t="shared" si="179"/>
      </c>
      <c r="R364" s="417">
        <f t="shared" si="239"/>
      </c>
      <c r="S364" s="418">
        <f t="shared" si="299"/>
      </c>
      <c r="T364" s="419">
        <v>0.0216</v>
      </c>
      <c r="U364" s="420">
        <v>32</v>
      </c>
      <c r="V364" s="416">
        <f t="shared" si="359"/>
      </c>
      <c r="W364" s="418">
        <v>5794</v>
      </c>
      <c r="X364" s="418">
        <v>314</v>
      </c>
      <c r="Y364" s="418">
        <v>38</v>
      </c>
      <c r="Z364" s="418">
        <v>460</v>
      </c>
      <c r="AA364" s="418">
        <v>16</v>
      </c>
      <c r="AB364" s="418">
        <v>3</v>
      </c>
      <c r="AC364" s="418">
        <v>0</v>
      </c>
      <c r="AD364" s="418">
        <v>2</v>
      </c>
      <c r="AE364" s="416">
        <f t="shared" si="53"/>
      </c>
      <c r="AF364" s="356" t="s">
        <v>253</v>
      </c>
      <c r="AG364" s="451" t="s">
        <v>259</v>
      </c>
      <c r="AH364" s="420">
        <v>15</v>
      </c>
    </row>
    <row r="365">
      <c r="A365" s="397"/>
      <c r="B365" s="425" t="s">
        <v>232</v>
      </c>
      <c r="C365" s="422" t="s">
        <v>260</v>
      </c>
      <c r="D365" s="439">
        <v>874.88</v>
      </c>
      <c r="E365" s="424"/>
      <c r="F365" s="424">
        <v>0</v>
      </c>
      <c r="G365" s="424">
        <v>0</v>
      </c>
      <c r="H365" s="475">
        <v>0</v>
      </c>
      <c r="I365" s="416">
        <f t="shared" si="209"/>
      </c>
      <c r="J365" s="416">
        <f t="shared" si="269"/>
      </c>
      <c r="K365" s="416">
        <f t="shared" si="329"/>
      </c>
      <c r="L365" s="416"/>
      <c r="M365" s="416">
        <f t="shared" si="23"/>
      </c>
      <c r="N365" s="416">
        <f t="shared" si="89"/>
      </c>
      <c r="O365" s="417">
        <f t="shared" si="119"/>
      </c>
      <c r="P365" s="417">
        <f t="shared" si="149"/>
      </c>
      <c r="Q365" s="417">
        <f t="shared" si="179"/>
      </c>
      <c r="R365" s="417">
        <f t="shared" si="239"/>
      </c>
      <c r="S365" s="418">
        <f t="shared" si="299"/>
      </c>
      <c r="T365" s="419">
        <v>0.0314</v>
      </c>
      <c r="U365" s="420">
        <v>32</v>
      </c>
      <c r="V365" s="416">
        <f t="shared" si="359"/>
      </c>
      <c r="W365" s="418">
        <v>5206</v>
      </c>
      <c r="X365" s="418">
        <v>336</v>
      </c>
      <c r="Y365" s="418">
        <v>48</v>
      </c>
      <c r="Z365" s="418">
        <v>453</v>
      </c>
      <c r="AA365" s="418">
        <v>21</v>
      </c>
      <c r="AB365" s="418">
        <v>3</v>
      </c>
      <c r="AC365" s="418">
        <v>1</v>
      </c>
      <c r="AD365" s="418">
        <v>6</v>
      </c>
      <c r="AE365" s="416">
        <f t="shared" si="53"/>
      </c>
      <c r="AF365" s="356" t="s">
        <v>253</v>
      </c>
      <c r="AG365" s="451" t="s">
        <v>259</v>
      </c>
      <c r="AH365" s="420">
        <v>13</v>
      </c>
    </row>
    <row r="366">
      <c r="A366" s="397"/>
      <c r="B366" s="425" t="s">
        <v>232</v>
      </c>
      <c r="C366" s="411" t="s">
        <v>261</v>
      </c>
      <c r="D366" s="426">
        <v>965.55</v>
      </c>
      <c r="E366" s="424"/>
      <c r="F366" s="424">
        <v>0</v>
      </c>
      <c r="G366" s="424">
        <v>0</v>
      </c>
      <c r="H366" s="426">
        <v>0</v>
      </c>
      <c r="I366" s="416">
        <f t="shared" si="209"/>
      </c>
      <c r="J366" s="416">
        <f t="shared" si="269"/>
      </c>
      <c r="K366" s="416">
        <f t="shared" si="329"/>
      </c>
      <c r="L366" s="416"/>
      <c r="M366" s="416">
        <f t="shared" si="23"/>
      </c>
      <c r="N366" s="416">
        <f t="shared" si="89"/>
      </c>
      <c r="O366" s="417">
        <f t="shared" si="119"/>
      </c>
      <c r="P366" s="417">
        <f t="shared" si="149"/>
      </c>
      <c r="Q366" s="417">
        <f t="shared" si="179"/>
      </c>
      <c r="R366" s="417">
        <f t="shared" si="239"/>
      </c>
      <c r="S366" s="418">
        <f t="shared" si="299"/>
      </c>
      <c r="T366" s="419">
        <v>0.0298</v>
      </c>
      <c r="U366" s="420">
        <v>31</v>
      </c>
      <c r="V366" s="416">
        <f t="shared" si="359"/>
      </c>
      <c r="W366" s="418">
        <v>6571</v>
      </c>
      <c r="X366" s="418">
        <v>327</v>
      </c>
      <c r="Y366" s="418">
        <v>39</v>
      </c>
      <c r="Z366" s="418">
        <v>459</v>
      </c>
      <c r="AA366" s="418">
        <v>18</v>
      </c>
      <c r="AB366" s="418">
        <v>5</v>
      </c>
      <c r="AC366" s="418">
        <v>0</v>
      </c>
      <c r="AD366" s="418">
        <v>9</v>
      </c>
      <c r="AE366" s="416">
        <f t="shared" si="53"/>
      </c>
      <c r="AF366" s="356" t="s">
        <v>253</v>
      </c>
      <c r="AG366" s="451" t="s">
        <v>259</v>
      </c>
      <c r="AH366" s="420">
        <v>12</v>
      </c>
    </row>
    <row r="367">
      <c r="A367" s="397"/>
      <c r="B367" s="425" t="s">
        <v>232</v>
      </c>
      <c r="C367" s="425" t="s">
        <v>262</v>
      </c>
      <c r="D367" s="426">
        <v>1595.38</v>
      </c>
      <c r="E367" s="414"/>
      <c r="F367" s="414">
        <v>5</v>
      </c>
      <c r="G367" s="414">
        <v>5</v>
      </c>
      <c r="H367" s="426">
        <v>2585.000000000002</v>
      </c>
      <c r="I367" s="416">
        <f t="shared" si="209"/>
      </c>
      <c r="J367" s="416">
        <f t="shared" si="269"/>
      </c>
      <c r="K367" s="416">
        <f t="shared" si="329"/>
      </c>
      <c r="L367" s="416"/>
      <c r="M367" s="416">
        <f t="shared" si="23"/>
      </c>
      <c r="N367" s="416">
        <f t="shared" si="89"/>
      </c>
      <c r="O367" s="417">
        <f t="shared" si="119"/>
      </c>
      <c r="P367" s="417">
        <f t="shared" si="149"/>
      </c>
      <c r="Q367" s="417">
        <f t="shared" si="179"/>
      </c>
      <c r="R367" s="417">
        <f t="shared" si="239"/>
      </c>
      <c r="S367" s="418">
        <f t="shared" si="299"/>
      </c>
      <c r="T367" s="419">
        <v>0.0764</v>
      </c>
      <c r="U367" s="420">
        <v>32</v>
      </c>
      <c r="V367" s="416">
        <f t="shared" si="359"/>
      </c>
      <c r="W367" s="418">
        <v>10005</v>
      </c>
      <c r="X367" s="418">
        <v>427</v>
      </c>
      <c r="Y367" s="418">
        <v>69</v>
      </c>
      <c r="Z367" s="418">
        <v>544</v>
      </c>
      <c r="AA367" s="418">
        <v>35</v>
      </c>
      <c r="AB367" s="418">
        <v>5</v>
      </c>
      <c r="AC367" s="418">
        <v>1</v>
      </c>
      <c r="AD367" s="418">
        <v>12</v>
      </c>
      <c r="AE367" s="416">
        <f t="shared" si="53"/>
      </c>
      <c r="AF367" s="356" t="s">
        <v>253</v>
      </c>
      <c r="AG367" s="451" t="s">
        <v>259</v>
      </c>
      <c r="AH367" s="420">
        <v>19</v>
      </c>
    </row>
    <row r="368">
      <c r="A368" s="397"/>
      <c r="B368" s="427" t="s">
        <v>240</v>
      </c>
      <c r="C368" s="427"/>
      <c r="D368" s="428">
        <f>SUM(D364:D367)</f>
      </c>
      <c r="E368" s="429"/>
      <c r="F368" s="429">
        <f>SUM(F364:F367)</f>
      </c>
      <c r="G368" s="429">
        <f>SUM(G364:G367)</f>
      </c>
      <c r="H368" s="428">
        <f>SUM(H364:H367)</f>
      </c>
      <c r="I368" s="430">
        <f t="shared" si="209"/>
      </c>
      <c r="J368" s="430">
        <f t="shared" si="269"/>
      </c>
      <c r="K368" s="430">
        <f t="shared" si="329"/>
      </c>
      <c r="L368" s="430"/>
      <c r="M368" s="430">
        <f t="shared" si="23"/>
      </c>
      <c r="N368" s="430">
        <f t="shared" si="89"/>
      </c>
      <c r="O368" s="431">
        <f t="shared" si="119"/>
      </c>
      <c r="P368" s="431">
        <f t="shared" si="149"/>
      </c>
      <c r="Q368" s="431">
        <f t="shared" si="179"/>
      </c>
      <c r="R368" s="431">
        <f t="shared" si="239"/>
      </c>
      <c r="S368" s="432">
        <f t="shared" si="299"/>
      </c>
      <c r="T368" s="431">
        <f>AVERAGE(T364:T367)</f>
      </c>
      <c r="U368" s="428">
        <f>AVERAGE(U364:U367)</f>
      </c>
      <c r="V368" s="430">
        <f t="shared" si="359"/>
      </c>
      <c r="W368" s="432">
        <f>SUM(W364:W367)</f>
      </c>
      <c r="X368" s="432">
        <f>SUM(X364:X367)</f>
      </c>
      <c r="Y368" s="432">
        <f>SUM(Y364:Y367)</f>
      </c>
      <c r="Z368" s="432">
        <f>SUM(Z364:Z367)</f>
      </c>
      <c r="AA368" s="432">
        <f>SUM(AA364:AA367)</f>
      </c>
      <c r="AB368" s="432">
        <f>SUM(AB364:AB367)</f>
      </c>
      <c r="AC368" s="432">
        <f>SUM(AC364:AC367)</f>
      </c>
      <c r="AD368" s="432">
        <f>SUM(AD364:AD367)</f>
      </c>
      <c r="AE368" s="433">
        <f t="shared" si="53"/>
      </c>
      <c r="AF368" s="434"/>
      <c r="AG368" s="434"/>
      <c r="AH368" s="435">
        <f>SUM(AH364:AH367)</f>
      </c>
    </row>
    <row r="369">
      <c r="A369" s="397"/>
      <c r="B369" s="375" t="s">
        <v>249</v>
      </c>
      <c r="C369" s="411" t="s">
        <v>243</v>
      </c>
      <c r="D369" s="349">
        <v>2495.7</v>
      </c>
      <c r="E369" s="350"/>
      <c r="F369" s="350">
        <v>4</v>
      </c>
      <c r="G369" s="350">
        <v>4</v>
      </c>
      <c r="H369" s="350">
        <v>3684.999999999998</v>
      </c>
      <c r="I369" s="351">
        <f t="shared" si="209"/>
      </c>
      <c r="J369" s="351">
        <f t="shared" si="269"/>
      </c>
      <c r="K369" s="351">
        <f t="shared" si="329"/>
      </c>
      <c r="L369" s="351"/>
      <c r="M369" s="351">
        <f t="shared" si="23"/>
      </c>
      <c r="N369" s="351">
        <f t="shared" si="89"/>
      </c>
      <c r="O369" s="352">
        <f t="shared" si="119"/>
      </c>
      <c r="P369" s="352">
        <f t="shared" si="149"/>
      </c>
      <c r="Q369" s="352">
        <f t="shared" si="179"/>
      </c>
      <c r="R369" s="352">
        <f t="shared" si="239"/>
      </c>
      <c r="S369" s="353">
        <f t="shared" si="299"/>
      </c>
      <c r="T369" s="354">
        <v>0.0787</v>
      </c>
      <c r="U369" s="355">
        <v>35</v>
      </c>
      <c r="V369" s="351">
        <f t="shared" si="359"/>
      </c>
      <c r="W369" s="355">
        <v>17029</v>
      </c>
      <c r="X369" s="355">
        <v>489</v>
      </c>
      <c r="Y369" s="353">
        <v>87</v>
      </c>
      <c r="Z369" s="353">
        <v>610</v>
      </c>
      <c r="AA369" s="353">
        <v>55</v>
      </c>
      <c r="AB369" s="353">
        <v>10</v>
      </c>
      <c r="AC369" s="355">
        <v>0</v>
      </c>
      <c r="AD369" s="355">
        <v>20</v>
      </c>
      <c r="AE369" s="351">
        <f t="shared" si="53"/>
      </c>
      <c r="AF369" s="356" t="s">
        <v>234</v>
      </c>
      <c r="AG369" s="451" t="s">
        <v>259</v>
      </c>
      <c r="AH369" s="355">
        <v>30</v>
      </c>
    </row>
    <row r="370">
      <c r="A370" s="397"/>
      <c r="B370" s="375" t="s">
        <v>249</v>
      </c>
      <c r="C370" s="422" t="s">
        <v>244</v>
      </c>
      <c r="D370" s="349">
        <v>2177.94</v>
      </c>
      <c r="E370" s="350"/>
      <c r="F370" s="350">
        <v>1</v>
      </c>
      <c r="G370" s="350">
        <v>1</v>
      </c>
      <c r="H370" s="349">
        <v>451.0000000000018</v>
      </c>
      <c r="I370" s="351">
        <f t="shared" si="209"/>
      </c>
      <c r="J370" s="351">
        <f t="shared" si="269"/>
      </c>
      <c r="K370" s="351">
        <f t="shared" si="329"/>
      </c>
      <c r="L370" s="351"/>
      <c r="M370" s="351">
        <f t="shared" si="23"/>
      </c>
      <c r="N370" s="351">
        <f t="shared" si="89"/>
      </c>
      <c r="O370" s="352">
        <f t="shared" si="119"/>
      </c>
      <c r="P370" s="352">
        <f t="shared" si="149"/>
      </c>
      <c r="Q370" s="352">
        <f t="shared" si="179"/>
      </c>
      <c r="R370" s="352">
        <f t="shared" si="239"/>
      </c>
      <c r="S370" s="353">
        <f t="shared" si="299"/>
      </c>
      <c r="T370" s="354">
        <v>0.0527</v>
      </c>
      <c r="U370" s="355">
        <v>35</v>
      </c>
      <c r="V370" s="351">
        <f t="shared" si="359"/>
      </c>
      <c r="W370" s="353">
        <v>15217</v>
      </c>
      <c r="X370" s="353">
        <v>459</v>
      </c>
      <c r="Y370" s="353">
        <v>59</v>
      </c>
      <c r="Z370" s="353">
        <v>602</v>
      </c>
      <c r="AA370" s="353">
        <v>49</v>
      </c>
      <c r="AB370" s="353">
        <v>8</v>
      </c>
      <c r="AC370" s="353">
        <v>0</v>
      </c>
      <c r="AD370" s="355">
        <v>16</v>
      </c>
      <c r="AE370" s="351">
        <f t="shared" si="53"/>
      </c>
      <c r="AF370" s="356" t="s">
        <v>234</v>
      </c>
      <c r="AG370" s="451" t="s">
        <v>259</v>
      </c>
      <c r="AH370" s="355">
        <v>16</v>
      </c>
    </row>
    <row r="371">
      <c r="A371" s="397"/>
      <c r="B371" s="375" t="s">
        <v>249</v>
      </c>
      <c r="C371" s="411" t="s">
        <v>245</v>
      </c>
      <c r="D371" s="349">
        <v>1796.37</v>
      </c>
      <c r="E371" s="350"/>
      <c r="F371" s="350">
        <v>4</v>
      </c>
      <c r="G371" s="350">
        <v>4</v>
      </c>
      <c r="H371" s="349">
        <v>4289.999999999998</v>
      </c>
      <c r="I371" s="351">
        <f t="shared" si="209"/>
      </c>
      <c r="J371" s="351">
        <f t="shared" si="269"/>
      </c>
      <c r="K371" s="351">
        <f t="shared" si="329"/>
      </c>
      <c r="L371" s="351"/>
      <c r="M371" s="351">
        <f t="shared" si="23"/>
      </c>
      <c r="N371" s="351">
        <f t="shared" si="89"/>
      </c>
      <c r="O371" s="352">
        <f t="shared" si="119"/>
      </c>
      <c r="P371" s="352">
        <f t="shared" si="149"/>
      </c>
      <c r="Q371" s="352">
        <f t="shared" si="179"/>
      </c>
      <c r="R371" s="352">
        <f t="shared" si="239"/>
      </c>
      <c r="S371" s="353">
        <f t="shared" si="299"/>
      </c>
      <c r="T371" s="354">
        <v>0.0609</v>
      </c>
      <c r="U371" s="355">
        <v>36</v>
      </c>
      <c r="V371" s="351">
        <f t="shared" si="359"/>
      </c>
      <c r="W371" s="355">
        <v>11921</v>
      </c>
      <c r="X371" s="355">
        <v>392</v>
      </c>
      <c r="Y371" s="355">
        <v>56</v>
      </c>
      <c r="Z371" s="355">
        <v>496</v>
      </c>
      <c r="AA371" s="355">
        <v>49</v>
      </c>
      <c r="AB371" s="355">
        <v>3</v>
      </c>
      <c r="AC371" s="355">
        <v>1</v>
      </c>
      <c r="AD371" s="355">
        <v>14</v>
      </c>
      <c r="AE371" s="351">
        <f t="shared" si="53"/>
      </c>
      <c r="AF371" s="356" t="s">
        <v>234</v>
      </c>
      <c r="AG371" s="357" t="s">
        <v>250</v>
      </c>
      <c r="AH371" s="355">
        <v>25</v>
      </c>
    </row>
    <row r="372">
      <c r="A372" s="397"/>
      <c r="B372" s="375" t="s">
        <v>249</v>
      </c>
      <c r="C372" s="411" t="s">
        <v>233</v>
      </c>
      <c r="D372" s="349">
        <v>2322.24</v>
      </c>
      <c r="E372" s="350"/>
      <c r="F372" s="350">
        <v>5</v>
      </c>
      <c r="G372" s="350">
        <v>4</v>
      </c>
      <c r="H372" s="349">
        <v>2570.7000000000007</v>
      </c>
      <c r="I372" s="351">
        <f t="shared" si="209"/>
      </c>
      <c r="J372" s="351">
        <f t="shared" si="269"/>
      </c>
      <c r="K372" s="351">
        <f t="shared" si="329"/>
      </c>
      <c r="L372" s="351"/>
      <c r="M372" s="351">
        <f t="shared" si="23"/>
      </c>
      <c r="N372" s="351">
        <f t="shared" si="89"/>
      </c>
      <c r="O372" s="352">
        <f t="shared" si="119"/>
      </c>
      <c r="P372" s="352">
        <f t="shared" si="149"/>
      </c>
      <c r="Q372" s="352">
        <f t="shared" si="179"/>
      </c>
      <c r="R372" s="352">
        <f t="shared" si="239"/>
      </c>
      <c r="S372" s="353">
        <f t="shared" si="299"/>
      </c>
      <c r="T372" s="354">
        <v>0.08</v>
      </c>
      <c r="U372" s="355">
        <v>36</v>
      </c>
      <c r="V372" s="351">
        <f t="shared" si="359"/>
      </c>
      <c r="W372" s="355">
        <v>17628</v>
      </c>
      <c r="X372" s="355">
        <v>465</v>
      </c>
      <c r="Y372" s="353">
        <v>71</v>
      </c>
      <c r="Z372" s="353">
        <v>578</v>
      </c>
      <c r="AA372" s="353">
        <v>40</v>
      </c>
      <c r="AB372" s="353">
        <v>8</v>
      </c>
      <c r="AC372" s="355">
        <v>2</v>
      </c>
      <c r="AD372" s="355">
        <v>18</v>
      </c>
      <c r="AE372" s="351">
        <f t="shared" si="53"/>
      </c>
      <c r="AF372" s="356" t="s">
        <v>234</v>
      </c>
      <c r="AG372" s="357" t="s">
        <v>250</v>
      </c>
      <c r="AH372" s="355">
        <v>17</v>
      </c>
    </row>
    <row r="373">
      <c r="A373" s="397"/>
      <c r="B373" s="360" t="s">
        <v>240</v>
      </c>
      <c r="C373" s="360"/>
      <c r="D373" s="405">
        <f>SUM(D369:D372)</f>
      </c>
      <c r="E373" s="440"/>
      <c r="F373" s="440">
        <f>SUM(F369:F372)</f>
      </c>
      <c r="G373" s="440">
        <f>SUM(G369:G372)</f>
      </c>
      <c r="H373" s="405">
        <f>SUM(H369:H372)</f>
      </c>
      <c r="I373" s="363">
        <f t="shared" si="209"/>
      </c>
      <c r="J373" s="363">
        <f t="shared" si="269"/>
      </c>
      <c r="K373" s="363">
        <f t="shared" si="329"/>
      </c>
      <c r="L373" s="363"/>
      <c r="M373" s="363">
        <f t="shared" si="23"/>
      </c>
      <c r="N373" s="363">
        <f t="shared" si="89"/>
      </c>
      <c r="O373" s="364">
        <f t="shared" si="119"/>
      </c>
      <c r="P373" s="364">
        <f t="shared" si="149"/>
      </c>
      <c r="Q373" s="364">
        <f t="shared" si="179"/>
      </c>
      <c r="R373" s="364">
        <f t="shared" si="239"/>
      </c>
      <c r="S373" s="365">
        <f t="shared" si="299"/>
      </c>
      <c r="T373" s="364">
        <f>AVERAGE(T369:T372)</f>
      </c>
      <c r="U373" s="361">
        <f>AVERAGE(U369:U372)</f>
      </c>
      <c r="V373" s="363">
        <f t="shared" si="359"/>
      </c>
      <c r="W373" s="365">
        <f>SUM(W369:W372)</f>
      </c>
      <c r="X373" s="365">
        <f>SUM(X369:X372)</f>
      </c>
      <c r="Y373" s="365">
        <f>SUM(Y369:Y372)</f>
      </c>
      <c r="Z373" s="365">
        <f>SUM(Z369:Z372)</f>
      </c>
      <c r="AA373" s="365">
        <f>SUM(AA369:AA372)</f>
      </c>
      <c r="AB373" s="365">
        <f>SUM(AB369:AB372)</f>
      </c>
      <c r="AC373" s="365">
        <f>SUM(AC369:AC372)</f>
      </c>
      <c r="AD373" s="365">
        <f>SUM(AD369:AD372)</f>
      </c>
      <c r="AE373" s="366">
        <f t="shared" si="53"/>
      </c>
      <c r="AF373" s="367"/>
      <c r="AG373" s="367"/>
      <c r="AH373" s="365">
        <f>SUM(AH369:AH372)</f>
      </c>
    </row>
    <row r="374">
      <c r="A374" s="397"/>
      <c r="B374" s="410" t="s">
        <v>246</v>
      </c>
      <c r="C374" s="425" t="s">
        <v>236</v>
      </c>
      <c r="D374" s="412">
        <v>2250.73</v>
      </c>
      <c r="E374" s="413"/>
      <c r="F374" s="413">
        <v>1</v>
      </c>
      <c r="G374" s="414">
        <v>1</v>
      </c>
      <c r="H374" s="415">
        <v>451</v>
      </c>
      <c r="I374" s="416">
        <f t="shared" si="209"/>
      </c>
      <c r="J374" s="416">
        <f t="shared" si="269"/>
      </c>
      <c r="K374" s="416">
        <f t="shared" si="329"/>
      </c>
      <c r="L374" s="416"/>
      <c r="M374" s="416">
        <f t="shared" si="23"/>
      </c>
      <c r="N374" s="416">
        <f t="shared" si="89"/>
      </c>
      <c r="O374" s="417">
        <f t="shared" si="119"/>
      </c>
      <c r="P374" s="417">
        <f t="shared" si="149"/>
      </c>
      <c r="Q374" s="417">
        <f t="shared" si="179"/>
      </c>
      <c r="R374" s="417">
        <f t="shared" si="239"/>
      </c>
      <c r="S374" s="418">
        <f t="shared" si="299"/>
      </c>
      <c r="T374" s="419">
        <v>0.0914</v>
      </c>
      <c r="U374" s="420">
        <v>37</v>
      </c>
      <c r="V374" s="416">
        <f t="shared" si="359"/>
      </c>
      <c r="W374" s="418">
        <v>17308</v>
      </c>
      <c r="X374" s="418">
        <v>378</v>
      </c>
      <c r="Y374" s="418">
        <v>81</v>
      </c>
      <c r="Z374" s="418">
        <v>442</v>
      </c>
      <c r="AA374" s="418">
        <v>27</v>
      </c>
      <c r="AB374" s="418">
        <v>3</v>
      </c>
      <c r="AC374" s="418">
        <v>0</v>
      </c>
      <c r="AD374" s="418">
        <v>27</v>
      </c>
      <c r="AE374" s="416">
        <f t="shared" si="53"/>
      </c>
      <c r="AF374" s="356" t="s">
        <v>234</v>
      </c>
      <c r="AG374" s="357" t="s">
        <v>250</v>
      </c>
      <c r="AH374" s="420">
        <v>17</v>
      </c>
    </row>
    <row customHeight="true" ht="18.452380952380953" r="375">
      <c r="A375" s="397"/>
      <c r="B375" s="410" t="s">
        <v>246</v>
      </c>
      <c r="C375" s="425" t="s">
        <v>237</v>
      </c>
      <c r="D375" s="423">
        <v>1351.77</v>
      </c>
      <c r="E375" s="424"/>
      <c r="F375" s="424">
        <v>2</v>
      </c>
      <c r="G375" s="424">
        <v>2</v>
      </c>
      <c r="H375" s="415">
        <v>1713.7999999999993</v>
      </c>
      <c r="I375" s="416">
        <f t="shared" si="209"/>
      </c>
      <c r="J375" s="416">
        <f t="shared" si="269"/>
      </c>
      <c r="K375" s="416">
        <f t="shared" si="329"/>
      </c>
      <c r="L375" s="416"/>
      <c r="M375" s="416">
        <f t="shared" si="23"/>
      </c>
      <c r="N375" s="416">
        <f t="shared" si="89"/>
      </c>
      <c r="O375" s="417">
        <f t="shared" si="119"/>
      </c>
      <c r="P375" s="417">
        <f t="shared" si="149"/>
      </c>
      <c r="Q375" s="417">
        <f t="shared" si="179"/>
      </c>
      <c r="R375" s="417">
        <f t="shared" si="239"/>
      </c>
      <c r="S375" s="418">
        <f t="shared" si="299"/>
      </c>
      <c r="T375" s="419">
        <v>0.0805</v>
      </c>
      <c r="U375" s="420">
        <v>38</v>
      </c>
      <c r="V375" s="416">
        <f t="shared" si="359"/>
      </c>
      <c r="W375" s="418">
        <v>9725</v>
      </c>
      <c r="X375" s="418">
        <v>429</v>
      </c>
      <c r="Y375" s="418">
        <v>69</v>
      </c>
      <c r="Z375" s="418">
        <v>524</v>
      </c>
      <c r="AA375" s="418">
        <v>73</v>
      </c>
      <c r="AB375" s="418">
        <v>3</v>
      </c>
      <c r="AC375" s="418">
        <v>0</v>
      </c>
      <c r="AD375" s="418">
        <v>9</v>
      </c>
      <c r="AE375" s="416">
        <f t="shared" si="53"/>
      </c>
      <c r="AF375" s="356" t="s">
        <v>234</v>
      </c>
      <c r="AG375" s="357" t="s">
        <v>250</v>
      </c>
      <c r="AH375" s="420">
        <v>29</v>
      </c>
    </row>
    <row customHeight="true" ht="18.452380952380953" r="376">
      <c r="A376" s="397"/>
      <c r="B376" s="410" t="s">
        <v>246</v>
      </c>
      <c r="C376" s="425" t="s">
        <v>238</v>
      </c>
      <c r="D376" s="412">
        <v>944</v>
      </c>
      <c r="E376" s="424"/>
      <c r="F376" s="424">
        <v>4</v>
      </c>
      <c r="G376" s="424">
        <v>2</v>
      </c>
      <c r="H376" s="412">
        <v>3183.4000000000015</v>
      </c>
      <c r="I376" s="416">
        <f t="shared" si="209"/>
      </c>
      <c r="J376" s="416">
        <f t="shared" si="269"/>
      </c>
      <c r="K376" s="416">
        <f t="shared" si="329"/>
      </c>
      <c r="L376" s="416"/>
      <c r="M376" s="416">
        <f t="shared" si="23"/>
      </c>
      <c r="N376" s="416">
        <f t="shared" si="89"/>
      </c>
      <c r="O376" s="417">
        <f t="shared" si="119"/>
      </c>
      <c r="P376" s="417">
        <f t="shared" si="149"/>
      </c>
      <c r="Q376" s="417">
        <f t="shared" si="179"/>
      </c>
      <c r="R376" s="417">
        <f t="shared" si="239"/>
      </c>
      <c r="S376" s="418">
        <f t="shared" si="299"/>
      </c>
      <c r="T376" s="419">
        <v>0.0577</v>
      </c>
      <c r="U376" s="420">
        <v>38</v>
      </c>
      <c r="V376" s="416">
        <f t="shared" si="359"/>
      </c>
      <c r="W376" s="418">
        <v>5944</v>
      </c>
      <c r="X376" s="418">
        <v>433</v>
      </c>
      <c r="Y376" s="418">
        <v>46</v>
      </c>
      <c r="Z376" s="418">
        <v>520</v>
      </c>
      <c r="AA376" s="418">
        <v>61</v>
      </c>
      <c r="AB376" s="418">
        <v>4</v>
      </c>
      <c r="AC376" s="418">
        <v>0</v>
      </c>
      <c r="AD376" s="418">
        <v>7</v>
      </c>
      <c r="AE376" s="416">
        <f t="shared" si="53"/>
      </c>
      <c r="AF376" s="356" t="s">
        <v>234</v>
      </c>
      <c r="AG376" s="357" t="s">
        <v>250</v>
      </c>
      <c r="AH376" s="420">
        <v>16</v>
      </c>
    </row>
    <row customHeight="true" ht="18.452380952380953" r="377">
      <c r="A377" s="397"/>
      <c r="B377" s="410" t="s">
        <v>246</v>
      </c>
      <c r="C377" s="425" t="s">
        <v>239</v>
      </c>
      <c r="D377" s="426">
        <v>794.61</v>
      </c>
      <c r="E377" s="414"/>
      <c r="F377" s="414">
        <v>2</v>
      </c>
      <c r="G377" s="414">
        <v>2</v>
      </c>
      <c r="H377" s="412">
        <v>902</v>
      </c>
      <c r="I377" s="416">
        <f t="shared" si="209"/>
      </c>
      <c r="J377" s="416">
        <f t="shared" si="269"/>
      </c>
      <c r="K377" s="416">
        <f t="shared" si="329"/>
      </c>
      <c r="L377" s="416"/>
      <c r="M377" s="416">
        <f t="shared" si="23"/>
      </c>
      <c r="N377" s="416">
        <f t="shared" si="89"/>
      </c>
      <c r="O377" s="417">
        <f t="shared" si="119"/>
      </c>
      <c r="P377" s="417">
        <f t="shared" si="149"/>
      </c>
      <c r="Q377" s="417">
        <f t="shared" si="179"/>
      </c>
      <c r="R377" s="417">
        <f t="shared" si="239"/>
      </c>
      <c r="S377" s="418">
        <f t="shared" si="299"/>
      </c>
      <c r="T377" s="419">
        <v>0.0518</v>
      </c>
      <c r="U377" s="420">
        <v>38</v>
      </c>
      <c r="V377" s="416">
        <f t="shared" si="359"/>
      </c>
      <c r="W377" s="418">
        <v>4134</v>
      </c>
      <c r="X377" s="418">
        <v>400</v>
      </c>
      <c r="Y377" s="418">
        <v>37</v>
      </c>
      <c r="Z377" s="418">
        <v>482</v>
      </c>
      <c r="AA377" s="418">
        <v>43</v>
      </c>
      <c r="AB377" s="418">
        <v>1</v>
      </c>
      <c r="AC377" s="418">
        <v>0</v>
      </c>
      <c r="AD377" s="418">
        <v>4</v>
      </c>
      <c r="AE377" s="416">
        <f t="shared" si="53"/>
      </c>
      <c r="AF377" s="356" t="s">
        <v>234</v>
      </c>
      <c r="AG377" s="357" t="s">
        <v>250</v>
      </c>
      <c r="AH377" s="420">
        <v>13</v>
      </c>
    </row>
    <row customHeight="true" ht="18.452380952380953" r="378">
      <c r="A378" s="397"/>
      <c r="B378" s="427" t="s">
        <v>240</v>
      </c>
      <c r="C378" s="427"/>
      <c r="D378" s="428">
        <f>SUM(D374:D377)</f>
      </c>
      <c r="E378" s="429"/>
      <c r="F378" s="429">
        <f>SUM(F374:F377)</f>
      </c>
      <c r="G378" s="429">
        <f>SUM(G374:G377)</f>
      </c>
      <c r="H378" s="428">
        <f>SUM(H374:H377)</f>
      </c>
      <c r="I378" s="430">
        <f t="shared" si="209"/>
      </c>
      <c r="J378" s="430">
        <f t="shared" si="269"/>
      </c>
      <c r="K378" s="430">
        <f t="shared" si="329"/>
      </c>
      <c r="L378" s="430"/>
      <c r="M378" s="430">
        <f t="shared" si="23"/>
      </c>
      <c r="N378" s="430">
        <f t="shared" si="89"/>
      </c>
      <c r="O378" s="431">
        <f t="shared" si="119"/>
      </c>
      <c r="P378" s="431">
        <f t="shared" si="149"/>
      </c>
      <c r="Q378" s="431">
        <f t="shared" si="179"/>
      </c>
      <c r="R378" s="431">
        <f t="shared" si="239"/>
      </c>
      <c r="S378" s="432">
        <f t="shared" si="299"/>
      </c>
      <c r="T378" s="431">
        <f>AVERAGE(T374:T377)</f>
      </c>
      <c r="U378" s="428">
        <f>AVERAGE(U374:U377)</f>
      </c>
      <c r="V378" s="430">
        <f t="shared" si="359"/>
      </c>
      <c r="W378" s="432">
        <f>SUM(W374:W377)</f>
      </c>
      <c r="X378" s="432">
        <f>SUM(X374:X377)</f>
      </c>
      <c r="Y378" s="432">
        <f>SUM(Y374:Y377)</f>
      </c>
      <c r="Z378" s="432">
        <f>SUM(Z374:Z377)</f>
      </c>
      <c r="AA378" s="432">
        <f>SUM(AA374:AA377)</f>
      </c>
      <c r="AB378" s="432">
        <f>SUM(AB374:AB377)</f>
      </c>
      <c r="AC378" s="432">
        <f>SUM(AC374:AC377)</f>
      </c>
      <c r="AD378" s="432">
        <f>SUM(AD374:AD377)</f>
      </c>
      <c r="AE378" s="433">
        <f t="shared" si="53"/>
      </c>
      <c r="AF378" s="434"/>
      <c r="AG378" s="434"/>
      <c r="AH378" s="435">
        <f>SUM(AH374:AH377)</f>
      </c>
    </row>
    <row r="379">
      <c r="A379" s="397"/>
      <c r="B379" s="369" t="s">
        <v>241</v>
      </c>
      <c r="C379" s="369"/>
      <c r="D379" s="441">
        <f>D363+D368+D373+D378</f>
      </c>
      <c r="E379" s="441"/>
      <c r="F379" s="441">
        <f>F363+F368+F373+F378</f>
      </c>
      <c r="G379" s="441">
        <f>G363+G368+G373+G378</f>
      </c>
      <c r="H379" s="441">
        <f>H363+H368+H373+H378</f>
      </c>
      <c r="I379" s="442">
        <f t="shared" si="209"/>
      </c>
      <c r="J379" s="372">
        <f t="shared" si="269"/>
      </c>
      <c r="K379" s="372">
        <f t="shared" si="329"/>
      </c>
      <c r="L379" s="372"/>
      <c r="M379" s="372">
        <f t="shared" si="23"/>
      </c>
      <c r="N379" s="372">
        <f t="shared" si="89"/>
      </c>
      <c r="O379" s="373">
        <f t="shared" si="119"/>
      </c>
      <c r="P379" s="373">
        <f t="shared" si="149"/>
      </c>
      <c r="Q379" s="373">
        <f t="shared" si="179"/>
      </c>
      <c r="R379" s="373">
        <f t="shared" si="239"/>
      </c>
      <c r="S379" s="374">
        <f t="shared" si="299"/>
      </c>
      <c r="T379" s="373">
        <f>(T363+T373+T368+T378)/4</f>
      </c>
      <c r="U379" s="373">
        <f>(U363+U373+U368+U378)/4</f>
      </c>
      <c r="V379" s="370">
        <f t="shared" si="359"/>
      </c>
      <c r="W379" s="374">
        <f>W363+W368+W373+W378</f>
      </c>
      <c r="X379" s="374">
        <f>X363+X368+X373+X378</f>
      </c>
      <c r="Y379" s="374">
        <f>Y363+Y368+Y373+Y378</f>
      </c>
      <c r="Z379" s="374">
        <f>Z363+Z368+Z373+Z378</f>
      </c>
      <c r="AA379" s="374">
        <f>AA363+AA368+AA373+AA378</f>
      </c>
      <c r="AB379" s="374">
        <f>AB363+AB368+AB373+AB378</f>
      </c>
      <c r="AC379" s="374">
        <f>AC363+AC368+AC373+AC378</f>
      </c>
      <c r="AD379" s="374">
        <f>AD363+AD368+AD373+AD378</f>
      </c>
      <c r="AE379" s="372">
        <f>AE363</f>
      </c>
      <c r="AF379" s="369"/>
      <c r="AG379" s="369"/>
      <c r="AH379" s="374">
        <f>AH363+AH368+AH373+AH378</f>
      </c>
    </row>
    <row r="380">
      <c r="A380" s="380" t="s">
        <v>197</v>
      </c>
      <c r="B380" s="396" t="s">
        <v>198</v>
      </c>
      <c r="C380" s="396"/>
      <c r="D380" s="381" t="s">
        <v>199</v>
      </c>
      <c r="E380" s="381"/>
      <c r="F380" s="381"/>
      <c r="G380" s="381"/>
      <c r="H380" s="381"/>
      <c r="I380" s="381"/>
      <c r="J380" s="381"/>
      <c r="K380" s="381"/>
      <c r="L380" s="381"/>
      <c r="M380" s="381"/>
      <c r="N380" s="382" t="s">
        <v>200</v>
      </c>
      <c r="O380" s="382"/>
      <c r="P380" s="382"/>
      <c r="Q380" s="382"/>
      <c r="R380" s="382"/>
      <c r="S380" s="382"/>
      <c r="T380" s="382"/>
      <c r="U380" s="382"/>
      <c r="V380" s="382"/>
      <c r="W380" s="382"/>
      <c r="X380" s="382"/>
      <c r="Y380" s="382"/>
      <c r="Z380" s="382"/>
      <c r="AA380" s="382"/>
      <c r="AB380" s="382"/>
      <c r="AC380" s="382"/>
      <c r="AD380" s="382"/>
      <c r="AE380" s="382"/>
      <c r="AF380" s="382"/>
      <c r="AG380" s="382"/>
      <c r="AH380" s="340"/>
    </row>
    <row r="381">
      <c r="A381" s="380"/>
      <c r="B381" s="396" t="s">
        <v>201</v>
      </c>
      <c r="C381" s="398" t="s">
        <v>202</v>
      </c>
      <c r="D381" s="399" t="s">
        <v>203</v>
      </c>
      <c r="E381" s="477" t="s">
        <v>266</v>
      </c>
      <c r="F381" s="391" t="s">
        <v>204</v>
      </c>
      <c r="G381" s="391" t="s">
        <v>205</v>
      </c>
      <c r="H381" s="399" t="s">
        <v>206</v>
      </c>
      <c r="I381" s="384" t="s">
        <v>207</v>
      </c>
      <c r="J381" s="384" t="s">
        <v>208</v>
      </c>
      <c r="K381" s="384" t="s">
        <v>209</v>
      </c>
      <c r="L381" s="478" t="s">
        <v>267</v>
      </c>
      <c r="M381" s="384" t="s">
        <v>210</v>
      </c>
      <c r="N381" s="385" t="s">
        <v>211</v>
      </c>
      <c r="O381" s="386" t="s">
        <v>212</v>
      </c>
      <c r="P381" s="386" t="s">
        <v>213</v>
      </c>
      <c r="Q381" s="386" t="s">
        <v>214</v>
      </c>
      <c r="R381" s="386" t="s">
        <v>215</v>
      </c>
      <c r="S381" s="387" t="s">
        <v>216</v>
      </c>
      <c r="T381" s="392" t="s">
        <v>217</v>
      </c>
      <c r="U381" s="393" t="s">
        <v>218</v>
      </c>
      <c r="V381" s="382" t="s">
        <v>219</v>
      </c>
      <c r="W381" s="394" t="s">
        <v>220</v>
      </c>
      <c r="X381" s="394" t="s">
        <v>221</v>
      </c>
      <c r="Y381" s="394" t="s">
        <v>222</v>
      </c>
      <c r="Z381" s="394" t="s">
        <v>223</v>
      </c>
      <c r="AA381" s="394" t="s">
        <v>224</v>
      </c>
      <c r="AB381" s="394" t="s">
        <v>225</v>
      </c>
      <c r="AC381" s="394" t="s">
        <v>226</v>
      </c>
      <c r="AD381" s="394" t="s">
        <v>227</v>
      </c>
      <c r="AE381" s="382" t="s">
        <v>228</v>
      </c>
      <c r="AF381" s="389" t="s">
        <v>229</v>
      </c>
      <c r="AG381" s="389" t="s">
        <v>230</v>
      </c>
      <c r="AH381" s="340" t="s">
        <v>231</v>
      </c>
    </row>
    <row r="382">
      <c r="A382" s="397">
        <v>46168</v>
      </c>
      <c r="B382" s="411" t="s">
        <v>232</v>
      </c>
      <c r="C382" s="400" t="s">
        <v>264</v>
      </c>
      <c r="D382" s="349">
        <v>1486.71</v>
      </c>
      <c r="E382" s="350">
        <v>1</v>
      </c>
      <c r="F382" s="350">
        <v>1</v>
      </c>
      <c r="G382" s="350">
        <v>0</v>
      </c>
      <c r="H382" s="349">
        <v>451</v>
      </c>
      <c r="I382" s="436">
        <f t="shared" ref="I382:I403" si="210">H382/D382</f>
      </c>
      <c r="J382" s="351">
        <f t="shared" ref="J382:J403" si="270">D382/F382</f>
      </c>
      <c r="K382" s="351">
        <f t="shared" ref="K382:K403" si="330">D382/G382</f>
      </c>
      <c r="L382" s="352">
        <f t="shared" ref="L382:L403" si="60">F382/E382</f>
      </c>
      <c r="M382" s="351">
        <f t="shared" ref="M382:M403" si="24">H382/F382</f>
      </c>
      <c r="N382" s="351">
        <f t="shared" ref="N382:N403" si="90">D382/X382</f>
      </c>
      <c r="O382" s="352">
        <f t="shared" ref="O382:O403" si="120">S382/W382*1</f>
      </c>
      <c r="P382" s="352">
        <f t="shared" ref="P382:P403" si="150">X382/W382</f>
      </c>
      <c r="Q382" s="352">
        <f t="shared" ref="Q382:Q403" si="180">Z382/W382</f>
      </c>
      <c r="R382" s="352">
        <f t="shared" ref="R382:R403" si="240">AA382/Z382</f>
      </c>
      <c r="S382" s="353">
        <f t="shared" ref="S382:S403" si="300">Y382/T382</f>
      </c>
      <c r="T382" s="354">
        <v>0.0262</v>
      </c>
      <c r="U382" s="355">
        <v>25</v>
      </c>
      <c r="V382" s="351">
        <f t="shared" ref="V382:V403" si="360">(D382/W382)*1000</f>
      </c>
      <c r="W382" s="355">
        <v>7429</v>
      </c>
      <c r="X382" s="355">
        <v>355</v>
      </c>
      <c r="Y382" s="353">
        <v>44</v>
      </c>
      <c r="Z382" s="353">
        <v>481</v>
      </c>
      <c r="AA382" s="353">
        <v>9</v>
      </c>
      <c r="AB382" s="353">
        <v>1</v>
      </c>
      <c r="AC382" s="353">
        <v>3</v>
      </c>
      <c r="AD382" s="355">
        <v>6</v>
      </c>
      <c r="AE382" s="351">
        <f t="shared" ref="AE382:AE402" si="54">AH382*1000/D382</f>
      </c>
      <c r="AF382" s="356" t="s">
        <v>253</v>
      </c>
      <c r="AG382" s="451" t="s">
        <v>254</v>
      </c>
      <c r="AH382" s="355">
        <v>8</v>
      </c>
    </row>
    <row r="383">
      <c r="A383" s="397"/>
      <c r="B383" s="411" t="s">
        <v>232</v>
      </c>
      <c r="C383" s="400" t="s">
        <v>252</v>
      </c>
      <c r="D383" s="349">
        <v>797.17</v>
      </c>
      <c r="E383" s="350">
        <v>5</v>
      </c>
      <c r="F383" s="350">
        <v>3</v>
      </c>
      <c r="G383" s="350">
        <v>4</v>
      </c>
      <c r="H383" s="349">
        <v>2886.3999999999996</v>
      </c>
      <c r="I383" s="436">
        <f t="shared" si="210"/>
      </c>
      <c r="J383" s="351">
        <f t="shared" si="270"/>
      </c>
      <c r="K383" s="351">
        <f t="shared" si="330"/>
      </c>
      <c r="L383" s="352">
        <f t="shared" si="60"/>
      </c>
      <c r="M383" s="351">
        <f t="shared" si="24"/>
      </c>
      <c r="N383" s="351">
        <f t="shared" si="90"/>
      </c>
      <c r="O383" s="352">
        <f t="shared" si="120"/>
      </c>
      <c r="P383" s="352">
        <f t="shared" si="150"/>
      </c>
      <c r="Q383" s="352">
        <f t="shared" si="180"/>
      </c>
      <c r="R383" s="352">
        <f t="shared" si="240"/>
      </c>
      <c r="S383" s="353">
        <f t="shared" si="300"/>
      </c>
      <c r="T383" s="354">
        <v>0.0472</v>
      </c>
      <c r="U383" s="355">
        <v>37</v>
      </c>
      <c r="V383" s="351">
        <f t="shared" si="360"/>
      </c>
      <c r="W383" s="355">
        <v>4603</v>
      </c>
      <c r="X383" s="355">
        <v>295</v>
      </c>
      <c r="Y383" s="353">
        <v>34</v>
      </c>
      <c r="Z383" s="353">
        <v>417</v>
      </c>
      <c r="AA383" s="355">
        <v>27</v>
      </c>
      <c r="AB383" s="353">
        <v>5</v>
      </c>
      <c r="AC383" s="355">
        <v>1</v>
      </c>
      <c r="AD383" s="355">
        <v>2</v>
      </c>
      <c r="AE383" s="351">
        <f t="shared" si="54"/>
      </c>
      <c r="AF383" s="356" t="s">
        <v>253</v>
      </c>
      <c r="AG383" s="451" t="s">
        <v>254</v>
      </c>
      <c r="AH383" s="355">
        <v>15</v>
      </c>
    </row>
    <row r="384">
      <c r="A384" s="397"/>
      <c r="B384" s="411" t="s">
        <v>232</v>
      </c>
      <c r="C384" s="437" t="s">
        <v>255</v>
      </c>
      <c r="D384" s="349">
        <v>1010.48</v>
      </c>
      <c r="E384" s="350">
        <v>3</v>
      </c>
      <c r="F384" s="350">
        <v>2</v>
      </c>
      <c r="G384" s="350">
        <v>2</v>
      </c>
      <c r="H384" s="349">
        <v>1307.8999999999996</v>
      </c>
      <c r="I384" s="436">
        <f t="shared" si="210"/>
      </c>
      <c r="J384" s="351">
        <f t="shared" si="270"/>
      </c>
      <c r="K384" s="351">
        <f t="shared" si="330"/>
      </c>
      <c r="L384" s="352">
        <f t="shared" si="60"/>
      </c>
      <c r="M384" s="351">
        <f t="shared" si="24"/>
      </c>
      <c r="N384" s="351">
        <f t="shared" si="90"/>
      </c>
      <c r="O384" s="352">
        <f t="shared" si="120"/>
      </c>
      <c r="P384" s="352">
        <f t="shared" si="150"/>
      </c>
      <c r="Q384" s="352">
        <f t="shared" si="180"/>
      </c>
      <c r="R384" s="352">
        <f t="shared" si="240"/>
      </c>
      <c r="S384" s="353">
        <f t="shared" si="300"/>
      </c>
      <c r="T384" s="354">
        <v>0.0535</v>
      </c>
      <c r="U384" s="355">
        <v>35</v>
      </c>
      <c r="V384" s="351">
        <f t="shared" si="360"/>
      </c>
      <c r="W384" s="355">
        <v>5228</v>
      </c>
      <c r="X384" s="355">
        <v>312</v>
      </c>
      <c r="Y384" s="353">
        <v>35</v>
      </c>
      <c r="Z384" s="353">
        <v>418</v>
      </c>
      <c r="AA384" s="355">
        <v>21</v>
      </c>
      <c r="AB384" s="353">
        <v>6</v>
      </c>
      <c r="AC384" s="355">
        <v>1</v>
      </c>
      <c r="AD384" s="355">
        <v>5</v>
      </c>
      <c r="AE384" s="351">
        <f t="shared" si="54"/>
      </c>
      <c r="AF384" s="356" t="s">
        <v>253</v>
      </c>
      <c r="AG384" s="451" t="s">
        <v>254</v>
      </c>
      <c r="AH384" s="355">
        <v>9</v>
      </c>
    </row>
    <row r="385">
      <c r="A385" s="397"/>
      <c r="B385" s="411" t="s">
        <v>232</v>
      </c>
      <c r="C385" s="400" t="s">
        <v>256</v>
      </c>
      <c r="D385" s="349">
        <v>1688.23</v>
      </c>
      <c r="E385" s="350">
        <v>3</v>
      </c>
      <c r="F385" s="350">
        <v>2</v>
      </c>
      <c r="G385" s="350">
        <v>2</v>
      </c>
      <c r="H385" s="349">
        <v>902</v>
      </c>
      <c r="I385" s="436">
        <f t="shared" si="210"/>
      </c>
      <c r="J385" s="351">
        <f t="shared" si="270"/>
      </c>
      <c r="K385" s="351">
        <f t="shared" si="330"/>
      </c>
      <c r="L385" s="352">
        <f t="shared" si="60"/>
      </c>
      <c r="M385" s="351">
        <f t="shared" si="24"/>
      </c>
      <c r="N385" s="351">
        <f t="shared" si="90"/>
      </c>
      <c r="O385" s="352">
        <f t="shared" si="120"/>
      </c>
      <c r="P385" s="352">
        <f t="shared" si="150"/>
      </c>
      <c r="Q385" s="352">
        <f t="shared" si="180"/>
      </c>
      <c r="R385" s="352">
        <f t="shared" si="240"/>
      </c>
      <c r="S385" s="353">
        <f t="shared" si="300"/>
      </c>
      <c r="T385" s="354">
        <v>0.0726</v>
      </c>
      <c r="U385" s="355">
        <v>36</v>
      </c>
      <c r="V385" s="351">
        <f t="shared" si="360"/>
      </c>
      <c r="W385" s="355">
        <v>10008</v>
      </c>
      <c r="X385" s="355">
        <v>447</v>
      </c>
      <c r="Y385" s="355">
        <v>58</v>
      </c>
      <c r="Z385" s="355">
        <v>588</v>
      </c>
      <c r="AA385" s="355">
        <v>41</v>
      </c>
      <c r="AB385" s="355">
        <v>4</v>
      </c>
      <c r="AC385" s="355">
        <v>2</v>
      </c>
      <c r="AD385" s="355">
        <v>5</v>
      </c>
      <c r="AE385" s="351">
        <f t="shared" si="54"/>
      </c>
      <c r="AF385" s="356" t="s">
        <v>253</v>
      </c>
      <c r="AG385" s="451" t="s">
        <v>254</v>
      </c>
      <c r="AH385" s="355">
        <v>14</v>
      </c>
    </row>
    <row r="386">
      <c r="A386" s="397"/>
      <c r="B386" s="411" t="s">
        <v>232</v>
      </c>
      <c r="C386" s="348" t="s">
        <v>257</v>
      </c>
      <c r="D386" s="438">
        <v>1589.13</v>
      </c>
      <c r="E386" s="379">
        <v>3</v>
      </c>
      <c r="F386" s="379">
        <v>3</v>
      </c>
      <c r="G386" s="379">
        <v>2</v>
      </c>
      <c r="H386" s="438">
        <v>4066.7000000000007</v>
      </c>
      <c r="I386" s="351">
        <f t="shared" si="210"/>
      </c>
      <c r="J386" s="351">
        <f t="shared" si="270"/>
      </c>
      <c r="K386" s="351">
        <f t="shared" si="330"/>
      </c>
      <c r="L386" s="352">
        <f t="shared" si="60"/>
      </c>
      <c r="M386" s="351">
        <f t="shared" si="24"/>
      </c>
      <c r="N386" s="351">
        <f t="shared" si="90"/>
      </c>
      <c r="O386" s="352">
        <f t="shared" si="120"/>
      </c>
      <c r="P386" s="352">
        <f t="shared" si="150"/>
      </c>
      <c r="Q386" s="352">
        <f t="shared" si="180"/>
      </c>
      <c r="R386" s="352">
        <f t="shared" si="240"/>
      </c>
      <c r="S386" s="353">
        <f t="shared" si="300"/>
      </c>
      <c r="T386" s="354">
        <v>0.0583</v>
      </c>
      <c r="U386" s="355">
        <v>38</v>
      </c>
      <c r="V386" s="351">
        <f t="shared" si="360"/>
      </c>
      <c r="W386" s="353">
        <v>9507</v>
      </c>
      <c r="X386" s="353">
        <v>430</v>
      </c>
      <c r="Y386" s="353">
        <v>43</v>
      </c>
      <c r="Z386" s="353">
        <v>570</v>
      </c>
      <c r="AA386" s="353">
        <v>36</v>
      </c>
      <c r="AB386" s="353">
        <v>2</v>
      </c>
      <c r="AC386" s="353">
        <v>0</v>
      </c>
      <c r="AD386" s="353">
        <v>16</v>
      </c>
      <c r="AE386" s="351">
        <f t="shared" si="54"/>
      </c>
      <c r="AF386" s="356" t="s">
        <v>253</v>
      </c>
      <c r="AG386" s="451" t="s">
        <v>254</v>
      </c>
      <c r="AH386" s="355">
        <v>14</v>
      </c>
    </row>
    <row r="387">
      <c r="A387" s="397"/>
      <c r="B387" s="360" t="s">
        <v>240</v>
      </c>
      <c r="C387" s="360"/>
      <c r="D387" s="361">
        <f>SUM(D382:D386)</f>
      </c>
      <c r="E387" s="365">
        <f>SUM(E382:E386)</f>
      </c>
      <c r="F387" s="365">
        <f>SUM(F382:F386)</f>
      </c>
      <c r="G387" s="365">
        <f>SUM(G382:G386)</f>
      </c>
      <c r="H387" s="361">
        <f>SUM(H382:H386)</f>
      </c>
      <c r="I387" s="363">
        <f t="shared" si="210"/>
      </c>
      <c r="J387" s="363">
        <f t="shared" si="270"/>
      </c>
      <c r="K387" s="363">
        <f t="shared" si="330"/>
      </c>
      <c r="L387" s="364">
        <f t="shared" si="60"/>
      </c>
      <c r="M387" s="363">
        <f t="shared" si="24"/>
      </c>
      <c r="N387" s="363">
        <f t="shared" si="90"/>
      </c>
      <c r="O387" s="364">
        <f t="shared" si="120"/>
      </c>
      <c r="P387" s="364">
        <f t="shared" si="150"/>
      </c>
      <c r="Q387" s="364">
        <f t="shared" si="180"/>
      </c>
      <c r="R387" s="364">
        <f t="shared" si="240"/>
      </c>
      <c r="S387" s="365">
        <f t="shared" si="300"/>
      </c>
      <c r="T387" s="364">
        <f>AVERAGE(T382:T386)</f>
      </c>
      <c r="U387" s="361">
        <f>AVERAGE(U382:U386)</f>
      </c>
      <c r="V387" s="363">
        <f t="shared" si="360"/>
      </c>
      <c r="W387" s="365">
        <f>SUM(W382:W386)</f>
      </c>
      <c r="X387" s="365">
        <f>SUM(X382:X386)</f>
      </c>
      <c r="Y387" s="365">
        <f>SUM(Y382:Y386)</f>
      </c>
      <c r="Z387" s="365">
        <f>SUM(Z382:Z386)</f>
      </c>
      <c r="AA387" s="365">
        <f>SUM(AA382:AA386)</f>
      </c>
      <c r="AB387" s="365">
        <f>SUM(AB382:AB386)</f>
      </c>
      <c r="AC387" s="365">
        <f>SUM(AC382:AC386)</f>
      </c>
      <c r="AD387" s="365">
        <f>SUM(AD382:AD386)</f>
      </c>
      <c r="AE387" s="366">
        <f t="shared" si="54"/>
      </c>
      <c r="AF387" s="367"/>
      <c r="AG387" s="367"/>
      <c r="AH387" s="368">
        <f>SUM(AH382:AH386)</f>
      </c>
    </row>
    <row r="388">
      <c r="A388" s="397"/>
      <c r="B388" s="425" t="s">
        <v>265</v>
      </c>
      <c r="C388" s="411" t="s">
        <v>258</v>
      </c>
      <c r="D388" s="426">
        <v>1972.5</v>
      </c>
      <c r="E388" s="413">
        <v>9</v>
      </c>
      <c r="F388" s="413">
        <v>6</v>
      </c>
      <c r="G388" s="414">
        <v>3</v>
      </c>
      <c r="H388" s="475">
        <v>5353.700000000001</v>
      </c>
      <c r="I388" s="416">
        <f t="shared" si="210"/>
      </c>
      <c r="J388" s="416">
        <f t="shared" si="270"/>
      </c>
      <c r="K388" s="416">
        <f t="shared" si="330"/>
      </c>
      <c r="L388" s="417">
        <f t="shared" si="60"/>
      </c>
      <c r="M388" s="416">
        <f t="shared" si="24"/>
      </c>
      <c r="N388" s="416">
        <f t="shared" si="90"/>
      </c>
      <c r="O388" s="417">
        <f t="shared" si="120"/>
      </c>
      <c r="P388" s="417">
        <f t="shared" si="150"/>
      </c>
      <c r="Q388" s="417">
        <f t="shared" si="180"/>
      </c>
      <c r="R388" s="417">
        <f t="shared" si="240"/>
      </c>
      <c r="S388" s="418">
        <f t="shared" si="300"/>
      </c>
      <c r="T388" s="419">
        <v>0.0796</v>
      </c>
      <c r="U388" s="420">
        <v>39</v>
      </c>
      <c r="V388" s="416">
        <f t="shared" si="360"/>
      </c>
      <c r="W388" s="418">
        <v>12979</v>
      </c>
      <c r="X388" s="418">
        <v>463</v>
      </c>
      <c r="Y388" s="418">
        <v>62</v>
      </c>
      <c r="Z388" s="418">
        <v>636</v>
      </c>
      <c r="AA388" s="418">
        <v>58</v>
      </c>
      <c r="AB388" s="418">
        <v>3</v>
      </c>
      <c r="AC388" s="418">
        <v>2</v>
      </c>
      <c r="AD388" s="418">
        <v>18</v>
      </c>
      <c r="AE388" s="416">
        <f t="shared" si="54"/>
      </c>
      <c r="AF388" s="356" t="s">
        <v>253</v>
      </c>
      <c r="AG388" s="451" t="s">
        <v>254</v>
      </c>
      <c r="AH388" s="420">
        <v>20</v>
      </c>
    </row>
    <row r="389">
      <c r="A389" s="397"/>
      <c r="B389" s="425" t="s">
        <v>265</v>
      </c>
      <c r="C389" s="422" t="s">
        <v>260</v>
      </c>
      <c r="D389" s="439">
        <v>2027.14</v>
      </c>
      <c r="E389" s="424">
        <v>3</v>
      </c>
      <c r="F389" s="424">
        <v>3</v>
      </c>
      <c r="G389" s="424">
        <v>3</v>
      </c>
      <c r="H389" s="475">
        <v>1758.8999999999978</v>
      </c>
      <c r="I389" s="416">
        <f t="shared" si="210"/>
      </c>
      <c r="J389" s="416">
        <f t="shared" si="270"/>
      </c>
      <c r="K389" s="416">
        <f t="shared" si="330"/>
      </c>
      <c r="L389" s="417">
        <f t="shared" si="60"/>
      </c>
      <c r="M389" s="416">
        <f t="shared" si="24"/>
      </c>
      <c r="N389" s="416">
        <f t="shared" si="90"/>
      </c>
      <c r="O389" s="417">
        <f t="shared" si="120"/>
      </c>
      <c r="P389" s="417">
        <f t="shared" si="150"/>
      </c>
      <c r="Q389" s="417">
        <f t="shared" si="180"/>
      </c>
      <c r="R389" s="417">
        <f t="shared" si="240"/>
      </c>
      <c r="S389" s="418">
        <f t="shared" si="300"/>
      </c>
      <c r="T389" s="419">
        <v>0.0682</v>
      </c>
      <c r="U389" s="420">
        <v>43</v>
      </c>
      <c r="V389" s="416">
        <f t="shared" si="360"/>
      </c>
      <c r="W389" s="418">
        <v>13110</v>
      </c>
      <c r="X389" s="418">
        <v>516</v>
      </c>
      <c r="Y389" s="418">
        <v>53</v>
      </c>
      <c r="Z389" s="418">
        <v>745</v>
      </c>
      <c r="AA389" s="418">
        <v>70</v>
      </c>
      <c r="AB389" s="418">
        <v>6</v>
      </c>
      <c r="AC389" s="418">
        <v>0</v>
      </c>
      <c r="AD389" s="418">
        <v>6</v>
      </c>
      <c r="AE389" s="416">
        <f t="shared" si="54"/>
      </c>
      <c r="AF389" s="356" t="s">
        <v>253</v>
      </c>
      <c r="AG389" s="451" t="s">
        <v>254</v>
      </c>
      <c r="AH389" s="420">
        <v>21</v>
      </c>
    </row>
    <row r="390">
      <c r="A390" s="397"/>
      <c r="B390" s="425" t="s">
        <v>265</v>
      </c>
      <c r="C390" s="411" t="s">
        <v>261</v>
      </c>
      <c r="D390" s="426">
        <v>2338.71</v>
      </c>
      <c r="E390" s="424">
        <v>6</v>
      </c>
      <c r="F390" s="424">
        <v>5</v>
      </c>
      <c r="G390" s="424">
        <v>4</v>
      </c>
      <c r="H390" s="426">
        <v>3577.2000000000044</v>
      </c>
      <c r="I390" s="416">
        <f t="shared" si="210"/>
      </c>
      <c r="J390" s="416">
        <f t="shared" si="270"/>
      </c>
      <c r="K390" s="416">
        <f t="shared" si="330"/>
      </c>
      <c r="L390" s="417">
        <f t="shared" si="60"/>
      </c>
      <c r="M390" s="416">
        <f t="shared" si="24"/>
      </c>
      <c r="N390" s="416">
        <f t="shared" si="90"/>
      </c>
      <c r="O390" s="417">
        <f t="shared" si="120"/>
      </c>
      <c r="P390" s="417">
        <f t="shared" si="150"/>
      </c>
      <c r="Q390" s="417">
        <f t="shared" si="180"/>
      </c>
      <c r="R390" s="417">
        <f t="shared" si="240"/>
      </c>
      <c r="S390" s="418">
        <f t="shared" si="300"/>
      </c>
      <c r="T390" s="419">
        <v>0.0784</v>
      </c>
      <c r="U390" s="420">
        <v>44</v>
      </c>
      <c r="V390" s="416">
        <f t="shared" si="360"/>
      </c>
      <c r="W390" s="418">
        <v>14723</v>
      </c>
      <c r="X390" s="418">
        <v>537</v>
      </c>
      <c r="Y390" s="418">
        <v>66</v>
      </c>
      <c r="Z390" s="418">
        <v>763</v>
      </c>
      <c r="AA390" s="418">
        <v>65</v>
      </c>
      <c r="AB390" s="418">
        <v>4</v>
      </c>
      <c r="AC390" s="418">
        <v>3</v>
      </c>
      <c r="AD390" s="418">
        <v>13</v>
      </c>
      <c r="AE390" s="416">
        <f t="shared" si="54"/>
      </c>
      <c r="AF390" s="356" t="s">
        <v>253</v>
      </c>
      <c r="AG390" s="451" t="s">
        <v>254</v>
      </c>
      <c r="AH390" s="420">
        <v>29</v>
      </c>
    </row>
    <row r="391">
      <c r="A391" s="397"/>
      <c r="B391" s="425" t="s">
        <v>265</v>
      </c>
      <c r="C391" s="425" t="s">
        <v>262</v>
      </c>
      <c r="D391" s="426">
        <v>2130.64</v>
      </c>
      <c r="E391" s="414">
        <v>7</v>
      </c>
      <c r="F391" s="414">
        <v>6</v>
      </c>
      <c r="G391" s="414">
        <v>6</v>
      </c>
      <c r="H391" s="426">
        <v>2706</v>
      </c>
      <c r="I391" s="416">
        <f t="shared" si="210"/>
      </c>
      <c r="J391" s="416">
        <f t="shared" si="270"/>
      </c>
      <c r="K391" s="416">
        <f t="shared" si="330"/>
      </c>
      <c r="L391" s="417">
        <f t="shared" si="60"/>
      </c>
      <c r="M391" s="416">
        <f t="shared" si="24"/>
      </c>
      <c r="N391" s="416">
        <f t="shared" si="90"/>
      </c>
      <c r="O391" s="417">
        <f t="shared" si="120"/>
      </c>
      <c r="P391" s="417">
        <f t="shared" si="150"/>
      </c>
      <c r="Q391" s="417">
        <f t="shared" si="180"/>
      </c>
      <c r="R391" s="417">
        <f t="shared" si="240"/>
      </c>
      <c r="S391" s="418">
        <f t="shared" si="300"/>
      </c>
      <c r="T391" s="419">
        <v>0.0927</v>
      </c>
      <c r="U391" s="420">
        <v>45</v>
      </c>
      <c r="V391" s="416">
        <f t="shared" si="360"/>
      </c>
      <c r="W391" s="418">
        <v>13334</v>
      </c>
      <c r="X391" s="418">
        <v>419</v>
      </c>
      <c r="Y391" s="418">
        <v>61</v>
      </c>
      <c r="Z391" s="418">
        <v>645</v>
      </c>
      <c r="AA391" s="418">
        <v>78</v>
      </c>
      <c r="AB391" s="418">
        <v>7</v>
      </c>
      <c r="AC391" s="418">
        <v>0</v>
      </c>
      <c r="AD391" s="418">
        <v>19</v>
      </c>
      <c r="AE391" s="416">
        <f t="shared" si="54"/>
      </c>
      <c r="AF391" s="356" t="s">
        <v>253</v>
      </c>
      <c r="AG391" s="451" t="s">
        <v>254</v>
      </c>
      <c r="AH391" s="420">
        <v>20</v>
      </c>
    </row>
    <row r="392">
      <c r="A392" s="397"/>
      <c r="B392" s="427" t="s">
        <v>240</v>
      </c>
      <c r="C392" s="427"/>
      <c r="D392" s="428">
        <f>SUM(D388:D391)</f>
      </c>
      <c r="E392" s="429">
        <f>SUM(E388:E391)</f>
      </c>
      <c r="F392" s="429">
        <f>SUM(F388:F391)</f>
      </c>
      <c r="G392" s="429">
        <f>SUM(G388:G391)</f>
      </c>
      <c r="H392" s="428">
        <f>SUM(H388:H391)</f>
      </c>
      <c r="I392" s="430">
        <f t="shared" si="210"/>
      </c>
      <c r="J392" s="430">
        <f t="shared" si="270"/>
      </c>
      <c r="K392" s="430">
        <f t="shared" si="330"/>
      </c>
      <c r="L392" s="431">
        <f t="shared" si="60"/>
      </c>
      <c r="M392" s="430">
        <f t="shared" si="24"/>
      </c>
      <c r="N392" s="430">
        <f t="shared" si="90"/>
      </c>
      <c r="O392" s="431">
        <f t="shared" si="120"/>
      </c>
      <c r="P392" s="431">
        <f t="shared" si="150"/>
      </c>
      <c r="Q392" s="431">
        <f t="shared" si="180"/>
      </c>
      <c r="R392" s="431">
        <f t="shared" si="240"/>
      </c>
      <c r="S392" s="432">
        <f t="shared" si="300"/>
      </c>
      <c r="T392" s="431">
        <f>AVERAGE(T388:T391)</f>
      </c>
      <c r="U392" s="428">
        <f>AVERAGE(U388:U391)</f>
      </c>
      <c r="V392" s="430">
        <f t="shared" si="360"/>
      </c>
      <c r="W392" s="432">
        <f>SUM(W388:W391)</f>
      </c>
      <c r="X392" s="432">
        <f>SUM(X388:X391)</f>
      </c>
      <c r="Y392" s="432">
        <f>SUM(Y388:Y391)</f>
      </c>
      <c r="Z392" s="432">
        <f>SUM(Z388:Z391)</f>
      </c>
      <c r="AA392" s="432">
        <f>SUM(AA388:AA391)</f>
      </c>
      <c r="AB392" s="432">
        <f>SUM(AB388:AB391)</f>
      </c>
      <c r="AC392" s="432">
        <f>SUM(AC388:AC391)</f>
      </c>
      <c r="AD392" s="432">
        <f>SUM(AD388:AD391)</f>
      </c>
      <c r="AE392" s="433">
        <f t="shared" si="54"/>
      </c>
      <c r="AF392" s="434"/>
      <c r="AG392" s="434"/>
      <c r="AH392" s="435">
        <f>SUM(AH388:AH391)</f>
      </c>
    </row>
    <row r="393">
      <c r="A393" s="397"/>
      <c r="B393" s="375" t="s">
        <v>246</v>
      </c>
      <c r="C393" s="411" t="s">
        <v>243</v>
      </c>
      <c r="D393" s="349">
        <v>2873.19</v>
      </c>
      <c r="E393" s="350">
        <v>9</v>
      </c>
      <c r="F393" s="350">
        <v>8</v>
      </c>
      <c r="G393" s="350">
        <v>5</v>
      </c>
      <c r="H393" s="350">
        <v>5134.799999999996</v>
      </c>
      <c r="I393" s="351">
        <f t="shared" si="210"/>
      </c>
      <c r="J393" s="351">
        <f t="shared" si="270"/>
      </c>
      <c r="K393" s="351">
        <f t="shared" si="330"/>
      </c>
      <c r="L393" s="352">
        <f t="shared" si="60"/>
      </c>
      <c r="M393" s="351">
        <f t="shared" si="24"/>
      </c>
      <c r="N393" s="351">
        <f t="shared" si="90"/>
      </c>
      <c r="O393" s="352">
        <f t="shared" si="120"/>
      </c>
      <c r="P393" s="352">
        <f t="shared" si="150"/>
      </c>
      <c r="Q393" s="352">
        <f t="shared" si="180"/>
      </c>
      <c r="R393" s="352">
        <f t="shared" si="240"/>
      </c>
      <c r="S393" s="353">
        <f t="shared" si="300"/>
      </c>
      <c r="T393" s="354">
        <v>0.1043</v>
      </c>
      <c r="U393" s="355">
        <v>46</v>
      </c>
      <c r="V393" s="351">
        <f t="shared" si="360"/>
      </c>
      <c r="W393" s="355">
        <v>17858</v>
      </c>
      <c r="X393" s="355">
        <v>445</v>
      </c>
      <c r="Y393" s="353">
        <v>82</v>
      </c>
      <c r="Z393" s="353">
        <v>637</v>
      </c>
      <c r="AA393" s="353">
        <v>69</v>
      </c>
      <c r="AB393" s="353">
        <v>9</v>
      </c>
      <c r="AC393" s="355">
        <v>2</v>
      </c>
      <c r="AD393" s="355">
        <v>14</v>
      </c>
      <c r="AE393" s="351">
        <f t="shared" si="54"/>
      </c>
      <c r="AF393" s="356" t="s">
        <v>234</v>
      </c>
      <c r="AG393" s="451" t="s">
        <v>254</v>
      </c>
      <c r="AH393" s="355">
        <v>24</v>
      </c>
    </row>
    <row r="394">
      <c r="A394" s="397"/>
      <c r="B394" s="375" t="s">
        <v>246</v>
      </c>
      <c r="C394" s="422" t="s">
        <v>244</v>
      </c>
      <c r="D394" s="349">
        <v>2335.33</v>
      </c>
      <c r="E394" s="350">
        <v>2</v>
      </c>
      <c r="F394" s="350">
        <v>1</v>
      </c>
      <c r="G394" s="350">
        <v>1</v>
      </c>
      <c r="H394" s="349">
        <v>781</v>
      </c>
      <c r="I394" s="351">
        <f t="shared" si="210"/>
      </c>
      <c r="J394" s="351">
        <f t="shared" si="270"/>
      </c>
      <c r="K394" s="351">
        <f t="shared" si="330"/>
      </c>
      <c r="L394" s="352">
        <f t="shared" si="60"/>
      </c>
      <c r="M394" s="351">
        <f t="shared" si="24"/>
      </c>
      <c r="N394" s="351">
        <f t="shared" si="90"/>
      </c>
      <c r="O394" s="352">
        <f t="shared" si="120"/>
      </c>
      <c r="P394" s="352">
        <f t="shared" si="150"/>
      </c>
      <c r="Q394" s="352">
        <f t="shared" si="180"/>
      </c>
      <c r="R394" s="352">
        <f t="shared" si="240"/>
      </c>
      <c r="S394" s="353">
        <f t="shared" si="300"/>
      </c>
      <c r="T394" s="354">
        <v>0.0999</v>
      </c>
      <c r="U394" s="355">
        <v>46</v>
      </c>
      <c r="V394" s="351">
        <f t="shared" si="360"/>
      </c>
      <c r="W394" s="353">
        <v>19566</v>
      </c>
      <c r="X394" s="353">
        <v>369</v>
      </c>
      <c r="Y394" s="353">
        <v>71</v>
      </c>
      <c r="Z394" s="353">
        <v>507</v>
      </c>
      <c r="AA394" s="353">
        <v>70</v>
      </c>
      <c r="AB394" s="353">
        <v>3</v>
      </c>
      <c r="AC394" s="353">
        <v>2</v>
      </c>
      <c r="AD394" s="355">
        <v>26</v>
      </c>
      <c r="AE394" s="351">
        <f t="shared" si="54"/>
      </c>
      <c r="AF394" s="356" t="s">
        <v>234</v>
      </c>
      <c r="AG394" s="451" t="s">
        <v>254</v>
      </c>
      <c r="AH394" s="355">
        <v>23</v>
      </c>
    </row>
    <row r="395">
      <c r="A395" s="397"/>
      <c r="B395" s="375" t="s">
        <v>246</v>
      </c>
      <c r="C395" s="411" t="s">
        <v>245</v>
      </c>
      <c r="D395" s="349">
        <v>2569.2</v>
      </c>
      <c r="E395" s="350">
        <v>10</v>
      </c>
      <c r="F395" s="350">
        <v>9</v>
      </c>
      <c r="G395" s="350">
        <v>8</v>
      </c>
      <c r="H395" s="349">
        <v>7104.9000000000015</v>
      </c>
      <c r="I395" s="351">
        <f t="shared" si="210"/>
      </c>
      <c r="J395" s="351">
        <f t="shared" si="270"/>
      </c>
      <c r="K395" s="351">
        <f t="shared" si="330"/>
      </c>
      <c r="L395" s="352">
        <f t="shared" si="60"/>
      </c>
      <c r="M395" s="351">
        <f t="shared" si="24"/>
      </c>
      <c r="N395" s="351">
        <f t="shared" si="90"/>
      </c>
      <c r="O395" s="352">
        <f t="shared" si="120"/>
      </c>
      <c r="P395" s="352">
        <f t="shared" si="150"/>
      </c>
      <c r="Q395" s="352">
        <f t="shared" si="180"/>
      </c>
      <c r="R395" s="352">
        <f t="shared" si="240"/>
      </c>
      <c r="S395" s="353">
        <f t="shared" si="300"/>
      </c>
      <c r="T395" s="354">
        <v>0.1074</v>
      </c>
      <c r="U395" s="355">
        <v>48</v>
      </c>
      <c r="V395" s="351">
        <f t="shared" si="360"/>
      </c>
      <c r="W395" s="355">
        <v>15234</v>
      </c>
      <c r="X395" s="355">
        <v>370</v>
      </c>
      <c r="Y395" s="355">
        <v>74</v>
      </c>
      <c r="Z395" s="355">
        <v>487</v>
      </c>
      <c r="AA395" s="355">
        <v>67</v>
      </c>
      <c r="AB395" s="355">
        <v>8</v>
      </c>
      <c r="AC395" s="355">
        <v>2</v>
      </c>
      <c r="AD395" s="355">
        <v>21</v>
      </c>
      <c r="AE395" s="351">
        <f t="shared" si="54"/>
      </c>
      <c r="AF395" s="356" t="s">
        <v>234</v>
      </c>
      <c r="AG395" s="451" t="s">
        <v>250</v>
      </c>
      <c r="AH395" s="355">
        <v>21</v>
      </c>
    </row>
    <row r="396">
      <c r="A396" s="397"/>
      <c r="B396" s="375" t="s">
        <v>246</v>
      </c>
      <c r="C396" s="411" t="s">
        <v>233</v>
      </c>
      <c r="D396" s="349">
        <v>3646.98</v>
      </c>
      <c r="E396" s="350">
        <v>6</v>
      </c>
      <c r="F396" s="350">
        <v>6</v>
      </c>
      <c r="G396" s="350">
        <v>5</v>
      </c>
      <c r="H396" s="349">
        <v>4068.9000000000015</v>
      </c>
      <c r="I396" s="351">
        <f t="shared" si="210"/>
      </c>
      <c r="J396" s="351">
        <f t="shared" si="270"/>
      </c>
      <c r="K396" s="351">
        <f t="shared" si="330"/>
      </c>
      <c r="L396" s="352">
        <f t="shared" si="60"/>
      </c>
      <c r="M396" s="351">
        <f t="shared" si="24"/>
      </c>
      <c r="N396" s="351">
        <f t="shared" si="90"/>
      </c>
      <c r="O396" s="352">
        <f t="shared" si="120"/>
      </c>
      <c r="P396" s="352">
        <f t="shared" si="150"/>
      </c>
      <c r="Q396" s="352">
        <f t="shared" si="180"/>
      </c>
      <c r="R396" s="352">
        <f t="shared" si="240"/>
      </c>
      <c r="S396" s="353">
        <f t="shared" si="300"/>
      </c>
      <c r="T396" s="354">
        <v>0.0946</v>
      </c>
      <c r="U396" s="355">
        <v>48</v>
      </c>
      <c r="V396" s="351">
        <f t="shared" si="360"/>
      </c>
      <c r="W396" s="355">
        <v>25753</v>
      </c>
      <c r="X396" s="355">
        <v>488</v>
      </c>
      <c r="Y396" s="353">
        <v>77</v>
      </c>
      <c r="Z396" s="353">
        <v>684</v>
      </c>
      <c r="AA396" s="353">
        <v>59</v>
      </c>
      <c r="AB396" s="353">
        <v>8</v>
      </c>
      <c r="AC396" s="355">
        <v>1</v>
      </c>
      <c r="AD396" s="355">
        <v>28</v>
      </c>
      <c r="AE396" s="351">
        <f t="shared" si="54"/>
      </c>
      <c r="AF396" s="356" t="s">
        <v>234</v>
      </c>
      <c r="AG396" s="451" t="s">
        <v>250</v>
      </c>
      <c r="AH396" s="355">
        <v>27</v>
      </c>
    </row>
    <row r="397">
      <c r="A397" s="397"/>
      <c r="B397" s="360" t="s">
        <v>240</v>
      </c>
      <c r="C397" s="360"/>
      <c r="D397" s="405">
        <f>SUM(D393:D396)</f>
      </c>
      <c r="E397" s="440">
        <f>SUM(E393:E396)</f>
      </c>
      <c r="F397" s="440">
        <f>SUM(F393:F396)</f>
      </c>
      <c r="G397" s="440">
        <f>SUM(G393:G396)</f>
      </c>
      <c r="H397" s="405">
        <f>SUM(H393:H396)</f>
      </c>
      <c r="I397" s="363">
        <f t="shared" si="210"/>
      </c>
      <c r="J397" s="363">
        <f t="shared" si="270"/>
      </c>
      <c r="K397" s="363">
        <f t="shared" si="330"/>
      </c>
      <c r="L397" s="364">
        <f t="shared" si="60"/>
      </c>
      <c r="M397" s="363">
        <f t="shared" si="24"/>
      </c>
      <c r="N397" s="363">
        <f t="shared" si="90"/>
      </c>
      <c r="O397" s="364">
        <f t="shared" si="120"/>
      </c>
      <c r="P397" s="364">
        <f t="shared" si="150"/>
      </c>
      <c r="Q397" s="364">
        <f t="shared" si="180"/>
      </c>
      <c r="R397" s="364">
        <f t="shared" si="240"/>
      </c>
      <c r="S397" s="365">
        <f t="shared" si="300"/>
      </c>
      <c r="T397" s="364">
        <f>AVERAGE(T393:T396)</f>
      </c>
      <c r="U397" s="361">
        <f>AVERAGE(U393:U396)</f>
      </c>
      <c r="V397" s="363">
        <f t="shared" si="360"/>
      </c>
      <c r="W397" s="365">
        <f>SUM(W393:W396)</f>
      </c>
      <c r="X397" s="365">
        <f>SUM(X393:X396)</f>
      </c>
      <c r="Y397" s="365">
        <f>SUM(Y393:Y396)</f>
      </c>
      <c r="Z397" s="365">
        <f>SUM(Z393:Z396)</f>
      </c>
      <c r="AA397" s="365">
        <f>SUM(AA393:AA396)</f>
      </c>
      <c r="AB397" s="365">
        <f>SUM(AB393:AB396)</f>
      </c>
      <c r="AC397" s="365">
        <f>SUM(AC393:AC396)</f>
      </c>
      <c r="AD397" s="365">
        <f>SUM(AD393:AD396)</f>
      </c>
      <c r="AE397" s="366">
        <f t="shared" si="54"/>
      </c>
      <c r="AF397" s="367"/>
      <c r="AG397" s="367"/>
      <c r="AH397" s="365">
        <f>SUM(AH393:AH396)</f>
      </c>
    </row>
    <row r="398">
      <c r="A398" s="397"/>
      <c r="B398" s="375" t="s">
        <v>249</v>
      </c>
      <c r="C398" s="425" t="s">
        <v>236</v>
      </c>
      <c r="D398" s="412">
        <v>2348.99</v>
      </c>
      <c r="E398" s="413">
        <v>2</v>
      </c>
      <c r="F398" s="413">
        <v>1</v>
      </c>
      <c r="G398" s="414">
        <v>1</v>
      </c>
      <c r="H398" s="415">
        <v>451</v>
      </c>
      <c r="I398" s="416">
        <f t="shared" si="210"/>
      </c>
      <c r="J398" s="416">
        <f t="shared" si="270"/>
      </c>
      <c r="K398" s="416">
        <f t="shared" si="330"/>
      </c>
      <c r="L398" s="417">
        <f t="shared" si="60"/>
      </c>
      <c r="M398" s="416">
        <f t="shared" si="24"/>
      </c>
      <c r="N398" s="416">
        <f t="shared" si="90"/>
      </c>
      <c r="O398" s="417">
        <f t="shared" si="120"/>
      </c>
      <c r="P398" s="417">
        <f t="shared" si="150"/>
      </c>
      <c r="Q398" s="417">
        <f t="shared" si="180"/>
      </c>
      <c r="R398" s="417">
        <f t="shared" si="240"/>
      </c>
      <c r="S398" s="418">
        <f t="shared" si="300"/>
      </c>
      <c r="T398" s="419">
        <v>0.0882</v>
      </c>
      <c r="U398" s="420">
        <v>47</v>
      </c>
      <c r="V398" s="416">
        <f t="shared" si="360"/>
      </c>
      <c r="W398" s="418">
        <v>17850</v>
      </c>
      <c r="X398" s="418">
        <v>399</v>
      </c>
      <c r="Y398" s="418">
        <v>67</v>
      </c>
      <c r="Z398" s="418">
        <v>574</v>
      </c>
      <c r="AA398" s="418">
        <v>30</v>
      </c>
      <c r="AB398" s="418">
        <v>8</v>
      </c>
      <c r="AC398" s="418">
        <v>1</v>
      </c>
      <c r="AD398" s="418">
        <v>24</v>
      </c>
      <c r="AE398" s="416">
        <f t="shared" si="54"/>
      </c>
      <c r="AF398" s="356" t="s">
        <v>234</v>
      </c>
      <c r="AG398" s="357" t="s">
        <v>250</v>
      </c>
      <c r="AH398" s="420">
        <v>14</v>
      </c>
    </row>
    <row r="399">
      <c r="A399" s="397"/>
      <c r="B399" s="375" t="s">
        <v>249</v>
      </c>
      <c r="C399" s="425" t="s">
        <v>237</v>
      </c>
      <c r="D399" s="423">
        <v>2372.16</v>
      </c>
      <c r="E399" s="424">
        <v>5</v>
      </c>
      <c r="F399" s="424">
        <v>4</v>
      </c>
      <c r="G399" s="424">
        <v>4</v>
      </c>
      <c r="H399" s="415">
        <v>1804</v>
      </c>
      <c r="I399" s="416">
        <f t="shared" si="210"/>
      </c>
      <c r="J399" s="416">
        <f t="shared" si="270"/>
      </c>
      <c r="K399" s="416">
        <f t="shared" si="330"/>
      </c>
      <c r="L399" s="417">
        <f t="shared" si="60"/>
      </c>
      <c r="M399" s="416">
        <f t="shared" si="24"/>
      </c>
      <c r="N399" s="416">
        <f t="shared" si="90"/>
      </c>
      <c r="O399" s="417">
        <f t="shared" si="120"/>
      </c>
      <c r="P399" s="417">
        <f t="shared" si="150"/>
      </c>
      <c r="Q399" s="417">
        <f t="shared" si="180"/>
      </c>
      <c r="R399" s="417">
        <f t="shared" si="240"/>
      </c>
      <c r="S399" s="418">
        <f t="shared" si="300"/>
      </c>
      <c r="T399" s="419">
        <v>0.076</v>
      </c>
      <c r="U399" s="420">
        <v>47</v>
      </c>
      <c r="V399" s="416">
        <f t="shared" si="360"/>
      </c>
      <c r="W399" s="418">
        <v>15555</v>
      </c>
      <c r="X399" s="418">
        <v>413</v>
      </c>
      <c r="Y399" s="418">
        <v>64</v>
      </c>
      <c r="Z399" s="418">
        <v>550</v>
      </c>
      <c r="AA399" s="418">
        <v>79</v>
      </c>
      <c r="AB399" s="418">
        <v>8</v>
      </c>
      <c r="AC399" s="418">
        <v>2</v>
      </c>
      <c r="AD399" s="418">
        <v>24</v>
      </c>
      <c r="AE399" s="416">
        <f t="shared" si="54"/>
      </c>
      <c r="AF399" s="356" t="s">
        <v>234</v>
      </c>
      <c r="AG399" s="357" t="s">
        <v>250</v>
      </c>
      <c r="AH399" s="420">
        <v>26</v>
      </c>
    </row>
    <row r="400">
      <c r="A400" s="397"/>
      <c r="B400" s="375" t="s">
        <v>249</v>
      </c>
      <c r="C400" s="425" t="s">
        <v>238</v>
      </c>
      <c r="D400" s="412">
        <v>2330.06</v>
      </c>
      <c r="E400" s="424">
        <v>3</v>
      </c>
      <c r="F400" s="424">
        <v>3</v>
      </c>
      <c r="G400" s="424">
        <v>2</v>
      </c>
      <c r="H400" s="412">
        <v>2052.0499999999956</v>
      </c>
      <c r="I400" s="416">
        <f t="shared" si="210"/>
      </c>
      <c r="J400" s="416">
        <f t="shared" si="270"/>
      </c>
      <c r="K400" s="416">
        <f t="shared" si="330"/>
      </c>
      <c r="L400" s="417">
        <f t="shared" si="60"/>
      </c>
      <c r="M400" s="416">
        <f t="shared" si="24"/>
      </c>
      <c r="N400" s="416">
        <f t="shared" si="90"/>
      </c>
      <c r="O400" s="417">
        <f t="shared" si="120"/>
      </c>
      <c r="P400" s="417">
        <f t="shared" si="150"/>
      </c>
      <c r="Q400" s="417">
        <f t="shared" si="180"/>
      </c>
      <c r="R400" s="417">
        <f t="shared" si="240"/>
      </c>
      <c r="S400" s="418">
        <f t="shared" si="300"/>
      </c>
      <c r="T400" s="419">
        <v>0.0723</v>
      </c>
      <c r="U400" s="420">
        <v>47</v>
      </c>
      <c r="V400" s="416">
        <f t="shared" si="360"/>
      </c>
      <c r="W400" s="418">
        <v>15074</v>
      </c>
      <c r="X400" s="418">
        <v>523</v>
      </c>
      <c r="Y400" s="418">
        <v>74</v>
      </c>
      <c r="Z400" s="418">
        <v>711</v>
      </c>
      <c r="AA400" s="418">
        <v>67</v>
      </c>
      <c r="AB400" s="418">
        <v>10</v>
      </c>
      <c r="AC400" s="418">
        <v>1</v>
      </c>
      <c r="AD400" s="418">
        <v>21</v>
      </c>
      <c r="AE400" s="416">
        <f t="shared" si="54"/>
      </c>
      <c r="AF400" s="356" t="s">
        <v>234</v>
      </c>
      <c r="AG400" s="357" t="s">
        <v>250</v>
      </c>
      <c r="AH400" s="420">
        <v>25</v>
      </c>
    </row>
    <row r="401">
      <c r="A401" s="397"/>
      <c r="B401" s="375" t="s">
        <v>249</v>
      </c>
      <c r="C401" s="425" t="s">
        <v>239</v>
      </c>
      <c r="D401" s="412">
        <v>1451.47</v>
      </c>
      <c r="E401" s="414">
        <v>1</v>
      </c>
      <c r="F401" s="414">
        <v>1</v>
      </c>
      <c r="G401" s="414">
        <v>1</v>
      </c>
      <c r="H401" s="412">
        <v>451</v>
      </c>
      <c r="I401" s="416">
        <f t="shared" si="210"/>
      </c>
      <c r="J401" s="416">
        <f t="shared" si="270"/>
      </c>
      <c r="K401" s="416">
        <f t="shared" si="330"/>
      </c>
      <c r="L401" s="417">
        <f t="shared" si="60"/>
      </c>
      <c r="M401" s="416">
        <f t="shared" si="24"/>
      </c>
      <c r="N401" s="416">
        <f t="shared" si="90"/>
      </c>
      <c r="O401" s="417">
        <f t="shared" si="120"/>
      </c>
      <c r="P401" s="417">
        <f t="shared" si="150"/>
      </c>
      <c r="Q401" s="417">
        <f t="shared" si="180"/>
      </c>
      <c r="R401" s="417">
        <f t="shared" si="240"/>
      </c>
      <c r="S401" s="418">
        <f t="shared" si="300"/>
      </c>
      <c r="T401" s="419">
        <v>0.0789</v>
      </c>
      <c r="U401" s="420">
        <v>47</v>
      </c>
      <c r="V401" s="416">
        <f t="shared" si="360"/>
      </c>
      <c r="W401" s="418">
        <v>9736</v>
      </c>
      <c r="X401" s="418">
        <v>296</v>
      </c>
      <c r="Y401" s="418">
        <v>45</v>
      </c>
      <c r="Z401" s="418">
        <v>477</v>
      </c>
      <c r="AA401" s="418">
        <v>22</v>
      </c>
      <c r="AB401" s="418">
        <v>6</v>
      </c>
      <c r="AC401" s="418">
        <v>0</v>
      </c>
      <c r="AD401" s="418">
        <v>16</v>
      </c>
      <c r="AE401" s="416">
        <f t="shared" si="54"/>
      </c>
      <c r="AF401" s="356" t="s">
        <v>234</v>
      </c>
      <c r="AG401" s="357" t="s">
        <v>250</v>
      </c>
      <c r="AH401" s="420">
        <v>12</v>
      </c>
    </row>
    <row r="402">
      <c r="A402" s="397"/>
      <c r="B402" s="427" t="s">
        <v>240</v>
      </c>
      <c r="C402" s="427"/>
      <c r="D402" s="428">
        <f>SUM(D398:D401)</f>
      </c>
      <c r="E402" s="429">
        <f>SUM(E398:E401)</f>
      </c>
      <c r="F402" s="429">
        <f>SUM(F398:F401)</f>
      </c>
      <c r="G402" s="429">
        <f>SUM(G398:G401)</f>
      </c>
      <c r="H402" s="428">
        <f>SUM(H398:H401)</f>
      </c>
      <c r="I402" s="430">
        <f t="shared" si="210"/>
      </c>
      <c r="J402" s="430">
        <f t="shared" si="270"/>
      </c>
      <c r="K402" s="430">
        <f t="shared" si="330"/>
      </c>
      <c r="L402" s="431">
        <f t="shared" si="60"/>
      </c>
      <c r="M402" s="430">
        <f t="shared" si="24"/>
      </c>
      <c r="N402" s="430">
        <f t="shared" si="90"/>
      </c>
      <c r="O402" s="431">
        <f t="shared" si="120"/>
      </c>
      <c r="P402" s="431">
        <f t="shared" si="150"/>
      </c>
      <c r="Q402" s="431">
        <f t="shared" si="180"/>
      </c>
      <c r="R402" s="431">
        <f t="shared" si="240"/>
      </c>
      <c r="S402" s="432">
        <f t="shared" si="300"/>
      </c>
      <c r="T402" s="431">
        <f>AVERAGE(T398:T401)</f>
      </c>
      <c r="U402" s="428">
        <f>AVERAGE(U398:U401)</f>
      </c>
      <c r="V402" s="430">
        <f t="shared" si="360"/>
      </c>
      <c r="W402" s="432">
        <f>SUM(W398:W401)</f>
      </c>
      <c r="X402" s="432">
        <f>SUM(X398:X401)</f>
      </c>
      <c r="Y402" s="432">
        <f>SUM(Y398:Y401)</f>
      </c>
      <c r="Z402" s="432">
        <f>SUM(Z398:Z401)</f>
      </c>
      <c r="AA402" s="432">
        <f>SUM(AA398:AA401)</f>
      </c>
      <c r="AB402" s="432">
        <f>SUM(AB398:AB401)</f>
      </c>
      <c r="AC402" s="432">
        <f>SUM(AC398:AC401)</f>
      </c>
      <c r="AD402" s="432">
        <f>SUM(AD398:AD401)</f>
      </c>
      <c r="AE402" s="433">
        <f t="shared" si="54"/>
      </c>
      <c r="AF402" s="434"/>
      <c r="AG402" s="434"/>
      <c r="AH402" s="435">
        <f>SUM(AH398:AH401)</f>
      </c>
    </row>
    <row r="403">
      <c r="A403" s="397"/>
      <c r="B403" s="369" t="s">
        <v>241</v>
      </c>
      <c r="C403" s="369"/>
      <c r="D403" s="441">
        <f>D387+D392+D397+D402</f>
      </c>
      <c r="E403" s="441">
        <f>E387+E392+E397+E402</f>
      </c>
      <c r="F403" s="441">
        <f>F387+F392+F397+F402</f>
      </c>
      <c r="G403" s="441">
        <f>G387+G392+G397+G402</f>
      </c>
      <c r="H403" s="441">
        <f>H387+H392+H397+H402</f>
      </c>
      <c r="I403" s="442">
        <f t="shared" si="210"/>
      </c>
      <c r="J403" s="372">
        <f t="shared" si="270"/>
      </c>
      <c r="K403" s="372">
        <f t="shared" si="330"/>
      </c>
      <c r="L403" s="373">
        <f t="shared" si="60"/>
      </c>
      <c r="M403" s="372">
        <f t="shared" si="24"/>
      </c>
      <c r="N403" s="372">
        <f t="shared" si="90"/>
      </c>
      <c r="O403" s="373">
        <f t="shared" si="120"/>
      </c>
      <c r="P403" s="373">
        <f t="shared" si="150"/>
      </c>
      <c r="Q403" s="373">
        <f t="shared" si="180"/>
      </c>
      <c r="R403" s="373">
        <f t="shared" si="240"/>
      </c>
      <c r="S403" s="374">
        <f t="shared" si="300"/>
      </c>
      <c r="T403" s="373">
        <f>(T387+T397+T392+T402)/4</f>
      </c>
      <c r="U403" s="479">
        <f>(U387+U397+U392+U402)/4</f>
      </c>
      <c r="V403" s="370">
        <f t="shared" si="360"/>
      </c>
      <c r="W403" s="374">
        <f>W387+W392+W397+W402</f>
      </c>
      <c r="X403" s="374">
        <f>X387+X392+X397+X402</f>
      </c>
      <c r="Y403" s="374">
        <f>Y387+Y392+Y397+Y402</f>
      </c>
      <c r="Z403" s="374">
        <f>Z387+Z392+Z397+Z402</f>
      </c>
      <c r="AA403" s="374">
        <f>AA387+AA392+AA397+AA402</f>
      </c>
      <c r="AB403" s="374">
        <f>AB387+AB392+AB397+AB402</f>
      </c>
      <c r="AC403" s="374">
        <f>AC387+AC392+AC397+AC402</f>
      </c>
      <c r="AD403" s="374">
        <f>AD387+AD392+AD397+AD402</f>
      </c>
      <c r="AE403" s="372">
        <f>AE387</f>
      </c>
      <c r="AF403" s="369"/>
      <c r="AG403" s="369"/>
      <c r="AH403" s="374">
        <f>AH387+AH392+AH397+AH402</f>
      </c>
    </row>
    <row r="404">
      <c r="A404" s="380" t="s">
        <v>197</v>
      </c>
      <c r="B404" s="396" t="s">
        <v>198</v>
      </c>
      <c r="C404" s="396"/>
      <c r="D404" s="381" t="s">
        <v>199</v>
      </c>
      <c r="E404" s="381"/>
      <c r="F404" s="381"/>
      <c r="G404" s="381"/>
      <c r="H404" s="381"/>
      <c r="I404" s="381"/>
      <c r="J404" s="381"/>
      <c r="K404" s="381"/>
      <c r="L404" s="381"/>
      <c r="M404" s="381"/>
      <c r="N404" s="382" t="s">
        <v>200</v>
      </c>
      <c r="O404" s="382"/>
      <c r="P404" s="382"/>
      <c r="Q404" s="382"/>
      <c r="R404" s="382"/>
      <c r="S404" s="382"/>
      <c r="T404" s="382"/>
      <c r="U404" s="382"/>
      <c r="V404" s="382"/>
      <c r="W404" s="382"/>
      <c r="X404" s="382"/>
      <c r="Y404" s="382"/>
      <c r="Z404" s="382"/>
      <c r="AA404" s="382"/>
      <c r="AB404" s="382"/>
      <c r="AC404" s="382"/>
      <c r="AD404" s="382"/>
      <c r="AE404" s="382"/>
      <c r="AF404" s="382"/>
      <c r="AG404" s="382"/>
      <c r="AH404" s="340"/>
    </row>
    <row r="405">
      <c r="A405" s="380"/>
      <c r="B405" s="396" t="s">
        <v>201</v>
      </c>
      <c r="C405" s="398" t="s">
        <v>202</v>
      </c>
      <c r="D405" s="399" t="s">
        <v>203</v>
      </c>
      <c r="E405" s="477" t="s">
        <v>266</v>
      </c>
      <c r="F405" s="391" t="s">
        <v>204</v>
      </c>
      <c r="G405" s="391" t="s">
        <v>205</v>
      </c>
      <c r="H405" s="399" t="s">
        <v>206</v>
      </c>
      <c r="I405" s="384" t="s">
        <v>207</v>
      </c>
      <c r="J405" s="384" t="s">
        <v>208</v>
      </c>
      <c r="K405" s="384" t="s">
        <v>209</v>
      </c>
      <c r="L405" s="478" t="s">
        <v>267</v>
      </c>
      <c r="M405" s="384" t="s">
        <v>210</v>
      </c>
      <c r="N405" s="385" t="s">
        <v>211</v>
      </c>
      <c r="O405" s="386" t="s">
        <v>212</v>
      </c>
      <c r="P405" s="386" t="s">
        <v>213</v>
      </c>
      <c r="Q405" s="386" t="s">
        <v>214</v>
      </c>
      <c r="R405" s="386" t="s">
        <v>215</v>
      </c>
      <c r="S405" s="387" t="s">
        <v>216</v>
      </c>
      <c r="T405" s="392" t="s">
        <v>217</v>
      </c>
      <c r="U405" s="393" t="s">
        <v>218</v>
      </c>
      <c r="V405" s="382" t="s">
        <v>219</v>
      </c>
      <c r="W405" s="394" t="s">
        <v>220</v>
      </c>
      <c r="X405" s="394" t="s">
        <v>221</v>
      </c>
      <c r="Y405" s="394" t="s">
        <v>222</v>
      </c>
      <c r="Z405" s="394" t="s">
        <v>223</v>
      </c>
      <c r="AA405" s="394" t="s">
        <v>224</v>
      </c>
      <c r="AB405" s="394" t="s">
        <v>225</v>
      </c>
      <c r="AC405" s="394" t="s">
        <v>226</v>
      </c>
      <c r="AD405" s="394" t="s">
        <v>227</v>
      </c>
      <c r="AE405" s="382" t="s">
        <v>228</v>
      </c>
      <c r="AF405" s="389" t="s">
        <v>229</v>
      </c>
      <c r="AG405" s="389" t="s">
        <v>230</v>
      </c>
      <c r="AH405" s="340" t="s">
        <v>231</v>
      </c>
    </row>
    <row r="406">
      <c r="A406" s="397">
        <v>46169</v>
      </c>
      <c r="B406" s="411" t="s">
        <v>232</v>
      </c>
      <c r="C406" s="400" t="s">
        <v>264</v>
      </c>
      <c r="D406" s="349">
        <v>1387.5</v>
      </c>
      <c r="E406" s="350">
        <v>4</v>
      </c>
      <c r="F406" s="350">
        <v>3</v>
      </c>
      <c r="G406" s="350">
        <v>2</v>
      </c>
      <c r="H406" s="349">
        <v>2013</v>
      </c>
      <c r="I406" s="436">
        <f t="shared" ref="I406:I427" si="211">H406/D406</f>
      </c>
      <c r="J406" s="351">
        <f t="shared" ref="J406:J427" si="271">D406/F406</f>
      </c>
      <c r="K406" s="351">
        <f t="shared" ref="K406:K427" si="331">D406/G406</f>
      </c>
      <c r="L406" s="352">
        <f t="shared" ref="L406:L427" si="61">F406/E406</f>
      </c>
      <c r="M406" s="351">
        <f t="shared" ref="M406:M427" si="25">H406/F406</f>
      </c>
      <c r="N406" s="351">
        <f t="shared" ref="N406:N427" si="91">D406/X406</f>
      </c>
      <c r="O406" s="352">
        <f t="shared" ref="O406:O427" si="121">S406/W406*1</f>
      </c>
      <c r="P406" s="352">
        <f t="shared" ref="P406:P427" si="151">X406/W406</f>
      </c>
      <c r="Q406" s="352">
        <f t="shared" ref="Q406:Q427" si="181">Z406/W406</f>
      </c>
      <c r="R406" s="352">
        <f t="shared" ref="R406:R427" si="241">AA406/Z406</f>
      </c>
      <c r="S406" s="353">
        <f t="shared" ref="S406:S427" si="301">Y406/T406</f>
      </c>
      <c r="T406" s="354">
        <v>0.0515</v>
      </c>
      <c r="U406" s="355">
        <v>25</v>
      </c>
      <c r="V406" s="351">
        <v>41</v>
      </c>
      <c r="W406" s="355">
        <v>519</v>
      </c>
      <c r="X406" s="355">
        <v>14</v>
      </c>
      <c r="Y406" s="353">
        <v>2</v>
      </c>
      <c r="Z406" s="353">
        <v>2</v>
      </c>
      <c r="AA406" s="353">
        <v>2</v>
      </c>
      <c r="AB406" s="353">
        <v>2</v>
      </c>
      <c r="AC406" s="353">
        <v>2</v>
      </c>
      <c r="AD406" s="355">
        <v>2</v>
      </c>
      <c r="AE406" s="351">
        <f t="shared" ref="AE406:AE426" si="55">AH406*1000/D406</f>
      </c>
      <c r="AF406" s="356" t="s">
        <v>253</v>
      </c>
      <c r="AG406" s="451" t="s">
        <v>259</v>
      </c>
      <c r="AH406" s="355">
        <v>13</v>
      </c>
    </row>
    <row r="407">
      <c r="A407" s="397"/>
      <c r="B407" s="411" t="s">
        <v>232</v>
      </c>
      <c r="C407" s="400" t="s">
        <v>252</v>
      </c>
      <c r="D407" s="349">
        <v>1677.74</v>
      </c>
      <c r="E407" s="350">
        <v>6</v>
      </c>
      <c r="F407" s="350">
        <v>5</v>
      </c>
      <c r="G407" s="350">
        <v>5</v>
      </c>
      <c r="H407" s="349">
        <v>2974.3999999999996</v>
      </c>
      <c r="I407" s="436">
        <f t="shared" si="211"/>
      </c>
      <c r="J407" s="351">
        <f t="shared" si="271"/>
      </c>
      <c r="K407" s="351">
        <f t="shared" si="331"/>
      </c>
      <c r="L407" s="352">
        <f t="shared" si="61"/>
      </c>
      <c r="M407" s="351">
        <f t="shared" si="25"/>
      </c>
      <c r="N407" s="351">
        <f t="shared" si="91"/>
      </c>
      <c r="O407" s="352">
        <f t="shared" si="121"/>
      </c>
      <c r="P407" s="352">
        <f t="shared" si="151"/>
      </c>
      <c r="Q407" s="352">
        <f t="shared" si="181"/>
      </c>
      <c r="R407" s="352">
        <f t="shared" si="241"/>
      </c>
      <c r="S407" s="353">
        <f t="shared" si="301"/>
      </c>
      <c r="T407" s="354">
        <v>0.1079</v>
      </c>
      <c r="U407" s="355">
        <v>27</v>
      </c>
      <c r="V407" s="351">
        <f t="shared" ref="V407:V427" si="361">(D407/W407)*1000</f>
      </c>
      <c r="W407" s="355">
        <v>9339</v>
      </c>
      <c r="X407" s="355">
        <v>327</v>
      </c>
      <c r="Y407" s="353">
        <v>41</v>
      </c>
      <c r="Z407" s="353">
        <v>570</v>
      </c>
      <c r="AA407" s="355">
        <v>27</v>
      </c>
      <c r="AB407" s="353">
        <v>5</v>
      </c>
      <c r="AC407" s="355">
        <v>0</v>
      </c>
      <c r="AD407" s="355">
        <v>15</v>
      </c>
      <c r="AE407" s="351">
        <f t="shared" si="55"/>
      </c>
      <c r="AF407" s="356" t="s">
        <v>253</v>
      </c>
      <c r="AG407" s="451" t="s">
        <v>259</v>
      </c>
      <c r="AH407" s="355">
        <v>11</v>
      </c>
    </row>
    <row r="408">
      <c r="A408" s="397"/>
      <c r="B408" s="411" t="s">
        <v>232</v>
      </c>
      <c r="C408" s="437" t="s">
        <v>255</v>
      </c>
      <c r="D408" s="349">
        <v>2319.99</v>
      </c>
      <c r="E408" s="350">
        <v>4</v>
      </c>
      <c r="F408" s="350">
        <v>2</v>
      </c>
      <c r="G408" s="350">
        <v>2</v>
      </c>
      <c r="H408" s="349">
        <v>902</v>
      </c>
      <c r="I408" s="436">
        <f t="shared" si="211"/>
      </c>
      <c r="J408" s="351">
        <f t="shared" si="271"/>
      </c>
      <c r="K408" s="351">
        <f t="shared" si="331"/>
      </c>
      <c r="L408" s="352">
        <f t="shared" si="61"/>
      </c>
      <c r="M408" s="351">
        <f t="shared" si="25"/>
      </c>
      <c r="N408" s="351">
        <f t="shared" si="91"/>
      </c>
      <c r="O408" s="352">
        <f t="shared" si="121"/>
      </c>
      <c r="P408" s="352">
        <f t="shared" si="151"/>
      </c>
      <c r="Q408" s="352">
        <f t="shared" si="181"/>
      </c>
      <c r="R408" s="352">
        <f t="shared" si="241"/>
      </c>
      <c r="S408" s="353">
        <f t="shared" si="301"/>
      </c>
      <c r="T408" s="354">
        <v>0.0703</v>
      </c>
      <c r="U408" s="355">
        <v>35</v>
      </c>
      <c r="V408" s="351">
        <f t="shared" si="361"/>
      </c>
      <c r="W408" s="355">
        <v>11901</v>
      </c>
      <c r="X408" s="355">
        <v>471</v>
      </c>
      <c r="Y408" s="353">
        <v>54</v>
      </c>
      <c r="Z408" s="353">
        <v>776</v>
      </c>
      <c r="AA408" s="355">
        <v>35</v>
      </c>
      <c r="AB408" s="353">
        <v>8</v>
      </c>
      <c r="AC408" s="355">
        <v>1</v>
      </c>
      <c r="AD408" s="355">
        <v>7</v>
      </c>
      <c r="AE408" s="351">
        <f t="shared" si="55"/>
      </c>
      <c r="AF408" s="356" t="s">
        <v>253</v>
      </c>
      <c r="AG408" s="451" t="s">
        <v>259</v>
      </c>
      <c r="AH408" s="355">
        <v>22</v>
      </c>
    </row>
    <row r="409">
      <c r="A409" s="397"/>
      <c r="B409" s="411" t="s">
        <v>232</v>
      </c>
      <c r="C409" s="400" t="s">
        <v>256</v>
      </c>
      <c r="D409" s="349">
        <v>3252.21</v>
      </c>
      <c r="E409" s="350">
        <v>6</v>
      </c>
      <c r="F409" s="350">
        <v>4</v>
      </c>
      <c r="G409" s="350">
        <v>4</v>
      </c>
      <c r="H409" s="349">
        <v>1804</v>
      </c>
      <c r="I409" s="436">
        <f t="shared" si="211"/>
      </c>
      <c r="J409" s="351">
        <f t="shared" si="271"/>
      </c>
      <c r="K409" s="351">
        <f t="shared" si="331"/>
      </c>
      <c r="L409" s="352">
        <f t="shared" si="61"/>
      </c>
      <c r="M409" s="351">
        <f t="shared" si="25"/>
      </c>
      <c r="N409" s="351">
        <f t="shared" si="91"/>
      </c>
      <c r="O409" s="352">
        <f t="shared" si="121"/>
      </c>
      <c r="P409" s="352">
        <f t="shared" si="151"/>
      </c>
      <c r="Q409" s="352">
        <f t="shared" si="181"/>
      </c>
      <c r="R409" s="352">
        <f t="shared" si="241"/>
      </c>
      <c r="S409" s="353">
        <f t="shared" si="301"/>
      </c>
      <c r="T409" s="354">
        <v>0.0861</v>
      </c>
      <c r="U409" s="355">
        <v>38</v>
      </c>
      <c r="V409" s="351">
        <f t="shared" si="361"/>
      </c>
      <c r="W409" s="355">
        <v>15430</v>
      </c>
      <c r="X409" s="355">
        <v>532</v>
      </c>
      <c r="Y409" s="355">
        <v>80</v>
      </c>
      <c r="Z409" s="355">
        <v>902</v>
      </c>
      <c r="AA409" s="355">
        <v>76</v>
      </c>
      <c r="AB409" s="355">
        <v>4</v>
      </c>
      <c r="AC409" s="355">
        <v>0</v>
      </c>
      <c r="AD409" s="355">
        <v>22</v>
      </c>
      <c r="AE409" s="351">
        <f t="shared" si="55"/>
      </c>
      <c r="AF409" s="356" t="s">
        <v>253</v>
      </c>
      <c r="AG409" s="451" t="s">
        <v>259</v>
      </c>
      <c r="AH409" s="355">
        <v>25</v>
      </c>
    </row>
    <row r="410">
      <c r="A410" s="397"/>
      <c r="B410" s="411" t="s">
        <v>232</v>
      </c>
      <c r="C410" s="348" t="s">
        <v>257</v>
      </c>
      <c r="D410" s="438">
        <v>2265.32</v>
      </c>
      <c r="E410" s="379">
        <v>4</v>
      </c>
      <c r="F410" s="379">
        <v>3</v>
      </c>
      <c r="G410" s="379">
        <v>3</v>
      </c>
      <c r="H410" s="438">
        <v>1353</v>
      </c>
      <c r="I410" s="351">
        <f t="shared" si="211"/>
      </c>
      <c r="J410" s="351">
        <f t="shared" si="271"/>
      </c>
      <c r="K410" s="351">
        <f t="shared" si="331"/>
      </c>
      <c r="L410" s="352">
        <f t="shared" si="61"/>
      </c>
      <c r="M410" s="351">
        <f t="shared" si="25"/>
      </c>
      <c r="N410" s="351">
        <f t="shared" si="91"/>
      </c>
      <c r="O410" s="352">
        <f t="shared" si="121"/>
      </c>
      <c r="P410" s="352">
        <f t="shared" si="151"/>
      </c>
      <c r="Q410" s="352">
        <f t="shared" si="181"/>
      </c>
      <c r="R410" s="352">
        <f t="shared" si="241"/>
      </c>
      <c r="S410" s="353">
        <f t="shared" si="301"/>
      </c>
      <c r="T410" s="354">
        <v>0.0558</v>
      </c>
      <c r="U410" s="355">
        <v>38</v>
      </c>
      <c r="V410" s="351">
        <f t="shared" si="361"/>
      </c>
      <c r="W410" s="353">
        <v>14731</v>
      </c>
      <c r="X410" s="353">
        <v>472</v>
      </c>
      <c r="Y410" s="353">
        <v>45</v>
      </c>
      <c r="Z410" s="353">
        <v>801</v>
      </c>
      <c r="AA410" s="353">
        <v>35</v>
      </c>
      <c r="AB410" s="353">
        <v>7</v>
      </c>
      <c r="AC410" s="353">
        <v>1</v>
      </c>
      <c r="AD410" s="353">
        <v>21</v>
      </c>
      <c r="AE410" s="351">
        <f t="shared" si="55"/>
      </c>
      <c r="AF410" s="356" t="s">
        <v>253</v>
      </c>
      <c r="AG410" s="451" t="s">
        <v>259</v>
      </c>
      <c r="AH410" s="355">
        <v>17</v>
      </c>
    </row>
    <row r="411">
      <c r="A411" s="397"/>
      <c r="B411" s="360" t="s">
        <v>240</v>
      </c>
      <c r="C411" s="360"/>
      <c r="D411" s="361">
        <f>SUM(D406:D410)</f>
      </c>
      <c r="E411" s="365">
        <f>SUM(E406:E410)</f>
      </c>
      <c r="F411" s="365">
        <f>SUM(F406:F410)</f>
      </c>
      <c r="G411" s="365">
        <f>SUM(G406:G410)</f>
      </c>
      <c r="H411" s="361">
        <f>SUM(H406:H410)</f>
      </c>
      <c r="I411" s="363">
        <f t="shared" si="211"/>
      </c>
      <c r="J411" s="363">
        <f t="shared" si="271"/>
      </c>
      <c r="K411" s="363">
        <f t="shared" si="331"/>
      </c>
      <c r="L411" s="364">
        <f t="shared" si="61"/>
      </c>
      <c r="M411" s="363">
        <f t="shared" si="25"/>
      </c>
      <c r="N411" s="363">
        <f t="shared" si="91"/>
      </c>
      <c r="O411" s="364">
        <f t="shared" si="121"/>
      </c>
      <c r="P411" s="364">
        <f t="shared" si="151"/>
      </c>
      <c r="Q411" s="364">
        <f t="shared" si="181"/>
      </c>
      <c r="R411" s="364">
        <f t="shared" si="241"/>
      </c>
      <c r="S411" s="365">
        <f t="shared" si="301"/>
      </c>
      <c r="T411" s="364">
        <f>AVERAGE(T406:T410)</f>
      </c>
      <c r="U411" s="361">
        <f>AVERAGE(U406:U410)</f>
      </c>
      <c r="V411" s="363">
        <f t="shared" si="361"/>
      </c>
      <c r="W411" s="365">
        <f>SUM(W406:W410)</f>
      </c>
      <c r="X411" s="365">
        <f>SUM(X406:X410)</f>
      </c>
      <c r="Y411" s="365">
        <f>SUM(Y406:Y410)</f>
      </c>
      <c r="Z411" s="365">
        <f>SUM(Z406:Z410)</f>
      </c>
      <c r="AA411" s="365">
        <f>SUM(AA406:AA410)</f>
      </c>
      <c r="AB411" s="365">
        <f>SUM(AB406:AB410)</f>
      </c>
      <c r="AC411" s="365">
        <f>SUM(AC406:AC410)</f>
      </c>
      <c r="AD411" s="365">
        <f>SUM(AD406:AD410)</f>
      </c>
      <c r="AE411" s="366">
        <f t="shared" si="55"/>
      </c>
      <c r="AF411" s="367"/>
      <c r="AG411" s="367"/>
      <c r="AH411" s="368">
        <f>SUM(AH406:AH410)</f>
      </c>
    </row>
    <row r="412">
      <c r="A412" s="397"/>
      <c r="B412" s="425" t="s">
        <v>265</v>
      </c>
      <c r="C412" s="411" t="s">
        <v>258</v>
      </c>
      <c r="D412" s="426">
        <v>912.04</v>
      </c>
      <c r="E412" s="413">
        <v>8</v>
      </c>
      <c r="F412" s="413">
        <v>6</v>
      </c>
      <c r="G412" s="414">
        <v>4</v>
      </c>
      <c r="H412" s="475">
        <v>3441.8999999999996</v>
      </c>
      <c r="I412" s="416">
        <f t="shared" si="211"/>
      </c>
      <c r="J412" s="416">
        <f t="shared" si="271"/>
      </c>
      <c r="K412" s="416">
        <f t="shared" si="331"/>
      </c>
      <c r="L412" s="417">
        <f t="shared" si="61"/>
      </c>
      <c r="M412" s="416">
        <f t="shared" si="25"/>
      </c>
      <c r="N412" s="416">
        <f t="shared" si="91"/>
      </c>
      <c r="O412" s="417">
        <f t="shared" si="121"/>
      </c>
      <c r="P412" s="417">
        <f t="shared" si="151"/>
      </c>
      <c r="Q412" s="417">
        <f t="shared" si="181"/>
      </c>
      <c r="R412" s="417">
        <f t="shared" si="241"/>
      </c>
      <c r="S412" s="418">
        <f t="shared" si="301"/>
      </c>
      <c r="T412" s="419">
        <v>0.0955</v>
      </c>
      <c r="U412" s="420">
        <v>42</v>
      </c>
      <c r="V412" s="416">
        <f t="shared" si="361"/>
      </c>
      <c r="W412" s="418">
        <v>4919</v>
      </c>
      <c r="X412" s="418">
        <v>213</v>
      </c>
      <c r="Y412" s="418">
        <v>42</v>
      </c>
      <c r="Z412" s="418">
        <v>236</v>
      </c>
      <c r="AA412" s="418">
        <v>63</v>
      </c>
      <c r="AB412" s="418">
        <v>4</v>
      </c>
      <c r="AC412" s="418">
        <v>0</v>
      </c>
      <c r="AD412" s="418">
        <v>4</v>
      </c>
      <c r="AE412" s="416">
        <f t="shared" si="55"/>
      </c>
      <c r="AF412" s="356" t="s">
        <v>253</v>
      </c>
      <c r="AG412" s="451" t="s">
        <v>259</v>
      </c>
      <c r="AH412" s="420">
        <v>16</v>
      </c>
    </row>
    <row r="413">
      <c r="A413" s="397"/>
      <c r="B413" s="425" t="s">
        <v>265</v>
      </c>
      <c r="C413" s="422" t="s">
        <v>260</v>
      </c>
      <c r="D413" s="439">
        <v>1098.94</v>
      </c>
      <c r="E413" s="424">
        <v>4</v>
      </c>
      <c r="F413" s="424">
        <v>2</v>
      </c>
      <c r="G413" s="424">
        <v>2</v>
      </c>
      <c r="H413" s="475">
        <v>902</v>
      </c>
      <c r="I413" s="416">
        <f t="shared" si="211"/>
      </c>
      <c r="J413" s="416">
        <f t="shared" si="271"/>
      </c>
      <c r="K413" s="416">
        <f t="shared" si="331"/>
      </c>
      <c r="L413" s="417">
        <f t="shared" si="61"/>
      </c>
      <c r="M413" s="416">
        <f t="shared" si="25"/>
      </c>
      <c r="N413" s="416">
        <f t="shared" si="91"/>
      </c>
      <c r="O413" s="417">
        <f t="shared" si="121"/>
      </c>
      <c r="P413" s="417">
        <f t="shared" si="151"/>
      </c>
      <c r="Q413" s="417">
        <f t="shared" si="181"/>
      </c>
      <c r="R413" s="417">
        <f t="shared" si="241"/>
      </c>
      <c r="S413" s="418">
        <f t="shared" si="301"/>
      </c>
      <c r="T413" s="419">
        <v>0.058</v>
      </c>
      <c r="U413" s="420">
        <v>42</v>
      </c>
      <c r="V413" s="416">
        <f t="shared" si="361"/>
      </c>
      <c r="W413" s="418">
        <v>6745</v>
      </c>
      <c r="X413" s="418">
        <v>288</v>
      </c>
      <c r="Y413" s="418">
        <v>32</v>
      </c>
      <c r="Z413" s="418">
        <v>392</v>
      </c>
      <c r="AA413" s="418">
        <v>32</v>
      </c>
      <c r="AB413" s="418">
        <v>2</v>
      </c>
      <c r="AC413" s="418">
        <v>0</v>
      </c>
      <c r="AD413" s="418">
        <v>13</v>
      </c>
      <c r="AE413" s="416">
        <f t="shared" si="55"/>
      </c>
      <c r="AF413" s="356" t="s">
        <v>253</v>
      </c>
      <c r="AG413" s="451" t="s">
        <v>259</v>
      </c>
      <c r="AH413" s="420">
        <v>13</v>
      </c>
    </row>
    <row r="414">
      <c r="A414" s="397"/>
      <c r="B414" s="425" t="s">
        <v>265</v>
      </c>
      <c r="C414" s="411" t="s">
        <v>261</v>
      </c>
      <c r="D414" s="426">
        <v>513.49</v>
      </c>
      <c r="E414" s="424">
        <v>2</v>
      </c>
      <c r="F414" s="424">
        <v>1</v>
      </c>
      <c r="G414" s="424">
        <v>1</v>
      </c>
      <c r="H414" s="426">
        <v>451</v>
      </c>
      <c r="I414" s="416">
        <f t="shared" si="211"/>
      </c>
      <c r="J414" s="416">
        <f t="shared" si="271"/>
      </c>
      <c r="K414" s="416">
        <f t="shared" si="331"/>
      </c>
      <c r="L414" s="417">
        <f t="shared" si="61"/>
      </c>
      <c r="M414" s="416">
        <f t="shared" si="25"/>
      </c>
      <c r="N414" s="416">
        <f t="shared" si="91"/>
      </c>
      <c r="O414" s="417">
        <f t="shared" si="121"/>
      </c>
      <c r="P414" s="417">
        <f t="shared" si="151"/>
      </c>
      <c r="Q414" s="417">
        <f t="shared" si="181"/>
      </c>
      <c r="R414" s="417">
        <f t="shared" si="241"/>
      </c>
      <c r="S414" s="418">
        <f t="shared" si="301"/>
      </c>
      <c r="T414" s="419">
        <v>0.0593</v>
      </c>
      <c r="U414" s="420">
        <v>42</v>
      </c>
      <c r="V414" s="416">
        <f t="shared" si="361"/>
      </c>
      <c r="W414" s="418">
        <v>2111</v>
      </c>
      <c r="X414" s="418">
        <v>121</v>
      </c>
      <c r="Y414" s="418">
        <v>24</v>
      </c>
      <c r="Z414" s="418">
        <v>150</v>
      </c>
      <c r="AA414" s="418">
        <v>9</v>
      </c>
      <c r="AB414" s="418">
        <v>2</v>
      </c>
      <c r="AC414" s="418">
        <v>0</v>
      </c>
      <c r="AD414" s="418">
        <v>2</v>
      </c>
      <c r="AE414" s="416">
        <f t="shared" si="55"/>
      </c>
      <c r="AF414" s="356" t="s">
        <v>253</v>
      </c>
      <c r="AG414" s="451" t="s">
        <v>259</v>
      </c>
      <c r="AH414" s="420">
        <v>7</v>
      </c>
    </row>
    <row r="415">
      <c r="A415" s="397"/>
      <c r="B415" s="425" t="s">
        <v>265</v>
      </c>
      <c r="C415" s="425" t="s">
        <v>262</v>
      </c>
      <c r="D415" s="426">
        <v>1371.1</v>
      </c>
      <c r="E415" s="414">
        <v>0</v>
      </c>
      <c r="F415" s="414">
        <v>0</v>
      </c>
      <c r="G415" s="414">
        <v>0</v>
      </c>
      <c r="H415" s="426">
        <v>0</v>
      </c>
      <c r="I415" s="416">
        <f t="shared" si="211"/>
      </c>
      <c r="J415" s="416">
        <f t="shared" si="271"/>
      </c>
      <c r="K415" s="416">
        <f t="shared" si="331"/>
      </c>
      <c r="L415" s="417">
        <f t="shared" si="61"/>
      </c>
      <c r="M415" s="416">
        <f t="shared" si="25"/>
      </c>
      <c r="N415" s="416">
        <f t="shared" si="91"/>
      </c>
      <c r="O415" s="417">
        <f t="shared" si="121"/>
      </c>
      <c r="P415" s="417">
        <f t="shared" si="151"/>
      </c>
      <c r="Q415" s="417">
        <f t="shared" si="181"/>
      </c>
      <c r="R415" s="417">
        <f t="shared" si="241"/>
      </c>
      <c r="S415" s="418">
        <f t="shared" si="301"/>
      </c>
      <c r="T415" s="419">
        <v>0.0598</v>
      </c>
      <c r="U415" s="420">
        <v>43</v>
      </c>
      <c r="V415" s="416">
        <f t="shared" si="361"/>
      </c>
      <c r="W415" s="418">
        <v>6911</v>
      </c>
      <c r="X415" s="418">
        <v>415</v>
      </c>
      <c r="Y415" s="418">
        <v>51</v>
      </c>
      <c r="Z415" s="418">
        <v>558</v>
      </c>
      <c r="AA415" s="418">
        <v>41</v>
      </c>
      <c r="AB415" s="418">
        <v>7</v>
      </c>
      <c r="AC415" s="418">
        <v>1</v>
      </c>
      <c r="AD415" s="418">
        <v>4</v>
      </c>
      <c r="AE415" s="416">
        <f t="shared" si="55"/>
      </c>
      <c r="AF415" s="356" t="s">
        <v>253</v>
      </c>
      <c r="AG415" s="451" t="s">
        <v>259</v>
      </c>
      <c r="AH415" s="420">
        <v>17</v>
      </c>
    </row>
    <row r="416">
      <c r="A416" s="397"/>
      <c r="B416" s="427" t="s">
        <v>240</v>
      </c>
      <c r="C416" s="427"/>
      <c r="D416" s="428">
        <f>SUM(D412:D415)</f>
      </c>
      <c r="E416" s="429">
        <f>SUM(E412:E415)</f>
      </c>
      <c r="F416" s="429">
        <f>SUM(F412:F415)</f>
      </c>
      <c r="G416" s="429">
        <f>SUM(G412:G415)</f>
      </c>
      <c r="H416" s="428">
        <f>SUM(H412:H415)</f>
      </c>
      <c r="I416" s="430">
        <f t="shared" si="211"/>
      </c>
      <c r="J416" s="430">
        <f t="shared" si="271"/>
      </c>
      <c r="K416" s="430">
        <f t="shared" si="331"/>
      </c>
      <c r="L416" s="431">
        <f t="shared" si="61"/>
      </c>
      <c r="M416" s="430">
        <f t="shared" si="25"/>
      </c>
      <c r="N416" s="430">
        <f t="shared" si="91"/>
      </c>
      <c r="O416" s="431">
        <f t="shared" si="121"/>
      </c>
      <c r="P416" s="431">
        <f t="shared" si="151"/>
      </c>
      <c r="Q416" s="431">
        <f t="shared" si="181"/>
      </c>
      <c r="R416" s="431">
        <f t="shared" si="241"/>
      </c>
      <c r="S416" s="432">
        <f t="shared" si="301"/>
      </c>
      <c r="T416" s="431">
        <f>AVERAGE(T412:T415)</f>
      </c>
      <c r="U416" s="428">
        <f>AVERAGE(U412:U415)</f>
      </c>
      <c r="V416" s="430">
        <f t="shared" si="361"/>
      </c>
      <c r="W416" s="432">
        <f>SUM(W412:W415)</f>
      </c>
      <c r="X416" s="432">
        <f>SUM(X412:X415)</f>
      </c>
      <c r="Y416" s="432">
        <f>SUM(Y412:Y415)</f>
      </c>
      <c r="Z416" s="432">
        <f>SUM(Z412:Z415)</f>
      </c>
      <c r="AA416" s="432">
        <f>SUM(AA412:AA415)</f>
      </c>
      <c r="AB416" s="432">
        <f>SUM(AB412:AB415)</f>
      </c>
      <c r="AC416" s="432">
        <f>SUM(AC412:AC415)</f>
      </c>
      <c r="AD416" s="432">
        <f>SUM(AD412:AD415)</f>
      </c>
      <c r="AE416" s="433">
        <f t="shared" si="55"/>
      </c>
      <c r="AF416" s="434"/>
      <c r="AG416" s="434"/>
      <c r="AH416" s="435">
        <f>SUM(AH412:AH415)</f>
      </c>
    </row>
    <row r="417">
      <c r="A417" s="397"/>
      <c r="B417" s="411" t="s">
        <v>248</v>
      </c>
      <c r="C417" s="411" t="s">
        <v>243</v>
      </c>
      <c r="D417" s="349">
        <v>948.43</v>
      </c>
      <c r="E417" s="350">
        <v>4</v>
      </c>
      <c r="F417" s="350">
        <v>4</v>
      </c>
      <c r="G417" s="350">
        <v>3</v>
      </c>
      <c r="H417" s="350">
        <v>2134</v>
      </c>
      <c r="I417" s="351">
        <f t="shared" si="211"/>
      </c>
      <c r="J417" s="351">
        <f t="shared" si="271"/>
      </c>
      <c r="K417" s="351">
        <f t="shared" si="331"/>
      </c>
      <c r="L417" s="352">
        <f t="shared" si="61"/>
      </c>
      <c r="M417" s="351">
        <f t="shared" si="25"/>
      </c>
      <c r="N417" s="351">
        <f t="shared" si="91"/>
      </c>
      <c r="O417" s="352">
        <f t="shared" si="121"/>
      </c>
      <c r="P417" s="352">
        <f t="shared" si="151"/>
      </c>
      <c r="Q417" s="352">
        <f t="shared" si="181"/>
      </c>
      <c r="R417" s="352">
        <f t="shared" si="241"/>
      </c>
      <c r="S417" s="353">
        <f t="shared" si="301"/>
      </c>
      <c r="T417" s="354">
        <v>0.0485</v>
      </c>
      <c r="U417" s="355">
        <v>42</v>
      </c>
      <c r="V417" s="351">
        <f t="shared" si="361"/>
      </c>
      <c r="W417" s="355">
        <v>5253</v>
      </c>
      <c r="X417" s="355">
        <v>370</v>
      </c>
      <c r="Y417" s="353">
        <v>35</v>
      </c>
      <c r="Z417" s="353">
        <v>489</v>
      </c>
      <c r="AA417" s="353">
        <v>30</v>
      </c>
      <c r="AB417" s="353">
        <v>4</v>
      </c>
      <c r="AC417" s="355">
        <v>0</v>
      </c>
      <c r="AD417" s="355">
        <v>2</v>
      </c>
      <c r="AE417" s="351">
        <f t="shared" si="55"/>
      </c>
      <c r="AF417" s="356" t="s">
        <v>234</v>
      </c>
      <c r="AG417" s="451" t="s">
        <v>259</v>
      </c>
      <c r="AH417" s="355">
        <v>18</v>
      </c>
    </row>
    <row r="418">
      <c r="A418" s="397"/>
      <c r="B418" s="411" t="s">
        <v>248</v>
      </c>
      <c r="C418" s="422" t="s">
        <v>244</v>
      </c>
      <c r="D418" s="349">
        <v>1375.45</v>
      </c>
      <c r="E418" s="350">
        <v>3</v>
      </c>
      <c r="F418" s="350">
        <v>2</v>
      </c>
      <c r="G418" s="350">
        <v>2</v>
      </c>
      <c r="H418" s="349">
        <v>902</v>
      </c>
      <c r="I418" s="351">
        <f t="shared" si="211"/>
      </c>
      <c r="J418" s="351">
        <f t="shared" si="271"/>
      </c>
      <c r="K418" s="351">
        <f t="shared" si="331"/>
      </c>
      <c r="L418" s="352">
        <f t="shared" si="61"/>
      </c>
      <c r="M418" s="351">
        <f t="shared" si="25"/>
      </c>
      <c r="N418" s="351">
        <f t="shared" si="91"/>
      </c>
      <c r="O418" s="352">
        <f t="shared" si="121"/>
      </c>
      <c r="P418" s="352">
        <f t="shared" si="151"/>
      </c>
      <c r="Q418" s="352">
        <f t="shared" si="181"/>
      </c>
      <c r="R418" s="352">
        <f t="shared" si="241"/>
      </c>
      <c r="S418" s="353">
        <f t="shared" si="301"/>
      </c>
      <c r="T418" s="354">
        <v>0.0573</v>
      </c>
      <c r="U418" s="355">
        <v>41</v>
      </c>
      <c r="V418" s="351">
        <f t="shared" si="361"/>
      </c>
      <c r="W418" s="353">
        <v>7697</v>
      </c>
      <c r="X418" s="353">
        <v>419</v>
      </c>
      <c r="Y418" s="353">
        <v>52</v>
      </c>
      <c r="Z418" s="353">
        <v>647</v>
      </c>
      <c r="AA418" s="353">
        <v>30</v>
      </c>
      <c r="AB418" s="353">
        <v>3</v>
      </c>
      <c r="AC418" s="353">
        <v>1</v>
      </c>
      <c r="AD418" s="355">
        <v>7</v>
      </c>
      <c r="AE418" s="351">
        <f t="shared" si="55"/>
      </c>
      <c r="AF418" s="356" t="s">
        <v>234</v>
      </c>
      <c r="AG418" s="451" t="s">
        <v>259</v>
      </c>
      <c r="AH418" s="355">
        <v>16</v>
      </c>
    </row>
    <row r="419">
      <c r="A419" s="397"/>
      <c r="B419" s="411" t="s">
        <v>248</v>
      </c>
      <c r="C419" s="411" t="s">
        <v>245</v>
      </c>
      <c r="D419" s="349">
        <v>1027.12</v>
      </c>
      <c r="E419" s="350">
        <v>2</v>
      </c>
      <c r="F419" s="350">
        <v>1</v>
      </c>
      <c r="G419" s="350">
        <v>1</v>
      </c>
      <c r="H419" s="349">
        <v>781</v>
      </c>
      <c r="I419" s="351">
        <f t="shared" si="211"/>
      </c>
      <c r="J419" s="351">
        <f t="shared" si="271"/>
      </c>
      <c r="K419" s="351">
        <f t="shared" si="331"/>
      </c>
      <c r="L419" s="352">
        <f t="shared" si="61"/>
      </c>
      <c r="M419" s="351">
        <f t="shared" si="25"/>
      </c>
      <c r="N419" s="351">
        <f t="shared" si="91"/>
      </c>
      <c r="O419" s="352">
        <f t="shared" si="121"/>
      </c>
      <c r="P419" s="352">
        <f t="shared" si="151"/>
      </c>
      <c r="Q419" s="352">
        <f t="shared" si="181"/>
      </c>
      <c r="R419" s="352">
        <f t="shared" si="241"/>
      </c>
      <c r="S419" s="353">
        <f t="shared" si="301"/>
      </c>
      <c r="T419" s="354">
        <v>0.0556</v>
      </c>
      <c r="U419" s="355">
        <v>41</v>
      </c>
      <c r="V419" s="351">
        <f t="shared" si="361"/>
      </c>
      <c r="W419" s="355">
        <v>6386</v>
      </c>
      <c r="X419" s="355">
        <v>400</v>
      </c>
      <c r="Y419" s="355">
        <v>42</v>
      </c>
      <c r="Z419" s="355">
        <v>567</v>
      </c>
      <c r="AA419" s="355">
        <v>25</v>
      </c>
      <c r="AB419" s="355">
        <v>6</v>
      </c>
      <c r="AC419" s="355">
        <v>1</v>
      </c>
      <c r="AD419" s="355">
        <v>1</v>
      </c>
      <c r="AE419" s="351">
        <f t="shared" si="55"/>
      </c>
      <c r="AF419" s="356" t="s">
        <v>234</v>
      </c>
      <c r="AG419" s="357" t="s">
        <v>250</v>
      </c>
      <c r="AH419" s="355">
        <v>17</v>
      </c>
    </row>
    <row r="420">
      <c r="A420" s="397"/>
      <c r="B420" s="411" t="s">
        <v>248</v>
      </c>
      <c r="C420" s="411" t="s">
        <v>233</v>
      </c>
      <c r="D420" s="349">
        <v>996.49</v>
      </c>
      <c r="E420" s="350">
        <v>5</v>
      </c>
      <c r="F420" s="350">
        <v>5</v>
      </c>
      <c r="G420" s="350">
        <v>4</v>
      </c>
      <c r="H420" s="349">
        <v>2990.9000000000015</v>
      </c>
      <c r="I420" s="351">
        <f t="shared" si="211"/>
      </c>
      <c r="J420" s="351">
        <f t="shared" si="271"/>
      </c>
      <c r="K420" s="351">
        <f t="shared" si="331"/>
      </c>
      <c r="L420" s="352">
        <f t="shared" si="61"/>
      </c>
      <c r="M420" s="351">
        <f t="shared" si="25"/>
      </c>
      <c r="N420" s="351">
        <f t="shared" si="91"/>
      </c>
      <c r="O420" s="352">
        <f t="shared" si="121"/>
      </c>
      <c r="P420" s="352">
        <f t="shared" si="151"/>
      </c>
      <c r="Q420" s="352">
        <f t="shared" si="181"/>
      </c>
      <c r="R420" s="352">
        <f t="shared" si="241"/>
      </c>
      <c r="S420" s="353">
        <f t="shared" si="301"/>
      </c>
      <c r="T420" s="354">
        <v>0.0506</v>
      </c>
      <c r="U420" s="355">
        <v>41</v>
      </c>
      <c r="V420" s="351">
        <f t="shared" si="361"/>
      </c>
      <c r="W420" s="355">
        <v>6274</v>
      </c>
      <c r="X420" s="355">
        <v>467</v>
      </c>
      <c r="Y420" s="353">
        <v>50</v>
      </c>
      <c r="Z420" s="353">
        <v>617</v>
      </c>
      <c r="AA420" s="353">
        <v>44</v>
      </c>
      <c r="AB420" s="353">
        <v>7</v>
      </c>
      <c r="AC420" s="355">
        <v>1</v>
      </c>
      <c r="AD420" s="355">
        <v>7</v>
      </c>
      <c r="AE420" s="351">
        <f t="shared" si="55"/>
      </c>
      <c r="AF420" s="356" t="s">
        <v>234</v>
      </c>
      <c r="AG420" s="357" t="s">
        <v>250</v>
      </c>
      <c r="AH420" s="355">
        <v>23</v>
      </c>
    </row>
    <row r="421">
      <c r="A421" s="397"/>
      <c r="B421" s="360" t="s">
        <v>240</v>
      </c>
      <c r="C421" s="360"/>
      <c r="D421" s="405">
        <f>SUM(D417:D420)</f>
      </c>
      <c r="E421" s="440">
        <f>SUM(E417:E420)</f>
      </c>
      <c r="F421" s="440">
        <f>SUM(F417:F420)</f>
      </c>
      <c r="G421" s="440">
        <f>SUM(G417:G420)</f>
      </c>
      <c r="H421" s="405">
        <f>SUM(H417:H420)</f>
      </c>
      <c r="I421" s="363">
        <f t="shared" si="211"/>
      </c>
      <c r="J421" s="363">
        <f t="shared" si="271"/>
      </c>
      <c r="K421" s="363">
        <f t="shared" si="331"/>
      </c>
      <c r="L421" s="364">
        <f t="shared" si="61"/>
      </c>
      <c r="M421" s="363">
        <f t="shared" si="25"/>
      </c>
      <c r="N421" s="363">
        <f t="shared" si="91"/>
      </c>
      <c r="O421" s="364">
        <f t="shared" si="121"/>
      </c>
      <c r="P421" s="364">
        <f t="shared" si="151"/>
      </c>
      <c r="Q421" s="364">
        <f t="shared" si="181"/>
      </c>
      <c r="R421" s="364">
        <f t="shared" si="241"/>
      </c>
      <c r="S421" s="365">
        <f t="shared" si="301"/>
      </c>
      <c r="T421" s="364">
        <f>AVERAGE(T417:T420)</f>
      </c>
      <c r="U421" s="361">
        <f>AVERAGE(U417:U420)</f>
      </c>
      <c r="V421" s="363">
        <f t="shared" si="361"/>
      </c>
      <c r="W421" s="365">
        <f>SUM(W417:W420)</f>
      </c>
      <c r="X421" s="365">
        <f>SUM(X417:X420)</f>
      </c>
      <c r="Y421" s="365">
        <f>SUM(Y417:Y420)</f>
      </c>
      <c r="Z421" s="365">
        <f>SUM(Z417:Z420)</f>
      </c>
      <c r="AA421" s="365">
        <f>SUM(AA417:AA420)</f>
      </c>
      <c r="AB421" s="365">
        <f>SUM(AB417:AB420)</f>
      </c>
      <c r="AC421" s="365">
        <f>SUM(AC417:AC420)</f>
      </c>
      <c r="AD421" s="365">
        <f>SUM(AD417:AD420)</f>
      </c>
      <c r="AE421" s="366">
        <f t="shared" si="55"/>
      </c>
      <c r="AF421" s="367"/>
      <c r="AG421" s="367"/>
      <c r="AH421" s="365">
        <f>SUM(AH417:AH420)</f>
      </c>
    </row>
    <row r="422">
      <c r="A422" s="397"/>
      <c r="B422" s="375" t="s">
        <v>249</v>
      </c>
      <c r="C422" s="425" t="s">
        <v>236</v>
      </c>
      <c r="D422" s="412">
        <v>2759.76</v>
      </c>
      <c r="E422" s="413">
        <v>4</v>
      </c>
      <c r="F422" s="413">
        <v>3</v>
      </c>
      <c r="G422" s="414">
        <v>3</v>
      </c>
      <c r="H422" s="415">
        <v>1353</v>
      </c>
      <c r="I422" s="416">
        <f t="shared" si="211"/>
      </c>
      <c r="J422" s="416">
        <f t="shared" si="271"/>
      </c>
      <c r="K422" s="416">
        <f t="shared" si="331"/>
      </c>
      <c r="L422" s="417">
        <f t="shared" si="61"/>
      </c>
      <c r="M422" s="416">
        <f t="shared" si="25"/>
      </c>
      <c r="N422" s="416">
        <f t="shared" si="91"/>
      </c>
      <c r="O422" s="417">
        <f t="shared" si="121"/>
      </c>
      <c r="P422" s="417">
        <f t="shared" si="151"/>
      </c>
      <c r="Q422" s="417">
        <f t="shared" si="181"/>
      </c>
      <c r="R422" s="417">
        <f t="shared" si="241"/>
      </c>
      <c r="S422" s="418">
        <f t="shared" si="301"/>
      </c>
      <c r="T422" s="419">
        <v>0.0842</v>
      </c>
      <c r="U422" s="420">
        <v>40</v>
      </c>
      <c r="V422" s="416">
        <f t="shared" si="361"/>
      </c>
      <c r="W422" s="418">
        <v>19020</v>
      </c>
      <c r="X422" s="418">
        <v>728</v>
      </c>
      <c r="Y422" s="418">
        <v>107</v>
      </c>
      <c r="Z422" s="418">
        <v>904</v>
      </c>
      <c r="AA422" s="418">
        <v>45</v>
      </c>
      <c r="AB422" s="418">
        <v>8</v>
      </c>
      <c r="AC422" s="418">
        <v>2</v>
      </c>
      <c r="AD422" s="418">
        <v>23</v>
      </c>
      <c r="AE422" s="416">
        <f t="shared" si="55"/>
      </c>
      <c r="AF422" s="356" t="s">
        <v>234</v>
      </c>
      <c r="AG422" s="357" t="s">
        <v>250</v>
      </c>
      <c r="AH422" s="420">
        <v>25</v>
      </c>
    </row>
    <row r="423">
      <c r="A423" s="397"/>
      <c r="B423" s="375" t="s">
        <v>249</v>
      </c>
      <c r="C423" s="425" t="s">
        <v>237</v>
      </c>
      <c r="D423" s="423">
        <v>3211.92</v>
      </c>
      <c r="E423" s="424">
        <v>11</v>
      </c>
      <c r="F423" s="424">
        <v>8</v>
      </c>
      <c r="G423" s="424">
        <v>4</v>
      </c>
      <c r="H423" s="415">
        <v>7274.299999999999</v>
      </c>
      <c r="I423" s="416">
        <f t="shared" si="211"/>
      </c>
      <c r="J423" s="416">
        <f t="shared" si="271"/>
      </c>
      <c r="K423" s="416">
        <f t="shared" si="331"/>
      </c>
      <c r="L423" s="417">
        <f t="shared" si="61"/>
      </c>
      <c r="M423" s="416">
        <f t="shared" si="25"/>
      </c>
      <c r="N423" s="416">
        <f t="shared" si="91"/>
      </c>
      <c r="O423" s="417">
        <f t="shared" si="121"/>
      </c>
      <c r="P423" s="417">
        <f t="shared" si="151"/>
      </c>
      <c r="Q423" s="417">
        <f t="shared" si="181"/>
      </c>
      <c r="R423" s="417">
        <f t="shared" si="241"/>
      </c>
      <c r="S423" s="418">
        <f t="shared" si="301"/>
      </c>
      <c r="T423" s="419">
        <v>0.089</v>
      </c>
      <c r="U423" s="420">
        <v>40</v>
      </c>
      <c r="V423" s="416">
        <f t="shared" si="361"/>
      </c>
      <c r="W423" s="418">
        <v>21236</v>
      </c>
      <c r="X423" s="418">
        <v>714</v>
      </c>
      <c r="Y423" s="418">
        <v>116</v>
      </c>
      <c r="Z423" s="418">
        <v>896</v>
      </c>
      <c r="AA423" s="418">
        <v>64</v>
      </c>
      <c r="AB423" s="418">
        <v>12</v>
      </c>
      <c r="AC423" s="418">
        <v>0</v>
      </c>
      <c r="AD423" s="418">
        <v>22</v>
      </c>
      <c r="AE423" s="416">
        <f t="shared" si="55"/>
      </c>
      <c r="AF423" s="356" t="s">
        <v>234</v>
      </c>
      <c r="AG423" s="357" t="s">
        <v>250</v>
      </c>
      <c r="AH423" s="420">
        <v>33</v>
      </c>
    </row>
    <row r="424">
      <c r="A424" s="397"/>
      <c r="B424" s="375" t="s">
        <v>249</v>
      </c>
      <c r="C424" s="425" t="s">
        <v>238</v>
      </c>
      <c r="D424" s="412">
        <v>2041.56</v>
      </c>
      <c r="E424" s="424">
        <v>4</v>
      </c>
      <c r="F424" s="424">
        <v>3</v>
      </c>
      <c r="G424" s="424">
        <v>3</v>
      </c>
      <c r="H424" s="412">
        <v>1353</v>
      </c>
      <c r="I424" s="416">
        <f t="shared" si="211"/>
      </c>
      <c r="J424" s="416">
        <f t="shared" si="271"/>
      </c>
      <c r="K424" s="416">
        <f t="shared" si="331"/>
      </c>
      <c r="L424" s="417">
        <f t="shared" si="61"/>
      </c>
      <c r="M424" s="416">
        <f t="shared" si="25"/>
      </c>
      <c r="N424" s="416">
        <f t="shared" si="91"/>
      </c>
      <c r="O424" s="417">
        <f t="shared" si="121"/>
      </c>
      <c r="P424" s="417">
        <f t="shared" si="151"/>
      </c>
      <c r="Q424" s="417">
        <f t="shared" si="181"/>
      </c>
      <c r="R424" s="417">
        <f t="shared" si="241"/>
      </c>
      <c r="S424" s="418">
        <f t="shared" si="301"/>
      </c>
      <c r="T424" s="419">
        <v>0.0531</v>
      </c>
      <c r="U424" s="420">
        <v>39</v>
      </c>
      <c r="V424" s="416">
        <f t="shared" si="361"/>
      </c>
      <c r="W424" s="418">
        <v>13201</v>
      </c>
      <c r="X424" s="418">
        <v>734</v>
      </c>
      <c r="Y424" s="418">
        <v>82</v>
      </c>
      <c r="Z424" s="418">
        <v>887</v>
      </c>
      <c r="AA424" s="418">
        <v>46</v>
      </c>
      <c r="AB424" s="418">
        <v>5</v>
      </c>
      <c r="AC424" s="418">
        <v>1</v>
      </c>
      <c r="AD424" s="418">
        <v>12</v>
      </c>
      <c r="AE424" s="416">
        <f t="shared" si="55"/>
      </c>
      <c r="AF424" s="356" t="s">
        <v>234</v>
      </c>
      <c r="AG424" s="357" t="s">
        <v>250</v>
      </c>
      <c r="AH424" s="420">
        <v>21</v>
      </c>
    </row>
    <row r="425">
      <c r="A425" s="397"/>
      <c r="B425" s="375" t="s">
        <v>249</v>
      </c>
      <c r="C425" s="425" t="s">
        <v>239</v>
      </c>
      <c r="D425" s="412">
        <v>1140.54</v>
      </c>
      <c r="E425" s="414">
        <v>4</v>
      </c>
      <c r="F425" s="414">
        <v>3</v>
      </c>
      <c r="G425" s="414">
        <v>3</v>
      </c>
      <c r="H425" s="412">
        <v>1353</v>
      </c>
      <c r="I425" s="416">
        <f t="shared" si="211"/>
      </c>
      <c r="J425" s="416">
        <f t="shared" si="271"/>
      </c>
      <c r="K425" s="416">
        <f t="shared" si="331"/>
      </c>
      <c r="L425" s="417">
        <f t="shared" si="61"/>
      </c>
      <c r="M425" s="416">
        <f t="shared" si="25"/>
      </c>
      <c r="N425" s="416">
        <f t="shared" si="91"/>
      </c>
      <c r="O425" s="417">
        <f t="shared" si="121"/>
      </c>
      <c r="P425" s="417">
        <f t="shared" si="151"/>
      </c>
      <c r="Q425" s="417">
        <f t="shared" si="181"/>
      </c>
      <c r="R425" s="417">
        <f t="shared" si="241"/>
      </c>
      <c r="S425" s="418">
        <f t="shared" si="301"/>
      </c>
      <c r="T425" s="419">
        <v>0.0579</v>
      </c>
      <c r="U425" s="420">
        <v>39</v>
      </c>
      <c r="V425" s="416">
        <f t="shared" si="361"/>
      </c>
      <c r="W425" s="418">
        <v>7806</v>
      </c>
      <c r="X425" s="418">
        <v>408</v>
      </c>
      <c r="Y425" s="418">
        <v>49</v>
      </c>
      <c r="Z425" s="418">
        <v>538</v>
      </c>
      <c r="AA425" s="418">
        <v>25</v>
      </c>
      <c r="AB425" s="418">
        <v>3</v>
      </c>
      <c r="AC425" s="418">
        <v>0</v>
      </c>
      <c r="AD425" s="418">
        <v>10</v>
      </c>
      <c r="AE425" s="416">
        <f t="shared" si="55"/>
      </c>
      <c r="AF425" s="356" t="s">
        <v>234</v>
      </c>
      <c r="AG425" s="357" t="s">
        <v>250</v>
      </c>
      <c r="AH425" s="420">
        <v>10</v>
      </c>
    </row>
    <row r="426">
      <c r="A426" s="397"/>
      <c r="B426" s="427" t="s">
        <v>240</v>
      </c>
      <c r="C426" s="427"/>
      <c r="D426" s="428">
        <f>SUM(D422:D425)</f>
      </c>
      <c r="E426" s="429">
        <f>SUM(E422:E425)</f>
      </c>
      <c r="F426" s="429">
        <f>SUM(F422:F425)</f>
      </c>
      <c r="G426" s="429">
        <f>SUM(G422:G425)</f>
      </c>
      <c r="H426" s="428">
        <f>SUM(H422:H425)</f>
      </c>
      <c r="I426" s="430">
        <f t="shared" si="211"/>
      </c>
      <c r="J426" s="430">
        <f t="shared" si="271"/>
      </c>
      <c r="K426" s="430">
        <f t="shared" si="331"/>
      </c>
      <c r="L426" s="431">
        <f t="shared" si="61"/>
      </c>
      <c r="M426" s="430">
        <f t="shared" si="25"/>
      </c>
      <c r="N426" s="430">
        <f t="shared" si="91"/>
      </c>
      <c r="O426" s="431">
        <f t="shared" si="121"/>
      </c>
      <c r="P426" s="431">
        <f t="shared" si="151"/>
      </c>
      <c r="Q426" s="431">
        <f t="shared" si="181"/>
      </c>
      <c r="R426" s="431">
        <f t="shared" si="241"/>
      </c>
      <c r="S426" s="432">
        <f t="shared" si="301"/>
      </c>
      <c r="T426" s="431">
        <f>AVERAGE(T422:T425)</f>
      </c>
      <c r="U426" s="428">
        <f>AVERAGE(U422:U425)</f>
      </c>
      <c r="V426" s="430">
        <f t="shared" si="361"/>
      </c>
      <c r="W426" s="432">
        <f>SUM(W422:W425)</f>
      </c>
      <c r="X426" s="432">
        <f>SUM(X422:X425)</f>
      </c>
      <c r="Y426" s="432">
        <f>SUM(Y422:Y425)</f>
      </c>
      <c r="Z426" s="432">
        <f>SUM(Z422:Z425)</f>
      </c>
      <c r="AA426" s="432">
        <f>SUM(AA422:AA425)</f>
      </c>
      <c r="AB426" s="432">
        <f>SUM(AB422:AB425)</f>
      </c>
      <c r="AC426" s="432">
        <f>SUM(AC422:AC425)</f>
      </c>
      <c r="AD426" s="432">
        <f>SUM(AD422:AD425)</f>
      </c>
      <c r="AE426" s="433">
        <f t="shared" si="55"/>
      </c>
      <c r="AF426" s="434"/>
      <c r="AG426" s="434"/>
      <c r="AH426" s="435">
        <f>SUM(AH422:AH425)</f>
      </c>
    </row>
    <row r="427">
      <c r="A427" s="397"/>
      <c r="B427" s="369" t="s">
        <v>241</v>
      </c>
      <c r="C427" s="369"/>
      <c r="D427" s="441">
        <f>D411+D416+D421+D426</f>
      </c>
      <c r="E427" s="441">
        <f>E411+E416+E421+E426</f>
      </c>
      <c r="F427" s="441">
        <f>F411+F416+F421+F426</f>
      </c>
      <c r="G427" s="441">
        <f>G411+G416+G421+G426</f>
      </c>
      <c r="H427" s="441">
        <f>H411+H416+H421+H426</f>
      </c>
      <c r="I427" s="442">
        <f t="shared" si="211"/>
      </c>
      <c r="J427" s="372">
        <f t="shared" si="271"/>
      </c>
      <c r="K427" s="372">
        <f t="shared" si="331"/>
      </c>
      <c r="L427" s="373">
        <f t="shared" si="61"/>
      </c>
      <c r="M427" s="372">
        <f t="shared" si="25"/>
      </c>
      <c r="N427" s="372">
        <f t="shared" si="91"/>
      </c>
      <c r="O427" s="373">
        <f t="shared" si="121"/>
      </c>
      <c r="P427" s="373">
        <f t="shared" si="151"/>
      </c>
      <c r="Q427" s="373">
        <f t="shared" si="181"/>
      </c>
      <c r="R427" s="373">
        <f t="shared" si="241"/>
      </c>
      <c r="S427" s="374">
        <f t="shared" si="301"/>
      </c>
      <c r="T427" s="373">
        <f>(T411+T421+T416+T426)/4</f>
      </c>
      <c r="U427" s="479">
        <f>(U411+U421+U416+U426)/4</f>
      </c>
      <c r="V427" s="370">
        <f t="shared" si="361"/>
      </c>
      <c r="W427" s="374">
        <f>W411+W416+W421+W426</f>
      </c>
      <c r="X427" s="374">
        <f>X411+X416+X421+X426</f>
      </c>
      <c r="Y427" s="374">
        <f>Y411+Y416+Y421+Y426</f>
      </c>
      <c r="Z427" s="374">
        <f>Z411+Z416+Z421+Z426</f>
      </c>
      <c r="AA427" s="374">
        <f>AA411+AA416+AA421+AA426</f>
      </c>
      <c r="AB427" s="374">
        <f>AB411+AB416+AB421+AB426</f>
      </c>
      <c r="AC427" s="374">
        <f>AC411+AC416+AC421+AC426</f>
      </c>
      <c r="AD427" s="374">
        <f>AD411+AD416+AD421+AD426</f>
      </c>
      <c r="AE427" s="372">
        <f>AE411</f>
      </c>
      <c r="AF427" s="369"/>
      <c r="AG427" s="369"/>
      <c r="AH427" s="374">
        <f>AH411+AH416+AH421+AH426</f>
      </c>
    </row>
    <row r="428">
      <c r="A428" s="380" t="s">
        <v>197</v>
      </c>
      <c r="B428" s="396" t="s">
        <v>198</v>
      </c>
      <c r="C428" s="396"/>
      <c r="D428" s="381" t="s">
        <v>199</v>
      </c>
      <c r="E428" s="381"/>
      <c r="F428" s="381"/>
      <c r="G428" s="381"/>
      <c r="H428" s="381"/>
      <c r="I428" s="381"/>
      <c r="J428" s="381"/>
      <c r="K428" s="381"/>
      <c r="L428" s="381"/>
      <c r="M428" s="381"/>
      <c r="N428" s="382" t="s">
        <v>200</v>
      </c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  <c r="AA428" s="382"/>
      <c r="AB428" s="382"/>
      <c r="AC428" s="382"/>
      <c r="AD428" s="382"/>
      <c r="AE428" s="382"/>
      <c r="AF428" s="382"/>
      <c r="AG428" s="382"/>
      <c r="AH428" s="340"/>
    </row>
    <row r="429">
      <c r="A429" s="380"/>
      <c r="B429" s="396" t="s">
        <v>201</v>
      </c>
      <c r="C429" s="398" t="s">
        <v>202</v>
      </c>
      <c r="D429" s="399" t="s">
        <v>203</v>
      </c>
      <c r="E429" s="477" t="s">
        <v>266</v>
      </c>
      <c r="F429" s="391" t="s">
        <v>204</v>
      </c>
      <c r="G429" s="391" t="s">
        <v>205</v>
      </c>
      <c r="H429" s="399" t="s">
        <v>206</v>
      </c>
      <c r="I429" s="384" t="s">
        <v>207</v>
      </c>
      <c r="J429" s="384" t="s">
        <v>208</v>
      </c>
      <c r="K429" s="384" t="s">
        <v>209</v>
      </c>
      <c r="L429" s="478" t="s">
        <v>267</v>
      </c>
      <c r="M429" s="384" t="s">
        <v>210</v>
      </c>
      <c r="N429" s="385" t="s">
        <v>211</v>
      </c>
      <c r="O429" s="386" t="s">
        <v>212</v>
      </c>
      <c r="P429" s="386" t="s">
        <v>213</v>
      </c>
      <c r="Q429" s="386" t="s">
        <v>214</v>
      </c>
      <c r="R429" s="386" t="s">
        <v>215</v>
      </c>
      <c r="S429" s="387" t="s">
        <v>216</v>
      </c>
      <c r="T429" s="392" t="s">
        <v>217</v>
      </c>
      <c r="U429" s="393" t="s">
        <v>218</v>
      </c>
      <c r="V429" s="382" t="s">
        <v>219</v>
      </c>
      <c r="W429" s="394" t="s">
        <v>220</v>
      </c>
      <c r="X429" s="394" t="s">
        <v>221</v>
      </c>
      <c r="Y429" s="394" t="s">
        <v>222</v>
      </c>
      <c r="Z429" s="394" t="s">
        <v>223</v>
      </c>
      <c r="AA429" s="394" t="s">
        <v>224</v>
      </c>
      <c r="AB429" s="394" t="s">
        <v>225</v>
      </c>
      <c r="AC429" s="394" t="s">
        <v>226</v>
      </c>
      <c r="AD429" s="394" t="s">
        <v>227</v>
      </c>
      <c r="AE429" s="382" t="s">
        <v>228</v>
      </c>
      <c r="AF429" s="389" t="s">
        <v>229</v>
      </c>
      <c r="AG429" s="389" t="s">
        <v>230</v>
      </c>
      <c r="AH429" s="340" t="s">
        <v>231</v>
      </c>
    </row>
    <row r="430">
      <c r="A430" s="397">
        <v>46170</v>
      </c>
      <c r="B430" s="411" t="s">
        <v>232</v>
      </c>
      <c r="C430" s="400" t="s">
        <v>264</v>
      </c>
      <c r="D430" s="349">
        <v>2053.15</v>
      </c>
      <c r="E430" s="350">
        <v>6</v>
      </c>
      <c r="F430" s="350">
        <v>4</v>
      </c>
      <c r="G430" s="350">
        <v>4</v>
      </c>
      <c r="H430" s="349">
        <v>3949</v>
      </c>
      <c r="I430" s="436">
        <f t="shared" ref="I430:I451" si="212">H430/D430</f>
      </c>
      <c r="J430" s="351">
        <f t="shared" ref="J430:J451" si="272">D430/F430</f>
      </c>
      <c r="K430" s="351">
        <f t="shared" ref="K430:K451" si="332">D430/G430</f>
      </c>
      <c r="L430" s="352">
        <f t="shared" ref="L430:L451" si="62">F430/E430</f>
      </c>
      <c r="M430" s="351">
        <f t="shared" ref="M430:M451" si="26">H430/F430</f>
      </c>
      <c r="N430" s="351">
        <f t="shared" ref="N430:N451" si="92">D430/X430</f>
      </c>
      <c r="O430" s="352">
        <f t="shared" ref="O430:O451" si="122">S430/W430*1</f>
      </c>
      <c r="P430" s="352">
        <f t="shared" ref="P430:P451" si="152">X430/W430</f>
      </c>
      <c r="Q430" s="352">
        <f t="shared" ref="Q430:Q451" si="182">Z430/W430</f>
      </c>
      <c r="R430" s="352">
        <f t="shared" ref="R430:R451" si="242">AA430/Z430</f>
      </c>
      <c r="S430" s="353">
        <f t="shared" ref="S430:S451" si="302">Y430/T430</f>
      </c>
      <c r="T430" s="354">
        <v>0.0477</v>
      </c>
      <c r="U430" s="355">
        <v>42</v>
      </c>
      <c r="V430" s="351">
        <v>41</v>
      </c>
      <c r="W430" s="355">
        <v>11261</v>
      </c>
      <c r="X430" s="355">
        <v>564</v>
      </c>
      <c r="Y430" s="353">
        <v>87</v>
      </c>
      <c r="Z430" s="353">
        <v>805</v>
      </c>
      <c r="AA430" s="353">
        <v>58</v>
      </c>
      <c r="AB430" s="353">
        <v>5</v>
      </c>
      <c r="AC430" s="353">
        <v>0</v>
      </c>
      <c r="AD430" s="355">
        <v>16</v>
      </c>
      <c r="AE430" s="351">
        <f t="shared" ref="AE430:AE450" si="56">AH430*1000/D430</f>
      </c>
      <c r="AF430" s="356" t="s">
        <v>253</v>
      </c>
      <c r="AG430" s="451" t="s">
        <v>259</v>
      </c>
      <c r="AH430" s="355">
        <v>31</v>
      </c>
    </row>
    <row r="431">
      <c r="A431" s="397"/>
      <c r="B431" s="411" t="s">
        <v>232</v>
      </c>
      <c r="C431" s="400" t="s">
        <v>252</v>
      </c>
      <c r="D431" s="349">
        <v>2084.24</v>
      </c>
      <c r="E431" s="350">
        <v>13</v>
      </c>
      <c r="F431" s="350">
        <v>6</v>
      </c>
      <c r="G431" s="350">
        <v>4</v>
      </c>
      <c r="H431" s="349">
        <v>4083.2</v>
      </c>
      <c r="I431" s="436">
        <f t="shared" si="212"/>
      </c>
      <c r="J431" s="351">
        <f t="shared" si="272"/>
      </c>
      <c r="K431" s="351">
        <f t="shared" si="332"/>
      </c>
      <c r="L431" s="352">
        <f t="shared" si="62"/>
      </c>
      <c r="M431" s="351">
        <f t="shared" si="26"/>
      </c>
      <c r="N431" s="351">
        <f t="shared" si="92"/>
      </c>
      <c r="O431" s="352">
        <f t="shared" si="122"/>
      </c>
      <c r="P431" s="352">
        <f t="shared" si="152"/>
      </c>
      <c r="Q431" s="352">
        <f t="shared" si="182"/>
      </c>
      <c r="R431" s="352">
        <f t="shared" si="242"/>
      </c>
      <c r="S431" s="353">
        <f t="shared" si="302"/>
      </c>
      <c r="T431" s="354">
        <v>0.0554</v>
      </c>
      <c r="U431" s="355">
        <v>50</v>
      </c>
      <c r="V431" s="351">
        <f t="shared" ref="V431:V451" si="362">(D431/W431)*1000</f>
      </c>
      <c r="W431" s="355">
        <v>12245</v>
      </c>
      <c r="X431" s="355">
        <v>541</v>
      </c>
      <c r="Y431" s="353">
        <v>73</v>
      </c>
      <c r="Z431" s="353">
        <v>752</v>
      </c>
      <c r="AA431" s="355">
        <v>111</v>
      </c>
      <c r="AB431" s="353">
        <v>13</v>
      </c>
      <c r="AC431" s="355">
        <v>0</v>
      </c>
      <c r="AD431" s="355">
        <v>10</v>
      </c>
      <c r="AE431" s="351">
        <f t="shared" si="56"/>
      </c>
      <c r="AF431" s="356" t="s">
        <v>253</v>
      </c>
      <c r="AG431" s="451" t="s">
        <v>259</v>
      </c>
      <c r="AH431" s="355">
        <v>33</v>
      </c>
    </row>
    <row r="432">
      <c r="A432" s="397"/>
      <c r="B432" s="411" t="s">
        <v>232</v>
      </c>
      <c r="C432" s="437" t="s">
        <v>255</v>
      </c>
      <c r="D432" s="349">
        <v>1954.78</v>
      </c>
      <c r="E432" s="350">
        <v>3</v>
      </c>
      <c r="F432" s="350">
        <v>3</v>
      </c>
      <c r="G432" s="350">
        <v>3</v>
      </c>
      <c r="H432" s="349">
        <v>2808.3</v>
      </c>
      <c r="I432" s="436">
        <f t="shared" si="212"/>
      </c>
      <c r="J432" s="351">
        <f t="shared" si="272"/>
      </c>
      <c r="K432" s="351">
        <f t="shared" si="332"/>
      </c>
      <c r="L432" s="352">
        <f t="shared" si="62"/>
      </c>
      <c r="M432" s="351">
        <f t="shared" si="26"/>
      </c>
      <c r="N432" s="351">
        <f t="shared" si="92"/>
      </c>
      <c r="O432" s="352">
        <f t="shared" si="122"/>
      </c>
      <c r="P432" s="352">
        <f t="shared" si="152"/>
      </c>
      <c r="Q432" s="352">
        <f t="shared" si="182"/>
      </c>
      <c r="R432" s="352">
        <f t="shared" si="242"/>
      </c>
      <c r="S432" s="353">
        <f t="shared" si="302"/>
      </c>
      <c r="T432" s="354">
        <v>0.0768</v>
      </c>
      <c r="U432" s="355">
        <v>48</v>
      </c>
      <c r="V432" s="351">
        <f t="shared" si="362"/>
      </c>
      <c r="W432" s="355">
        <v>11754</v>
      </c>
      <c r="X432" s="355">
        <v>463</v>
      </c>
      <c r="Y432" s="353">
        <v>72</v>
      </c>
      <c r="Z432" s="353">
        <v>641</v>
      </c>
      <c r="AA432" s="355">
        <v>63</v>
      </c>
      <c r="AB432" s="353">
        <v>7</v>
      </c>
      <c r="AC432" s="355">
        <v>1</v>
      </c>
      <c r="AD432" s="355">
        <v>14</v>
      </c>
      <c r="AE432" s="351">
        <f t="shared" si="56"/>
      </c>
      <c r="AF432" s="356" t="s">
        <v>253</v>
      </c>
      <c r="AG432" s="451" t="s">
        <v>259</v>
      </c>
      <c r="AH432" s="355">
        <v>23</v>
      </c>
    </row>
    <row r="433">
      <c r="A433" s="397"/>
      <c r="B433" s="411" t="s">
        <v>232</v>
      </c>
      <c r="C433" s="400" t="s">
        <v>256</v>
      </c>
      <c r="D433" s="349">
        <v>1156.65</v>
      </c>
      <c r="E433" s="350">
        <v>2</v>
      </c>
      <c r="F433" s="350">
        <v>1</v>
      </c>
      <c r="G433" s="350">
        <v>0</v>
      </c>
      <c r="H433" s="349">
        <v>856.8999999999996</v>
      </c>
      <c r="I433" s="436">
        <f t="shared" si="212"/>
      </c>
      <c r="J433" s="351">
        <f t="shared" si="272"/>
      </c>
      <c r="K433" s="351">
        <f t="shared" si="332"/>
      </c>
      <c r="L433" s="352">
        <f t="shared" si="62"/>
      </c>
      <c r="M433" s="351">
        <f t="shared" si="26"/>
      </c>
      <c r="N433" s="351">
        <f t="shared" si="92"/>
      </c>
      <c r="O433" s="352">
        <f t="shared" si="122"/>
      </c>
      <c r="P433" s="352">
        <f t="shared" si="152"/>
      </c>
      <c r="Q433" s="352">
        <f t="shared" si="182"/>
      </c>
      <c r="R433" s="352">
        <f t="shared" si="242"/>
      </c>
      <c r="S433" s="353">
        <f t="shared" si="302"/>
      </c>
      <c r="T433" s="354">
        <v>0.0635</v>
      </c>
      <c r="U433" s="355">
        <v>45</v>
      </c>
      <c r="V433" s="351">
        <f t="shared" si="362"/>
      </c>
      <c r="W433" s="355">
        <v>6967</v>
      </c>
      <c r="X433" s="355">
        <v>420</v>
      </c>
      <c r="Y433" s="355">
        <v>51</v>
      </c>
      <c r="Z433" s="355">
        <v>534</v>
      </c>
      <c r="AA433" s="355">
        <v>28</v>
      </c>
      <c r="AB433" s="355">
        <v>5</v>
      </c>
      <c r="AC433" s="355">
        <v>0</v>
      </c>
      <c r="AD433" s="355">
        <v>8</v>
      </c>
      <c r="AE433" s="351">
        <f t="shared" si="56"/>
      </c>
      <c r="AF433" s="356" t="s">
        <v>253</v>
      </c>
      <c r="AG433" s="451" t="s">
        <v>259</v>
      </c>
      <c r="AH433" s="355">
        <v>17</v>
      </c>
    </row>
    <row r="434">
      <c r="A434" s="397"/>
      <c r="B434" s="411" t="s">
        <v>232</v>
      </c>
      <c r="C434" s="348" t="s">
        <v>257</v>
      </c>
      <c r="D434" s="438">
        <v>802.33</v>
      </c>
      <c r="E434" s="379">
        <v>1</v>
      </c>
      <c r="F434" s="379">
        <v>1</v>
      </c>
      <c r="G434" s="379">
        <v>1</v>
      </c>
      <c r="H434" s="438">
        <v>451</v>
      </c>
      <c r="I434" s="351">
        <f t="shared" si="212"/>
      </c>
      <c r="J434" s="351">
        <f t="shared" si="272"/>
      </c>
      <c r="K434" s="351">
        <f t="shared" si="332"/>
      </c>
      <c r="L434" s="352">
        <f t="shared" si="62"/>
      </c>
      <c r="M434" s="351">
        <f t="shared" si="26"/>
      </c>
      <c r="N434" s="351">
        <f t="shared" si="92"/>
      </c>
      <c r="O434" s="352">
        <f t="shared" si="122"/>
      </c>
      <c r="P434" s="352">
        <f t="shared" si="152"/>
      </c>
      <c r="Q434" s="352">
        <f t="shared" si="182"/>
      </c>
      <c r="R434" s="352">
        <f t="shared" si="242"/>
      </c>
      <c r="S434" s="353">
        <f t="shared" si="302"/>
      </c>
      <c r="T434" s="354">
        <v>0.0325</v>
      </c>
      <c r="U434" s="355">
        <v>42</v>
      </c>
      <c r="V434" s="351">
        <f t="shared" si="362"/>
      </c>
      <c r="W434" s="353">
        <v>4591</v>
      </c>
      <c r="X434" s="353">
        <v>400</v>
      </c>
      <c r="Y434" s="353">
        <v>25</v>
      </c>
      <c r="Z434" s="353">
        <v>506</v>
      </c>
      <c r="AA434" s="353">
        <v>10</v>
      </c>
      <c r="AB434" s="353">
        <v>2</v>
      </c>
      <c r="AC434" s="353">
        <v>0</v>
      </c>
      <c r="AD434" s="353">
        <v>6</v>
      </c>
      <c r="AE434" s="351">
        <f t="shared" si="56"/>
      </c>
      <c r="AF434" s="356" t="s">
        <v>253</v>
      </c>
      <c r="AG434" s="451" t="s">
        <v>259</v>
      </c>
      <c r="AH434" s="355">
        <v>5</v>
      </c>
    </row>
    <row r="435">
      <c r="A435" s="397"/>
      <c r="B435" s="360" t="s">
        <v>240</v>
      </c>
      <c r="C435" s="360"/>
      <c r="D435" s="361">
        <f>SUM(D430:D434)</f>
      </c>
      <c r="E435" s="365">
        <f>SUM(E430:E434)</f>
      </c>
      <c r="F435" s="365">
        <f>SUM(F430:F434)</f>
      </c>
      <c r="G435" s="365">
        <f>SUM(G430:G434)</f>
      </c>
      <c r="H435" s="361">
        <f>SUM(H430:H434)</f>
      </c>
      <c r="I435" s="363">
        <f t="shared" si="212"/>
      </c>
      <c r="J435" s="363">
        <f t="shared" si="272"/>
      </c>
      <c r="K435" s="363">
        <f t="shared" si="332"/>
      </c>
      <c r="L435" s="364">
        <f t="shared" si="62"/>
      </c>
      <c r="M435" s="363">
        <f t="shared" si="26"/>
      </c>
      <c r="N435" s="363">
        <f t="shared" si="92"/>
      </c>
      <c r="O435" s="364">
        <f t="shared" si="122"/>
      </c>
      <c r="P435" s="364">
        <f t="shared" si="152"/>
      </c>
      <c r="Q435" s="364">
        <f t="shared" si="182"/>
      </c>
      <c r="R435" s="364">
        <f t="shared" si="242"/>
      </c>
      <c r="S435" s="365">
        <f t="shared" si="302"/>
      </c>
      <c r="T435" s="364">
        <f>AVERAGE(T430:T434)</f>
      </c>
      <c r="U435" s="361">
        <f>AVERAGE(U430:U434)</f>
      </c>
      <c r="V435" s="363">
        <f t="shared" si="362"/>
      </c>
      <c r="W435" s="365">
        <f>SUM(W430:W434)</f>
      </c>
      <c r="X435" s="365">
        <f>SUM(X430:X434)</f>
      </c>
      <c r="Y435" s="365">
        <f>SUM(Y430:Y434)</f>
      </c>
      <c r="Z435" s="365">
        <f>SUM(Z430:Z434)</f>
      </c>
      <c r="AA435" s="365">
        <f>SUM(AA430:AA434)</f>
      </c>
      <c r="AB435" s="365">
        <f>SUM(AB430:AB434)</f>
      </c>
      <c r="AC435" s="365">
        <f>SUM(AC430:AC434)</f>
      </c>
      <c r="AD435" s="365">
        <f>SUM(AD430:AD434)</f>
      </c>
      <c r="AE435" s="366">
        <f t="shared" si="56"/>
      </c>
      <c r="AF435" s="367"/>
      <c r="AG435" s="367"/>
      <c r="AH435" s="368">
        <f>SUM(AH430:AH434)</f>
      </c>
    </row>
    <row r="436">
      <c r="A436" s="397"/>
      <c r="B436" s="425" t="s">
        <v>265</v>
      </c>
      <c r="C436" s="411" t="s">
        <v>258</v>
      </c>
      <c r="D436" s="426">
        <v>1044.42</v>
      </c>
      <c r="E436" s="413">
        <v>3</v>
      </c>
      <c r="F436" s="413">
        <v>3</v>
      </c>
      <c r="G436" s="414">
        <v>3</v>
      </c>
      <c r="H436" s="475">
        <v>1683</v>
      </c>
      <c r="I436" s="416">
        <f t="shared" si="212"/>
      </c>
      <c r="J436" s="416">
        <f t="shared" si="272"/>
      </c>
      <c r="K436" s="416">
        <f t="shared" si="332"/>
      </c>
      <c r="L436" s="417">
        <f t="shared" si="62"/>
      </c>
      <c r="M436" s="416">
        <f t="shared" si="26"/>
      </c>
      <c r="N436" s="416">
        <f t="shared" si="92"/>
      </c>
      <c r="O436" s="417">
        <f t="shared" si="122"/>
      </c>
      <c r="P436" s="417">
        <f t="shared" si="152"/>
      </c>
      <c r="Q436" s="417">
        <f t="shared" si="182"/>
      </c>
      <c r="R436" s="417">
        <f t="shared" si="242"/>
      </c>
      <c r="S436" s="418">
        <f t="shared" si="302"/>
      </c>
      <c r="T436" s="419">
        <v>0.0399</v>
      </c>
      <c r="U436" s="420">
        <v>41</v>
      </c>
      <c r="V436" s="416">
        <f t="shared" si="362"/>
      </c>
      <c r="W436" s="418">
        <v>6692</v>
      </c>
      <c r="X436" s="418">
        <v>553</v>
      </c>
      <c r="Y436" s="418">
        <v>42</v>
      </c>
      <c r="Z436" s="418">
        <v>663</v>
      </c>
      <c r="AA436" s="418">
        <v>47</v>
      </c>
      <c r="AB436" s="418">
        <v>0</v>
      </c>
      <c r="AC436" s="418">
        <v>0</v>
      </c>
      <c r="AD436" s="418">
        <v>4</v>
      </c>
      <c r="AE436" s="416">
        <f t="shared" si="56"/>
      </c>
      <c r="AF436" s="356" t="s">
        <v>253</v>
      </c>
      <c r="AG436" s="451" t="s">
        <v>259</v>
      </c>
      <c r="AH436" s="420">
        <v>16</v>
      </c>
    </row>
    <row r="437">
      <c r="A437" s="397"/>
      <c r="B437" s="425" t="s">
        <v>265</v>
      </c>
      <c r="C437" s="422" t="s">
        <v>260</v>
      </c>
      <c r="D437" s="439">
        <v>1259.48</v>
      </c>
      <c r="E437" s="424">
        <v>6</v>
      </c>
      <c r="F437" s="424">
        <v>4</v>
      </c>
      <c r="G437" s="424">
        <v>4</v>
      </c>
      <c r="H437" s="475">
        <v>3166.8999999999996</v>
      </c>
      <c r="I437" s="416">
        <f t="shared" si="212"/>
      </c>
      <c r="J437" s="416">
        <f t="shared" si="272"/>
      </c>
      <c r="K437" s="416">
        <f t="shared" si="332"/>
      </c>
      <c r="L437" s="417">
        <f t="shared" si="62"/>
      </c>
      <c r="M437" s="416">
        <f t="shared" si="26"/>
      </c>
      <c r="N437" s="416">
        <f t="shared" si="92"/>
      </c>
      <c r="O437" s="417">
        <f t="shared" si="122"/>
      </c>
      <c r="P437" s="417">
        <f t="shared" si="152"/>
      </c>
      <c r="Q437" s="417">
        <f t="shared" si="182"/>
      </c>
      <c r="R437" s="417">
        <f t="shared" si="242"/>
      </c>
      <c r="S437" s="418">
        <f t="shared" si="302"/>
      </c>
      <c r="T437" s="419">
        <v>0.0528</v>
      </c>
      <c r="U437" s="420">
        <v>42</v>
      </c>
      <c r="V437" s="416">
        <f t="shared" si="362"/>
      </c>
      <c r="W437" s="418">
        <v>8681</v>
      </c>
      <c r="X437" s="418">
        <v>593</v>
      </c>
      <c r="Y437" s="418">
        <v>58</v>
      </c>
      <c r="Z437" s="418">
        <v>707</v>
      </c>
      <c r="AA437" s="418">
        <v>89</v>
      </c>
      <c r="AB437" s="418">
        <v>6</v>
      </c>
      <c r="AC437" s="418">
        <v>1</v>
      </c>
      <c r="AD437" s="418">
        <v>8</v>
      </c>
      <c r="AE437" s="416">
        <f t="shared" si="56"/>
      </c>
      <c r="AF437" s="356" t="s">
        <v>253</v>
      </c>
      <c r="AG437" s="451" t="s">
        <v>259</v>
      </c>
      <c r="AH437" s="420">
        <v>20</v>
      </c>
    </row>
    <row r="438">
      <c r="A438" s="397"/>
      <c r="B438" s="425" t="s">
        <v>265</v>
      </c>
      <c r="C438" s="411" t="s">
        <v>261</v>
      </c>
      <c r="D438" s="426">
        <v>1642.25</v>
      </c>
      <c r="E438" s="424">
        <v>9</v>
      </c>
      <c r="F438" s="424">
        <v>8</v>
      </c>
      <c r="G438" s="424">
        <v>7</v>
      </c>
      <c r="H438" s="426">
        <v>4855.950000000001</v>
      </c>
      <c r="I438" s="416">
        <f t="shared" si="212"/>
      </c>
      <c r="J438" s="416">
        <f t="shared" si="272"/>
      </c>
      <c r="K438" s="416">
        <f t="shared" si="332"/>
      </c>
      <c r="L438" s="417">
        <f t="shared" si="62"/>
      </c>
      <c r="M438" s="416">
        <f t="shared" si="26"/>
      </c>
      <c r="N438" s="416">
        <f t="shared" si="92"/>
      </c>
      <c r="O438" s="417">
        <f t="shared" si="122"/>
      </c>
      <c r="P438" s="417">
        <f t="shared" si="152"/>
      </c>
      <c r="Q438" s="417">
        <f t="shared" si="182"/>
      </c>
      <c r="R438" s="417">
        <f t="shared" si="242"/>
      </c>
      <c r="S438" s="418">
        <f t="shared" si="302"/>
      </c>
      <c r="T438" s="419">
        <v>0.054</v>
      </c>
      <c r="U438" s="420">
        <v>45</v>
      </c>
      <c r="V438" s="416">
        <f t="shared" si="362"/>
      </c>
      <c r="W438" s="418">
        <v>9677</v>
      </c>
      <c r="X438" s="418">
        <v>617</v>
      </c>
      <c r="Y438" s="418">
        <v>60</v>
      </c>
      <c r="Z438" s="418">
        <v>761</v>
      </c>
      <c r="AA438" s="418">
        <v>69</v>
      </c>
      <c r="AB438" s="418">
        <v>7</v>
      </c>
      <c r="AC438" s="418">
        <v>2</v>
      </c>
      <c r="AD438" s="418">
        <v>12</v>
      </c>
      <c r="AE438" s="416">
        <f t="shared" si="56"/>
      </c>
      <c r="AF438" s="356" t="s">
        <v>253</v>
      </c>
      <c r="AG438" s="451" t="s">
        <v>259</v>
      </c>
      <c r="AH438" s="420">
        <v>30</v>
      </c>
    </row>
    <row r="439">
      <c r="A439" s="397"/>
      <c r="B439" s="425" t="s">
        <v>265</v>
      </c>
      <c r="C439" s="425" t="s">
        <v>262</v>
      </c>
      <c r="D439" s="426">
        <v>3193.02</v>
      </c>
      <c r="E439" s="414">
        <v>6</v>
      </c>
      <c r="F439" s="414">
        <v>4</v>
      </c>
      <c r="G439" s="414">
        <v>1</v>
      </c>
      <c r="H439" s="426">
        <v>3164.7000000000007</v>
      </c>
      <c r="I439" s="416">
        <f t="shared" si="212"/>
      </c>
      <c r="J439" s="416">
        <f t="shared" si="272"/>
      </c>
      <c r="K439" s="416">
        <f t="shared" si="332"/>
      </c>
      <c r="L439" s="417">
        <f t="shared" si="62"/>
      </c>
      <c r="M439" s="416">
        <f t="shared" si="26"/>
      </c>
      <c r="N439" s="416">
        <f t="shared" si="92"/>
      </c>
      <c r="O439" s="417">
        <f t="shared" si="122"/>
      </c>
      <c r="P439" s="417">
        <f t="shared" si="152"/>
      </c>
      <c r="Q439" s="417">
        <f t="shared" si="182"/>
      </c>
      <c r="R439" s="417">
        <f t="shared" si="242"/>
      </c>
      <c r="S439" s="418">
        <f t="shared" si="302"/>
      </c>
      <c r="T439" s="419">
        <v>0.0737</v>
      </c>
      <c r="U439" s="420">
        <v>46</v>
      </c>
      <c r="V439" s="416">
        <f t="shared" si="362"/>
      </c>
      <c r="W439" s="418">
        <v>20029</v>
      </c>
      <c r="X439" s="418">
        <v>719</v>
      </c>
      <c r="Y439" s="418">
        <v>100</v>
      </c>
      <c r="Z439" s="418">
        <v>923</v>
      </c>
      <c r="AA439" s="418">
        <v>79</v>
      </c>
      <c r="AB439" s="418">
        <v>9</v>
      </c>
      <c r="AC439" s="418">
        <v>0</v>
      </c>
      <c r="AD439" s="418">
        <v>23</v>
      </c>
      <c r="AE439" s="416">
        <f t="shared" si="56"/>
      </c>
      <c r="AF439" s="356" t="s">
        <v>253</v>
      </c>
      <c r="AG439" s="451" t="s">
        <v>259</v>
      </c>
      <c r="AH439" s="420">
        <v>55</v>
      </c>
    </row>
    <row r="440">
      <c r="A440" s="397"/>
      <c r="B440" s="427" t="s">
        <v>240</v>
      </c>
      <c r="C440" s="427"/>
      <c r="D440" s="428">
        <f>SUM(D436:D439)</f>
      </c>
      <c r="E440" s="429">
        <f>SUM(E436:E439)</f>
      </c>
      <c r="F440" s="429">
        <f>SUM(F436:F439)</f>
      </c>
      <c r="G440" s="429">
        <f>SUM(G436:G439)</f>
      </c>
      <c r="H440" s="428">
        <f>SUM(H436:H439)</f>
      </c>
      <c r="I440" s="430">
        <f t="shared" si="212"/>
      </c>
      <c r="J440" s="430">
        <f t="shared" si="272"/>
      </c>
      <c r="K440" s="430">
        <f t="shared" si="332"/>
      </c>
      <c r="L440" s="431">
        <f t="shared" si="62"/>
      </c>
      <c r="M440" s="430">
        <f t="shared" si="26"/>
      </c>
      <c r="N440" s="430">
        <f t="shared" si="92"/>
      </c>
      <c r="O440" s="431">
        <f t="shared" si="122"/>
      </c>
      <c r="P440" s="431">
        <f t="shared" si="152"/>
      </c>
      <c r="Q440" s="431">
        <f t="shared" si="182"/>
      </c>
      <c r="R440" s="431">
        <f t="shared" si="242"/>
      </c>
      <c r="S440" s="432">
        <f t="shared" si="302"/>
      </c>
      <c r="T440" s="431">
        <f>AVERAGE(T436:T439)</f>
      </c>
      <c r="U440" s="428">
        <f>AVERAGE(U436:U439)</f>
      </c>
      <c r="V440" s="430">
        <f t="shared" si="362"/>
      </c>
      <c r="W440" s="432">
        <f>SUM(W436:W439)</f>
      </c>
      <c r="X440" s="432">
        <f>SUM(X436:X439)</f>
      </c>
      <c r="Y440" s="432">
        <f>SUM(Y436:Y439)</f>
      </c>
      <c r="Z440" s="432">
        <f>SUM(Z436:Z439)</f>
      </c>
      <c r="AA440" s="432">
        <f>SUM(AA436:AA439)</f>
      </c>
      <c r="AB440" s="432">
        <f>SUM(AB436:AB439)</f>
      </c>
      <c r="AC440" s="432">
        <f>SUM(AC436:AC439)</f>
      </c>
      <c r="AD440" s="432">
        <f>SUM(AD436:AD439)</f>
      </c>
      <c r="AE440" s="433">
        <f t="shared" si="56"/>
      </c>
      <c r="AF440" s="434"/>
      <c r="AG440" s="434"/>
      <c r="AH440" s="435">
        <f>SUM(AH436:AH439)</f>
      </c>
    </row>
    <row r="441">
      <c r="A441" s="397"/>
      <c r="B441" s="411" t="s">
        <v>248</v>
      </c>
      <c r="C441" s="411" t="s">
        <v>243</v>
      </c>
      <c r="D441" s="349">
        <v>1930.41</v>
      </c>
      <c r="E441" s="350">
        <v>9</v>
      </c>
      <c r="F441" s="350">
        <v>4</v>
      </c>
      <c r="G441" s="350">
        <v>5</v>
      </c>
      <c r="H441" s="350">
        <v>2539.899999999998</v>
      </c>
      <c r="I441" s="351">
        <f t="shared" si="212"/>
      </c>
      <c r="J441" s="351">
        <f t="shared" si="272"/>
      </c>
      <c r="K441" s="351">
        <f t="shared" si="332"/>
      </c>
      <c r="L441" s="352">
        <f t="shared" si="62"/>
      </c>
      <c r="M441" s="351">
        <f t="shared" si="26"/>
      </c>
      <c r="N441" s="351">
        <f t="shared" si="92"/>
      </c>
      <c r="O441" s="352">
        <f t="shared" si="122"/>
      </c>
      <c r="P441" s="352">
        <f t="shared" si="152"/>
      </c>
      <c r="Q441" s="352">
        <f t="shared" si="182"/>
      </c>
      <c r="R441" s="352">
        <f t="shared" si="242"/>
      </c>
      <c r="S441" s="353">
        <f t="shared" si="302"/>
      </c>
      <c r="T441" s="354">
        <v>0.0713</v>
      </c>
      <c r="U441" s="355">
        <v>46</v>
      </c>
      <c r="V441" s="351">
        <f t="shared" si="362"/>
      </c>
      <c r="W441" s="355">
        <v>13289</v>
      </c>
      <c r="X441" s="355">
        <v>555</v>
      </c>
      <c r="Y441" s="353">
        <v>85</v>
      </c>
      <c r="Z441" s="353">
        <v>723</v>
      </c>
      <c r="AA441" s="353">
        <v>59</v>
      </c>
      <c r="AB441" s="353">
        <v>7</v>
      </c>
      <c r="AC441" s="355">
        <v>1</v>
      </c>
      <c r="AD441" s="355">
        <v>19</v>
      </c>
      <c r="AE441" s="351">
        <f t="shared" si="56"/>
      </c>
      <c r="AF441" s="356" t="s">
        <v>234</v>
      </c>
      <c r="AG441" s="451" t="s">
        <v>268</v>
      </c>
      <c r="AH441" s="355">
        <v>23</v>
      </c>
    </row>
    <row r="442">
      <c r="A442" s="397"/>
      <c r="B442" s="411" t="s">
        <v>248</v>
      </c>
      <c r="C442" s="422" t="s">
        <v>244</v>
      </c>
      <c r="D442" s="349">
        <v>2694.49</v>
      </c>
      <c r="E442" s="350">
        <v>11</v>
      </c>
      <c r="F442" s="350">
        <v>7</v>
      </c>
      <c r="G442" s="350">
        <v>6</v>
      </c>
      <c r="H442" s="349">
        <v>4925.800000000003</v>
      </c>
      <c r="I442" s="351">
        <f t="shared" si="212"/>
      </c>
      <c r="J442" s="351">
        <f t="shared" si="272"/>
      </c>
      <c r="K442" s="351">
        <f t="shared" si="332"/>
      </c>
      <c r="L442" s="352">
        <f t="shared" si="62"/>
      </c>
      <c r="M442" s="351">
        <f t="shared" si="26"/>
      </c>
      <c r="N442" s="351">
        <f t="shared" si="92"/>
      </c>
      <c r="O442" s="352">
        <f t="shared" si="122"/>
      </c>
      <c r="P442" s="352">
        <f t="shared" si="152"/>
      </c>
      <c r="Q442" s="352">
        <f t="shared" si="182"/>
      </c>
      <c r="R442" s="352">
        <f t="shared" si="242"/>
      </c>
      <c r="S442" s="353">
        <f t="shared" si="302"/>
      </c>
      <c r="T442" s="354">
        <v>0.0677</v>
      </c>
      <c r="U442" s="355">
        <v>47</v>
      </c>
      <c r="V442" s="351">
        <f t="shared" si="362"/>
      </c>
      <c r="W442" s="353">
        <v>18440</v>
      </c>
      <c r="X442" s="353">
        <v>603</v>
      </c>
      <c r="Y442" s="353">
        <v>96</v>
      </c>
      <c r="Z442" s="353">
        <v>756</v>
      </c>
      <c r="AA442" s="353">
        <v>66</v>
      </c>
      <c r="AB442" s="353">
        <v>13</v>
      </c>
      <c r="AC442" s="353">
        <v>0</v>
      </c>
      <c r="AD442" s="355">
        <v>34</v>
      </c>
      <c r="AE442" s="351">
        <f t="shared" si="56"/>
      </c>
      <c r="AF442" s="356" t="s">
        <v>234</v>
      </c>
      <c r="AG442" s="451" t="s">
        <v>268</v>
      </c>
      <c r="AH442" s="355">
        <v>40</v>
      </c>
    </row>
    <row r="443">
      <c r="A443" s="397"/>
      <c r="B443" s="411" t="s">
        <v>248</v>
      </c>
      <c r="C443" s="411" t="s">
        <v>245</v>
      </c>
      <c r="D443" s="349">
        <v>3090.11</v>
      </c>
      <c r="E443" s="350">
        <v>3</v>
      </c>
      <c r="F443" s="350">
        <v>1</v>
      </c>
      <c r="G443" s="350">
        <v>0</v>
      </c>
      <c r="H443" s="349">
        <v>856.9000000000015</v>
      </c>
      <c r="I443" s="351">
        <f t="shared" si="212"/>
      </c>
      <c r="J443" s="351">
        <f t="shared" si="272"/>
      </c>
      <c r="K443" s="351">
        <f t="shared" si="332"/>
      </c>
      <c r="L443" s="352">
        <f t="shared" si="62"/>
      </c>
      <c r="M443" s="351">
        <f t="shared" si="26"/>
      </c>
      <c r="N443" s="351">
        <f t="shared" si="92"/>
      </c>
      <c r="O443" s="352">
        <f t="shared" si="122"/>
      </c>
      <c r="P443" s="352">
        <f t="shared" si="152"/>
      </c>
      <c r="Q443" s="352">
        <f t="shared" si="182"/>
      </c>
      <c r="R443" s="352">
        <f t="shared" si="242"/>
      </c>
      <c r="S443" s="353">
        <f t="shared" si="302"/>
      </c>
      <c r="T443" s="354">
        <v>0.0712</v>
      </c>
      <c r="U443" s="355">
        <v>46</v>
      </c>
      <c r="V443" s="351">
        <f t="shared" si="362"/>
      </c>
      <c r="W443" s="355">
        <v>24144</v>
      </c>
      <c r="X443" s="355">
        <v>550</v>
      </c>
      <c r="Y443" s="355">
        <v>88</v>
      </c>
      <c r="Z443" s="355">
        <v>661</v>
      </c>
      <c r="AA443" s="355">
        <v>61</v>
      </c>
      <c r="AB443" s="355">
        <v>12</v>
      </c>
      <c r="AC443" s="355">
        <v>0</v>
      </c>
      <c r="AD443" s="355">
        <v>26</v>
      </c>
      <c r="AE443" s="351">
        <f t="shared" si="56"/>
      </c>
      <c r="AF443" s="356" t="s">
        <v>234</v>
      </c>
      <c r="AG443" s="451" t="s">
        <v>268</v>
      </c>
      <c r="AH443" s="355">
        <v>30</v>
      </c>
    </row>
    <row r="444">
      <c r="A444" s="397"/>
      <c r="B444" s="411" t="s">
        <v>248</v>
      </c>
      <c r="C444" s="411" t="s">
        <v>233</v>
      </c>
      <c r="D444" s="349">
        <v>2013.62</v>
      </c>
      <c r="E444" s="350">
        <v>5</v>
      </c>
      <c r="F444" s="350">
        <v>3</v>
      </c>
      <c r="G444" s="350">
        <v>2</v>
      </c>
      <c r="H444" s="349">
        <v>1353</v>
      </c>
      <c r="I444" s="351">
        <f t="shared" si="212"/>
      </c>
      <c r="J444" s="351">
        <f t="shared" si="272"/>
      </c>
      <c r="K444" s="351">
        <f t="shared" si="332"/>
      </c>
      <c r="L444" s="352">
        <f t="shared" si="62"/>
      </c>
      <c r="M444" s="351">
        <f t="shared" si="26"/>
      </c>
      <c r="N444" s="351">
        <f t="shared" si="92"/>
      </c>
      <c r="O444" s="352">
        <f t="shared" si="122"/>
      </c>
      <c r="P444" s="352">
        <f t="shared" si="152"/>
      </c>
      <c r="Q444" s="352">
        <f t="shared" si="182"/>
      </c>
      <c r="R444" s="352">
        <f t="shared" si="242"/>
      </c>
      <c r="S444" s="353">
        <f t="shared" si="302"/>
      </c>
      <c r="T444" s="354">
        <v>0.0705</v>
      </c>
      <c r="U444" s="355">
        <v>47</v>
      </c>
      <c r="V444" s="351">
        <f t="shared" si="362"/>
      </c>
      <c r="W444" s="355">
        <v>16655</v>
      </c>
      <c r="X444" s="355">
        <v>464</v>
      </c>
      <c r="Y444" s="353">
        <v>82</v>
      </c>
      <c r="Z444" s="353">
        <v>580</v>
      </c>
      <c r="AA444" s="353">
        <v>77</v>
      </c>
      <c r="AB444" s="353">
        <v>12</v>
      </c>
      <c r="AC444" s="355">
        <v>2</v>
      </c>
      <c r="AD444" s="355">
        <v>20</v>
      </c>
      <c r="AE444" s="351">
        <f t="shared" si="56"/>
      </c>
      <c r="AF444" s="356" t="s">
        <v>234</v>
      </c>
      <c r="AG444" s="451" t="s">
        <v>268</v>
      </c>
      <c r="AH444" s="355">
        <v>28</v>
      </c>
    </row>
    <row r="445">
      <c r="A445" s="397"/>
      <c r="B445" s="360" t="s">
        <v>240</v>
      </c>
      <c r="C445" s="360"/>
      <c r="D445" s="405">
        <f>SUM(D441:D444)</f>
      </c>
      <c r="E445" s="440">
        <f>SUM(E441:E444)</f>
      </c>
      <c r="F445" s="440">
        <f>SUM(F441:F444)</f>
      </c>
      <c r="G445" s="440">
        <f>SUM(G441:G444)</f>
      </c>
      <c r="H445" s="405">
        <f>SUM(H441:H444)</f>
      </c>
      <c r="I445" s="363">
        <f t="shared" si="212"/>
      </c>
      <c r="J445" s="363">
        <f t="shared" si="272"/>
      </c>
      <c r="K445" s="363">
        <f t="shared" si="332"/>
      </c>
      <c r="L445" s="364">
        <f t="shared" si="62"/>
      </c>
      <c r="M445" s="363">
        <f t="shared" si="26"/>
      </c>
      <c r="N445" s="363">
        <f t="shared" si="92"/>
      </c>
      <c r="O445" s="364">
        <f t="shared" si="122"/>
      </c>
      <c r="P445" s="364">
        <f t="shared" si="152"/>
      </c>
      <c r="Q445" s="364">
        <f t="shared" si="182"/>
      </c>
      <c r="R445" s="364">
        <f t="shared" si="242"/>
      </c>
      <c r="S445" s="365">
        <f t="shared" si="302"/>
      </c>
      <c r="T445" s="364">
        <f>AVERAGE(T441:T444)</f>
      </c>
      <c r="U445" s="361">
        <f>AVERAGE(U441:U444)</f>
      </c>
      <c r="V445" s="363">
        <f t="shared" si="362"/>
      </c>
      <c r="W445" s="365">
        <f>SUM(W441:W444)</f>
      </c>
      <c r="X445" s="365">
        <f>SUM(X441:X444)</f>
      </c>
      <c r="Y445" s="365">
        <f>SUM(Y441:Y444)</f>
      </c>
      <c r="Z445" s="365">
        <f>SUM(Z441:Z444)</f>
      </c>
      <c r="AA445" s="365">
        <f>SUM(AA441:AA444)</f>
      </c>
      <c r="AB445" s="365">
        <f>SUM(AB441:AB444)</f>
      </c>
      <c r="AC445" s="365">
        <f>SUM(AC441:AC444)</f>
      </c>
      <c r="AD445" s="365">
        <f>SUM(AD441:AD444)</f>
      </c>
      <c r="AE445" s="366">
        <f t="shared" si="56"/>
      </c>
      <c r="AF445" s="367"/>
      <c r="AG445" s="367"/>
      <c r="AH445" s="365">
        <f>SUM(AH441:AH444)</f>
      </c>
    </row>
    <row r="446">
      <c r="A446" s="397"/>
      <c r="B446" s="348" t="s">
        <v>246</v>
      </c>
      <c r="C446" s="425" t="s">
        <v>236</v>
      </c>
      <c r="D446" s="412">
        <v>2775.81</v>
      </c>
      <c r="E446" s="413">
        <v>4</v>
      </c>
      <c r="F446" s="413">
        <v>3</v>
      </c>
      <c r="G446" s="414">
        <v>4</v>
      </c>
      <c r="H446" s="415">
        <v>1758.9000000000015</v>
      </c>
      <c r="I446" s="416">
        <f t="shared" si="212"/>
      </c>
      <c r="J446" s="416">
        <f t="shared" si="272"/>
      </c>
      <c r="K446" s="416">
        <f t="shared" si="332"/>
      </c>
      <c r="L446" s="417">
        <f t="shared" si="62"/>
      </c>
      <c r="M446" s="416">
        <f t="shared" si="26"/>
      </c>
      <c r="N446" s="416">
        <f t="shared" si="92"/>
      </c>
      <c r="O446" s="417">
        <f t="shared" si="122"/>
      </c>
      <c r="P446" s="417">
        <f t="shared" si="152"/>
      </c>
      <c r="Q446" s="417">
        <f t="shared" si="182"/>
      </c>
      <c r="R446" s="417">
        <f t="shared" si="242"/>
      </c>
      <c r="S446" s="418">
        <f t="shared" si="302"/>
      </c>
      <c r="T446" s="419">
        <v>0.0636</v>
      </c>
      <c r="U446" s="420">
        <v>47</v>
      </c>
      <c r="V446" s="416">
        <f t="shared" si="362"/>
      </c>
      <c r="W446" s="418">
        <v>18792</v>
      </c>
      <c r="X446" s="418">
        <v>443</v>
      </c>
      <c r="Y446" s="418">
        <v>78</v>
      </c>
      <c r="Z446" s="418">
        <v>588</v>
      </c>
      <c r="AA446" s="418">
        <v>80</v>
      </c>
      <c r="AB446" s="418">
        <v>10</v>
      </c>
      <c r="AC446" s="418">
        <v>1</v>
      </c>
      <c r="AD446" s="418">
        <v>19</v>
      </c>
      <c r="AE446" s="416">
        <f t="shared" si="56"/>
      </c>
      <c r="AF446" s="356" t="s">
        <v>234</v>
      </c>
      <c r="AG446" s="451" t="s">
        <v>268</v>
      </c>
      <c r="AH446" s="420">
        <v>29</v>
      </c>
    </row>
    <row r="447">
      <c r="A447" s="397"/>
      <c r="B447" s="348" t="s">
        <v>246</v>
      </c>
      <c r="C447" s="425" t="s">
        <v>237</v>
      </c>
      <c r="D447" s="423">
        <v>1924.45</v>
      </c>
      <c r="E447" s="424">
        <v>3</v>
      </c>
      <c r="F447" s="424">
        <v>3</v>
      </c>
      <c r="G447" s="424">
        <v>3</v>
      </c>
      <c r="H447" s="415">
        <v>2713.699999999997</v>
      </c>
      <c r="I447" s="416">
        <f t="shared" si="212"/>
      </c>
      <c r="J447" s="416">
        <f t="shared" si="272"/>
      </c>
      <c r="K447" s="416">
        <f t="shared" si="332"/>
      </c>
      <c r="L447" s="417">
        <f t="shared" si="62"/>
      </c>
      <c r="M447" s="416">
        <f t="shared" si="26"/>
      </c>
      <c r="N447" s="416">
        <f t="shared" si="92"/>
      </c>
      <c r="O447" s="417">
        <f t="shared" si="122"/>
      </c>
      <c r="P447" s="417">
        <f t="shared" si="152"/>
      </c>
      <c r="Q447" s="417">
        <f t="shared" si="182"/>
      </c>
      <c r="R447" s="417">
        <f t="shared" si="242"/>
      </c>
      <c r="S447" s="418">
        <f t="shared" si="302"/>
      </c>
      <c r="T447" s="419">
        <v>0.0553</v>
      </c>
      <c r="U447" s="420">
        <v>46</v>
      </c>
      <c r="V447" s="416">
        <f t="shared" si="362"/>
      </c>
      <c r="W447" s="418">
        <v>13562</v>
      </c>
      <c r="X447" s="418">
        <v>582</v>
      </c>
      <c r="Y447" s="418">
        <v>77</v>
      </c>
      <c r="Z447" s="418">
        <v>713</v>
      </c>
      <c r="AA447" s="418">
        <v>48</v>
      </c>
      <c r="AB447" s="418">
        <v>4</v>
      </c>
      <c r="AC447" s="418">
        <v>0</v>
      </c>
      <c r="AD447" s="418">
        <v>11</v>
      </c>
      <c r="AE447" s="416">
        <f t="shared" si="56"/>
      </c>
      <c r="AF447" s="356" t="s">
        <v>234</v>
      </c>
      <c r="AG447" s="451" t="s">
        <v>268</v>
      </c>
      <c r="AH447" s="420">
        <v>26</v>
      </c>
    </row>
    <row r="448">
      <c r="A448" s="397"/>
      <c r="B448" s="348" t="s">
        <v>246</v>
      </c>
      <c r="C448" s="425" t="s">
        <v>238</v>
      </c>
      <c r="D448" s="412">
        <v>2564.67</v>
      </c>
      <c r="E448" s="424">
        <v>7</v>
      </c>
      <c r="F448" s="424">
        <v>5</v>
      </c>
      <c r="G448" s="424">
        <v>4</v>
      </c>
      <c r="H448" s="412">
        <v>4947.800000000003</v>
      </c>
      <c r="I448" s="416">
        <f t="shared" si="212"/>
      </c>
      <c r="J448" s="416">
        <f t="shared" si="272"/>
      </c>
      <c r="K448" s="416">
        <f t="shared" si="332"/>
      </c>
      <c r="L448" s="417">
        <f t="shared" si="62"/>
      </c>
      <c r="M448" s="416">
        <f t="shared" si="26"/>
      </c>
      <c r="N448" s="416">
        <f t="shared" si="92"/>
      </c>
      <c r="O448" s="417">
        <f t="shared" si="122"/>
      </c>
      <c r="P448" s="417">
        <f t="shared" si="152"/>
      </c>
      <c r="Q448" s="417">
        <f t="shared" si="182"/>
      </c>
      <c r="R448" s="417">
        <f t="shared" si="242"/>
      </c>
      <c r="S448" s="418">
        <f t="shared" si="302"/>
      </c>
      <c r="T448" s="419">
        <v>0.0506</v>
      </c>
      <c r="U448" s="420">
        <v>45</v>
      </c>
      <c r="V448" s="416">
        <f t="shared" si="362"/>
      </c>
      <c r="W448" s="418">
        <v>19168</v>
      </c>
      <c r="X448" s="418">
        <v>927</v>
      </c>
      <c r="Y448" s="418">
        <v>89</v>
      </c>
      <c r="Z448" s="418">
        <v>1112</v>
      </c>
      <c r="AA448" s="418">
        <v>78</v>
      </c>
      <c r="AB448" s="418">
        <v>8</v>
      </c>
      <c r="AC448" s="418">
        <v>4</v>
      </c>
      <c r="AD448" s="418">
        <v>20</v>
      </c>
      <c r="AE448" s="416">
        <f t="shared" si="56"/>
      </c>
      <c r="AF448" s="356" t="s">
        <v>234</v>
      </c>
      <c r="AG448" s="451" t="s">
        <v>268</v>
      </c>
      <c r="AH448" s="420">
        <v>28</v>
      </c>
    </row>
    <row r="449">
      <c r="A449" s="397"/>
      <c r="B449" s="348" t="s">
        <v>246</v>
      </c>
      <c r="C449" s="425" t="s">
        <v>239</v>
      </c>
      <c r="D449" s="412">
        <v>1117.41</v>
      </c>
      <c r="E449" s="414">
        <v>6</v>
      </c>
      <c r="F449" s="414">
        <v>3</v>
      </c>
      <c r="G449" s="414">
        <v>2</v>
      </c>
      <c r="H449" s="412">
        <v>1758.8999999999942</v>
      </c>
      <c r="I449" s="416">
        <f t="shared" si="212"/>
      </c>
      <c r="J449" s="416">
        <f t="shared" si="272"/>
      </c>
      <c r="K449" s="416">
        <f t="shared" si="332"/>
      </c>
      <c r="L449" s="417">
        <f t="shared" si="62"/>
      </c>
      <c r="M449" s="416">
        <f t="shared" si="26"/>
      </c>
      <c r="N449" s="416">
        <f t="shared" si="92"/>
      </c>
      <c r="O449" s="417">
        <f t="shared" si="122"/>
      </c>
      <c r="P449" s="417">
        <f t="shared" si="152"/>
      </c>
      <c r="Q449" s="417">
        <f t="shared" si="182"/>
      </c>
      <c r="R449" s="417">
        <f t="shared" si="242"/>
      </c>
      <c r="S449" s="418">
        <f t="shared" si="302"/>
      </c>
      <c r="T449" s="419">
        <v>0.0606</v>
      </c>
      <c r="U449" s="420">
        <v>46</v>
      </c>
      <c r="V449" s="416">
        <f t="shared" si="362"/>
      </c>
      <c r="W449" s="418">
        <v>10089</v>
      </c>
      <c r="X449" s="418">
        <v>487</v>
      </c>
      <c r="Y449" s="418">
        <v>58</v>
      </c>
      <c r="Z449" s="418">
        <v>603</v>
      </c>
      <c r="AA449" s="418">
        <v>60</v>
      </c>
      <c r="AB449" s="418">
        <v>6</v>
      </c>
      <c r="AC449" s="418">
        <v>1</v>
      </c>
      <c r="AD449" s="418">
        <v>13</v>
      </c>
      <c r="AE449" s="416">
        <f t="shared" si="56"/>
      </c>
      <c r="AF449" s="356" t="s">
        <v>234</v>
      </c>
      <c r="AG449" s="451" t="s">
        <v>268</v>
      </c>
      <c r="AH449" s="420">
        <v>17</v>
      </c>
    </row>
    <row r="450">
      <c r="A450" s="397"/>
      <c r="B450" s="427" t="s">
        <v>240</v>
      </c>
      <c r="C450" s="427"/>
      <c r="D450" s="428">
        <f>SUM(D446:D449)</f>
      </c>
      <c r="E450" s="429">
        <f>SUM(E446:E449)</f>
      </c>
      <c r="F450" s="429">
        <f>SUM(F446:F449)</f>
      </c>
      <c r="G450" s="429">
        <f>SUM(G446:G449)</f>
      </c>
      <c r="H450" s="428">
        <f>SUM(H446:H449)</f>
      </c>
      <c r="I450" s="430">
        <f t="shared" si="212"/>
      </c>
      <c r="J450" s="430">
        <f t="shared" si="272"/>
      </c>
      <c r="K450" s="430">
        <f t="shared" si="332"/>
      </c>
      <c r="L450" s="431">
        <f t="shared" si="62"/>
      </c>
      <c r="M450" s="430">
        <f t="shared" si="26"/>
      </c>
      <c r="N450" s="430">
        <f t="shared" si="92"/>
      </c>
      <c r="O450" s="431">
        <f t="shared" si="122"/>
      </c>
      <c r="P450" s="431">
        <f t="shared" si="152"/>
      </c>
      <c r="Q450" s="431">
        <f t="shared" si="182"/>
      </c>
      <c r="R450" s="431">
        <f t="shared" si="242"/>
      </c>
      <c r="S450" s="432">
        <f t="shared" si="302"/>
      </c>
      <c r="T450" s="431">
        <f>AVERAGE(T446:T449)</f>
      </c>
      <c r="U450" s="428">
        <f>AVERAGE(U446:U449)</f>
      </c>
      <c r="V450" s="430">
        <f t="shared" si="362"/>
      </c>
      <c r="W450" s="432">
        <f>SUM(W446:W449)</f>
      </c>
      <c r="X450" s="432">
        <f>SUM(X446:X449)</f>
      </c>
      <c r="Y450" s="432">
        <f>SUM(Y446:Y449)</f>
      </c>
      <c r="Z450" s="432">
        <f>SUM(Z446:Z449)</f>
      </c>
      <c r="AA450" s="432">
        <f>SUM(AA446:AA449)</f>
      </c>
      <c r="AB450" s="432">
        <f>SUM(AB446:AB449)</f>
      </c>
      <c r="AC450" s="432">
        <f>SUM(AC446:AC449)</f>
      </c>
      <c r="AD450" s="432">
        <f>SUM(AD446:AD449)</f>
      </c>
      <c r="AE450" s="433">
        <f t="shared" si="56"/>
      </c>
      <c r="AF450" s="434"/>
      <c r="AG450" s="434"/>
      <c r="AH450" s="435">
        <f>SUM(AH446:AH449)</f>
      </c>
    </row>
    <row r="451">
      <c r="A451" s="397"/>
      <c r="B451" s="369" t="s">
        <v>241</v>
      </c>
      <c r="C451" s="369"/>
      <c r="D451" s="441">
        <f>D435+D440+D445+D450</f>
      </c>
      <c r="E451" s="441">
        <f>E435+E440+E445+E450</f>
      </c>
      <c r="F451" s="441">
        <f>F435+F440+F445+F450</f>
      </c>
      <c r="G451" s="441">
        <f>G435+G440+G445+G450</f>
      </c>
      <c r="H451" s="441">
        <f>H435+H440+H445+H450</f>
      </c>
      <c r="I451" s="442">
        <f t="shared" si="212"/>
      </c>
      <c r="J451" s="372">
        <f t="shared" si="272"/>
      </c>
      <c r="K451" s="372">
        <f t="shared" si="332"/>
      </c>
      <c r="L451" s="373">
        <f t="shared" si="62"/>
      </c>
      <c r="M451" s="372">
        <f t="shared" si="26"/>
      </c>
      <c r="N451" s="372">
        <f t="shared" si="92"/>
      </c>
      <c r="O451" s="373">
        <f t="shared" si="122"/>
      </c>
      <c r="P451" s="373">
        <f t="shared" si="152"/>
      </c>
      <c r="Q451" s="373">
        <f t="shared" si="182"/>
      </c>
      <c r="R451" s="373">
        <f t="shared" si="242"/>
      </c>
      <c r="S451" s="374">
        <f t="shared" si="302"/>
      </c>
      <c r="T451" s="373">
        <f>(T435+T445+T440+T450)/4</f>
      </c>
      <c r="U451" s="479">
        <f>(U435+U445+U440+U450)/4</f>
      </c>
      <c r="V451" s="370">
        <f t="shared" si="362"/>
      </c>
      <c r="W451" s="374">
        <f>W435+W440+W445+W450</f>
      </c>
      <c r="X451" s="374">
        <f>X435+X440+X445+X450</f>
      </c>
      <c r="Y451" s="374">
        <f>Y435+Y440+Y445+Y450</f>
      </c>
      <c r="Z451" s="374">
        <f>Z435+Z440+Z445+Z450</f>
      </c>
      <c r="AA451" s="374">
        <f>AA435+AA440+AA445+AA450</f>
      </c>
      <c r="AB451" s="374">
        <f>AB435+AB440+AB445+AB450</f>
      </c>
      <c r="AC451" s="374">
        <f>AC435+AC440+AC445+AC450</f>
      </c>
      <c r="AD451" s="374">
        <f>AD435+AD440+AD445+AD450</f>
      </c>
      <c r="AE451" s="372">
        <f>AE435</f>
      </c>
      <c r="AF451" s="369"/>
      <c r="AG451" s="369"/>
      <c r="AH451" s="374">
        <f>AH435+AH440+AH445+AH450</f>
      </c>
    </row>
    <row r="452">
      <c r="A452" s="380" t="s">
        <v>197</v>
      </c>
      <c r="B452" s="396" t="s">
        <v>198</v>
      </c>
      <c r="C452" s="396"/>
      <c r="D452" s="381" t="s">
        <v>199</v>
      </c>
      <c r="E452" s="381"/>
      <c r="F452" s="381"/>
      <c r="G452" s="381"/>
      <c r="H452" s="381"/>
      <c r="I452" s="381"/>
      <c r="J452" s="381"/>
      <c r="K452" s="381"/>
      <c r="L452" s="381"/>
      <c r="M452" s="381"/>
      <c r="N452" s="382" t="s">
        <v>200</v>
      </c>
      <c r="O452" s="382"/>
      <c r="P452" s="382"/>
      <c r="Q452" s="382"/>
      <c r="R452" s="382"/>
      <c r="S452" s="382"/>
      <c r="T452" s="382"/>
      <c r="U452" s="382"/>
      <c r="V452" s="382"/>
      <c r="W452" s="382"/>
      <c r="X452" s="382"/>
      <c r="Y452" s="382"/>
      <c r="Z452" s="382"/>
      <c r="AA452" s="382"/>
      <c r="AB452" s="382"/>
      <c r="AC452" s="382"/>
      <c r="AD452" s="382"/>
      <c r="AE452" s="382"/>
      <c r="AF452" s="382"/>
      <c r="AG452" s="382"/>
      <c r="AH452" s="340"/>
    </row>
    <row r="453">
      <c r="A453" s="380"/>
      <c r="B453" s="396" t="s">
        <v>201</v>
      </c>
      <c r="C453" s="398" t="s">
        <v>202</v>
      </c>
      <c r="D453" s="399" t="s">
        <v>203</v>
      </c>
      <c r="E453" s="477" t="s">
        <v>266</v>
      </c>
      <c r="F453" s="391" t="s">
        <v>204</v>
      </c>
      <c r="G453" s="391" t="s">
        <v>205</v>
      </c>
      <c r="H453" s="399" t="s">
        <v>206</v>
      </c>
      <c r="I453" s="384" t="s">
        <v>207</v>
      </c>
      <c r="J453" s="384" t="s">
        <v>208</v>
      </c>
      <c r="K453" s="384" t="s">
        <v>209</v>
      </c>
      <c r="L453" s="478" t="s">
        <v>267</v>
      </c>
      <c r="M453" s="384" t="s">
        <v>210</v>
      </c>
      <c r="N453" s="385" t="s">
        <v>211</v>
      </c>
      <c r="O453" s="386" t="s">
        <v>212</v>
      </c>
      <c r="P453" s="386" t="s">
        <v>213</v>
      </c>
      <c r="Q453" s="386" t="s">
        <v>214</v>
      </c>
      <c r="R453" s="386" t="s">
        <v>215</v>
      </c>
      <c r="S453" s="387" t="s">
        <v>216</v>
      </c>
      <c r="T453" s="392" t="s">
        <v>217</v>
      </c>
      <c r="U453" s="393" t="s">
        <v>218</v>
      </c>
      <c r="V453" s="382" t="s">
        <v>219</v>
      </c>
      <c r="W453" s="394" t="s">
        <v>220</v>
      </c>
      <c r="X453" s="394" t="s">
        <v>221</v>
      </c>
      <c r="Y453" s="394" t="s">
        <v>222</v>
      </c>
      <c r="Z453" s="394" t="s">
        <v>223</v>
      </c>
      <c r="AA453" s="394" t="s">
        <v>224</v>
      </c>
      <c r="AB453" s="394" t="s">
        <v>225</v>
      </c>
      <c r="AC453" s="394" t="s">
        <v>226</v>
      </c>
      <c r="AD453" s="394" t="s">
        <v>227</v>
      </c>
      <c r="AE453" s="382" t="s">
        <v>228</v>
      </c>
      <c r="AF453" s="389" t="s">
        <v>229</v>
      </c>
      <c r="AG453" s="389" t="s">
        <v>230</v>
      </c>
      <c r="AH453" s="340" t="s">
        <v>231</v>
      </c>
    </row>
    <row r="454">
      <c r="A454" s="397">
        <v>46171</v>
      </c>
      <c r="B454" s="411" t="s">
        <v>232</v>
      </c>
      <c r="C454" s="400" t="s">
        <v>264</v>
      </c>
      <c r="D454" s="349">
        <v>2318.67</v>
      </c>
      <c r="E454" s="350">
        <v>2</v>
      </c>
      <c r="F454" s="350">
        <v>1</v>
      </c>
      <c r="G454" s="350">
        <v>1</v>
      </c>
      <c r="H454" s="349">
        <v>781</v>
      </c>
      <c r="I454" s="436">
        <f t="shared" ref="I454:I475" si="213">H454/D454</f>
      </c>
      <c r="J454" s="351">
        <f t="shared" ref="J454:J475" si="273">D454/F454</f>
      </c>
      <c r="K454" s="351">
        <f t="shared" ref="K454:K475" si="333">D454/G454</f>
      </c>
      <c r="L454" s="352">
        <f t="shared" ref="L454:L475" si="63">F454/E454</f>
      </c>
      <c r="M454" s="351">
        <f t="shared" ref="M454:M475" si="27">H454/F454</f>
      </c>
      <c r="N454" s="351">
        <f t="shared" ref="N454:N475" si="93">D454/X454</f>
      </c>
      <c r="O454" s="352">
        <f t="shared" ref="O454:O475" si="123">S454/W454*1</f>
      </c>
      <c r="P454" s="352">
        <f t="shared" ref="P454:P475" si="153">X454/W454</f>
      </c>
      <c r="Q454" s="352">
        <f t="shared" ref="Q454:Q475" si="183">Z454/W454</f>
      </c>
      <c r="R454" s="352">
        <f t="shared" ref="R454:R475" si="243">AA454/Z454</f>
      </c>
      <c r="S454" s="353">
        <f t="shared" ref="S454:S475" si="303">Y454/T454</f>
      </c>
      <c r="T454" s="354">
        <v>0.0502</v>
      </c>
      <c r="U454" s="355">
        <v>32</v>
      </c>
      <c r="V454" s="351">
        <v>41</v>
      </c>
      <c r="W454" s="355">
        <v>11904</v>
      </c>
      <c r="X454" s="355">
        <v>551</v>
      </c>
      <c r="Y454" s="353">
        <v>80</v>
      </c>
      <c r="Z454" s="353">
        <v>733</v>
      </c>
      <c r="AA454" s="353">
        <v>52</v>
      </c>
      <c r="AB454" s="353">
        <v>12</v>
      </c>
      <c r="AC454" s="353">
        <v>2</v>
      </c>
      <c r="AD454" s="355">
        <v>10</v>
      </c>
      <c r="AE454" s="351">
        <f t="shared" ref="AE454:AE474" si="57">AH454*1000/D454</f>
      </c>
      <c r="AF454" s="356" t="s">
        <v>253</v>
      </c>
      <c r="AG454" s="451" t="s">
        <v>259</v>
      </c>
      <c r="AH454" s="355">
        <v>25</v>
      </c>
    </row>
    <row r="455">
      <c r="A455" s="397"/>
      <c r="B455" s="411" t="s">
        <v>232</v>
      </c>
      <c r="C455" s="400" t="s">
        <v>252</v>
      </c>
      <c r="D455" s="349">
        <v>1355.01</v>
      </c>
      <c r="E455" s="350">
        <v>2</v>
      </c>
      <c r="F455" s="350">
        <v>2</v>
      </c>
      <c r="G455" s="350">
        <v>2</v>
      </c>
      <c r="H455" s="349">
        <v>1232</v>
      </c>
      <c r="I455" s="436">
        <f t="shared" si="213"/>
      </c>
      <c r="J455" s="351">
        <f t="shared" si="273"/>
      </c>
      <c r="K455" s="351">
        <f t="shared" si="333"/>
      </c>
      <c r="L455" s="352">
        <f t="shared" si="63"/>
      </c>
      <c r="M455" s="351">
        <f t="shared" si="27"/>
      </c>
      <c r="N455" s="351">
        <f t="shared" si="93"/>
      </c>
      <c r="O455" s="352">
        <f t="shared" si="123"/>
      </c>
      <c r="P455" s="352">
        <f t="shared" si="153"/>
      </c>
      <c r="Q455" s="352">
        <f t="shared" si="183"/>
      </c>
      <c r="R455" s="352">
        <f t="shared" si="243"/>
      </c>
      <c r="S455" s="353">
        <f t="shared" si="303"/>
      </c>
      <c r="T455" s="354">
        <v>0.0537</v>
      </c>
      <c r="U455" s="355">
        <v>34</v>
      </c>
      <c r="V455" s="351">
        <f t="shared" ref="V455:V475" si="363">(D455/W455)*1000</f>
      </c>
      <c r="W455" s="355">
        <v>8482</v>
      </c>
      <c r="X455" s="355">
        <v>452</v>
      </c>
      <c r="Y455" s="353">
        <v>58</v>
      </c>
      <c r="Z455" s="353">
        <v>638</v>
      </c>
      <c r="AA455" s="355">
        <v>38</v>
      </c>
      <c r="AB455" s="353">
        <v>5</v>
      </c>
      <c r="AC455" s="355">
        <v>2</v>
      </c>
      <c r="AD455" s="355">
        <v>8</v>
      </c>
      <c r="AE455" s="351">
        <f t="shared" si="57"/>
      </c>
      <c r="AF455" s="356" t="s">
        <v>253</v>
      </c>
      <c r="AG455" s="451" t="s">
        <v>259</v>
      </c>
      <c r="AH455" s="355">
        <v>22</v>
      </c>
    </row>
    <row r="456">
      <c r="A456" s="397"/>
      <c r="B456" s="411" t="s">
        <v>232</v>
      </c>
      <c r="C456" s="437" t="s">
        <v>255</v>
      </c>
      <c r="D456" s="349">
        <v>705.58</v>
      </c>
      <c r="E456" s="350">
        <v>5</v>
      </c>
      <c r="F456" s="350">
        <v>3</v>
      </c>
      <c r="G456" s="350">
        <v>3</v>
      </c>
      <c r="H456" s="349">
        <v>2088.8999999999996</v>
      </c>
      <c r="I456" s="436">
        <f t="shared" si="213"/>
      </c>
      <c r="J456" s="351">
        <f t="shared" si="273"/>
      </c>
      <c r="K456" s="351">
        <f t="shared" si="333"/>
      </c>
      <c r="L456" s="352">
        <f t="shared" si="63"/>
      </c>
      <c r="M456" s="351">
        <f t="shared" si="27"/>
      </c>
      <c r="N456" s="351">
        <f t="shared" si="93"/>
      </c>
      <c r="O456" s="352">
        <f t="shared" si="123"/>
      </c>
      <c r="P456" s="352">
        <f t="shared" si="153"/>
      </c>
      <c r="Q456" s="352">
        <f t="shared" si="183"/>
      </c>
      <c r="R456" s="352">
        <f t="shared" si="243"/>
      </c>
      <c r="S456" s="353">
        <f t="shared" si="303"/>
      </c>
      <c r="T456" s="354">
        <v>0.0511</v>
      </c>
      <c r="U456" s="355">
        <v>35</v>
      </c>
      <c r="V456" s="351">
        <f t="shared" si="363"/>
      </c>
      <c r="W456" s="355">
        <v>4821</v>
      </c>
      <c r="X456" s="355">
        <v>378</v>
      </c>
      <c r="Y456" s="353">
        <v>48</v>
      </c>
      <c r="Z456" s="353">
        <v>508</v>
      </c>
      <c r="AA456" s="355">
        <v>43</v>
      </c>
      <c r="AB456" s="353">
        <v>6</v>
      </c>
      <c r="AC456" s="355">
        <v>0</v>
      </c>
      <c r="AD456" s="355">
        <v>6</v>
      </c>
      <c r="AE456" s="351">
        <f t="shared" si="57"/>
      </c>
      <c r="AF456" s="356" t="s">
        <v>253</v>
      </c>
      <c r="AG456" s="451" t="s">
        <v>259</v>
      </c>
      <c r="AH456" s="355">
        <v>12</v>
      </c>
    </row>
    <row r="457">
      <c r="A457" s="397"/>
      <c r="B457" s="411" t="s">
        <v>232</v>
      </c>
      <c r="C457" s="400" t="s">
        <v>256</v>
      </c>
      <c r="D457" s="349">
        <v>1341.61</v>
      </c>
      <c r="E457" s="350">
        <v>7</v>
      </c>
      <c r="F457" s="350">
        <v>5</v>
      </c>
      <c r="G457" s="350">
        <v>3</v>
      </c>
      <c r="H457" s="349">
        <v>4066.1499999999996</v>
      </c>
      <c r="I457" s="436">
        <f t="shared" si="213"/>
      </c>
      <c r="J457" s="351">
        <f t="shared" si="273"/>
      </c>
      <c r="K457" s="351">
        <f t="shared" si="333"/>
      </c>
      <c r="L457" s="352">
        <f t="shared" si="63"/>
      </c>
      <c r="M457" s="351">
        <f t="shared" si="27"/>
      </c>
      <c r="N457" s="351">
        <f t="shared" si="93"/>
      </c>
      <c r="O457" s="352">
        <f t="shared" si="123"/>
      </c>
      <c r="P457" s="352">
        <f t="shared" si="153"/>
      </c>
      <c r="Q457" s="352">
        <f t="shared" si="183"/>
      </c>
      <c r="R457" s="352">
        <f t="shared" si="243"/>
      </c>
      <c r="S457" s="353">
        <f t="shared" si="303"/>
      </c>
      <c r="T457" s="354">
        <v>0.0455</v>
      </c>
      <c r="U457" s="355">
        <v>36</v>
      </c>
      <c r="V457" s="351">
        <f t="shared" si="363"/>
      </c>
      <c r="W457" s="355">
        <v>6810</v>
      </c>
      <c r="X457" s="355">
        <v>450</v>
      </c>
      <c r="Y457" s="355">
        <v>49</v>
      </c>
      <c r="Z457" s="355">
        <v>569</v>
      </c>
      <c r="AA457" s="355">
        <v>47</v>
      </c>
      <c r="AB457" s="355">
        <v>6</v>
      </c>
      <c r="AC457" s="355">
        <v>0</v>
      </c>
      <c r="AD457" s="355">
        <v>4</v>
      </c>
      <c r="AE457" s="351">
        <f t="shared" si="57"/>
      </c>
      <c r="AF457" s="356" t="s">
        <v>253</v>
      </c>
      <c r="AG457" s="451" t="s">
        <v>259</v>
      </c>
      <c r="AH457" s="355">
        <v>21</v>
      </c>
    </row>
    <row r="458">
      <c r="A458" s="397"/>
      <c r="B458" s="411" t="s">
        <v>232</v>
      </c>
      <c r="C458" s="348" t="s">
        <v>257</v>
      </c>
      <c r="D458" s="438">
        <v>1572.21</v>
      </c>
      <c r="E458" s="379">
        <v>3</v>
      </c>
      <c r="F458" s="379">
        <v>1</v>
      </c>
      <c r="G458" s="379">
        <v>1</v>
      </c>
      <c r="H458" s="438">
        <v>451</v>
      </c>
      <c r="I458" s="351">
        <f t="shared" si="213"/>
      </c>
      <c r="J458" s="351">
        <f t="shared" si="273"/>
      </c>
      <c r="K458" s="351">
        <f t="shared" si="333"/>
      </c>
      <c r="L458" s="352">
        <f t="shared" si="63"/>
      </c>
      <c r="M458" s="351">
        <f t="shared" si="27"/>
      </c>
      <c r="N458" s="351">
        <f t="shared" si="93"/>
      </c>
      <c r="O458" s="352">
        <f t="shared" si="123"/>
      </c>
      <c r="P458" s="352">
        <f t="shared" si="153"/>
      </c>
      <c r="Q458" s="352">
        <f t="shared" si="183"/>
      </c>
      <c r="R458" s="352">
        <f t="shared" si="243"/>
      </c>
      <c r="S458" s="353">
        <f t="shared" si="303"/>
      </c>
      <c r="T458" s="354">
        <v>0.0348</v>
      </c>
      <c r="U458" s="355">
        <v>36</v>
      </c>
      <c r="V458" s="351">
        <f t="shared" si="363"/>
      </c>
      <c r="W458" s="353">
        <v>8997</v>
      </c>
      <c r="X458" s="353">
        <v>403</v>
      </c>
      <c r="Y458" s="353">
        <v>42</v>
      </c>
      <c r="Z458" s="353">
        <v>520</v>
      </c>
      <c r="AA458" s="353">
        <v>13</v>
      </c>
      <c r="AB458" s="353">
        <v>4</v>
      </c>
      <c r="AC458" s="353">
        <v>0</v>
      </c>
      <c r="AD458" s="353">
        <v>9</v>
      </c>
      <c r="AE458" s="351">
        <f t="shared" si="57"/>
      </c>
      <c r="AF458" s="356" t="s">
        <v>253</v>
      </c>
      <c r="AG458" s="451" t="s">
        <v>259</v>
      </c>
      <c r="AH458" s="355">
        <v>13</v>
      </c>
    </row>
    <row r="459">
      <c r="A459" s="397"/>
      <c r="B459" s="360" t="s">
        <v>240</v>
      </c>
      <c r="C459" s="360"/>
      <c r="D459" s="361">
        <f>SUM(D454:D458)</f>
      </c>
      <c r="E459" s="365">
        <f>SUM(E454:E458)</f>
      </c>
      <c r="F459" s="365">
        <f>SUM(F454:F458)</f>
      </c>
      <c r="G459" s="365">
        <f>SUM(G454:G458)</f>
      </c>
      <c r="H459" s="361">
        <f>SUM(H454:H458)</f>
      </c>
      <c r="I459" s="363">
        <f t="shared" si="213"/>
      </c>
      <c r="J459" s="363">
        <f t="shared" si="273"/>
      </c>
      <c r="K459" s="363">
        <f t="shared" si="333"/>
      </c>
      <c r="L459" s="364">
        <f t="shared" si="63"/>
      </c>
      <c r="M459" s="363">
        <f t="shared" si="27"/>
      </c>
      <c r="N459" s="363">
        <f t="shared" si="93"/>
      </c>
      <c r="O459" s="364">
        <f t="shared" si="123"/>
      </c>
      <c r="P459" s="364">
        <f t="shared" si="153"/>
      </c>
      <c r="Q459" s="364">
        <f t="shared" si="183"/>
      </c>
      <c r="R459" s="364">
        <f t="shared" si="243"/>
      </c>
      <c r="S459" s="365">
        <f t="shared" si="303"/>
      </c>
      <c r="T459" s="364">
        <f>AVERAGE(T454:T458)</f>
      </c>
      <c r="U459" s="361">
        <f>AVERAGE(U454:U458)</f>
      </c>
      <c r="V459" s="363">
        <f t="shared" si="363"/>
      </c>
      <c r="W459" s="365">
        <f>SUM(W454:W458)</f>
      </c>
      <c r="X459" s="365">
        <f>SUM(X454:X458)</f>
      </c>
      <c r="Y459" s="365">
        <f>SUM(Y454:Y458)</f>
      </c>
      <c r="Z459" s="365">
        <f>SUM(Z454:Z458)</f>
      </c>
      <c r="AA459" s="365">
        <f>SUM(AA454:AA458)</f>
      </c>
      <c r="AB459" s="365">
        <f>SUM(AB454:AB458)</f>
      </c>
      <c r="AC459" s="365">
        <f>SUM(AC454:AC458)</f>
      </c>
      <c r="AD459" s="365">
        <f>SUM(AD454:AD458)</f>
      </c>
      <c r="AE459" s="366">
        <f t="shared" si="57"/>
      </c>
      <c r="AF459" s="367"/>
      <c r="AG459" s="367"/>
      <c r="AH459" s="368">
        <f>SUM(AH454:AH458)</f>
      </c>
    </row>
    <row r="460">
      <c r="A460" s="397"/>
      <c r="B460" s="425" t="s">
        <v>265</v>
      </c>
      <c r="C460" s="411" t="s">
        <v>258</v>
      </c>
      <c r="D460" s="426">
        <v>836.95</v>
      </c>
      <c r="E460" s="413">
        <v>0</v>
      </c>
      <c r="F460" s="413">
        <v>1</v>
      </c>
      <c r="G460" s="414">
        <v>0</v>
      </c>
      <c r="H460" s="475">
        <v>451</v>
      </c>
      <c r="I460" s="416">
        <f t="shared" si="213"/>
      </c>
      <c r="J460" s="416">
        <f t="shared" si="273"/>
      </c>
      <c r="K460" s="416">
        <f t="shared" si="333"/>
      </c>
      <c r="L460" s="417">
        <f t="shared" si="63"/>
      </c>
      <c r="M460" s="416">
        <f t="shared" si="27"/>
      </c>
      <c r="N460" s="416">
        <f t="shared" si="93"/>
      </c>
      <c r="O460" s="417">
        <f t="shared" si="123"/>
      </c>
      <c r="P460" s="417">
        <f t="shared" si="153"/>
      </c>
      <c r="Q460" s="417">
        <f t="shared" si="183"/>
      </c>
      <c r="R460" s="417">
        <f t="shared" si="243"/>
      </c>
      <c r="S460" s="418">
        <f t="shared" si="303"/>
      </c>
      <c r="T460" s="419">
        <v>0.026</v>
      </c>
      <c r="U460" s="420">
        <v>37</v>
      </c>
      <c r="V460" s="416">
        <f t="shared" si="363"/>
      </c>
      <c r="W460" s="418">
        <v>5689</v>
      </c>
      <c r="X460" s="418">
        <v>483</v>
      </c>
      <c r="Y460" s="418">
        <v>30</v>
      </c>
      <c r="Z460" s="418">
        <v>575</v>
      </c>
      <c r="AA460" s="418">
        <v>31</v>
      </c>
      <c r="AB460" s="418">
        <v>2</v>
      </c>
      <c r="AC460" s="418">
        <v>1</v>
      </c>
      <c r="AD460" s="418">
        <v>6</v>
      </c>
      <c r="AE460" s="416">
        <f t="shared" si="57"/>
      </c>
      <c r="AF460" s="356" t="s">
        <v>253</v>
      </c>
      <c r="AG460" s="451" t="s">
        <v>259</v>
      </c>
      <c r="AH460" s="420">
        <v>14</v>
      </c>
    </row>
    <row r="461">
      <c r="A461" s="397"/>
      <c r="B461" s="425" t="s">
        <v>265</v>
      </c>
      <c r="C461" s="422" t="s">
        <v>260</v>
      </c>
      <c r="D461" s="439">
        <v>1035.68</v>
      </c>
      <c r="E461" s="424">
        <v>5</v>
      </c>
      <c r="F461" s="424">
        <v>4</v>
      </c>
      <c r="G461" s="424">
        <v>4</v>
      </c>
      <c r="H461" s="475">
        <v>1804</v>
      </c>
      <c r="I461" s="416">
        <f t="shared" si="213"/>
      </c>
      <c r="J461" s="416">
        <f t="shared" si="273"/>
      </c>
      <c r="K461" s="416">
        <f t="shared" si="333"/>
      </c>
      <c r="L461" s="417">
        <f t="shared" si="63"/>
      </c>
      <c r="M461" s="416">
        <f t="shared" si="27"/>
      </c>
      <c r="N461" s="416">
        <f t="shared" si="93"/>
      </c>
      <c r="O461" s="417">
        <f t="shared" si="123"/>
      </c>
      <c r="P461" s="417">
        <f t="shared" si="153"/>
      </c>
      <c r="Q461" s="417">
        <f t="shared" si="183"/>
      </c>
      <c r="R461" s="417">
        <f t="shared" si="243"/>
      </c>
      <c r="S461" s="418">
        <f t="shared" si="303"/>
      </c>
      <c r="T461" s="419">
        <v>0.0327</v>
      </c>
      <c r="U461" s="420">
        <v>37</v>
      </c>
      <c r="V461" s="416">
        <f t="shared" si="363"/>
      </c>
      <c r="W461" s="418">
        <v>5731</v>
      </c>
      <c r="X461" s="418">
        <v>447</v>
      </c>
      <c r="Y461" s="418">
        <v>33</v>
      </c>
      <c r="Z461" s="418">
        <v>542</v>
      </c>
      <c r="AA461" s="418">
        <v>39</v>
      </c>
      <c r="AB461" s="418">
        <v>3</v>
      </c>
      <c r="AC461" s="418">
        <v>1</v>
      </c>
      <c r="AD461" s="418">
        <v>4</v>
      </c>
      <c r="AE461" s="416">
        <f t="shared" si="57"/>
      </c>
      <c r="AF461" s="356" t="s">
        <v>253</v>
      </c>
      <c r="AG461" s="451" t="s">
        <v>259</v>
      </c>
      <c r="AH461" s="420">
        <v>9</v>
      </c>
    </row>
    <row r="462">
      <c r="A462" s="397"/>
      <c r="B462" s="425" t="s">
        <v>265</v>
      </c>
      <c r="C462" s="411" t="s">
        <v>261</v>
      </c>
      <c r="D462" s="426">
        <v>1235.81</v>
      </c>
      <c r="E462" s="424">
        <v>3</v>
      </c>
      <c r="F462" s="424">
        <v>2</v>
      </c>
      <c r="G462" s="424">
        <v>2</v>
      </c>
      <c r="H462" s="426">
        <v>856.9000000000015</v>
      </c>
      <c r="I462" s="416">
        <f t="shared" si="213"/>
      </c>
      <c r="J462" s="416">
        <f t="shared" si="273"/>
      </c>
      <c r="K462" s="416">
        <f t="shared" si="333"/>
      </c>
      <c r="L462" s="417">
        <f t="shared" si="63"/>
      </c>
      <c r="M462" s="416">
        <f t="shared" si="27"/>
      </c>
      <c r="N462" s="416">
        <f t="shared" si="93"/>
      </c>
      <c r="O462" s="417">
        <f t="shared" si="123"/>
      </c>
      <c r="P462" s="417">
        <f t="shared" si="153"/>
      </c>
      <c r="Q462" s="417">
        <f t="shared" si="183"/>
      </c>
      <c r="R462" s="417">
        <f t="shared" si="243"/>
      </c>
      <c r="S462" s="418">
        <f t="shared" si="303"/>
      </c>
      <c r="T462" s="419">
        <v>0.0378</v>
      </c>
      <c r="U462" s="420">
        <v>41</v>
      </c>
      <c r="V462" s="416">
        <f t="shared" si="363"/>
      </c>
      <c r="W462" s="418">
        <v>7418</v>
      </c>
      <c r="X462" s="418">
        <v>399</v>
      </c>
      <c r="Y462" s="418">
        <v>37</v>
      </c>
      <c r="Z462" s="418">
        <v>532</v>
      </c>
      <c r="AA462" s="418">
        <v>31</v>
      </c>
      <c r="AB462" s="418">
        <v>3</v>
      </c>
      <c r="AC462" s="418">
        <v>0</v>
      </c>
      <c r="AD462" s="418">
        <v>12</v>
      </c>
      <c r="AE462" s="416">
        <f t="shared" si="57"/>
      </c>
      <c r="AF462" s="356" t="s">
        <v>253</v>
      </c>
      <c r="AG462" s="451" t="s">
        <v>259</v>
      </c>
      <c r="AH462" s="420">
        <v>13</v>
      </c>
    </row>
    <row r="463">
      <c r="A463" s="397"/>
      <c r="B463" s="425" t="s">
        <v>265</v>
      </c>
      <c r="C463" s="425" t="s">
        <v>262</v>
      </c>
      <c r="D463" s="426">
        <v>1148.33</v>
      </c>
      <c r="E463" s="414">
        <v>3</v>
      </c>
      <c r="F463" s="414">
        <v>3</v>
      </c>
      <c r="G463" s="414">
        <v>3</v>
      </c>
      <c r="H463" s="426">
        <v>1683</v>
      </c>
      <c r="I463" s="416">
        <f t="shared" si="213"/>
      </c>
      <c r="J463" s="416">
        <f t="shared" si="273"/>
      </c>
      <c r="K463" s="416">
        <f t="shared" si="333"/>
      </c>
      <c r="L463" s="417">
        <f t="shared" si="63"/>
      </c>
      <c r="M463" s="416">
        <f t="shared" si="27"/>
      </c>
      <c r="N463" s="416">
        <f t="shared" si="93"/>
      </c>
      <c r="O463" s="417">
        <f t="shared" si="123"/>
      </c>
      <c r="P463" s="417">
        <f t="shared" si="153"/>
      </c>
      <c r="Q463" s="417">
        <f t="shared" si="183"/>
      </c>
      <c r="R463" s="417">
        <f t="shared" si="243"/>
      </c>
      <c r="S463" s="418">
        <f t="shared" si="303"/>
      </c>
      <c r="T463" s="419">
        <v>0.0482</v>
      </c>
      <c r="U463" s="420">
        <v>43</v>
      </c>
      <c r="V463" s="416">
        <f t="shared" si="363"/>
      </c>
      <c r="W463" s="418">
        <v>6745</v>
      </c>
      <c r="X463" s="418">
        <v>387</v>
      </c>
      <c r="Y463" s="418">
        <v>47</v>
      </c>
      <c r="Z463" s="418">
        <v>504</v>
      </c>
      <c r="AA463" s="418">
        <v>51</v>
      </c>
      <c r="AB463" s="418">
        <v>6</v>
      </c>
      <c r="AC463" s="418">
        <v>2</v>
      </c>
      <c r="AD463" s="418">
        <v>10</v>
      </c>
      <c r="AE463" s="416">
        <f t="shared" si="57"/>
      </c>
      <c r="AF463" s="356" t="s">
        <v>253</v>
      </c>
      <c r="AG463" s="451" t="s">
        <v>259</v>
      </c>
      <c r="AH463" s="420">
        <v>37</v>
      </c>
    </row>
    <row r="464">
      <c r="A464" s="397"/>
      <c r="B464" s="427" t="s">
        <v>240</v>
      </c>
      <c r="C464" s="427"/>
      <c r="D464" s="428">
        <f>SUM(D460:D463)</f>
      </c>
      <c r="E464" s="429">
        <f>SUM(E460:E463)</f>
      </c>
      <c r="F464" s="429">
        <f>SUM(F460:F463)</f>
      </c>
      <c r="G464" s="429">
        <f>SUM(G460:G463)</f>
      </c>
      <c r="H464" s="428">
        <f>SUM(H460:H463)</f>
      </c>
      <c r="I464" s="430">
        <f t="shared" si="213"/>
      </c>
      <c r="J464" s="430">
        <f t="shared" si="273"/>
      </c>
      <c r="K464" s="430">
        <f t="shared" si="333"/>
      </c>
      <c r="L464" s="431">
        <f t="shared" si="63"/>
      </c>
      <c r="M464" s="430">
        <f t="shared" si="27"/>
      </c>
      <c r="N464" s="430">
        <f t="shared" si="93"/>
      </c>
      <c r="O464" s="431">
        <f t="shared" si="123"/>
      </c>
      <c r="P464" s="431">
        <f t="shared" si="153"/>
      </c>
      <c r="Q464" s="431">
        <f t="shared" si="183"/>
      </c>
      <c r="R464" s="431">
        <f t="shared" si="243"/>
      </c>
      <c r="S464" s="432">
        <f t="shared" si="303"/>
      </c>
      <c r="T464" s="431">
        <f>AVERAGE(T460:T463)</f>
      </c>
      <c r="U464" s="428">
        <f>AVERAGE(U460:U463)</f>
      </c>
      <c r="V464" s="430">
        <f t="shared" si="363"/>
      </c>
      <c r="W464" s="432">
        <f>SUM(W460:W463)</f>
      </c>
      <c r="X464" s="432">
        <f>SUM(X460:X463)</f>
      </c>
      <c r="Y464" s="432">
        <f>SUM(Y460:Y463)</f>
      </c>
      <c r="Z464" s="432">
        <f>SUM(Z460:Z463)</f>
      </c>
      <c r="AA464" s="432">
        <f>SUM(AA460:AA463)</f>
      </c>
      <c r="AB464" s="432">
        <f>SUM(AB460:AB463)</f>
      </c>
      <c r="AC464" s="432">
        <f>SUM(AC460:AC463)</f>
      </c>
      <c r="AD464" s="432">
        <f>SUM(AD460:AD463)</f>
      </c>
      <c r="AE464" s="433">
        <f t="shared" si="57"/>
      </c>
      <c r="AF464" s="434"/>
      <c r="AG464" s="434"/>
      <c r="AH464" s="435">
        <f>SUM(AH460:AH463)</f>
      </c>
    </row>
    <row r="465">
      <c r="A465" s="397"/>
      <c r="B465" s="348" t="s">
        <v>246</v>
      </c>
      <c r="C465" s="411" t="s">
        <v>243</v>
      </c>
      <c r="D465" s="349">
        <v>1600.54</v>
      </c>
      <c r="E465" s="350">
        <v>3</v>
      </c>
      <c r="F465" s="350">
        <v>3</v>
      </c>
      <c r="G465" s="350">
        <v>2</v>
      </c>
      <c r="H465" s="350">
        <v>2072.399999999998</v>
      </c>
      <c r="I465" s="351">
        <f t="shared" si="213"/>
      </c>
      <c r="J465" s="351">
        <f t="shared" si="273"/>
      </c>
      <c r="K465" s="351">
        <f t="shared" si="333"/>
      </c>
      <c r="L465" s="352">
        <f t="shared" si="63"/>
      </c>
      <c r="M465" s="351">
        <f t="shared" si="27"/>
      </c>
      <c r="N465" s="351">
        <f t="shared" si="93"/>
      </c>
      <c r="O465" s="352">
        <f t="shared" si="123"/>
      </c>
      <c r="P465" s="352">
        <f t="shared" si="153"/>
      </c>
      <c r="Q465" s="352">
        <f t="shared" si="183"/>
      </c>
      <c r="R465" s="352">
        <f t="shared" si="243"/>
      </c>
      <c r="S465" s="353">
        <f t="shared" si="303"/>
      </c>
      <c r="T465" s="354">
        <v>0.049</v>
      </c>
      <c r="U465" s="355">
        <v>41</v>
      </c>
      <c r="V465" s="351">
        <f t="shared" si="363"/>
      </c>
      <c r="W465" s="355">
        <v>11072</v>
      </c>
      <c r="X465" s="355">
        <v>383</v>
      </c>
      <c r="Y465" s="353">
        <v>55</v>
      </c>
      <c r="Z465" s="353">
        <v>481</v>
      </c>
      <c r="AA465" s="353">
        <v>18</v>
      </c>
      <c r="AB465" s="353">
        <v>1</v>
      </c>
      <c r="AC465" s="355">
        <v>1</v>
      </c>
      <c r="AD465" s="355">
        <v>10</v>
      </c>
      <c r="AE465" s="351">
        <f t="shared" si="57"/>
      </c>
      <c r="AF465" s="356" t="s">
        <v>234</v>
      </c>
      <c r="AG465" s="451" t="s">
        <v>268</v>
      </c>
      <c r="AH465" s="355">
        <v>8</v>
      </c>
    </row>
    <row r="466">
      <c r="A466" s="397"/>
      <c r="B466" s="348" t="s">
        <v>246</v>
      </c>
      <c r="C466" s="422" t="s">
        <v>244</v>
      </c>
      <c r="D466" s="349">
        <v>1278.05</v>
      </c>
      <c r="E466" s="350">
        <v>5</v>
      </c>
      <c r="F466" s="350">
        <v>3</v>
      </c>
      <c r="G466" s="350">
        <v>2</v>
      </c>
      <c r="H466" s="349">
        <v>1683</v>
      </c>
      <c r="I466" s="351">
        <f t="shared" si="213"/>
      </c>
      <c r="J466" s="351">
        <f t="shared" si="273"/>
      </c>
      <c r="K466" s="351">
        <f t="shared" si="333"/>
      </c>
      <c r="L466" s="352">
        <f t="shared" si="63"/>
      </c>
      <c r="M466" s="351">
        <f t="shared" si="27"/>
      </c>
      <c r="N466" s="351">
        <f t="shared" si="93"/>
      </c>
      <c r="O466" s="352">
        <f t="shared" si="123"/>
      </c>
      <c r="P466" s="352">
        <f t="shared" si="153"/>
      </c>
      <c r="Q466" s="352">
        <f t="shared" si="183"/>
      </c>
      <c r="R466" s="352">
        <f t="shared" si="243"/>
      </c>
      <c r="S466" s="353">
        <f t="shared" si="303"/>
      </c>
      <c r="T466" s="354">
        <v>0.0322</v>
      </c>
      <c r="U466" s="355">
        <v>41</v>
      </c>
      <c r="V466" s="351">
        <f t="shared" si="363"/>
      </c>
      <c r="W466" s="353">
        <v>10408</v>
      </c>
      <c r="X466" s="353">
        <v>376</v>
      </c>
      <c r="Y466" s="353">
        <v>46</v>
      </c>
      <c r="Z466" s="353">
        <v>465</v>
      </c>
      <c r="AA466" s="353">
        <v>47</v>
      </c>
      <c r="AB466" s="353">
        <v>4</v>
      </c>
      <c r="AC466" s="353">
        <v>3</v>
      </c>
      <c r="AD466" s="355">
        <v>15</v>
      </c>
      <c r="AE466" s="351">
        <f t="shared" si="57"/>
      </c>
      <c r="AF466" s="356" t="s">
        <v>234</v>
      </c>
      <c r="AG466" s="451" t="s">
        <v>268</v>
      </c>
      <c r="AH466" s="355">
        <v>20</v>
      </c>
    </row>
    <row r="467">
      <c r="A467" s="397"/>
      <c r="B467" s="348" t="s">
        <v>246</v>
      </c>
      <c r="C467" s="411" t="s">
        <v>245</v>
      </c>
      <c r="D467" s="349">
        <v>1097.35</v>
      </c>
      <c r="E467" s="350">
        <v>3</v>
      </c>
      <c r="F467" s="350">
        <v>2</v>
      </c>
      <c r="G467" s="350">
        <v>2</v>
      </c>
      <c r="H467" s="349">
        <v>902</v>
      </c>
      <c r="I467" s="351">
        <f t="shared" si="213"/>
      </c>
      <c r="J467" s="351">
        <f t="shared" si="273"/>
      </c>
      <c r="K467" s="351">
        <f t="shared" si="333"/>
      </c>
      <c r="L467" s="352">
        <f t="shared" si="63"/>
      </c>
      <c r="M467" s="351">
        <f t="shared" si="27"/>
      </c>
      <c r="N467" s="351">
        <f t="shared" si="93"/>
      </c>
      <c r="O467" s="352">
        <f t="shared" si="123"/>
      </c>
      <c r="P467" s="352">
        <f t="shared" si="153"/>
      </c>
      <c r="Q467" s="352">
        <f t="shared" si="183"/>
      </c>
      <c r="R467" s="352">
        <f t="shared" si="243"/>
      </c>
      <c r="S467" s="353">
        <f t="shared" si="303"/>
      </c>
      <c r="T467" s="354">
        <v>0.0412</v>
      </c>
      <c r="U467" s="355">
        <v>40</v>
      </c>
      <c r="V467" s="351">
        <f t="shared" si="363"/>
      </c>
      <c r="W467" s="355">
        <v>8055</v>
      </c>
      <c r="X467" s="355">
        <v>377</v>
      </c>
      <c r="Y467" s="355">
        <v>55</v>
      </c>
      <c r="Z467" s="355">
        <v>461</v>
      </c>
      <c r="AA467" s="355">
        <v>18</v>
      </c>
      <c r="AB467" s="355">
        <v>1</v>
      </c>
      <c r="AC467" s="355">
        <v>0</v>
      </c>
      <c r="AD467" s="355">
        <v>8</v>
      </c>
      <c r="AE467" s="351">
        <f t="shared" si="57"/>
      </c>
      <c r="AF467" s="356" t="s">
        <v>234</v>
      </c>
      <c r="AG467" s="451" t="s">
        <v>268</v>
      </c>
      <c r="AH467" s="355">
        <v>13</v>
      </c>
    </row>
    <row r="468">
      <c r="A468" s="397"/>
      <c r="B468" s="348" t="s">
        <v>246</v>
      </c>
      <c r="C468" s="411" t="s">
        <v>233</v>
      </c>
      <c r="D468" s="349">
        <v>1366.9</v>
      </c>
      <c r="E468" s="350">
        <v>2</v>
      </c>
      <c r="F468" s="350">
        <v>2</v>
      </c>
      <c r="G468" s="350">
        <v>2</v>
      </c>
      <c r="H468" s="349">
        <v>902</v>
      </c>
      <c r="I468" s="351">
        <f t="shared" si="213"/>
      </c>
      <c r="J468" s="351">
        <f t="shared" si="273"/>
      </c>
      <c r="K468" s="351">
        <f t="shared" si="333"/>
      </c>
      <c r="L468" s="352">
        <f t="shared" si="63"/>
      </c>
      <c r="M468" s="351">
        <f t="shared" si="27"/>
      </c>
      <c r="N468" s="351">
        <f t="shared" si="93"/>
      </c>
      <c r="O468" s="352">
        <f t="shared" si="123"/>
      </c>
      <c r="P468" s="352">
        <f t="shared" si="153"/>
      </c>
      <c r="Q468" s="352">
        <f t="shared" si="183"/>
      </c>
      <c r="R468" s="352">
        <f t="shared" si="243"/>
      </c>
      <c r="S468" s="353">
        <f t="shared" si="303"/>
      </c>
      <c r="T468" s="354">
        <v>0.031</v>
      </c>
      <c r="U468" s="355">
        <v>39</v>
      </c>
      <c r="V468" s="351">
        <f t="shared" si="363"/>
      </c>
      <c r="W468" s="355">
        <v>9953</v>
      </c>
      <c r="X468" s="355">
        <v>409</v>
      </c>
      <c r="Y468" s="353">
        <v>36</v>
      </c>
      <c r="Z468" s="353">
        <v>507</v>
      </c>
      <c r="AA468" s="353">
        <v>19</v>
      </c>
      <c r="AB468" s="353">
        <v>2</v>
      </c>
      <c r="AC468" s="355">
        <v>0</v>
      </c>
      <c r="AD468" s="355">
        <v>8</v>
      </c>
      <c r="AE468" s="351">
        <f t="shared" si="57"/>
      </c>
      <c r="AF468" s="356" t="s">
        <v>234</v>
      </c>
      <c r="AG468" s="451" t="s">
        <v>268</v>
      </c>
      <c r="AH468" s="355">
        <v>11</v>
      </c>
    </row>
    <row r="469">
      <c r="A469" s="397"/>
      <c r="B469" s="360" t="s">
        <v>240</v>
      </c>
      <c r="C469" s="360"/>
      <c r="D469" s="405">
        <f>SUM(D465:D468)</f>
      </c>
      <c r="E469" s="440">
        <f>SUM(E465:E468)</f>
      </c>
      <c r="F469" s="440">
        <f>SUM(F465:F468)</f>
      </c>
      <c r="G469" s="440">
        <f>SUM(G465:G468)</f>
      </c>
      <c r="H469" s="405">
        <f>SUM(H465:H468)</f>
      </c>
      <c r="I469" s="363">
        <f t="shared" si="213"/>
      </c>
      <c r="J469" s="363">
        <f t="shared" si="273"/>
      </c>
      <c r="K469" s="363">
        <f t="shared" si="333"/>
      </c>
      <c r="L469" s="364">
        <f t="shared" si="63"/>
      </c>
      <c r="M469" s="363">
        <f t="shared" si="27"/>
      </c>
      <c r="N469" s="363">
        <f t="shared" si="93"/>
      </c>
      <c r="O469" s="364">
        <f t="shared" si="123"/>
      </c>
      <c r="P469" s="364">
        <f t="shared" si="153"/>
      </c>
      <c r="Q469" s="364">
        <f t="shared" si="183"/>
      </c>
      <c r="R469" s="364">
        <f t="shared" si="243"/>
      </c>
      <c r="S469" s="365">
        <f t="shared" si="303"/>
      </c>
      <c r="T469" s="364">
        <f>AVERAGE(T465:T468)</f>
      </c>
      <c r="U469" s="361">
        <f>AVERAGE(U465:U468)</f>
      </c>
      <c r="V469" s="363">
        <f t="shared" si="363"/>
      </c>
      <c r="W469" s="365">
        <f>SUM(W465:W468)</f>
      </c>
      <c r="X469" s="365">
        <f>SUM(X465:X468)</f>
      </c>
      <c r="Y469" s="365">
        <f>SUM(Y465:Y468)</f>
      </c>
      <c r="Z469" s="365">
        <f>SUM(Z465:Z468)</f>
      </c>
      <c r="AA469" s="365">
        <f>SUM(AA465:AA468)</f>
      </c>
      <c r="AB469" s="365">
        <f>SUM(AB465:AB468)</f>
      </c>
      <c r="AC469" s="365">
        <f>SUM(AC465:AC468)</f>
      </c>
      <c r="AD469" s="365">
        <f>SUM(AD465:AD468)</f>
      </c>
      <c r="AE469" s="366">
        <f t="shared" si="57"/>
      </c>
      <c r="AF469" s="367"/>
      <c r="AG469" s="367"/>
      <c r="AH469" s="365">
        <f>SUM(AH465:AH468)</f>
      </c>
    </row>
    <row r="470">
      <c r="A470" s="397"/>
      <c r="B470" s="375" t="s">
        <v>249</v>
      </c>
      <c r="C470" s="425" t="s">
        <v>236</v>
      </c>
      <c r="D470" s="412">
        <v>2214.31</v>
      </c>
      <c r="E470" s="413">
        <v>9</v>
      </c>
      <c r="F470" s="413">
        <v>5</v>
      </c>
      <c r="G470" s="414">
        <v>3</v>
      </c>
      <c r="H470" s="415">
        <v>3671.25</v>
      </c>
      <c r="I470" s="416">
        <f t="shared" si="213"/>
      </c>
      <c r="J470" s="416">
        <f t="shared" si="273"/>
      </c>
      <c r="K470" s="416">
        <f t="shared" si="333"/>
      </c>
      <c r="L470" s="417">
        <f t="shared" si="63"/>
      </c>
      <c r="M470" s="416">
        <f t="shared" si="27"/>
      </c>
      <c r="N470" s="416">
        <f t="shared" si="93"/>
      </c>
      <c r="O470" s="417">
        <f t="shared" si="123"/>
      </c>
      <c r="P470" s="417">
        <f t="shared" si="153"/>
      </c>
      <c r="Q470" s="417">
        <f t="shared" si="183"/>
      </c>
      <c r="R470" s="417">
        <f t="shared" si="243"/>
      </c>
      <c r="S470" s="418">
        <f t="shared" si="303"/>
      </c>
      <c r="T470" s="419">
        <v>0.0409</v>
      </c>
      <c r="U470" s="420">
        <v>39</v>
      </c>
      <c r="V470" s="416">
        <f t="shared" si="363"/>
      </c>
      <c r="W470" s="418">
        <v>15097</v>
      </c>
      <c r="X470" s="418">
        <v>608</v>
      </c>
      <c r="Y470" s="418">
        <v>75</v>
      </c>
      <c r="Z470" s="418">
        <v>699</v>
      </c>
      <c r="AA470" s="418">
        <v>50</v>
      </c>
      <c r="AB470" s="418">
        <v>5</v>
      </c>
      <c r="AC470" s="418">
        <v>1</v>
      </c>
      <c r="AD470" s="418">
        <v>12</v>
      </c>
      <c r="AE470" s="416">
        <f t="shared" si="57"/>
      </c>
      <c r="AF470" s="356" t="s">
        <v>234</v>
      </c>
      <c r="AG470" s="451" t="s">
        <v>268</v>
      </c>
      <c r="AH470" s="420">
        <v>31</v>
      </c>
    </row>
    <row r="471">
      <c r="A471" s="397"/>
      <c r="B471" s="375" t="s">
        <v>249</v>
      </c>
      <c r="C471" s="425" t="s">
        <v>237</v>
      </c>
      <c r="D471" s="423">
        <v>2521.33</v>
      </c>
      <c r="E471" s="424">
        <v>6</v>
      </c>
      <c r="F471" s="424">
        <v>3</v>
      </c>
      <c r="G471" s="424">
        <v>3</v>
      </c>
      <c r="H471" s="415">
        <v>1353</v>
      </c>
      <c r="I471" s="416">
        <f t="shared" si="213"/>
      </c>
      <c r="J471" s="416">
        <f t="shared" si="273"/>
      </c>
      <c r="K471" s="416">
        <f t="shared" si="333"/>
      </c>
      <c r="L471" s="417">
        <f t="shared" si="63"/>
      </c>
      <c r="M471" s="416">
        <f t="shared" si="27"/>
      </c>
      <c r="N471" s="416">
        <f t="shared" si="93"/>
      </c>
      <c r="O471" s="417">
        <f t="shared" si="123"/>
      </c>
      <c r="P471" s="417">
        <f t="shared" si="153"/>
      </c>
      <c r="Q471" s="417">
        <f t="shared" si="183"/>
      </c>
      <c r="R471" s="417">
        <f t="shared" si="243"/>
      </c>
      <c r="S471" s="418">
        <f t="shared" si="303"/>
      </c>
      <c r="T471" s="419">
        <v>0.0318</v>
      </c>
      <c r="U471" s="420">
        <v>38</v>
      </c>
      <c r="V471" s="416">
        <f t="shared" si="363"/>
      </c>
      <c r="W471" s="418">
        <v>18133</v>
      </c>
      <c r="X471" s="418">
        <v>800</v>
      </c>
      <c r="Y471" s="418">
        <v>76</v>
      </c>
      <c r="Z471" s="418">
        <v>915</v>
      </c>
      <c r="AA471" s="418">
        <v>37</v>
      </c>
      <c r="AB471" s="418">
        <v>8</v>
      </c>
      <c r="AC471" s="418">
        <v>1</v>
      </c>
      <c r="AD471" s="418">
        <v>19</v>
      </c>
      <c r="AE471" s="416">
        <f t="shared" si="57"/>
      </c>
      <c r="AF471" s="356" t="s">
        <v>234</v>
      </c>
      <c r="AG471" s="451" t="s">
        <v>268</v>
      </c>
      <c r="AH471" s="420">
        <v>20</v>
      </c>
    </row>
    <row r="472">
      <c r="A472" s="397"/>
      <c r="B472" s="375" t="s">
        <v>249</v>
      </c>
      <c r="C472" s="425" t="s">
        <v>238</v>
      </c>
      <c r="D472" s="412">
        <v>2468.62</v>
      </c>
      <c r="E472" s="424">
        <v>5</v>
      </c>
      <c r="F472" s="424">
        <v>4</v>
      </c>
      <c r="G472" s="424">
        <v>4</v>
      </c>
      <c r="H472" s="412">
        <v>1804</v>
      </c>
      <c r="I472" s="416">
        <f t="shared" si="213"/>
      </c>
      <c r="J472" s="416">
        <f t="shared" si="273"/>
      </c>
      <c r="K472" s="416">
        <f t="shared" si="333"/>
      </c>
      <c r="L472" s="417">
        <f t="shared" si="63"/>
      </c>
      <c r="M472" s="416">
        <f t="shared" si="27"/>
      </c>
      <c r="N472" s="416">
        <f t="shared" si="93"/>
      </c>
      <c r="O472" s="417">
        <f t="shared" si="123"/>
      </c>
      <c r="P472" s="417">
        <f t="shared" si="153"/>
      </c>
      <c r="Q472" s="417">
        <f t="shared" si="183"/>
      </c>
      <c r="R472" s="417">
        <f t="shared" si="243"/>
      </c>
      <c r="S472" s="418">
        <f t="shared" si="303"/>
      </c>
      <c r="T472" s="419">
        <v>0.047</v>
      </c>
      <c r="U472" s="420">
        <v>38</v>
      </c>
      <c r="V472" s="416">
        <f t="shared" si="363"/>
      </c>
      <c r="W472" s="418">
        <v>18312</v>
      </c>
      <c r="X472" s="418">
        <v>869</v>
      </c>
      <c r="Y472" s="418">
        <v>103</v>
      </c>
      <c r="Z472" s="418">
        <v>1044</v>
      </c>
      <c r="AA472" s="418">
        <v>44</v>
      </c>
      <c r="AB472" s="418">
        <v>5</v>
      </c>
      <c r="AC472" s="418">
        <v>1</v>
      </c>
      <c r="AD472" s="418">
        <v>20</v>
      </c>
      <c r="AE472" s="416">
        <f t="shared" si="57"/>
      </c>
      <c r="AF472" s="356" t="s">
        <v>234</v>
      </c>
      <c r="AG472" s="451" t="s">
        <v>268</v>
      </c>
      <c r="AH472" s="420">
        <v>20</v>
      </c>
    </row>
    <row r="473">
      <c r="A473" s="397"/>
      <c r="B473" s="375" t="s">
        <v>249</v>
      </c>
      <c r="C473" s="425" t="s">
        <v>239</v>
      </c>
      <c r="D473" s="412">
        <v>704.97</v>
      </c>
      <c r="E473" s="414">
        <v>3</v>
      </c>
      <c r="F473" s="414">
        <v>2</v>
      </c>
      <c r="G473" s="414">
        <v>1</v>
      </c>
      <c r="H473" s="412">
        <v>2371.600000000006</v>
      </c>
      <c r="I473" s="416">
        <f t="shared" si="213"/>
      </c>
      <c r="J473" s="416">
        <f t="shared" si="273"/>
      </c>
      <c r="K473" s="416">
        <f t="shared" si="333"/>
      </c>
      <c r="L473" s="417">
        <f t="shared" si="63"/>
      </c>
      <c r="M473" s="416">
        <f t="shared" si="27"/>
      </c>
      <c r="N473" s="416">
        <f t="shared" si="93"/>
      </c>
      <c r="O473" s="417">
        <f t="shared" si="123"/>
      </c>
      <c r="P473" s="417">
        <f t="shared" si="153"/>
      </c>
      <c r="Q473" s="417">
        <f t="shared" si="183"/>
      </c>
      <c r="R473" s="417">
        <f t="shared" si="243"/>
      </c>
      <c r="S473" s="418">
        <f t="shared" si="303"/>
      </c>
      <c r="T473" s="419">
        <v>0.0431</v>
      </c>
      <c r="U473" s="420">
        <v>38</v>
      </c>
      <c r="V473" s="416">
        <f t="shared" si="363"/>
      </c>
      <c r="W473" s="418">
        <v>6144</v>
      </c>
      <c r="X473" s="418">
        <v>442</v>
      </c>
      <c r="Y473" s="418">
        <v>41</v>
      </c>
      <c r="Z473" s="418">
        <v>523</v>
      </c>
      <c r="AA473" s="418">
        <v>24</v>
      </c>
      <c r="AB473" s="418">
        <v>8</v>
      </c>
      <c r="AC473" s="418">
        <v>0</v>
      </c>
      <c r="AD473" s="418">
        <v>5</v>
      </c>
      <c r="AE473" s="416">
        <f t="shared" si="57"/>
      </c>
      <c r="AF473" s="356" t="s">
        <v>234</v>
      </c>
      <c r="AG473" s="451" t="s">
        <v>268</v>
      </c>
      <c r="AH473" s="420">
        <v>10</v>
      </c>
    </row>
    <row r="474">
      <c r="A474" s="397"/>
      <c r="B474" s="427" t="s">
        <v>240</v>
      </c>
      <c r="C474" s="427"/>
      <c r="D474" s="428">
        <f>SUM(D470:D473)</f>
      </c>
      <c r="E474" s="429">
        <f>SUM(E470:E473)</f>
      </c>
      <c r="F474" s="429">
        <f>SUM(F470:F473)</f>
      </c>
      <c r="G474" s="429">
        <f>SUM(G470:G473)</f>
      </c>
      <c r="H474" s="428">
        <f>SUM(H470:H473)</f>
      </c>
      <c r="I474" s="430">
        <f t="shared" si="213"/>
      </c>
      <c r="J474" s="430">
        <f t="shared" si="273"/>
      </c>
      <c r="K474" s="430">
        <f t="shared" si="333"/>
      </c>
      <c r="L474" s="431">
        <f t="shared" si="63"/>
      </c>
      <c r="M474" s="430">
        <f t="shared" si="27"/>
      </c>
      <c r="N474" s="430">
        <f t="shared" si="93"/>
      </c>
      <c r="O474" s="431">
        <f t="shared" si="123"/>
      </c>
      <c r="P474" s="431">
        <f t="shared" si="153"/>
      </c>
      <c r="Q474" s="431">
        <f t="shared" si="183"/>
      </c>
      <c r="R474" s="431">
        <f t="shared" si="243"/>
      </c>
      <c r="S474" s="432">
        <f t="shared" si="303"/>
      </c>
      <c r="T474" s="431">
        <f>AVERAGE(T470:T473)</f>
      </c>
      <c r="U474" s="428">
        <f>AVERAGE(U470:U473)</f>
      </c>
      <c r="V474" s="430">
        <f t="shared" si="363"/>
      </c>
      <c r="W474" s="432">
        <f>SUM(W470:W473)</f>
      </c>
      <c r="X474" s="432">
        <f>SUM(X470:X473)</f>
      </c>
      <c r="Y474" s="432">
        <f>SUM(Y470:Y473)</f>
      </c>
      <c r="Z474" s="432">
        <f>SUM(Z470:Z473)</f>
      </c>
      <c r="AA474" s="432">
        <f>SUM(AA470:AA473)</f>
      </c>
      <c r="AB474" s="432">
        <f>SUM(AB470:AB473)</f>
      </c>
      <c r="AC474" s="432">
        <f>SUM(AC470:AC473)</f>
      </c>
      <c r="AD474" s="432">
        <f>SUM(AD470:AD473)</f>
      </c>
      <c r="AE474" s="433">
        <f t="shared" si="57"/>
      </c>
      <c r="AF474" s="434"/>
      <c r="AG474" s="434"/>
      <c r="AH474" s="435">
        <f>SUM(AH470:AH473)</f>
      </c>
    </row>
    <row r="475">
      <c r="A475" s="397"/>
      <c r="B475" s="369" t="s">
        <v>241</v>
      </c>
      <c r="C475" s="369"/>
      <c r="D475" s="441">
        <f>D459+D464+D469+D474</f>
      </c>
      <c r="E475" s="441">
        <f>E459+E464+E469+E474</f>
      </c>
      <c r="F475" s="441">
        <f>F459+F464+F469+F474</f>
      </c>
      <c r="G475" s="441">
        <f>G459+G464+G469+G474</f>
      </c>
      <c r="H475" s="441">
        <f>H459+H464+H469+H474</f>
      </c>
      <c r="I475" s="442">
        <f t="shared" si="213"/>
      </c>
      <c r="J475" s="372">
        <f t="shared" si="273"/>
      </c>
      <c r="K475" s="372">
        <f t="shared" si="333"/>
      </c>
      <c r="L475" s="373">
        <f t="shared" si="63"/>
      </c>
      <c r="M475" s="372">
        <f t="shared" si="27"/>
      </c>
      <c r="N475" s="372">
        <f t="shared" si="93"/>
      </c>
      <c r="O475" s="373">
        <f t="shared" si="123"/>
      </c>
      <c r="P475" s="373">
        <f t="shared" si="153"/>
      </c>
      <c r="Q475" s="373">
        <f t="shared" si="183"/>
      </c>
      <c r="R475" s="373">
        <f t="shared" si="243"/>
      </c>
      <c r="S475" s="374">
        <f t="shared" si="303"/>
      </c>
      <c r="T475" s="373">
        <f>(T459+T469+T464+T474)/4</f>
      </c>
      <c r="U475" s="479">
        <f>(U459+U469+U464+U474)/4</f>
      </c>
      <c r="V475" s="370">
        <f t="shared" si="363"/>
      </c>
      <c r="W475" s="374">
        <f>W459+W464+W469+W474</f>
      </c>
      <c r="X475" s="374">
        <f>X459+X464+X469+X474</f>
      </c>
      <c r="Y475" s="374">
        <f>Y459+Y464+Y469+Y474</f>
      </c>
      <c r="Z475" s="374">
        <f>Z459+Z464+Z469+Z474</f>
      </c>
      <c r="AA475" s="374">
        <f>AA459+AA464+AA469+AA474</f>
      </c>
      <c r="AB475" s="374">
        <f>AB459+AB464+AB469+AB474</f>
      </c>
      <c r="AC475" s="374">
        <f>AC459+AC464+AC469+AC474</f>
      </c>
      <c r="AD475" s="374">
        <f>AD459+AD464+AD469+AD474</f>
      </c>
      <c r="AE475" s="372">
        <f>AE459</f>
      </c>
      <c r="AF475" s="369"/>
      <c r="AG475" s="369"/>
      <c r="AH475" s="374">
        <f>AH459+AH464+AH469+AH474</f>
      </c>
    </row>
    <row r="476">
      <c r="A476" s="380" t="s">
        <v>197</v>
      </c>
      <c r="B476" s="396" t="s">
        <v>198</v>
      </c>
      <c r="C476" s="396"/>
      <c r="D476" s="381" t="s">
        <v>199</v>
      </c>
      <c r="E476" s="381"/>
      <c r="F476" s="381"/>
      <c r="G476" s="381"/>
      <c r="H476" s="381"/>
      <c r="I476" s="381"/>
      <c r="J476" s="381"/>
      <c r="K476" s="381"/>
      <c r="L476" s="381"/>
      <c r="M476" s="381"/>
      <c r="N476" s="382" t="s">
        <v>200</v>
      </c>
      <c r="O476" s="382"/>
      <c r="P476" s="382"/>
      <c r="Q476" s="382"/>
      <c r="R476" s="382"/>
      <c r="S476" s="382"/>
      <c r="T476" s="382"/>
      <c r="U476" s="382"/>
      <c r="V476" s="382"/>
      <c r="W476" s="382"/>
      <c r="X476" s="382"/>
      <c r="Y476" s="382"/>
      <c r="Z476" s="382"/>
      <c r="AA476" s="382"/>
      <c r="AB476" s="382"/>
      <c r="AC476" s="382"/>
      <c r="AD476" s="382"/>
      <c r="AE476" s="382"/>
      <c r="AF476" s="382"/>
      <c r="AG476" s="382"/>
      <c r="AH476" s="340"/>
    </row>
    <row r="477">
      <c r="A477" s="380"/>
      <c r="B477" s="396" t="s">
        <v>201</v>
      </c>
      <c r="C477" s="398" t="s">
        <v>202</v>
      </c>
      <c r="D477" s="399" t="s">
        <v>203</v>
      </c>
      <c r="E477" s="477" t="s">
        <v>266</v>
      </c>
      <c r="F477" s="391" t="s">
        <v>204</v>
      </c>
      <c r="G477" s="391" t="s">
        <v>205</v>
      </c>
      <c r="H477" s="399" t="s">
        <v>206</v>
      </c>
      <c r="I477" s="384" t="s">
        <v>207</v>
      </c>
      <c r="J477" s="384" t="s">
        <v>208</v>
      </c>
      <c r="K477" s="384" t="s">
        <v>209</v>
      </c>
      <c r="L477" s="478" t="s">
        <v>267</v>
      </c>
      <c r="M477" s="384" t="s">
        <v>210</v>
      </c>
      <c r="N477" s="385" t="s">
        <v>211</v>
      </c>
      <c r="O477" s="386" t="s">
        <v>212</v>
      </c>
      <c r="P477" s="386" t="s">
        <v>213</v>
      </c>
      <c r="Q477" s="386" t="s">
        <v>214</v>
      </c>
      <c r="R477" s="386" t="s">
        <v>215</v>
      </c>
      <c r="S477" s="387" t="s">
        <v>216</v>
      </c>
      <c r="T477" s="392" t="s">
        <v>217</v>
      </c>
      <c r="U477" s="393" t="s">
        <v>218</v>
      </c>
      <c r="V477" s="382" t="s">
        <v>219</v>
      </c>
      <c r="W477" s="394" t="s">
        <v>220</v>
      </c>
      <c r="X477" s="394" t="s">
        <v>221</v>
      </c>
      <c r="Y477" s="394" t="s">
        <v>222</v>
      </c>
      <c r="Z477" s="394" t="s">
        <v>223</v>
      </c>
      <c r="AA477" s="394" t="s">
        <v>224</v>
      </c>
      <c r="AB477" s="394" t="s">
        <v>225</v>
      </c>
      <c r="AC477" s="394" t="s">
        <v>226</v>
      </c>
      <c r="AD477" s="394" t="s">
        <v>227</v>
      </c>
      <c r="AE477" s="382" t="s">
        <v>228</v>
      </c>
      <c r="AF477" s="389" t="s">
        <v>229</v>
      </c>
      <c r="AG477" s="389" t="s">
        <v>230</v>
      </c>
      <c r="AH477" s="340" t="s">
        <v>231</v>
      </c>
    </row>
    <row r="478">
      <c r="A478" s="397">
        <v>46172</v>
      </c>
      <c r="B478" s="411" t="s">
        <v>232</v>
      </c>
      <c r="C478" s="400" t="s">
        <v>264</v>
      </c>
      <c r="D478" s="349">
        <v>2247.47</v>
      </c>
      <c r="E478" s="350">
        <v>6</v>
      </c>
      <c r="F478" s="350">
        <v>1</v>
      </c>
      <c r="G478" s="350">
        <v>1</v>
      </c>
      <c r="H478" s="349">
        <v>451</v>
      </c>
      <c r="I478" s="436">
        <f t="shared" ref="I478:I499" si="214">H478/D478</f>
      </c>
      <c r="J478" s="351">
        <f t="shared" ref="J478:J499" si="274">D478/F478</f>
      </c>
      <c r="K478" s="351">
        <f t="shared" ref="K478:K499" si="334">D478/G478</f>
      </c>
      <c r="L478" s="352">
        <f t="shared" ref="L478:L499" si="64">F478/E478</f>
      </c>
      <c r="M478" s="351">
        <f t="shared" ref="M478:M499" si="28">H478/F478</f>
      </c>
      <c r="N478" s="351">
        <f t="shared" ref="N478:N499" si="94">D478/X478</f>
      </c>
      <c r="O478" s="352">
        <f t="shared" ref="O478:O499" si="124">S478/W478*1</f>
      </c>
      <c r="P478" s="352">
        <f t="shared" ref="P478:P499" si="154">X478/W478</f>
      </c>
      <c r="Q478" s="352">
        <f t="shared" ref="Q478:Q499" si="184">Z478/W478</f>
      </c>
      <c r="R478" s="352">
        <f t="shared" ref="R478:R499" si="244">AA478/Z478</f>
      </c>
      <c r="S478" s="353">
        <f t="shared" ref="S478:S499" si="304">Y478/T478</f>
      </c>
      <c r="T478" s="354">
        <v>0.0404</v>
      </c>
      <c r="U478" s="355">
        <v>37</v>
      </c>
      <c r="V478" s="351">
        <v>41</v>
      </c>
      <c r="W478" s="355">
        <v>13737</v>
      </c>
      <c r="X478" s="355">
        <v>522</v>
      </c>
      <c r="Y478" s="353">
        <v>77</v>
      </c>
      <c r="Z478" s="353">
        <v>716</v>
      </c>
      <c r="AA478" s="353">
        <v>37</v>
      </c>
      <c r="AB478" s="353">
        <v>13</v>
      </c>
      <c r="AC478" s="353">
        <v>2</v>
      </c>
      <c r="AD478" s="355">
        <v>19</v>
      </c>
      <c r="AE478" s="351">
        <f t="shared" ref="AE478:AE498" si="58">AH478*1000/D478</f>
      </c>
      <c r="AF478" s="356" t="s">
        <v>253</v>
      </c>
      <c r="AG478" s="451" t="s">
        <v>259</v>
      </c>
      <c r="AH478" s="355">
        <v>23</v>
      </c>
    </row>
    <row r="479">
      <c r="A479" s="397"/>
      <c r="B479" s="411" t="s">
        <v>232</v>
      </c>
      <c r="C479" s="400" t="s">
        <v>252</v>
      </c>
      <c r="D479" s="349">
        <v>1074.56</v>
      </c>
      <c r="E479" s="350">
        <v>4</v>
      </c>
      <c r="F479" s="350">
        <v>3</v>
      </c>
      <c r="G479" s="350">
        <v>2</v>
      </c>
      <c r="H479" s="349">
        <v>5155.7</v>
      </c>
      <c r="I479" s="436">
        <f t="shared" si="214"/>
      </c>
      <c r="J479" s="351">
        <f t="shared" si="274"/>
      </c>
      <c r="K479" s="351">
        <f t="shared" si="334"/>
      </c>
      <c r="L479" s="352">
        <f t="shared" si="64"/>
      </c>
      <c r="M479" s="351">
        <f t="shared" si="28"/>
      </c>
      <c r="N479" s="351">
        <f t="shared" si="94"/>
      </c>
      <c r="O479" s="352">
        <f t="shared" si="124"/>
      </c>
      <c r="P479" s="352">
        <f t="shared" si="154"/>
      </c>
      <c r="Q479" s="352">
        <f t="shared" si="184"/>
      </c>
      <c r="R479" s="352">
        <f t="shared" si="244"/>
      </c>
      <c r="S479" s="353">
        <f t="shared" si="304"/>
      </c>
      <c r="T479" s="354">
        <v>0.0372</v>
      </c>
      <c r="U479" s="355">
        <v>31</v>
      </c>
      <c r="V479" s="351">
        <f t="shared" ref="V479:V499" si="364">(D479/W479)*1000</f>
      </c>
      <c r="W479" s="355">
        <v>8222</v>
      </c>
      <c r="X479" s="355">
        <v>481</v>
      </c>
      <c r="Y479" s="353">
        <v>45</v>
      </c>
      <c r="Z479" s="353">
        <v>634</v>
      </c>
      <c r="AA479" s="355">
        <v>36</v>
      </c>
      <c r="AB479" s="353">
        <v>5</v>
      </c>
      <c r="AC479" s="355">
        <v>0</v>
      </c>
      <c r="AD479" s="355">
        <v>7</v>
      </c>
      <c r="AE479" s="351">
        <f t="shared" si="58"/>
      </c>
      <c r="AF479" s="356" t="s">
        <v>253</v>
      </c>
      <c r="AG479" s="451" t="s">
        <v>259</v>
      </c>
      <c r="AH479" s="355">
        <v>13</v>
      </c>
    </row>
    <row r="480">
      <c r="A480" s="397"/>
      <c r="B480" s="411" t="s">
        <v>232</v>
      </c>
      <c r="C480" s="437" t="s">
        <v>255</v>
      </c>
      <c r="D480" s="349">
        <v>1281.54</v>
      </c>
      <c r="E480" s="350">
        <v>5</v>
      </c>
      <c r="F480" s="350">
        <v>3</v>
      </c>
      <c r="G480" s="350">
        <v>3</v>
      </c>
      <c r="H480" s="349">
        <v>1683</v>
      </c>
      <c r="I480" s="436">
        <f t="shared" si="214"/>
      </c>
      <c r="J480" s="351">
        <f t="shared" si="274"/>
      </c>
      <c r="K480" s="351">
        <f t="shared" si="334"/>
      </c>
      <c r="L480" s="352">
        <f t="shared" si="64"/>
      </c>
      <c r="M480" s="351">
        <f t="shared" si="28"/>
      </c>
      <c r="N480" s="351">
        <f t="shared" si="94"/>
      </c>
      <c r="O480" s="352">
        <f t="shared" si="124"/>
      </c>
      <c r="P480" s="352">
        <f t="shared" si="154"/>
      </c>
      <c r="Q480" s="352">
        <f t="shared" si="184"/>
      </c>
      <c r="R480" s="352">
        <f t="shared" si="244"/>
      </c>
      <c r="S480" s="353">
        <f t="shared" si="304"/>
      </c>
      <c r="T480" s="354">
        <v>0.0361</v>
      </c>
      <c r="U480" s="355">
        <v>29</v>
      </c>
      <c r="V480" s="351">
        <f t="shared" si="364"/>
      </c>
      <c r="W480" s="355">
        <v>8789</v>
      </c>
      <c r="X480" s="355">
        <v>453</v>
      </c>
      <c r="Y480" s="353">
        <v>46</v>
      </c>
      <c r="Z480" s="353">
        <v>576</v>
      </c>
      <c r="AA480" s="355">
        <v>13</v>
      </c>
      <c r="AB480" s="353">
        <v>3</v>
      </c>
      <c r="AC480" s="355">
        <v>0</v>
      </c>
      <c r="AD480" s="355">
        <v>9</v>
      </c>
      <c r="AE480" s="351">
        <f t="shared" si="58"/>
      </c>
      <c r="AF480" s="356" t="s">
        <v>253</v>
      </c>
      <c r="AG480" s="451" t="s">
        <v>259</v>
      </c>
      <c r="AH480" s="355">
        <v>7</v>
      </c>
    </row>
    <row r="481">
      <c r="A481" s="397"/>
      <c r="B481" s="411" t="s">
        <v>232</v>
      </c>
      <c r="C481" s="400" t="s">
        <v>256</v>
      </c>
      <c r="D481" s="349">
        <v>1301.54</v>
      </c>
      <c r="E481" s="350">
        <v>2</v>
      </c>
      <c r="F481" s="350">
        <v>1</v>
      </c>
      <c r="G481" s="350">
        <v>1</v>
      </c>
      <c r="H481" s="349">
        <v>451</v>
      </c>
      <c r="I481" s="436">
        <f t="shared" si="214"/>
      </c>
      <c r="J481" s="351">
        <f t="shared" si="274"/>
      </c>
      <c r="K481" s="351">
        <f t="shared" si="334"/>
      </c>
      <c r="L481" s="352">
        <f t="shared" si="64"/>
      </c>
      <c r="M481" s="351">
        <f t="shared" si="28"/>
      </c>
      <c r="N481" s="351">
        <f t="shared" si="94"/>
      </c>
      <c r="O481" s="352">
        <f t="shared" si="124"/>
      </c>
      <c r="P481" s="352">
        <f t="shared" si="154"/>
      </c>
      <c r="Q481" s="352">
        <f t="shared" si="184"/>
      </c>
      <c r="R481" s="352">
        <f t="shared" si="244"/>
      </c>
      <c r="S481" s="353">
        <f t="shared" si="304"/>
      </c>
      <c r="T481" s="354">
        <v>0.0364</v>
      </c>
      <c r="U481" s="355">
        <v>31</v>
      </c>
      <c r="V481" s="351">
        <f t="shared" si="364"/>
      </c>
      <c r="W481" s="355">
        <v>8659</v>
      </c>
      <c r="X481" s="355">
        <v>451</v>
      </c>
      <c r="Y481" s="355">
        <v>43</v>
      </c>
      <c r="Z481" s="355">
        <v>561</v>
      </c>
      <c r="AA481" s="355">
        <v>40</v>
      </c>
      <c r="AB481" s="355">
        <v>0</v>
      </c>
      <c r="AC481" s="355">
        <v>0</v>
      </c>
      <c r="AD481" s="355">
        <v>9</v>
      </c>
      <c r="AE481" s="351">
        <f t="shared" si="58"/>
      </c>
      <c r="AF481" s="356" t="s">
        <v>253</v>
      </c>
      <c r="AG481" s="451" t="s">
        <v>259</v>
      </c>
      <c r="AH481" s="355">
        <v>12</v>
      </c>
    </row>
    <row r="482">
      <c r="A482" s="397"/>
      <c r="B482" s="411" t="s">
        <v>232</v>
      </c>
      <c r="C482" s="348" t="s">
        <v>257</v>
      </c>
      <c r="D482" s="438">
        <v>1064.79</v>
      </c>
      <c r="E482" s="379">
        <v>3</v>
      </c>
      <c r="F482" s="379">
        <v>2</v>
      </c>
      <c r="G482" s="379">
        <v>2</v>
      </c>
      <c r="H482" s="438">
        <v>1934.9000000000005</v>
      </c>
      <c r="I482" s="351">
        <f t="shared" si="214"/>
      </c>
      <c r="J482" s="351">
        <f t="shared" si="274"/>
      </c>
      <c r="K482" s="351">
        <f t="shared" si="334"/>
      </c>
      <c r="L482" s="352">
        <f t="shared" si="64"/>
      </c>
      <c r="M482" s="351">
        <f t="shared" si="28"/>
      </c>
      <c r="N482" s="351">
        <f t="shared" si="94"/>
      </c>
      <c r="O482" s="352">
        <f t="shared" si="124"/>
      </c>
      <c r="P482" s="352">
        <f t="shared" si="154"/>
      </c>
      <c r="Q482" s="352">
        <f t="shared" si="184"/>
      </c>
      <c r="R482" s="352">
        <f t="shared" si="244"/>
      </c>
      <c r="S482" s="353">
        <f t="shared" si="304"/>
      </c>
      <c r="T482" s="354">
        <v>0.0403</v>
      </c>
      <c r="U482" s="355">
        <v>31</v>
      </c>
      <c r="V482" s="351">
        <f t="shared" si="364"/>
      </c>
      <c r="W482" s="353">
        <v>6677</v>
      </c>
      <c r="X482" s="353">
        <v>432</v>
      </c>
      <c r="Y482" s="353">
        <v>41</v>
      </c>
      <c r="Z482" s="353">
        <v>526</v>
      </c>
      <c r="AA482" s="353">
        <v>20</v>
      </c>
      <c r="AB482" s="353">
        <v>3</v>
      </c>
      <c r="AC482" s="353">
        <v>0</v>
      </c>
      <c r="AD482" s="353">
        <v>6</v>
      </c>
      <c r="AE482" s="351">
        <f t="shared" si="58"/>
      </c>
      <c r="AF482" s="356" t="s">
        <v>253</v>
      </c>
      <c r="AG482" s="451" t="s">
        <v>259</v>
      </c>
      <c r="AH482" s="355">
        <v>9</v>
      </c>
    </row>
    <row r="483">
      <c r="A483" s="397"/>
      <c r="B483" s="360" t="s">
        <v>240</v>
      </c>
      <c r="C483" s="360"/>
      <c r="D483" s="361">
        <f>SUM(D478:D482)</f>
      </c>
      <c r="E483" s="365">
        <f>SUM(E478:E482)</f>
      </c>
      <c r="F483" s="365">
        <f>SUM(F478:F482)</f>
      </c>
      <c r="G483" s="365">
        <f>SUM(G478:G482)</f>
      </c>
      <c r="H483" s="361">
        <f>SUM(H478:H482)</f>
      </c>
      <c r="I483" s="363">
        <f t="shared" si="214"/>
      </c>
      <c r="J483" s="363">
        <f t="shared" si="274"/>
      </c>
      <c r="K483" s="363">
        <f t="shared" si="334"/>
      </c>
      <c r="L483" s="364">
        <f t="shared" si="64"/>
      </c>
      <c r="M483" s="363">
        <f t="shared" si="28"/>
      </c>
      <c r="N483" s="363">
        <f t="shared" si="94"/>
      </c>
      <c r="O483" s="364">
        <f t="shared" si="124"/>
      </c>
      <c r="P483" s="364">
        <f t="shared" si="154"/>
      </c>
      <c r="Q483" s="364">
        <f t="shared" si="184"/>
      </c>
      <c r="R483" s="364">
        <f t="shared" si="244"/>
      </c>
      <c r="S483" s="365">
        <f t="shared" si="304"/>
      </c>
      <c r="T483" s="364">
        <f>AVERAGE(T478:T482)</f>
      </c>
      <c r="U483" s="361">
        <f>AVERAGE(U478:U482)</f>
      </c>
      <c r="V483" s="363">
        <f t="shared" si="364"/>
      </c>
      <c r="W483" s="365">
        <f>SUM(W478:W482)</f>
      </c>
      <c r="X483" s="365">
        <f>SUM(X478:X482)</f>
      </c>
      <c r="Y483" s="365">
        <f>SUM(Y478:Y482)</f>
      </c>
      <c r="Z483" s="365">
        <f>SUM(Z478:Z482)</f>
      </c>
      <c r="AA483" s="365">
        <f>SUM(AA478:AA482)</f>
      </c>
      <c r="AB483" s="365">
        <f>SUM(AB478:AB482)</f>
      </c>
      <c r="AC483" s="365">
        <f>SUM(AC478:AC482)</f>
      </c>
      <c r="AD483" s="365">
        <f>SUM(AD478:AD482)</f>
      </c>
      <c r="AE483" s="366">
        <f t="shared" si="58"/>
      </c>
      <c r="AF483" s="367"/>
      <c r="AG483" s="367"/>
      <c r="AH483" s="368">
        <f>SUM(AH478:AH482)</f>
      </c>
    </row>
    <row r="484">
      <c r="A484" s="397"/>
      <c r="B484" s="425" t="s">
        <v>265</v>
      </c>
      <c r="C484" s="411" t="s">
        <v>258</v>
      </c>
      <c r="D484" s="426">
        <v>897.55</v>
      </c>
      <c r="E484" s="413">
        <v>2</v>
      </c>
      <c r="F484" s="413">
        <v>1</v>
      </c>
      <c r="G484" s="414">
        <v>1</v>
      </c>
      <c r="H484" s="475">
        <v>1483.9</v>
      </c>
      <c r="I484" s="416">
        <f t="shared" si="214"/>
      </c>
      <c r="J484" s="416">
        <f t="shared" si="274"/>
      </c>
      <c r="K484" s="416">
        <f t="shared" si="334"/>
      </c>
      <c r="L484" s="417">
        <f t="shared" si="64"/>
      </c>
      <c r="M484" s="416">
        <f t="shared" si="28"/>
      </c>
      <c r="N484" s="416">
        <f t="shared" si="94"/>
      </c>
      <c r="O484" s="417">
        <f t="shared" si="124"/>
      </c>
      <c r="P484" s="417">
        <f t="shared" si="154"/>
      </c>
      <c r="Q484" s="417">
        <f t="shared" si="184"/>
      </c>
      <c r="R484" s="417">
        <f t="shared" si="244"/>
      </c>
      <c r="S484" s="418">
        <f t="shared" si="304"/>
      </c>
      <c r="T484" s="419">
        <v>0.034</v>
      </c>
      <c r="U484" s="420">
        <v>32</v>
      </c>
      <c r="V484" s="416">
        <f t="shared" si="364"/>
      </c>
      <c r="W484" s="418">
        <v>6683</v>
      </c>
      <c r="X484" s="418">
        <v>446</v>
      </c>
      <c r="Y484" s="418">
        <v>35</v>
      </c>
      <c r="Z484" s="418">
        <v>528</v>
      </c>
      <c r="AA484" s="418">
        <v>36</v>
      </c>
      <c r="AB484" s="418">
        <v>7</v>
      </c>
      <c r="AC484" s="418">
        <v>0</v>
      </c>
      <c r="AD484" s="418">
        <v>7</v>
      </c>
      <c r="AE484" s="416">
        <f t="shared" si="58"/>
      </c>
      <c r="AF484" s="356" t="s">
        <v>253</v>
      </c>
      <c r="AG484" s="451" t="s">
        <v>259</v>
      </c>
      <c r="AH484" s="420">
        <v>10</v>
      </c>
    </row>
    <row r="485">
      <c r="A485" s="397"/>
      <c r="B485" s="425" t="s">
        <v>265</v>
      </c>
      <c r="C485" s="422" t="s">
        <v>260</v>
      </c>
      <c r="D485" s="439">
        <v>1331.03</v>
      </c>
      <c r="E485" s="424">
        <v>5</v>
      </c>
      <c r="F485" s="424">
        <v>4</v>
      </c>
      <c r="G485" s="424">
        <v>3</v>
      </c>
      <c r="H485" s="475">
        <v>2900.7000000000007</v>
      </c>
      <c r="I485" s="416">
        <f t="shared" si="214"/>
      </c>
      <c r="J485" s="416">
        <f t="shared" si="274"/>
      </c>
      <c r="K485" s="416">
        <f t="shared" si="334"/>
      </c>
      <c r="L485" s="417">
        <f t="shared" si="64"/>
      </c>
      <c r="M485" s="416">
        <f t="shared" si="28"/>
      </c>
      <c r="N485" s="416">
        <f t="shared" si="94"/>
      </c>
      <c r="O485" s="417">
        <f t="shared" si="124"/>
      </c>
      <c r="P485" s="417">
        <f t="shared" si="154"/>
      </c>
      <c r="Q485" s="417">
        <f t="shared" si="184"/>
      </c>
      <c r="R485" s="417">
        <f t="shared" si="244"/>
      </c>
      <c r="S485" s="418">
        <f t="shared" si="304"/>
      </c>
      <c r="T485" s="419">
        <v>0.0517</v>
      </c>
      <c r="U485" s="420">
        <v>35</v>
      </c>
      <c r="V485" s="416">
        <f t="shared" si="364"/>
      </c>
      <c r="W485" s="418">
        <v>7635</v>
      </c>
      <c r="X485" s="418">
        <v>525</v>
      </c>
      <c r="Y485" s="418">
        <v>51</v>
      </c>
      <c r="Z485" s="418">
        <v>595</v>
      </c>
      <c r="AA485" s="418">
        <v>35</v>
      </c>
      <c r="AB485" s="418">
        <v>4</v>
      </c>
      <c r="AC485" s="418">
        <v>1</v>
      </c>
      <c r="AD485" s="418">
        <v>9</v>
      </c>
      <c r="AE485" s="416">
        <f t="shared" si="58"/>
      </c>
      <c r="AF485" s="356" t="s">
        <v>253</v>
      </c>
      <c r="AG485" s="451" t="s">
        <v>259</v>
      </c>
      <c r="AH485" s="420">
        <v>16</v>
      </c>
    </row>
    <row r="486">
      <c r="A486" s="397"/>
      <c r="B486" s="425" t="s">
        <v>265</v>
      </c>
      <c r="C486" s="411" t="s">
        <v>261</v>
      </c>
      <c r="D486" s="426">
        <v>1129.03</v>
      </c>
      <c r="E486" s="424">
        <v>6</v>
      </c>
      <c r="F486" s="424">
        <v>5</v>
      </c>
      <c r="G486" s="424">
        <v>3</v>
      </c>
      <c r="H486" s="426">
        <v>3822.5</v>
      </c>
      <c r="I486" s="416">
        <f t="shared" si="214"/>
      </c>
      <c r="J486" s="416">
        <f t="shared" si="274"/>
      </c>
      <c r="K486" s="416">
        <f t="shared" si="334"/>
      </c>
      <c r="L486" s="417">
        <f t="shared" si="64"/>
      </c>
      <c r="M486" s="416">
        <f t="shared" si="28"/>
      </c>
      <c r="N486" s="416">
        <f t="shared" si="94"/>
      </c>
      <c r="O486" s="417">
        <f t="shared" si="124"/>
      </c>
      <c r="P486" s="417">
        <f t="shared" si="154"/>
      </c>
      <c r="Q486" s="417">
        <f t="shared" si="184"/>
      </c>
      <c r="R486" s="417">
        <f t="shared" si="244"/>
      </c>
      <c r="S486" s="418">
        <f t="shared" si="304"/>
      </c>
      <c r="T486" s="419">
        <v>0.0543</v>
      </c>
      <c r="U486" s="420">
        <v>36</v>
      </c>
      <c r="V486" s="416">
        <f t="shared" si="364"/>
      </c>
      <c r="W486" s="418">
        <v>7163</v>
      </c>
      <c r="X486" s="418">
        <v>511</v>
      </c>
      <c r="Y486" s="418">
        <v>48</v>
      </c>
      <c r="Z486" s="418">
        <v>601</v>
      </c>
      <c r="AA486" s="418">
        <v>41</v>
      </c>
      <c r="AB486" s="418">
        <v>0</v>
      </c>
      <c r="AC486" s="418">
        <v>0</v>
      </c>
      <c r="AD486" s="418">
        <v>9</v>
      </c>
      <c r="AE486" s="416">
        <f t="shared" si="58"/>
      </c>
      <c r="AF486" s="356" t="s">
        <v>253</v>
      </c>
      <c r="AG486" s="451" t="s">
        <v>259</v>
      </c>
      <c r="AH486" s="420">
        <v>15</v>
      </c>
    </row>
    <row r="487">
      <c r="A487" s="397"/>
      <c r="B487" s="425" t="s">
        <v>265</v>
      </c>
      <c r="C487" s="425" t="s">
        <v>262</v>
      </c>
      <c r="D487" s="426">
        <v>1702.53</v>
      </c>
      <c r="E487" s="414">
        <v>11</v>
      </c>
      <c r="F487" s="414">
        <v>6</v>
      </c>
      <c r="G487" s="414">
        <v>5</v>
      </c>
      <c r="H487" s="426">
        <v>2706</v>
      </c>
      <c r="I487" s="416">
        <f t="shared" si="214"/>
      </c>
      <c r="J487" s="416">
        <f t="shared" si="274"/>
      </c>
      <c r="K487" s="416">
        <f t="shared" si="334"/>
      </c>
      <c r="L487" s="417">
        <f t="shared" si="64"/>
      </c>
      <c r="M487" s="416">
        <f t="shared" si="28"/>
      </c>
      <c r="N487" s="416">
        <f t="shared" si="94"/>
      </c>
      <c r="O487" s="417">
        <f t="shared" si="124"/>
      </c>
      <c r="P487" s="417">
        <f t="shared" si="154"/>
      </c>
      <c r="Q487" s="417">
        <f t="shared" si="184"/>
      </c>
      <c r="R487" s="417">
        <f t="shared" si="244"/>
      </c>
      <c r="S487" s="418">
        <f t="shared" si="304"/>
      </c>
      <c r="T487" s="419">
        <v>0.0651</v>
      </c>
      <c r="U487" s="420">
        <v>39</v>
      </c>
      <c r="V487" s="416">
        <f t="shared" si="364"/>
      </c>
      <c r="W487" s="418">
        <v>10444</v>
      </c>
      <c r="X487" s="418">
        <v>609</v>
      </c>
      <c r="Y487" s="418">
        <v>71</v>
      </c>
      <c r="Z487" s="418">
        <v>693</v>
      </c>
      <c r="AA487" s="418">
        <v>70</v>
      </c>
      <c r="AB487" s="418">
        <v>11</v>
      </c>
      <c r="AC487" s="418">
        <v>0</v>
      </c>
      <c r="AD487" s="418">
        <v>8</v>
      </c>
      <c r="AE487" s="416">
        <f t="shared" si="58"/>
      </c>
      <c r="AF487" s="356" t="s">
        <v>253</v>
      </c>
      <c r="AG487" s="451" t="s">
        <v>259</v>
      </c>
      <c r="AH487" s="420">
        <v>40</v>
      </c>
    </row>
    <row r="488">
      <c r="A488" s="397"/>
      <c r="B488" s="427" t="s">
        <v>240</v>
      </c>
      <c r="C488" s="427"/>
      <c r="D488" s="428">
        <f>SUM(D484:D487)</f>
      </c>
      <c r="E488" s="429">
        <f>SUM(E484:E487)</f>
      </c>
      <c r="F488" s="429">
        <f>SUM(F484:F487)</f>
      </c>
      <c r="G488" s="429">
        <f>SUM(G484:G487)</f>
      </c>
      <c r="H488" s="428">
        <f>SUM(H484:H487)</f>
      </c>
      <c r="I488" s="430">
        <f t="shared" si="214"/>
      </c>
      <c r="J488" s="430">
        <f t="shared" si="274"/>
      </c>
      <c r="K488" s="430">
        <f t="shared" si="334"/>
      </c>
      <c r="L488" s="431">
        <f t="shared" si="64"/>
      </c>
      <c r="M488" s="430">
        <f t="shared" si="28"/>
      </c>
      <c r="N488" s="430">
        <f t="shared" si="94"/>
      </c>
      <c r="O488" s="431">
        <f t="shared" si="124"/>
      </c>
      <c r="P488" s="431">
        <f t="shared" si="154"/>
      </c>
      <c r="Q488" s="431">
        <f t="shared" si="184"/>
      </c>
      <c r="R488" s="431">
        <f t="shared" si="244"/>
      </c>
      <c r="S488" s="432">
        <f t="shared" si="304"/>
      </c>
      <c r="T488" s="431">
        <f>AVERAGE(T484:T487)</f>
      </c>
      <c r="U488" s="428">
        <f>AVERAGE(U484:U487)</f>
      </c>
      <c r="V488" s="430">
        <f t="shared" si="364"/>
      </c>
      <c r="W488" s="432">
        <f>SUM(W484:W487)</f>
      </c>
      <c r="X488" s="432">
        <f>SUM(X484:X487)</f>
      </c>
      <c r="Y488" s="432">
        <f>SUM(Y484:Y487)</f>
      </c>
      <c r="Z488" s="432">
        <f>SUM(Z484:Z487)</f>
      </c>
      <c r="AA488" s="432">
        <f>SUM(AA484:AA487)</f>
      </c>
      <c r="AB488" s="432">
        <f>SUM(AB484:AB487)</f>
      </c>
      <c r="AC488" s="432">
        <f>SUM(AC484:AC487)</f>
      </c>
      <c r="AD488" s="432">
        <f>SUM(AD484:AD487)</f>
      </c>
      <c r="AE488" s="433">
        <f t="shared" si="58"/>
      </c>
      <c r="AF488" s="434"/>
      <c r="AG488" s="434"/>
      <c r="AH488" s="435">
        <f>SUM(AH484:AH487)</f>
      </c>
    </row>
    <row r="489">
      <c r="A489" s="397"/>
      <c r="B489" s="348" t="s">
        <v>269</v>
      </c>
      <c r="C489" s="411" t="s">
        <v>243</v>
      </c>
      <c r="D489" s="349">
        <v>1979.93</v>
      </c>
      <c r="E489" s="350">
        <v>3</v>
      </c>
      <c r="F489" s="350">
        <v>2</v>
      </c>
      <c r="G489" s="350">
        <v>1</v>
      </c>
      <c r="H489" s="350">
        <v>2422.2000000000007</v>
      </c>
      <c r="I489" s="351">
        <f t="shared" si="214"/>
      </c>
      <c r="J489" s="351">
        <f t="shared" si="274"/>
      </c>
      <c r="K489" s="351">
        <f t="shared" si="334"/>
      </c>
      <c r="L489" s="352">
        <f t="shared" si="64"/>
      </c>
      <c r="M489" s="351">
        <f t="shared" si="28"/>
      </c>
      <c r="N489" s="351">
        <f t="shared" si="94"/>
      </c>
      <c r="O489" s="352">
        <f t="shared" si="124"/>
      </c>
      <c r="P489" s="352">
        <f t="shared" si="154"/>
      </c>
      <c r="Q489" s="352">
        <f t="shared" si="184"/>
      </c>
      <c r="R489" s="352">
        <f t="shared" si="244"/>
      </c>
      <c r="S489" s="353">
        <f t="shared" si="304"/>
      </c>
      <c r="T489" s="354">
        <v>0.0659</v>
      </c>
      <c r="U489" s="355">
        <v>39</v>
      </c>
      <c r="V489" s="351">
        <f t="shared" si="364"/>
      </c>
      <c r="W489" s="355">
        <v>12492</v>
      </c>
      <c r="X489" s="355">
        <v>568</v>
      </c>
      <c r="Y489" s="353">
        <v>70</v>
      </c>
      <c r="Z489" s="353">
        <v>663</v>
      </c>
      <c r="AA489" s="353">
        <v>38</v>
      </c>
      <c r="AB489" s="353">
        <v>5</v>
      </c>
      <c r="AC489" s="355">
        <v>0</v>
      </c>
      <c r="AD489" s="355">
        <v>11</v>
      </c>
      <c r="AE489" s="351">
        <f t="shared" si="58"/>
      </c>
      <c r="AF489" s="356" t="s">
        <v>234</v>
      </c>
      <c r="AG489" s="451" t="s">
        <v>268</v>
      </c>
      <c r="AH489" s="355">
        <v>25</v>
      </c>
    </row>
    <row r="490">
      <c r="A490" s="397"/>
      <c r="B490" s="348" t="s">
        <v>269</v>
      </c>
      <c r="C490" s="422" t="s">
        <v>244</v>
      </c>
      <c r="D490" s="349">
        <v>1217.54</v>
      </c>
      <c r="E490" s="350">
        <v>1</v>
      </c>
      <c r="F490" s="350">
        <v>1</v>
      </c>
      <c r="G490" s="350">
        <v>1</v>
      </c>
      <c r="H490" s="349">
        <v>451</v>
      </c>
      <c r="I490" s="351">
        <f t="shared" si="214"/>
      </c>
      <c r="J490" s="351">
        <f t="shared" si="274"/>
      </c>
      <c r="K490" s="351">
        <f t="shared" si="334"/>
      </c>
      <c r="L490" s="352">
        <f t="shared" si="64"/>
      </c>
      <c r="M490" s="351">
        <f t="shared" si="28"/>
      </c>
      <c r="N490" s="351">
        <f t="shared" si="94"/>
      </c>
      <c r="O490" s="352">
        <f t="shared" si="124"/>
      </c>
      <c r="P490" s="352">
        <f t="shared" si="154"/>
      </c>
      <c r="Q490" s="352">
        <f t="shared" si="184"/>
      </c>
      <c r="R490" s="352">
        <f t="shared" si="244"/>
      </c>
      <c r="S490" s="353">
        <f t="shared" si="304"/>
      </c>
      <c r="T490" s="354">
        <v>0.0305</v>
      </c>
      <c r="U490" s="355">
        <v>38</v>
      </c>
      <c r="V490" s="351">
        <f t="shared" si="364"/>
      </c>
      <c r="W490" s="353">
        <v>8651</v>
      </c>
      <c r="X490" s="353">
        <v>393</v>
      </c>
      <c r="Y490" s="353">
        <v>30</v>
      </c>
      <c r="Z490" s="353">
        <v>454</v>
      </c>
      <c r="AA490" s="353">
        <v>2</v>
      </c>
      <c r="AB490" s="353">
        <v>2</v>
      </c>
      <c r="AC490" s="353">
        <v>1</v>
      </c>
      <c r="AD490" s="355">
        <v>16</v>
      </c>
      <c r="AE490" s="351">
        <f t="shared" si="58"/>
      </c>
      <c r="AF490" s="356" t="s">
        <v>234</v>
      </c>
      <c r="AG490" s="451" t="s">
        <v>268</v>
      </c>
      <c r="AH490" s="355">
        <v>8</v>
      </c>
    </row>
    <row r="491">
      <c r="A491" s="397"/>
      <c r="B491" s="348" t="s">
        <v>269</v>
      </c>
      <c r="C491" s="411" t="s">
        <v>245</v>
      </c>
      <c r="D491" s="349">
        <v>1389.51</v>
      </c>
      <c r="E491" s="350">
        <v>4</v>
      </c>
      <c r="F491" s="350">
        <v>3</v>
      </c>
      <c r="G491" s="350">
        <v>3</v>
      </c>
      <c r="H491" s="349">
        <v>1758.9000000000015</v>
      </c>
      <c r="I491" s="351">
        <f t="shared" si="214"/>
      </c>
      <c r="J491" s="351">
        <f t="shared" si="274"/>
      </c>
      <c r="K491" s="351">
        <f t="shared" si="334"/>
      </c>
      <c r="L491" s="352">
        <f t="shared" si="64"/>
      </c>
      <c r="M491" s="351">
        <f t="shared" si="28"/>
      </c>
      <c r="N491" s="351">
        <f t="shared" si="94"/>
      </c>
      <c r="O491" s="352">
        <f t="shared" si="124"/>
      </c>
      <c r="P491" s="352">
        <f t="shared" si="154"/>
      </c>
      <c r="Q491" s="352">
        <f t="shared" si="184"/>
      </c>
      <c r="R491" s="352">
        <f t="shared" si="244"/>
      </c>
      <c r="S491" s="353">
        <f t="shared" si="304"/>
      </c>
      <c r="T491" s="354">
        <v>0.0384</v>
      </c>
      <c r="U491" s="355">
        <v>37</v>
      </c>
      <c r="V491" s="351">
        <f t="shared" si="364"/>
      </c>
      <c r="W491" s="355">
        <v>9665</v>
      </c>
      <c r="X491" s="355">
        <v>475</v>
      </c>
      <c r="Y491" s="355">
        <v>42</v>
      </c>
      <c r="Z491" s="355">
        <v>595</v>
      </c>
      <c r="AA491" s="355">
        <v>9</v>
      </c>
      <c r="AB491" s="355">
        <v>5</v>
      </c>
      <c r="AC491" s="355">
        <v>0</v>
      </c>
      <c r="AD491" s="355">
        <v>11</v>
      </c>
      <c r="AE491" s="351">
        <f t="shared" si="58"/>
      </c>
      <c r="AF491" s="356" t="s">
        <v>234</v>
      </c>
      <c r="AG491" s="451" t="s">
        <v>268</v>
      </c>
      <c r="AH491" s="355">
        <v>9</v>
      </c>
    </row>
    <row r="492">
      <c r="A492" s="397"/>
      <c r="B492" s="348" t="s">
        <v>269</v>
      </c>
      <c r="C492" s="411" t="s">
        <v>233</v>
      </c>
      <c r="D492" s="349">
        <v>1758.43</v>
      </c>
      <c r="E492" s="350">
        <v>5</v>
      </c>
      <c r="F492" s="350">
        <v>5</v>
      </c>
      <c r="G492" s="350">
        <v>2</v>
      </c>
      <c r="H492" s="349">
        <v>3693.7999999999956</v>
      </c>
      <c r="I492" s="351">
        <f t="shared" si="214"/>
      </c>
      <c r="J492" s="351">
        <f t="shared" si="274"/>
      </c>
      <c r="K492" s="351">
        <f t="shared" si="334"/>
      </c>
      <c r="L492" s="352">
        <f t="shared" si="64"/>
      </c>
      <c r="M492" s="351">
        <f t="shared" si="28"/>
      </c>
      <c r="N492" s="351">
        <f t="shared" si="94"/>
      </c>
      <c r="O492" s="352">
        <f t="shared" si="124"/>
      </c>
      <c r="P492" s="352">
        <f t="shared" si="154"/>
      </c>
      <c r="Q492" s="352">
        <f t="shared" si="184"/>
      </c>
      <c r="R492" s="352">
        <f t="shared" si="244"/>
      </c>
      <c r="S492" s="353">
        <f t="shared" si="304"/>
      </c>
      <c r="T492" s="354">
        <v>0.0408</v>
      </c>
      <c r="U492" s="355">
        <v>37</v>
      </c>
      <c r="V492" s="351">
        <f t="shared" si="364"/>
      </c>
      <c r="W492" s="355">
        <v>11851</v>
      </c>
      <c r="X492" s="355">
        <v>541</v>
      </c>
      <c r="Y492" s="353">
        <v>54</v>
      </c>
      <c r="Z492" s="353">
        <v>653</v>
      </c>
      <c r="AA492" s="353">
        <v>24</v>
      </c>
      <c r="AB492" s="353">
        <v>8</v>
      </c>
      <c r="AC492" s="355">
        <v>0</v>
      </c>
      <c r="AD492" s="355">
        <v>28</v>
      </c>
      <c r="AE492" s="351">
        <f t="shared" si="58"/>
      </c>
      <c r="AF492" s="356" t="s">
        <v>234</v>
      </c>
      <c r="AG492" s="451" t="s">
        <v>268</v>
      </c>
      <c r="AH492" s="355">
        <v>8</v>
      </c>
    </row>
    <row r="493">
      <c r="A493" s="397"/>
      <c r="B493" s="360" t="s">
        <v>240</v>
      </c>
      <c r="C493" s="360"/>
      <c r="D493" s="405">
        <f>SUM(D489:D492)</f>
      </c>
      <c r="E493" s="440">
        <f>SUM(E489:E492)</f>
      </c>
      <c r="F493" s="440">
        <f>SUM(F489:F492)</f>
      </c>
      <c r="G493" s="440">
        <f>SUM(G489:G492)</f>
      </c>
      <c r="H493" s="405">
        <f>SUM(H489:H492)</f>
      </c>
      <c r="I493" s="363">
        <f t="shared" si="214"/>
      </c>
      <c r="J493" s="363">
        <f t="shared" si="274"/>
      </c>
      <c r="K493" s="363">
        <f t="shared" si="334"/>
      </c>
      <c r="L493" s="364">
        <f t="shared" si="64"/>
      </c>
      <c r="M493" s="363">
        <f t="shared" si="28"/>
      </c>
      <c r="N493" s="363">
        <f t="shared" si="94"/>
      </c>
      <c r="O493" s="364">
        <f t="shared" si="124"/>
      </c>
      <c r="P493" s="364">
        <f t="shared" si="154"/>
      </c>
      <c r="Q493" s="364">
        <f t="shared" si="184"/>
      </c>
      <c r="R493" s="364">
        <f t="shared" si="244"/>
      </c>
      <c r="S493" s="365">
        <f t="shared" si="304"/>
      </c>
      <c r="T493" s="364">
        <f>AVERAGE(T489:T492)</f>
      </c>
      <c r="U493" s="361">
        <f>AVERAGE(U489:U492)</f>
      </c>
      <c r="V493" s="363">
        <f t="shared" si="364"/>
      </c>
      <c r="W493" s="365">
        <f>SUM(W489:W492)</f>
      </c>
      <c r="X493" s="365">
        <f>SUM(X489:X492)</f>
      </c>
      <c r="Y493" s="365">
        <f>SUM(Y489:Y492)</f>
      </c>
      <c r="Z493" s="365">
        <f>SUM(Z489:Z492)</f>
      </c>
      <c r="AA493" s="365">
        <f>SUM(AA489:AA492)</f>
      </c>
      <c r="AB493" s="365">
        <f>SUM(AB489:AB492)</f>
      </c>
      <c r="AC493" s="365">
        <f>SUM(AC489:AC492)</f>
      </c>
      <c r="AD493" s="365">
        <f>SUM(AD489:AD492)</f>
      </c>
      <c r="AE493" s="366">
        <f t="shared" si="58"/>
      </c>
      <c r="AF493" s="367"/>
      <c r="AG493" s="367"/>
      <c r="AH493" s="365">
        <f>SUM(AH489:AH492)</f>
      </c>
    </row>
    <row r="494">
      <c r="A494" s="397"/>
      <c r="B494" s="375" t="s">
        <v>249</v>
      </c>
      <c r="C494" s="425" t="s">
        <v>236</v>
      </c>
      <c r="D494" s="412">
        <v>2139.45</v>
      </c>
      <c r="E494" s="413">
        <v>2</v>
      </c>
      <c r="F494" s="413">
        <v>1</v>
      </c>
      <c r="G494" s="414">
        <v>3</v>
      </c>
      <c r="H494" s="415">
        <v>451</v>
      </c>
      <c r="I494" s="416">
        <f t="shared" si="214"/>
      </c>
      <c r="J494" s="416">
        <f t="shared" si="274"/>
      </c>
      <c r="K494" s="416">
        <f t="shared" si="334"/>
      </c>
      <c r="L494" s="417">
        <f t="shared" si="64"/>
      </c>
      <c r="M494" s="416">
        <f t="shared" si="28"/>
      </c>
      <c r="N494" s="416">
        <f t="shared" si="94"/>
      </c>
      <c r="O494" s="417">
        <f t="shared" si="124"/>
      </c>
      <c r="P494" s="417">
        <f t="shared" si="154"/>
      </c>
      <c r="Q494" s="417">
        <f t="shared" si="184"/>
      </c>
      <c r="R494" s="417">
        <f t="shared" si="244"/>
      </c>
      <c r="S494" s="418">
        <f t="shared" si="304"/>
      </c>
      <c r="T494" s="419">
        <v>0.0456</v>
      </c>
      <c r="U494" s="420">
        <v>36</v>
      </c>
      <c r="V494" s="416">
        <f t="shared" si="364"/>
      </c>
      <c r="W494" s="418">
        <v>15440</v>
      </c>
      <c r="X494" s="418">
        <v>586</v>
      </c>
      <c r="Y494" s="418">
        <v>58</v>
      </c>
      <c r="Z494" s="418">
        <v>649</v>
      </c>
      <c r="AA494" s="418">
        <v>38</v>
      </c>
      <c r="AB494" s="418">
        <v>8</v>
      </c>
      <c r="AC494" s="418">
        <v>0</v>
      </c>
      <c r="AD494" s="418">
        <v>28</v>
      </c>
      <c r="AE494" s="416">
        <f t="shared" si="58"/>
      </c>
      <c r="AF494" s="356" t="s">
        <v>234</v>
      </c>
      <c r="AG494" s="451" t="s">
        <v>268</v>
      </c>
      <c r="AH494" s="420">
        <v>12</v>
      </c>
    </row>
    <row r="495">
      <c r="A495" s="397"/>
      <c r="B495" s="375" t="s">
        <v>249</v>
      </c>
      <c r="C495" s="425" t="s">
        <v>237</v>
      </c>
      <c r="D495" s="423">
        <v>2500.85</v>
      </c>
      <c r="E495" s="424">
        <v>4</v>
      </c>
      <c r="F495" s="424">
        <v>3</v>
      </c>
      <c r="G495" s="424">
        <v>3</v>
      </c>
      <c r="H495" s="415">
        <v>3066.800000000003</v>
      </c>
      <c r="I495" s="416">
        <f t="shared" si="214"/>
      </c>
      <c r="J495" s="416">
        <f t="shared" si="274"/>
      </c>
      <c r="K495" s="416">
        <f t="shared" si="334"/>
      </c>
      <c r="L495" s="417">
        <f t="shared" si="64"/>
      </c>
      <c r="M495" s="416">
        <f t="shared" si="28"/>
      </c>
      <c r="N495" s="416">
        <f t="shared" si="94"/>
      </c>
      <c r="O495" s="417">
        <f t="shared" si="124"/>
      </c>
      <c r="P495" s="417">
        <f t="shared" si="154"/>
      </c>
      <c r="Q495" s="417">
        <f t="shared" si="184"/>
      </c>
      <c r="R495" s="417">
        <f t="shared" si="244"/>
      </c>
      <c r="S495" s="418">
        <f t="shared" si="304"/>
      </c>
      <c r="T495" s="419">
        <v>0.0647</v>
      </c>
      <c r="U495" s="420">
        <v>37</v>
      </c>
      <c r="V495" s="416">
        <f t="shared" si="364"/>
      </c>
      <c r="W495" s="418">
        <v>17099</v>
      </c>
      <c r="X495" s="418">
        <v>668</v>
      </c>
      <c r="Y495" s="418">
        <v>89</v>
      </c>
      <c r="Z495" s="418">
        <v>760</v>
      </c>
      <c r="AA495" s="418">
        <v>43</v>
      </c>
      <c r="AB495" s="418">
        <v>6</v>
      </c>
      <c r="AC495" s="418">
        <v>0</v>
      </c>
      <c r="AD495" s="418">
        <v>23</v>
      </c>
      <c r="AE495" s="416">
        <f t="shared" si="58"/>
      </c>
      <c r="AF495" s="356" t="s">
        <v>234</v>
      </c>
      <c r="AG495" s="451" t="s">
        <v>268</v>
      </c>
      <c r="AH495" s="420">
        <v>22</v>
      </c>
    </row>
    <row r="496">
      <c r="A496" s="397"/>
      <c r="B496" s="375" t="s">
        <v>249</v>
      </c>
      <c r="C496" s="425" t="s">
        <v>238</v>
      </c>
      <c r="D496" s="412">
        <v>2155.99</v>
      </c>
      <c r="E496" s="424">
        <v>4</v>
      </c>
      <c r="F496" s="424">
        <v>2</v>
      </c>
      <c r="G496" s="424">
        <v>2</v>
      </c>
      <c r="H496" s="412">
        <v>2559.699999999997</v>
      </c>
      <c r="I496" s="416">
        <f t="shared" si="214"/>
      </c>
      <c r="J496" s="416">
        <f t="shared" si="274"/>
      </c>
      <c r="K496" s="416">
        <f t="shared" si="334"/>
      </c>
      <c r="L496" s="417">
        <f t="shared" si="64"/>
      </c>
      <c r="M496" s="416">
        <f t="shared" si="28"/>
      </c>
      <c r="N496" s="416">
        <f t="shared" si="94"/>
      </c>
      <c r="O496" s="417">
        <f t="shared" si="124"/>
      </c>
      <c r="P496" s="417">
        <f t="shared" si="154"/>
      </c>
      <c r="Q496" s="417">
        <f t="shared" si="184"/>
      </c>
      <c r="R496" s="417">
        <f t="shared" si="244"/>
      </c>
      <c r="S496" s="418">
        <f t="shared" si="304"/>
      </c>
      <c r="T496" s="419">
        <v>0.0412</v>
      </c>
      <c r="U496" s="420">
        <v>36</v>
      </c>
      <c r="V496" s="416">
        <f t="shared" si="364"/>
      </c>
      <c r="W496" s="418">
        <v>14157</v>
      </c>
      <c r="X496" s="418">
        <v>709</v>
      </c>
      <c r="Y496" s="418">
        <v>69</v>
      </c>
      <c r="Z496" s="418">
        <v>814</v>
      </c>
      <c r="AA496" s="418">
        <v>46</v>
      </c>
      <c r="AB496" s="418">
        <v>5</v>
      </c>
      <c r="AC496" s="418">
        <v>0</v>
      </c>
      <c r="AD496" s="418">
        <v>15</v>
      </c>
      <c r="AE496" s="416">
        <f t="shared" si="58"/>
      </c>
      <c r="AF496" s="356" t="s">
        <v>234</v>
      </c>
      <c r="AG496" s="451" t="s">
        <v>268</v>
      </c>
      <c r="AH496" s="420">
        <v>18</v>
      </c>
    </row>
    <row r="497">
      <c r="A497" s="397"/>
      <c r="B497" s="375" t="s">
        <v>249</v>
      </c>
      <c r="C497" s="425" t="s">
        <v>239</v>
      </c>
      <c r="D497" s="412">
        <v>1214.5</v>
      </c>
      <c r="E497" s="414">
        <v>3</v>
      </c>
      <c r="F497" s="414">
        <v>2</v>
      </c>
      <c r="G497" s="414">
        <v>2</v>
      </c>
      <c r="H497" s="412">
        <v>902</v>
      </c>
      <c r="I497" s="416">
        <f t="shared" si="214"/>
      </c>
      <c r="J497" s="416">
        <f t="shared" si="274"/>
      </c>
      <c r="K497" s="416">
        <f t="shared" si="334"/>
      </c>
      <c r="L497" s="417">
        <f t="shared" si="64"/>
      </c>
      <c r="M497" s="416">
        <f t="shared" si="28"/>
      </c>
      <c r="N497" s="416">
        <f t="shared" si="94"/>
      </c>
      <c r="O497" s="417">
        <f t="shared" si="124"/>
      </c>
      <c r="P497" s="417">
        <f t="shared" si="154"/>
      </c>
      <c r="Q497" s="417">
        <f t="shared" si="184"/>
      </c>
      <c r="R497" s="417">
        <f t="shared" si="244"/>
      </c>
      <c r="S497" s="418">
        <f t="shared" si="304"/>
      </c>
      <c r="T497" s="419">
        <v>0.0388</v>
      </c>
      <c r="U497" s="420">
        <v>37</v>
      </c>
      <c r="V497" s="416">
        <f t="shared" si="364"/>
      </c>
      <c r="W497" s="418">
        <v>8639</v>
      </c>
      <c r="X497" s="418">
        <v>435</v>
      </c>
      <c r="Y497" s="418">
        <v>41</v>
      </c>
      <c r="Z497" s="418">
        <v>512</v>
      </c>
      <c r="AA497" s="418">
        <v>46</v>
      </c>
      <c r="AB497" s="418">
        <v>2</v>
      </c>
      <c r="AC497" s="418">
        <v>0</v>
      </c>
      <c r="AD497" s="418">
        <v>13</v>
      </c>
      <c r="AE497" s="416">
        <f t="shared" si="58"/>
      </c>
      <c r="AF497" s="356" t="s">
        <v>234</v>
      </c>
      <c r="AG497" s="451" t="s">
        <v>268</v>
      </c>
      <c r="AH497" s="420">
        <v>11</v>
      </c>
    </row>
    <row r="498">
      <c r="A498" s="397"/>
      <c r="B498" s="427" t="s">
        <v>240</v>
      </c>
      <c r="C498" s="427"/>
      <c r="D498" s="428">
        <f>SUM(D494:D497)</f>
      </c>
      <c r="E498" s="429">
        <f>SUM(E494:E497)</f>
      </c>
      <c r="F498" s="429">
        <f>SUM(F494:F497)</f>
      </c>
      <c r="G498" s="429">
        <f>SUM(G494:G497)</f>
      </c>
      <c r="H498" s="428">
        <f>SUM(H494:H497)</f>
      </c>
      <c r="I498" s="430">
        <f t="shared" si="214"/>
      </c>
      <c r="J498" s="430">
        <f t="shared" si="274"/>
      </c>
      <c r="K498" s="430">
        <f t="shared" si="334"/>
      </c>
      <c r="L498" s="431">
        <f t="shared" si="64"/>
      </c>
      <c r="M498" s="430">
        <f t="shared" si="28"/>
      </c>
      <c r="N498" s="430">
        <f t="shared" si="94"/>
      </c>
      <c r="O498" s="431">
        <f t="shared" si="124"/>
      </c>
      <c r="P498" s="431">
        <f t="shared" si="154"/>
      </c>
      <c r="Q498" s="431">
        <f t="shared" si="184"/>
      </c>
      <c r="R498" s="431">
        <f t="shared" si="244"/>
      </c>
      <c r="S498" s="432">
        <f t="shared" si="304"/>
      </c>
      <c r="T498" s="431">
        <f>AVERAGE(T494:T497)</f>
      </c>
      <c r="U498" s="428">
        <f>AVERAGE(U494:U497)</f>
      </c>
      <c r="V498" s="430">
        <f t="shared" si="364"/>
      </c>
      <c r="W498" s="432">
        <f>SUM(W494:W497)</f>
      </c>
      <c r="X498" s="432">
        <f>SUM(X494:X497)</f>
      </c>
      <c r="Y498" s="432">
        <f>SUM(Y494:Y497)</f>
      </c>
      <c r="Z498" s="432">
        <f>SUM(Z494:Z497)</f>
      </c>
      <c r="AA498" s="432">
        <f>SUM(AA494:AA497)</f>
      </c>
      <c r="AB498" s="432">
        <f>SUM(AB494:AB497)</f>
      </c>
      <c r="AC498" s="432">
        <f>SUM(AC494:AC497)</f>
      </c>
      <c r="AD498" s="432">
        <f>SUM(AD494:AD497)</f>
      </c>
      <c r="AE498" s="433">
        <f t="shared" si="58"/>
      </c>
      <c r="AF498" s="434"/>
      <c r="AG498" s="434"/>
      <c r="AH498" s="435">
        <f>SUM(AH494:AH497)</f>
      </c>
    </row>
    <row r="499">
      <c r="A499" s="397"/>
      <c r="B499" s="369" t="s">
        <v>241</v>
      </c>
      <c r="C499" s="369"/>
      <c r="D499" s="441">
        <f>D483+D488+D493+D498</f>
      </c>
      <c r="E499" s="441">
        <f>E483+E488+E493+E498</f>
      </c>
      <c r="F499" s="441">
        <f>F483+F488+F493+F498</f>
      </c>
      <c r="G499" s="441">
        <f>G483+G488+G493+G498</f>
      </c>
      <c r="H499" s="441">
        <f>H483+H488+H493+H498</f>
      </c>
      <c r="I499" s="442">
        <f t="shared" si="214"/>
      </c>
      <c r="J499" s="372">
        <f t="shared" si="274"/>
      </c>
      <c r="K499" s="372">
        <f t="shared" si="334"/>
      </c>
      <c r="L499" s="373">
        <f t="shared" si="64"/>
      </c>
      <c r="M499" s="372">
        <f t="shared" si="28"/>
      </c>
      <c r="N499" s="372">
        <f t="shared" si="94"/>
      </c>
      <c r="O499" s="373">
        <f t="shared" si="124"/>
      </c>
      <c r="P499" s="373">
        <f t="shared" si="154"/>
      </c>
      <c r="Q499" s="373">
        <f t="shared" si="184"/>
      </c>
      <c r="R499" s="373">
        <f t="shared" si="244"/>
      </c>
      <c r="S499" s="374">
        <f t="shared" si="304"/>
      </c>
      <c r="T499" s="373">
        <f>(T483+T493+T488+T498)/4</f>
      </c>
      <c r="U499" s="372">
        <f>(U483+U493+U488+U498)/4</f>
      </c>
      <c r="V499" s="370">
        <f t="shared" si="364"/>
      </c>
      <c r="W499" s="374">
        <f>W483+W488+W493+W498</f>
      </c>
      <c r="X499" s="374">
        <f>X483+X488+X493+X498</f>
      </c>
      <c r="Y499" s="374">
        <f>Y483+Y488+Y493+Y498</f>
      </c>
      <c r="Z499" s="374">
        <f>Z483+Z488+Z493+Z498</f>
      </c>
      <c r="AA499" s="374">
        <f>AA483+AA488+AA493+AA498</f>
      </c>
      <c r="AB499" s="374">
        <f>AB483+AB488+AB493+AB498</f>
      </c>
      <c r="AC499" s="374">
        <f>AC483+AC488+AC493+AC498</f>
      </c>
      <c r="AD499" s="374">
        <f>AD483+AD488+AD493+AD498</f>
      </c>
      <c r="AE499" s="372">
        <f>AE483</f>
      </c>
      <c r="AF499" s="369"/>
      <c r="AG499" s="369"/>
      <c r="AH499" s="374">
        <f>AH483+AH488+AH493+AH498</f>
      </c>
    </row>
    <row r="500">
      <c r="A500" s="380" t="s">
        <v>197</v>
      </c>
      <c r="B500" s="396" t="s">
        <v>198</v>
      </c>
      <c r="C500" s="396"/>
      <c r="D500" s="381" t="s">
        <v>199</v>
      </c>
      <c r="E500" s="381"/>
      <c r="F500" s="381"/>
      <c r="G500" s="381"/>
      <c r="H500" s="381"/>
      <c r="I500" s="381"/>
      <c r="J500" s="381"/>
      <c r="K500" s="381"/>
      <c r="L500" s="381"/>
      <c r="M500" s="381"/>
      <c r="N500" s="382" t="s">
        <v>200</v>
      </c>
      <c r="O500" s="382"/>
      <c r="P500" s="382"/>
      <c r="Q500" s="382"/>
      <c r="R500" s="382"/>
      <c r="S500" s="382"/>
      <c r="T500" s="382"/>
      <c r="U500" s="382"/>
      <c r="V500" s="382"/>
      <c r="W500" s="382"/>
      <c r="X500" s="382"/>
      <c r="Y500" s="382"/>
      <c r="Z500" s="382"/>
      <c r="AA500" s="382"/>
      <c r="AB500" s="382"/>
      <c r="AC500" s="382"/>
      <c r="AD500" s="382"/>
      <c r="AE500" s="382"/>
      <c r="AF500" s="382"/>
      <c r="AG500" s="382"/>
      <c r="AH500" s="340"/>
    </row>
    <row r="501">
      <c r="A501" s="380"/>
      <c r="B501" s="396" t="s">
        <v>201</v>
      </c>
      <c r="C501" s="398" t="s">
        <v>202</v>
      </c>
      <c r="D501" s="399" t="s">
        <v>203</v>
      </c>
      <c r="E501" s="477" t="s">
        <v>266</v>
      </c>
      <c r="F501" s="391" t="s">
        <v>204</v>
      </c>
      <c r="G501" s="391" t="s">
        <v>205</v>
      </c>
      <c r="H501" s="399" t="s">
        <v>206</v>
      </c>
      <c r="I501" s="384" t="s">
        <v>207</v>
      </c>
      <c r="J501" s="384" t="s">
        <v>208</v>
      </c>
      <c r="K501" s="384" t="s">
        <v>209</v>
      </c>
      <c r="L501" s="478" t="s">
        <v>267</v>
      </c>
      <c r="M501" s="384" t="s">
        <v>210</v>
      </c>
      <c r="N501" s="385" t="s">
        <v>211</v>
      </c>
      <c r="O501" s="386" t="s">
        <v>212</v>
      </c>
      <c r="P501" s="386" t="s">
        <v>213</v>
      </c>
      <c r="Q501" s="386" t="s">
        <v>214</v>
      </c>
      <c r="R501" s="386" t="s">
        <v>215</v>
      </c>
      <c r="S501" s="387" t="s">
        <v>216</v>
      </c>
      <c r="T501" s="392" t="s">
        <v>217</v>
      </c>
      <c r="U501" s="393" t="s">
        <v>218</v>
      </c>
      <c r="V501" s="382" t="s">
        <v>219</v>
      </c>
      <c r="W501" s="394" t="s">
        <v>220</v>
      </c>
      <c r="X501" s="394" t="s">
        <v>221</v>
      </c>
      <c r="Y501" s="394" t="s">
        <v>222</v>
      </c>
      <c r="Z501" s="394" t="s">
        <v>223</v>
      </c>
      <c r="AA501" s="394" t="s">
        <v>224</v>
      </c>
      <c r="AB501" s="394" t="s">
        <v>225</v>
      </c>
      <c r="AC501" s="394" t="s">
        <v>226</v>
      </c>
      <c r="AD501" s="394" t="s">
        <v>227</v>
      </c>
      <c r="AE501" s="382" t="s">
        <v>228</v>
      </c>
      <c r="AF501" s="389" t="s">
        <v>229</v>
      </c>
      <c r="AG501" s="389" t="s">
        <v>230</v>
      </c>
      <c r="AH501" s="340" t="s">
        <v>231</v>
      </c>
    </row>
    <row r="502">
      <c r="A502" s="397">
        <v>46173</v>
      </c>
      <c r="B502" s="411" t="s">
        <v>232</v>
      </c>
      <c r="C502" s="400" t="s">
        <v>264</v>
      </c>
      <c r="D502" s="349">
        <v>2602.88</v>
      </c>
      <c r="E502" s="350">
        <v>5</v>
      </c>
      <c r="F502" s="350">
        <v>2</v>
      </c>
      <c r="G502" s="350">
        <v>2</v>
      </c>
      <c r="H502" s="349">
        <v>1307.9</v>
      </c>
      <c r="I502" s="436">
        <f t="shared" ref="I502:I523" si="215">H502/D502</f>
      </c>
      <c r="J502" s="351">
        <f t="shared" ref="J502:J523" si="275">D502/F502</f>
      </c>
      <c r="K502" s="351">
        <f t="shared" ref="K502:K523" si="335">D502/G502</f>
      </c>
      <c r="L502" s="352">
        <f t="shared" ref="L502:L523" si="65">F502/E502</f>
      </c>
      <c r="M502" s="351">
        <f t="shared" ref="M502:M523" si="29">H502/F502</f>
      </c>
      <c r="N502" s="351">
        <f t="shared" ref="N502:N523" si="95">D502/X502</f>
      </c>
      <c r="O502" s="352">
        <f t="shared" ref="O502:O523" si="125">S502/W502*1</f>
      </c>
      <c r="P502" s="352">
        <f t="shared" ref="P502:P523" si="155">X502/W502</f>
      </c>
      <c r="Q502" s="352">
        <f t="shared" ref="Q502:Q523" si="185">Z502/W502</f>
      </c>
      <c r="R502" s="352">
        <f t="shared" ref="R502:R523" si="245">AA502/Z502</f>
      </c>
      <c r="S502" s="353">
        <f t="shared" ref="S502:S523" si="305">Y502/T502</f>
      </c>
      <c r="T502" s="354">
        <v>0.042</v>
      </c>
      <c r="U502" s="355">
        <v>36</v>
      </c>
      <c r="V502" s="351">
        <v>41</v>
      </c>
      <c r="W502" s="355">
        <v>13655</v>
      </c>
      <c r="X502" s="355">
        <v>624</v>
      </c>
      <c r="Y502" s="353">
        <v>94</v>
      </c>
      <c r="Z502" s="353">
        <v>837</v>
      </c>
      <c r="AA502" s="353">
        <v>63</v>
      </c>
      <c r="AB502" s="353">
        <v>10</v>
      </c>
      <c r="AC502" s="353">
        <v>1</v>
      </c>
      <c r="AD502" s="355">
        <v>19</v>
      </c>
      <c r="AE502" s="351">
        <f t="shared" ref="AE502:AE522" si="59">AH502*1000/D502</f>
      </c>
      <c r="AF502" s="356" t="s">
        <v>253</v>
      </c>
      <c r="AG502" s="451" t="s">
        <v>259</v>
      </c>
      <c r="AH502" s="355">
        <v>31</v>
      </c>
    </row>
    <row r="503">
      <c r="A503" s="397"/>
      <c r="B503" s="411" t="s">
        <v>232</v>
      </c>
      <c r="C503" s="400" t="s">
        <v>252</v>
      </c>
      <c r="D503" s="349">
        <v>2411</v>
      </c>
      <c r="E503" s="350">
        <v>3</v>
      </c>
      <c r="F503" s="350">
        <v>3</v>
      </c>
      <c r="G503" s="350">
        <v>3</v>
      </c>
      <c r="H503" s="349">
        <v>2072.4</v>
      </c>
      <c r="I503" s="436">
        <f t="shared" si="215"/>
      </c>
      <c r="J503" s="351">
        <f t="shared" si="275"/>
      </c>
      <c r="K503" s="351">
        <f t="shared" si="335"/>
      </c>
      <c r="L503" s="352">
        <f t="shared" si="65"/>
      </c>
      <c r="M503" s="351">
        <f t="shared" si="29"/>
      </c>
      <c r="N503" s="351">
        <f t="shared" si="95"/>
      </c>
      <c r="O503" s="352">
        <f t="shared" si="125"/>
      </c>
      <c r="P503" s="352">
        <f t="shared" si="155"/>
      </c>
      <c r="Q503" s="352">
        <f t="shared" si="185"/>
      </c>
      <c r="R503" s="352">
        <f t="shared" si="245"/>
      </c>
      <c r="S503" s="353">
        <f t="shared" si="305"/>
      </c>
      <c r="T503" s="354">
        <v>0.0445</v>
      </c>
      <c r="U503" s="355">
        <v>45</v>
      </c>
      <c r="V503" s="351">
        <f t="shared" ref="V503:V523" si="365">(D503/W503)*1000</f>
      </c>
      <c r="W503" s="355">
        <v>13879</v>
      </c>
      <c r="X503" s="355">
        <v>582</v>
      </c>
      <c r="Y503" s="353">
        <v>86</v>
      </c>
      <c r="Z503" s="353">
        <v>771</v>
      </c>
      <c r="AA503" s="355">
        <v>63</v>
      </c>
      <c r="AB503" s="353">
        <v>11</v>
      </c>
      <c r="AC503" s="355">
        <v>0</v>
      </c>
      <c r="AD503" s="355">
        <v>18</v>
      </c>
      <c r="AE503" s="351">
        <f t="shared" si="59"/>
      </c>
      <c r="AF503" s="356" t="s">
        <v>253</v>
      </c>
      <c r="AG503" s="451" t="s">
        <v>259</v>
      </c>
      <c r="AH503" s="355">
        <v>24</v>
      </c>
    </row>
    <row r="504">
      <c r="A504" s="397"/>
      <c r="B504" s="411" t="s">
        <v>232</v>
      </c>
      <c r="C504" s="437" t="s">
        <v>255</v>
      </c>
      <c r="D504" s="349">
        <v>2109.12</v>
      </c>
      <c r="E504" s="350">
        <v>7</v>
      </c>
      <c r="F504" s="350">
        <v>7</v>
      </c>
      <c r="G504" s="350">
        <v>5</v>
      </c>
      <c r="H504" s="349">
        <v>5992.8</v>
      </c>
      <c r="I504" s="436">
        <f t="shared" si="215"/>
      </c>
      <c r="J504" s="351">
        <f t="shared" si="275"/>
      </c>
      <c r="K504" s="351">
        <f t="shared" si="335"/>
      </c>
      <c r="L504" s="352">
        <f t="shared" si="65"/>
      </c>
      <c r="M504" s="351">
        <f t="shared" si="29"/>
      </c>
      <c r="N504" s="351">
        <f t="shared" si="95"/>
      </c>
      <c r="O504" s="352">
        <f t="shared" si="125"/>
      </c>
      <c r="P504" s="352">
        <f t="shared" si="155"/>
      </c>
      <c r="Q504" s="352">
        <f t="shared" si="185"/>
      </c>
      <c r="R504" s="352">
        <f t="shared" si="245"/>
      </c>
      <c r="S504" s="353">
        <f t="shared" si="305"/>
      </c>
      <c r="T504" s="354">
        <v>0.0456</v>
      </c>
      <c r="U504" s="355">
        <v>50</v>
      </c>
      <c r="V504" s="351">
        <f t="shared" si="365"/>
      </c>
      <c r="W504" s="355">
        <v>12072</v>
      </c>
      <c r="X504" s="355">
        <v>427</v>
      </c>
      <c r="Y504" s="353">
        <v>79</v>
      </c>
      <c r="Z504" s="353">
        <v>532</v>
      </c>
      <c r="AA504" s="355">
        <v>74</v>
      </c>
      <c r="AB504" s="353">
        <v>5</v>
      </c>
      <c r="AC504" s="355">
        <v>0</v>
      </c>
      <c r="AD504" s="355">
        <v>10</v>
      </c>
      <c r="AE504" s="351">
        <f t="shared" si="59"/>
      </c>
      <c r="AF504" s="356" t="s">
        <v>253</v>
      </c>
      <c r="AG504" s="451" t="s">
        <v>259</v>
      </c>
      <c r="AH504" s="355">
        <v>26</v>
      </c>
    </row>
    <row r="505">
      <c r="A505" s="397"/>
      <c r="B505" s="411" t="s">
        <v>232</v>
      </c>
      <c r="C505" s="400" t="s">
        <v>256</v>
      </c>
      <c r="D505" s="349">
        <v>2269.38</v>
      </c>
      <c r="E505" s="350">
        <v>7</v>
      </c>
      <c r="F505" s="350">
        <v>7</v>
      </c>
      <c r="G505" s="350">
        <v>6</v>
      </c>
      <c r="H505" s="349">
        <v>6145.15</v>
      </c>
      <c r="I505" s="436">
        <f t="shared" si="215"/>
      </c>
      <c r="J505" s="351">
        <f t="shared" si="275"/>
      </c>
      <c r="K505" s="351">
        <f t="shared" si="335"/>
      </c>
      <c r="L505" s="352">
        <f t="shared" si="65"/>
      </c>
      <c r="M505" s="351">
        <f t="shared" si="29"/>
      </c>
      <c r="N505" s="351">
        <f t="shared" si="95"/>
      </c>
      <c r="O505" s="352">
        <f t="shared" si="125"/>
      </c>
      <c r="P505" s="352">
        <f t="shared" si="155"/>
      </c>
      <c r="Q505" s="352">
        <f t="shared" si="185"/>
      </c>
      <c r="R505" s="352">
        <f t="shared" si="245"/>
      </c>
      <c r="S505" s="353">
        <f t="shared" si="305"/>
      </c>
      <c r="T505" s="354">
        <v>0.0443</v>
      </c>
      <c r="U505" s="355">
        <v>52</v>
      </c>
      <c r="V505" s="351">
        <f t="shared" si="365"/>
      </c>
      <c r="W505" s="355">
        <v>12133</v>
      </c>
      <c r="X505" s="355">
        <v>483</v>
      </c>
      <c r="Y505" s="355">
        <v>80</v>
      </c>
      <c r="Z505" s="355">
        <v>575</v>
      </c>
      <c r="AA505" s="355">
        <v>57</v>
      </c>
      <c r="AB505" s="355">
        <v>8</v>
      </c>
      <c r="AC505" s="355">
        <v>2</v>
      </c>
      <c r="AD505" s="355">
        <v>8</v>
      </c>
      <c r="AE505" s="351">
        <f t="shared" si="59"/>
      </c>
      <c r="AF505" s="356" t="s">
        <v>253</v>
      </c>
      <c r="AG505" s="451" t="s">
        <v>259</v>
      </c>
      <c r="AH505" s="355">
        <v>23</v>
      </c>
    </row>
    <row r="506">
      <c r="A506" s="397"/>
      <c r="B506" s="411" t="s">
        <v>232</v>
      </c>
      <c r="C506" s="348" t="s">
        <v>257</v>
      </c>
      <c r="D506" s="438">
        <v>2221.99</v>
      </c>
      <c r="E506" s="379">
        <v>6</v>
      </c>
      <c r="F506" s="379">
        <v>6</v>
      </c>
      <c r="G506" s="379">
        <v>2</v>
      </c>
      <c r="H506" s="438">
        <v>2999.1500000000015</v>
      </c>
      <c r="I506" s="351">
        <f t="shared" si="215"/>
      </c>
      <c r="J506" s="351">
        <f t="shared" si="275"/>
      </c>
      <c r="K506" s="351">
        <f t="shared" si="335"/>
      </c>
      <c r="L506" s="352">
        <f t="shared" si="65"/>
      </c>
      <c r="M506" s="351">
        <f t="shared" si="29"/>
      </c>
      <c r="N506" s="351">
        <f t="shared" si="95"/>
      </c>
      <c r="O506" s="352">
        <f t="shared" si="125"/>
      </c>
      <c r="P506" s="352">
        <f t="shared" si="155"/>
      </c>
      <c r="Q506" s="352">
        <f t="shared" si="185"/>
      </c>
      <c r="R506" s="352">
        <f t="shared" si="245"/>
      </c>
      <c r="S506" s="353">
        <f t="shared" si="305"/>
      </c>
      <c r="T506" s="354">
        <v>0.0376</v>
      </c>
      <c r="U506" s="355">
        <v>50</v>
      </c>
      <c r="V506" s="351">
        <f t="shared" si="365"/>
      </c>
      <c r="W506" s="353">
        <v>13630</v>
      </c>
      <c r="X506" s="353">
        <v>593</v>
      </c>
      <c r="Y506" s="353">
        <v>73</v>
      </c>
      <c r="Z506" s="353">
        <v>706</v>
      </c>
      <c r="AA506" s="353">
        <v>36</v>
      </c>
      <c r="AB506" s="353">
        <v>4</v>
      </c>
      <c r="AC506" s="353">
        <v>0</v>
      </c>
      <c r="AD506" s="353">
        <v>9</v>
      </c>
      <c r="AE506" s="351">
        <f t="shared" si="59"/>
      </c>
      <c r="AF506" s="356" t="s">
        <v>253</v>
      </c>
      <c r="AG506" s="451" t="s">
        <v>259</v>
      </c>
      <c r="AH506" s="355">
        <v>17</v>
      </c>
    </row>
    <row r="507">
      <c r="A507" s="397"/>
      <c r="B507" s="360" t="s">
        <v>240</v>
      </c>
      <c r="C507" s="360"/>
      <c r="D507" s="361">
        <f>SUM(D502:D506)</f>
      </c>
      <c r="E507" s="365">
        <f>SUM(E502:E506)</f>
      </c>
      <c r="F507" s="365">
        <f>SUM(F502:F506)</f>
      </c>
      <c r="G507" s="365">
        <f>SUM(G502:G506)</f>
      </c>
      <c r="H507" s="361">
        <f>SUM(H502:H506)</f>
      </c>
      <c r="I507" s="363">
        <f t="shared" si="215"/>
      </c>
      <c r="J507" s="363">
        <f t="shared" si="275"/>
      </c>
      <c r="K507" s="363">
        <f t="shared" si="335"/>
      </c>
      <c r="L507" s="364">
        <f t="shared" si="65"/>
      </c>
      <c r="M507" s="363">
        <f t="shared" si="29"/>
      </c>
      <c r="N507" s="363">
        <f t="shared" si="95"/>
      </c>
      <c r="O507" s="364">
        <f t="shared" si="125"/>
      </c>
      <c r="P507" s="364">
        <f t="shared" si="155"/>
      </c>
      <c r="Q507" s="364">
        <f t="shared" si="185"/>
      </c>
      <c r="R507" s="364">
        <f t="shared" si="245"/>
      </c>
      <c r="S507" s="365">
        <f t="shared" si="305"/>
      </c>
      <c r="T507" s="364">
        <f>AVERAGE(T502:T506)</f>
      </c>
      <c r="U507" s="361">
        <f>AVERAGE(U502:U506)</f>
      </c>
      <c r="V507" s="363">
        <f t="shared" si="365"/>
      </c>
      <c r="W507" s="365">
        <f>SUM(W502:W506)</f>
      </c>
      <c r="X507" s="365">
        <f>SUM(X502:X506)</f>
      </c>
      <c r="Y507" s="365">
        <f>SUM(Y502:Y506)</f>
      </c>
      <c r="Z507" s="365">
        <f>SUM(Z502:Z506)</f>
      </c>
      <c r="AA507" s="365">
        <f>SUM(AA502:AA506)</f>
      </c>
      <c r="AB507" s="365">
        <f>SUM(AB502:AB506)</f>
      </c>
      <c r="AC507" s="365">
        <f>SUM(AC502:AC506)</f>
      </c>
      <c r="AD507" s="365">
        <f>SUM(AD502:AD506)</f>
      </c>
      <c r="AE507" s="366">
        <f t="shared" si="59"/>
      </c>
      <c r="AF507" s="367"/>
      <c r="AG507" s="367"/>
      <c r="AH507" s="368">
        <f>SUM(AH502:AH506)</f>
      </c>
    </row>
    <row r="508">
      <c r="A508" s="397"/>
      <c r="B508" s="425" t="s">
        <v>265</v>
      </c>
      <c r="C508" s="411" t="s">
        <v>258</v>
      </c>
      <c r="D508" s="426">
        <v>1595.08</v>
      </c>
      <c r="E508" s="413">
        <v>3</v>
      </c>
      <c r="F508" s="413">
        <v>1</v>
      </c>
      <c r="G508" s="414">
        <v>1</v>
      </c>
      <c r="H508" s="475">
        <v>451</v>
      </c>
      <c r="I508" s="416">
        <f t="shared" si="215"/>
      </c>
      <c r="J508" s="416">
        <f t="shared" si="275"/>
      </c>
      <c r="K508" s="416">
        <f t="shared" si="335"/>
      </c>
      <c r="L508" s="417">
        <f t="shared" si="65"/>
      </c>
      <c r="M508" s="416">
        <f t="shared" si="29"/>
      </c>
      <c r="N508" s="416">
        <f t="shared" si="95"/>
      </c>
      <c r="O508" s="417">
        <f t="shared" si="125"/>
      </c>
      <c r="P508" s="417">
        <f t="shared" si="155"/>
      </c>
      <c r="Q508" s="417">
        <f t="shared" si="185"/>
      </c>
      <c r="R508" s="417">
        <f t="shared" si="245"/>
      </c>
      <c r="S508" s="418">
        <f t="shared" si="305"/>
      </c>
      <c r="T508" s="419">
        <v>0.032</v>
      </c>
      <c r="U508" s="420">
        <v>49</v>
      </c>
      <c r="V508" s="416">
        <f t="shared" si="365"/>
      </c>
      <c r="W508" s="418">
        <v>10366</v>
      </c>
      <c r="X508" s="418">
        <v>540</v>
      </c>
      <c r="Y508" s="418">
        <v>54</v>
      </c>
      <c r="Z508" s="418">
        <v>639</v>
      </c>
      <c r="AA508" s="418">
        <v>46</v>
      </c>
      <c r="AB508" s="418">
        <v>1</v>
      </c>
      <c r="AC508" s="418">
        <v>0</v>
      </c>
      <c r="AD508" s="418">
        <v>8</v>
      </c>
      <c r="AE508" s="416">
        <f t="shared" si="59"/>
      </c>
      <c r="AF508" s="356" t="s">
        <v>253</v>
      </c>
      <c r="AG508" s="451" t="s">
        <v>259</v>
      </c>
      <c r="AH508" s="420">
        <v>15</v>
      </c>
    </row>
    <row r="509">
      <c r="A509" s="397"/>
      <c r="B509" s="425" t="s">
        <v>265</v>
      </c>
      <c r="C509" s="422" t="s">
        <v>260</v>
      </c>
      <c r="D509" s="439">
        <v>1189.72</v>
      </c>
      <c r="E509" s="424">
        <v>3</v>
      </c>
      <c r="F509" s="424">
        <v>2</v>
      </c>
      <c r="G509" s="424">
        <v>2</v>
      </c>
      <c r="H509" s="475">
        <v>1668.7000000000007</v>
      </c>
      <c r="I509" s="416">
        <f t="shared" si="215"/>
      </c>
      <c r="J509" s="416">
        <f t="shared" si="275"/>
      </c>
      <c r="K509" s="416">
        <f t="shared" si="335"/>
      </c>
      <c r="L509" s="417">
        <f t="shared" si="65"/>
      </c>
      <c r="M509" s="416">
        <f t="shared" si="29"/>
      </c>
      <c r="N509" s="416">
        <f t="shared" si="95"/>
      </c>
      <c r="O509" s="417">
        <f t="shared" si="125"/>
      </c>
      <c r="P509" s="417">
        <f t="shared" si="155"/>
      </c>
      <c r="Q509" s="417">
        <f t="shared" si="185"/>
      </c>
      <c r="R509" s="417">
        <f t="shared" si="245"/>
      </c>
      <c r="S509" s="418">
        <f t="shared" si="305"/>
      </c>
      <c r="T509" s="419">
        <v>0.042</v>
      </c>
      <c r="U509" s="420">
        <v>50</v>
      </c>
      <c r="V509" s="416">
        <f t="shared" si="365"/>
      </c>
      <c r="W509" s="418">
        <v>7655</v>
      </c>
      <c r="X509" s="418">
        <v>523</v>
      </c>
      <c r="Y509" s="418">
        <v>48</v>
      </c>
      <c r="Z509" s="418">
        <v>634</v>
      </c>
      <c r="AA509" s="418">
        <v>68</v>
      </c>
      <c r="AB509" s="418">
        <v>6</v>
      </c>
      <c r="AC509" s="418">
        <v>5</v>
      </c>
      <c r="AD509" s="418">
        <v>9</v>
      </c>
      <c r="AE509" s="416">
        <f t="shared" si="59"/>
      </c>
      <c r="AF509" s="356" t="s">
        <v>253</v>
      </c>
      <c r="AG509" s="451" t="s">
        <v>259</v>
      </c>
      <c r="AH509" s="420">
        <v>12</v>
      </c>
    </row>
    <row r="510">
      <c r="A510" s="397"/>
      <c r="B510" s="425" t="s">
        <v>265</v>
      </c>
      <c r="C510" s="411" t="s">
        <v>261</v>
      </c>
      <c r="D510" s="426">
        <v>1047.74</v>
      </c>
      <c r="E510" s="424">
        <v>4</v>
      </c>
      <c r="F510" s="424">
        <v>3</v>
      </c>
      <c r="G510" s="424">
        <v>3</v>
      </c>
      <c r="H510" s="426">
        <v>1352.9999999999964</v>
      </c>
      <c r="I510" s="416">
        <f t="shared" si="215"/>
      </c>
      <c r="J510" s="416">
        <f t="shared" si="275"/>
      </c>
      <c r="K510" s="416">
        <f t="shared" si="335"/>
      </c>
      <c r="L510" s="417">
        <f t="shared" si="65"/>
      </c>
      <c r="M510" s="416">
        <f t="shared" si="29"/>
      </c>
      <c r="N510" s="416">
        <f t="shared" si="95"/>
      </c>
      <c r="O510" s="417">
        <f t="shared" si="125"/>
      </c>
      <c r="P510" s="417">
        <f t="shared" si="155"/>
      </c>
      <c r="Q510" s="417">
        <f t="shared" si="185"/>
      </c>
      <c r="R510" s="417">
        <f t="shared" si="245"/>
      </c>
      <c r="S510" s="418">
        <f t="shared" si="305"/>
      </c>
      <c r="T510" s="419">
        <v>0.0237</v>
      </c>
      <c r="U510" s="420">
        <v>51</v>
      </c>
      <c r="V510" s="416">
        <f t="shared" si="365"/>
      </c>
      <c r="W510" s="418">
        <v>7584</v>
      </c>
      <c r="X510" s="418">
        <v>573</v>
      </c>
      <c r="Y510" s="418">
        <v>34</v>
      </c>
      <c r="Z510" s="418">
        <v>668</v>
      </c>
      <c r="AA510" s="418">
        <v>74</v>
      </c>
      <c r="AB510" s="418">
        <v>6</v>
      </c>
      <c r="AC510" s="418">
        <v>1</v>
      </c>
      <c r="AD510" s="418">
        <v>4</v>
      </c>
      <c r="AE510" s="416">
        <f t="shared" si="59"/>
      </c>
      <c r="AF510" s="356" t="s">
        <v>253</v>
      </c>
      <c r="AG510" s="451" t="s">
        <v>259</v>
      </c>
      <c r="AH510" s="420">
        <v>17</v>
      </c>
    </row>
    <row r="511">
      <c r="A511" s="397"/>
      <c r="B511" s="425" t="s">
        <v>265</v>
      </c>
      <c r="C511" s="425" t="s">
        <v>262</v>
      </c>
      <c r="D511" s="426">
        <v>1181.49</v>
      </c>
      <c r="E511" s="414">
        <v>7</v>
      </c>
      <c r="F511" s="414">
        <v>4</v>
      </c>
      <c r="G511" s="414">
        <v>3</v>
      </c>
      <c r="H511" s="426">
        <v>2539.9000000000015</v>
      </c>
      <c r="I511" s="416">
        <f t="shared" si="215"/>
      </c>
      <c r="J511" s="416">
        <f t="shared" si="275"/>
      </c>
      <c r="K511" s="416">
        <f t="shared" si="335"/>
      </c>
      <c r="L511" s="417">
        <f t="shared" si="65"/>
      </c>
      <c r="M511" s="416">
        <f t="shared" si="29"/>
      </c>
      <c r="N511" s="416">
        <f t="shared" si="95"/>
      </c>
      <c r="O511" s="417">
        <f t="shared" si="125"/>
      </c>
      <c r="P511" s="417">
        <f t="shared" si="155"/>
      </c>
      <c r="Q511" s="417">
        <f t="shared" si="185"/>
      </c>
      <c r="R511" s="417">
        <f t="shared" si="245"/>
      </c>
      <c r="S511" s="418">
        <f t="shared" si="305"/>
      </c>
      <c r="T511" s="419">
        <v>0.0325</v>
      </c>
      <c r="U511" s="420">
        <v>49</v>
      </c>
      <c r="V511" s="416">
        <f t="shared" si="365"/>
      </c>
      <c r="W511" s="418">
        <v>8309</v>
      </c>
      <c r="X511" s="418">
        <v>612</v>
      </c>
      <c r="Y511" s="418">
        <v>51</v>
      </c>
      <c r="Z511" s="418">
        <v>701</v>
      </c>
      <c r="AA511" s="418">
        <v>69</v>
      </c>
      <c r="AB511" s="418">
        <v>3</v>
      </c>
      <c r="AC511" s="418">
        <v>3</v>
      </c>
      <c r="AD511" s="418">
        <v>6</v>
      </c>
      <c r="AE511" s="416">
        <f t="shared" si="59"/>
      </c>
      <c r="AF511" s="356" t="s">
        <v>253</v>
      </c>
      <c r="AG511" s="451" t="s">
        <v>259</v>
      </c>
      <c r="AH511" s="420">
        <v>46</v>
      </c>
    </row>
    <row r="512">
      <c r="A512" s="397"/>
      <c r="B512" s="427" t="s">
        <v>240</v>
      </c>
      <c r="C512" s="427"/>
      <c r="D512" s="428">
        <f>SUM(D508:D511)</f>
      </c>
      <c r="E512" s="429">
        <f>SUM(E508:E511)</f>
      </c>
      <c r="F512" s="429">
        <f>SUM(F508:F511)</f>
      </c>
      <c r="G512" s="429">
        <f>SUM(G508:G511)</f>
      </c>
      <c r="H512" s="428">
        <f>SUM(H508:H511)</f>
      </c>
      <c r="I512" s="430">
        <f t="shared" si="215"/>
      </c>
      <c r="J512" s="430">
        <f t="shared" si="275"/>
      </c>
      <c r="K512" s="430">
        <f t="shared" si="335"/>
      </c>
      <c r="L512" s="431">
        <f t="shared" si="65"/>
      </c>
      <c r="M512" s="430">
        <f t="shared" si="29"/>
      </c>
      <c r="N512" s="430">
        <f t="shared" si="95"/>
      </c>
      <c r="O512" s="431">
        <f t="shared" si="125"/>
      </c>
      <c r="P512" s="431">
        <f t="shared" si="155"/>
      </c>
      <c r="Q512" s="431">
        <f t="shared" si="185"/>
      </c>
      <c r="R512" s="431">
        <f t="shared" si="245"/>
      </c>
      <c r="S512" s="432">
        <f t="shared" si="305"/>
      </c>
      <c r="T512" s="431">
        <f>AVERAGE(T508:T511)</f>
      </c>
      <c r="U512" s="428">
        <f>AVERAGE(U508:U511)</f>
      </c>
      <c r="V512" s="430">
        <f t="shared" si="365"/>
      </c>
      <c r="W512" s="432">
        <f>SUM(W508:W511)</f>
      </c>
      <c r="X512" s="432">
        <f>SUM(X508:X511)</f>
      </c>
      <c r="Y512" s="432">
        <f>SUM(Y508:Y511)</f>
      </c>
      <c r="Z512" s="432">
        <f>SUM(Z508:Z511)</f>
      </c>
      <c r="AA512" s="432">
        <f>SUM(AA508:AA511)</f>
      </c>
      <c r="AB512" s="432">
        <f>SUM(AB508:AB511)</f>
      </c>
      <c r="AC512" s="432">
        <f>SUM(AC508:AC511)</f>
      </c>
      <c r="AD512" s="432">
        <f>SUM(AD508:AD511)</f>
      </c>
      <c r="AE512" s="433">
        <f t="shared" si="59"/>
      </c>
      <c r="AF512" s="434"/>
      <c r="AG512" s="434"/>
      <c r="AH512" s="435">
        <f>SUM(AH508:AH511)</f>
      </c>
    </row>
    <row r="513">
      <c r="A513" s="397"/>
      <c r="B513" s="348" t="s">
        <v>269</v>
      </c>
      <c r="C513" s="411" t="s">
        <v>243</v>
      </c>
      <c r="D513" s="349">
        <v>1507.84</v>
      </c>
      <c r="E513" s="350">
        <v>1</v>
      </c>
      <c r="F513" s="350">
        <v>1</v>
      </c>
      <c r="G513" s="350">
        <v>1</v>
      </c>
      <c r="H513" s="350">
        <v>856.9000000000015</v>
      </c>
      <c r="I513" s="351">
        <f t="shared" si="215"/>
      </c>
      <c r="J513" s="351">
        <f t="shared" si="275"/>
      </c>
      <c r="K513" s="351">
        <f t="shared" si="335"/>
      </c>
      <c r="L513" s="352">
        <f t="shared" si="65"/>
      </c>
      <c r="M513" s="351">
        <f t="shared" si="29"/>
      </c>
      <c r="N513" s="351">
        <f t="shared" si="95"/>
      </c>
      <c r="O513" s="352">
        <f t="shared" si="125"/>
      </c>
      <c r="P513" s="352">
        <f t="shared" si="155"/>
      </c>
      <c r="Q513" s="352">
        <f t="shared" si="185"/>
      </c>
      <c r="R513" s="352">
        <f t="shared" si="245"/>
      </c>
      <c r="S513" s="353">
        <f t="shared" si="305"/>
      </c>
      <c r="T513" s="354">
        <v>0.0351</v>
      </c>
      <c r="U513" s="355">
        <v>47</v>
      </c>
      <c r="V513" s="351">
        <f t="shared" si="365"/>
      </c>
      <c r="W513" s="355">
        <v>10397</v>
      </c>
      <c r="X513" s="355">
        <v>637</v>
      </c>
      <c r="Y513" s="353">
        <v>70</v>
      </c>
      <c r="Z513" s="353">
        <v>768</v>
      </c>
      <c r="AA513" s="353">
        <v>31</v>
      </c>
      <c r="AB513" s="353">
        <v>4</v>
      </c>
      <c r="AC513" s="355">
        <v>0</v>
      </c>
      <c r="AD513" s="355">
        <v>8</v>
      </c>
      <c r="AE513" s="351">
        <f t="shared" si="59"/>
      </c>
      <c r="AF513" s="356" t="s">
        <v>234</v>
      </c>
      <c r="AG513" s="451" t="s">
        <v>268</v>
      </c>
      <c r="AH513" s="355">
        <v>16</v>
      </c>
    </row>
    <row r="514">
      <c r="A514" s="397"/>
      <c r="B514" s="348" t="s">
        <v>269</v>
      </c>
      <c r="C514" s="422" t="s">
        <v>244</v>
      </c>
      <c r="D514" s="349">
        <v>1394.63</v>
      </c>
      <c r="E514" s="350">
        <v>3</v>
      </c>
      <c r="F514" s="350">
        <v>3</v>
      </c>
      <c r="G514" s="350">
        <v>2</v>
      </c>
      <c r="H514" s="349">
        <v>3045.899999999998</v>
      </c>
      <c r="I514" s="351">
        <f t="shared" si="215"/>
      </c>
      <c r="J514" s="351">
        <f t="shared" si="275"/>
      </c>
      <c r="K514" s="351">
        <f t="shared" si="335"/>
      </c>
      <c r="L514" s="352">
        <f t="shared" si="65"/>
      </c>
      <c r="M514" s="351">
        <f t="shared" si="29"/>
      </c>
      <c r="N514" s="351">
        <f t="shared" si="95"/>
      </c>
      <c r="O514" s="352">
        <f t="shared" si="125"/>
      </c>
      <c r="P514" s="352">
        <f t="shared" si="155"/>
      </c>
      <c r="Q514" s="352">
        <f t="shared" si="185"/>
      </c>
      <c r="R514" s="352">
        <f t="shared" si="245"/>
      </c>
      <c r="S514" s="353">
        <f t="shared" si="305"/>
      </c>
      <c r="T514" s="354">
        <v>0.024</v>
      </c>
      <c r="U514" s="355">
        <v>46</v>
      </c>
      <c r="V514" s="351">
        <f t="shared" si="365"/>
      </c>
      <c r="W514" s="353">
        <v>10901</v>
      </c>
      <c r="X514" s="353">
        <v>585</v>
      </c>
      <c r="Y514" s="353">
        <v>50</v>
      </c>
      <c r="Z514" s="353">
        <v>733</v>
      </c>
      <c r="AA514" s="353">
        <v>56</v>
      </c>
      <c r="AB514" s="353">
        <v>6</v>
      </c>
      <c r="AC514" s="353">
        <v>0</v>
      </c>
      <c r="AD514" s="355">
        <v>12</v>
      </c>
      <c r="AE514" s="351">
        <f t="shared" si="59"/>
      </c>
      <c r="AF514" s="356" t="s">
        <v>234</v>
      </c>
      <c r="AG514" s="451" t="s">
        <v>268</v>
      </c>
      <c r="AH514" s="355">
        <v>19</v>
      </c>
    </row>
    <row r="515">
      <c r="A515" s="397"/>
      <c r="B515" s="348" t="s">
        <v>269</v>
      </c>
      <c r="C515" s="411" t="s">
        <v>245</v>
      </c>
      <c r="D515" s="349">
        <v>1071.93</v>
      </c>
      <c r="E515" s="350">
        <v>3</v>
      </c>
      <c r="F515" s="350">
        <v>2</v>
      </c>
      <c r="G515" s="350">
        <v>2</v>
      </c>
      <c r="H515" s="349">
        <v>879.4500000000007</v>
      </c>
      <c r="I515" s="351">
        <f t="shared" si="215"/>
      </c>
      <c r="J515" s="351">
        <f t="shared" si="275"/>
      </c>
      <c r="K515" s="351">
        <f t="shared" si="335"/>
      </c>
      <c r="L515" s="352">
        <f t="shared" si="65"/>
      </c>
      <c r="M515" s="351">
        <f t="shared" si="29"/>
      </c>
      <c r="N515" s="351">
        <f t="shared" si="95"/>
      </c>
      <c r="O515" s="352">
        <f t="shared" si="125"/>
      </c>
      <c r="P515" s="352">
        <f t="shared" si="155"/>
      </c>
      <c r="Q515" s="352">
        <f t="shared" si="185"/>
      </c>
      <c r="R515" s="352">
        <f t="shared" si="245"/>
      </c>
      <c r="S515" s="353">
        <f t="shared" si="305"/>
      </c>
      <c r="T515" s="354">
        <v>0.0184</v>
      </c>
      <c r="U515" s="355">
        <v>46</v>
      </c>
      <c r="V515" s="351">
        <f t="shared" si="365"/>
      </c>
      <c r="W515" s="355">
        <v>8178</v>
      </c>
      <c r="X515" s="355">
        <v>563</v>
      </c>
      <c r="Y515" s="355">
        <v>36</v>
      </c>
      <c r="Z515" s="355">
        <v>687</v>
      </c>
      <c r="AA515" s="355">
        <v>60</v>
      </c>
      <c r="AB515" s="355">
        <v>8</v>
      </c>
      <c r="AC515" s="355">
        <v>1</v>
      </c>
      <c r="AD515" s="355">
        <v>4</v>
      </c>
      <c r="AE515" s="351">
        <f t="shared" si="59"/>
      </c>
      <c r="AF515" s="356" t="s">
        <v>234</v>
      </c>
      <c r="AG515" s="451" t="s">
        <v>268</v>
      </c>
      <c r="AH515" s="355">
        <v>12</v>
      </c>
    </row>
    <row r="516">
      <c r="A516" s="397"/>
      <c r="B516" s="348" t="s">
        <v>269</v>
      </c>
      <c r="C516" s="411" t="s">
        <v>233</v>
      </c>
      <c r="D516" s="349">
        <v>1162.63</v>
      </c>
      <c r="E516" s="350">
        <v>5</v>
      </c>
      <c r="F516" s="350">
        <v>3</v>
      </c>
      <c r="G516" s="350">
        <v>3</v>
      </c>
      <c r="H516" s="349">
        <v>2088.9000000000015</v>
      </c>
      <c r="I516" s="351">
        <f t="shared" si="215"/>
      </c>
      <c r="J516" s="351">
        <f t="shared" si="275"/>
      </c>
      <c r="K516" s="351">
        <f t="shared" si="335"/>
      </c>
      <c r="L516" s="352">
        <f t="shared" si="65"/>
      </c>
      <c r="M516" s="351">
        <f t="shared" si="29"/>
      </c>
      <c r="N516" s="351">
        <f t="shared" si="95"/>
      </c>
      <c r="O516" s="352">
        <f t="shared" si="125"/>
      </c>
      <c r="P516" s="352">
        <f t="shared" si="155"/>
      </c>
      <c r="Q516" s="352">
        <f t="shared" si="185"/>
      </c>
      <c r="R516" s="352">
        <f t="shared" si="245"/>
      </c>
      <c r="S516" s="353">
        <f t="shared" si="305"/>
      </c>
      <c r="T516" s="354">
        <v>0.0245</v>
      </c>
      <c r="U516" s="355">
        <v>44</v>
      </c>
      <c r="V516" s="351">
        <f t="shared" si="365"/>
      </c>
      <c r="W516" s="355">
        <v>8967</v>
      </c>
      <c r="X516" s="355">
        <v>667</v>
      </c>
      <c r="Y516" s="353">
        <v>49</v>
      </c>
      <c r="Z516" s="353">
        <v>789</v>
      </c>
      <c r="AA516" s="353">
        <v>47</v>
      </c>
      <c r="AB516" s="353">
        <v>3</v>
      </c>
      <c r="AC516" s="355">
        <v>2</v>
      </c>
      <c r="AD516" s="355">
        <v>3</v>
      </c>
      <c r="AE516" s="351">
        <f t="shared" si="59"/>
      </c>
      <c r="AF516" s="356" t="s">
        <v>234</v>
      </c>
      <c r="AG516" s="451" t="s">
        <v>268</v>
      </c>
      <c r="AH516" s="355">
        <v>22</v>
      </c>
    </row>
    <row r="517">
      <c r="A517" s="397"/>
      <c r="B517" s="360" t="s">
        <v>240</v>
      </c>
      <c r="C517" s="360"/>
      <c r="D517" s="405">
        <f>SUM(D513:D516)</f>
      </c>
      <c r="E517" s="440">
        <f>SUM(E513:E516)</f>
      </c>
      <c r="F517" s="440">
        <f>SUM(F513:F516)</f>
      </c>
      <c r="G517" s="440">
        <f>SUM(G513:G516)</f>
      </c>
      <c r="H517" s="405">
        <f>SUM(H513:H516)</f>
      </c>
      <c r="I517" s="363">
        <f t="shared" si="215"/>
      </c>
      <c r="J517" s="363">
        <f t="shared" si="275"/>
      </c>
      <c r="K517" s="363">
        <f t="shared" si="335"/>
      </c>
      <c r="L517" s="364">
        <f t="shared" si="65"/>
      </c>
      <c r="M517" s="363">
        <f t="shared" si="29"/>
      </c>
      <c r="N517" s="363">
        <f t="shared" si="95"/>
      </c>
      <c r="O517" s="364">
        <f t="shared" si="125"/>
      </c>
      <c r="P517" s="364">
        <f t="shared" si="155"/>
      </c>
      <c r="Q517" s="364">
        <f t="shared" si="185"/>
      </c>
      <c r="R517" s="364">
        <f t="shared" si="245"/>
      </c>
      <c r="S517" s="365">
        <f t="shared" si="305"/>
      </c>
      <c r="T517" s="364">
        <f>AVERAGE(T513:T516)</f>
      </c>
      <c r="U517" s="361">
        <f>AVERAGE(U513:U516)</f>
      </c>
      <c r="V517" s="363">
        <f t="shared" si="365"/>
      </c>
      <c r="W517" s="365">
        <f>SUM(W513:W516)</f>
      </c>
      <c r="X517" s="365">
        <f>SUM(X513:X516)</f>
      </c>
      <c r="Y517" s="365">
        <f>SUM(Y513:Y516)</f>
      </c>
      <c r="Z517" s="365">
        <f>SUM(Z513:Z516)</f>
      </c>
      <c r="AA517" s="365">
        <f>SUM(AA513:AA516)</f>
      </c>
      <c r="AB517" s="365">
        <f>SUM(AB513:AB516)</f>
      </c>
      <c r="AC517" s="365">
        <f>SUM(AC513:AC516)</f>
      </c>
      <c r="AD517" s="365">
        <f>SUM(AD513:AD516)</f>
      </c>
      <c r="AE517" s="366">
        <f t="shared" si="59"/>
      </c>
      <c r="AF517" s="367"/>
      <c r="AG517" s="367"/>
      <c r="AH517" s="365">
        <f>SUM(AH513:AH516)</f>
      </c>
    </row>
    <row r="518">
      <c r="A518" s="397"/>
      <c r="B518" s="348" t="s">
        <v>246</v>
      </c>
      <c r="C518" s="425" t="s">
        <v>236</v>
      </c>
      <c r="D518" s="412">
        <v>1412.78</v>
      </c>
      <c r="E518" s="413">
        <v>0</v>
      </c>
      <c r="F518" s="413">
        <v>0</v>
      </c>
      <c r="G518" s="414">
        <v>0</v>
      </c>
      <c r="H518" s="475">
        <v>0</v>
      </c>
      <c r="I518" s="416">
        <f t="shared" si="215"/>
      </c>
      <c r="J518" s="416">
        <f t="shared" si="275"/>
      </c>
      <c r="K518" s="416">
        <f t="shared" si="335"/>
      </c>
      <c r="L518" s="417">
        <f t="shared" si="65"/>
      </c>
      <c r="M518" s="416">
        <f t="shared" si="29"/>
      </c>
      <c r="N518" s="416">
        <f t="shared" si="95"/>
      </c>
      <c r="O518" s="417">
        <f t="shared" si="125"/>
      </c>
      <c r="P518" s="417">
        <f t="shared" si="155"/>
      </c>
      <c r="Q518" s="417">
        <f t="shared" si="185"/>
      </c>
      <c r="R518" s="417">
        <f t="shared" si="245"/>
      </c>
      <c r="S518" s="418">
        <f t="shared" si="305"/>
      </c>
      <c r="T518" s="419">
        <v>0.0204</v>
      </c>
      <c r="U518" s="420">
        <v>43</v>
      </c>
      <c r="V518" s="416">
        <f t="shared" si="365"/>
      </c>
      <c r="W518" s="418">
        <v>10435</v>
      </c>
      <c r="X518" s="418">
        <v>810</v>
      </c>
      <c r="Y518" s="418">
        <v>50</v>
      </c>
      <c r="Z518" s="418">
        <v>987</v>
      </c>
      <c r="AA518" s="418">
        <v>65</v>
      </c>
      <c r="AB518" s="418">
        <v>14</v>
      </c>
      <c r="AC518" s="418">
        <v>2</v>
      </c>
      <c r="AD518" s="418">
        <v>5</v>
      </c>
      <c r="AE518" s="416">
        <f t="shared" si="59"/>
      </c>
      <c r="AF518" s="356" t="s">
        <v>234</v>
      </c>
      <c r="AG518" s="451" t="s">
        <v>268</v>
      </c>
      <c r="AH518" s="420">
        <v>20</v>
      </c>
    </row>
    <row r="519">
      <c r="A519" s="397"/>
      <c r="B519" s="348" t="s">
        <v>246</v>
      </c>
      <c r="C519" s="425" t="s">
        <v>237</v>
      </c>
      <c r="D519" s="423">
        <v>2015.62</v>
      </c>
      <c r="E519" s="424">
        <v>5</v>
      </c>
      <c r="F519" s="424">
        <v>3</v>
      </c>
      <c r="G519" s="424">
        <v>3</v>
      </c>
      <c r="H519" s="415">
        <v>3468.2999999999956</v>
      </c>
      <c r="I519" s="416">
        <f t="shared" si="215"/>
      </c>
      <c r="J519" s="416">
        <f t="shared" si="275"/>
      </c>
      <c r="K519" s="416">
        <f t="shared" si="335"/>
      </c>
      <c r="L519" s="417">
        <f t="shared" si="65"/>
      </c>
      <c r="M519" s="416">
        <f t="shared" si="29"/>
      </c>
      <c r="N519" s="416">
        <f t="shared" si="95"/>
      </c>
      <c r="O519" s="417">
        <f t="shared" si="125"/>
      </c>
      <c r="P519" s="417">
        <f t="shared" si="155"/>
      </c>
      <c r="Q519" s="417">
        <f t="shared" si="185"/>
      </c>
      <c r="R519" s="417">
        <f t="shared" si="245"/>
      </c>
      <c r="S519" s="418">
        <f t="shared" si="305"/>
      </c>
      <c r="T519" s="419">
        <v>0.0262</v>
      </c>
      <c r="U519" s="420">
        <v>46</v>
      </c>
      <c r="V519" s="416">
        <f t="shared" si="365"/>
      </c>
      <c r="W519" s="418">
        <v>13400</v>
      </c>
      <c r="X519" s="418">
        <v>1046</v>
      </c>
      <c r="Y519" s="418">
        <v>77</v>
      </c>
      <c r="Z519" s="418">
        <v>1235</v>
      </c>
      <c r="AA519" s="418">
        <v>77</v>
      </c>
      <c r="AB519" s="418">
        <v>7</v>
      </c>
      <c r="AC519" s="418">
        <v>2</v>
      </c>
      <c r="AD519" s="418">
        <v>8</v>
      </c>
      <c r="AE519" s="416">
        <f t="shared" si="59"/>
      </c>
      <c r="AF519" s="356" t="s">
        <v>234</v>
      </c>
      <c r="AG519" s="451" t="s">
        <v>268</v>
      </c>
      <c r="AH519" s="420">
        <v>26</v>
      </c>
    </row>
    <row r="520">
      <c r="A520" s="397"/>
      <c r="B520" s="348" t="s">
        <v>246</v>
      </c>
      <c r="C520" s="425" t="s">
        <v>238</v>
      </c>
      <c r="D520" s="412">
        <v>2526.24</v>
      </c>
      <c r="E520" s="424">
        <v>6</v>
      </c>
      <c r="F520" s="424">
        <v>4</v>
      </c>
      <c r="G520" s="424">
        <v>3</v>
      </c>
      <c r="H520" s="412">
        <v>2209.9000000000015</v>
      </c>
      <c r="I520" s="416">
        <f t="shared" si="215"/>
      </c>
      <c r="J520" s="416">
        <f t="shared" si="275"/>
      </c>
      <c r="K520" s="416">
        <f t="shared" si="335"/>
      </c>
      <c r="L520" s="417">
        <f t="shared" si="65"/>
      </c>
      <c r="M520" s="416">
        <f t="shared" si="29"/>
      </c>
      <c r="N520" s="416">
        <f t="shared" si="95"/>
      </c>
      <c r="O520" s="417">
        <f t="shared" si="125"/>
      </c>
      <c r="P520" s="417">
        <f t="shared" si="155"/>
      </c>
      <c r="Q520" s="417">
        <f t="shared" si="185"/>
      </c>
      <c r="R520" s="417">
        <f t="shared" si="245"/>
      </c>
      <c r="S520" s="418">
        <f t="shared" si="305"/>
      </c>
      <c r="T520" s="419">
        <v>0.0333</v>
      </c>
      <c r="U520" s="420">
        <v>42</v>
      </c>
      <c r="V520" s="416">
        <f t="shared" si="365"/>
      </c>
      <c r="W520" s="418">
        <v>17496</v>
      </c>
      <c r="X520" s="418">
        <v>1253</v>
      </c>
      <c r="Y520" s="418">
        <v>123</v>
      </c>
      <c r="Z520" s="418">
        <v>1466</v>
      </c>
      <c r="AA520" s="418">
        <v>155</v>
      </c>
      <c r="AB520" s="418">
        <v>11</v>
      </c>
      <c r="AC520" s="418">
        <v>0</v>
      </c>
      <c r="AD520" s="418">
        <v>14</v>
      </c>
      <c r="AE520" s="416">
        <f t="shared" si="59"/>
      </c>
      <c r="AF520" s="356" t="s">
        <v>234</v>
      </c>
      <c r="AG520" s="451" t="s">
        <v>268</v>
      </c>
      <c r="AH520" s="420">
        <v>46</v>
      </c>
    </row>
    <row r="521">
      <c r="A521" s="397"/>
      <c r="B521" s="348" t="s">
        <v>246</v>
      </c>
      <c r="C521" s="425" t="s">
        <v>239</v>
      </c>
      <c r="D521" s="412">
        <v>1215.86</v>
      </c>
      <c r="E521" s="414">
        <v>8</v>
      </c>
      <c r="F521" s="414">
        <v>6</v>
      </c>
      <c r="G521" s="414">
        <v>4</v>
      </c>
      <c r="H521" s="412">
        <v>4366.450000000004</v>
      </c>
      <c r="I521" s="416">
        <f t="shared" si="215"/>
      </c>
      <c r="J521" s="416">
        <f t="shared" si="275"/>
      </c>
      <c r="K521" s="416">
        <f t="shared" si="335"/>
      </c>
      <c r="L521" s="417">
        <f t="shared" si="65"/>
      </c>
      <c r="M521" s="416">
        <f t="shared" si="29"/>
      </c>
      <c r="N521" s="416">
        <f t="shared" si="95"/>
      </c>
      <c r="O521" s="417">
        <f t="shared" si="125"/>
      </c>
      <c r="P521" s="417">
        <f t="shared" si="155"/>
      </c>
      <c r="Q521" s="417">
        <f t="shared" si="185"/>
      </c>
      <c r="R521" s="417">
        <f t="shared" si="245"/>
      </c>
      <c r="S521" s="418">
        <f t="shared" si="305"/>
      </c>
      <c r="T521" s="419">
        <v>0.0335</v>
      </c>
      <c r="U521" s="420">
        <v>46</v>
      </c>
      <c r="V521" s="416">
        <f t="shared" si="365"/>
      </c>
      <c r="W521" s="418">
        <v>10981</v>
      </c>
      <c r="X521" s="418">
        <v>600</v>
      </c>
      <c r="Y521" s="418">
        <v>52</v>
      </c>
      <c r="Z521" s="418">
        <v>691</v>
      </c>
      <c r="AA521" s="418">
        <v>71</v>
      </c>
      <c r="AB521" s="418">
        <v>11</v>
      </c>
      <c r="AC521" s="418">
        <v>0</v>
      </c>
      <c r="AD521" s="418">
        <v>16</v>
      </c>
      <c r="AE521" s="416">
        <f t="shared" si="59"/>
      </c>
      <c r="AF521" s="356" t="s">
        <v>234</v>
      </c>
      <c r="AG521" s="451" t="s">
        <v>268</v>
      </c>
      <c r="AH521" s="420">
        <v>60</v>
      </c>
    </row>
    <row r="522">
      <c r="A522" s="397"/>
      <c r="B522" s="427" t="s">
        <v>240</v>
      </c>
      <c r="C522" s="427"/>
      <c r="D522" s="428">
        <f>SUM(D518:D521)</f>
      </c>
      <c r="E522" s="429">
        <f>SUM(E518:E521)</f>
      </c>
      <c r="F522" s="429">
        <f>SUM(F518:F521)</f>
      </c>
      <c r="G522" s="429">
        <f>SUM(G518:G521)</f>
      </c>
      <c r="H522" s="428">
        <f>SUM(H518:H521)</f>
      </c>
      <c r="I522" s="430">
        <f t="shared" si="215"/>
      </c>
      <c r="J522" s="430">
        <f t="shared" si="275"/>
      </c>
      <c r="K522" s="430">
        <f t="shared" si="335"/>
      </c>
      <c r="L522" s="431">
        <f t="shared" si="65"/>
      </c>
      <c r="M522" s="430">
        <f t="shared" si="29"/>
      </c>
      <c r="N522" s="430">
        <f t="shared" si="95"/>
      </c>
      <c r="O522" s="431">
        <f t="shared" si="125"/>
      </c>
      <c r="P522" s="431">
        <f t="shared" si="155"/>
      </c>
      <c r="Q522" s="431">
        <f t="shared" si="185"/>
      </c>
      <c r="R522" s="431">
        <f t="shared" si="245"/>
      </c>
      <c r="S522" s="432">
        <f t="shared" si="305"/>
      </c>
      <c r="T522" s="431">
        <f>AVERAGE(T518:T521)</f>
      </c>
      <c r="U522" s="428">
        <f>AVERAGE(U518:U521)</f>
      </c>
      <c r="V522" s="430">
        <f t="shared" si="365"/>
      </c>
      <c r="W522" s="432">
        <f>SUM(W518:W521)</f>
      </c>
      <c r="X522" s="432">
        <f>SUM(X518:X521)</f>
      </c>
      <c r="Y522" s="432">
        <f>SUM(Y518:Y521)</f>
      </c>
      <c r="Z522" s="432">
        <f>SUM(Z518:Z521)</f>
      </c>
      <c r="AA522" s="432">
        <f>SUM(AA518:AA521)</f>
      </c>
      <c r="AB522" s="432">
        <f>SUM(AB518:AB521)</f>
      </c>
      <c r="AC522" s="432">
        <f>SUM(AC518:AC521)</f>
      </c>
      <c r="AD522" s="432">
        <f>SUM(AD518:AD521)</f>
      </c>
      <c r="AE522" s="433">
        <f t="shared" si="59"/>
      </c>
      <c r="AF522" s="434"/>
      <c r="AG522" s="434"/>
      <c r="AH522" s="435">
        <f>SUM(AH518:AH521)</f>
      </c>
    </row>
    <row r="523">
      <c r="A523" s="397"/>
      <c r="B523" s="369" t="s">
        <v>241</v>
      </c>
      <c r="C523" s="369"/>
      <c r="D523" s="441">
        <f>D507+D512+D517+D522</f>
      </c>
      <c r="E523" s="441">
        <f>E507+E512+E517+E522</f>
      </c>
      <c r="F523" s="441">
        <f>F507+F512+F517+F522</f>
      </c>
      <c r="G523" s="441">
        <f>G507+G512+G517+G522</f>
      </c>
      <c r="H523" s="441">
        <f>H507+H512+H517+H522</f>
      </c>
      <c r="I523" s="442">
        <f t="shared" si="215"/>
      </c>
      <c r="J523" s="372">
        <f t="shared" si="275"/>
      </c>
      <c r="K523" s="372">
        <f t="shared" si="335"/>
      </c>
      <c r="L523" s="373">
        <f t="shared" si="65"/>
      </c>
      <c r="M523" s="372">
        <f t="shared" si="29"/>
      </c>
      <c r="N523" s="372">
        <f t="shared" si="95"/>
      </c>
      <c r="O523" s="373">
        <f t="shared" si="125"/>
      </c>
      <c r="P523" s="373">
        <f t="shared" si="155"/>
      </c>
      <c r="Q523" s="373">
        <f t="shared" si="185"/>
      </c>
      <c r="R523" s="373">
        <f t="shared" si="245"/>
      </c>
      <c r="S523" s="374">
        <f t="shared" si="305"/>
      </c>
      <c r="T523" s="373">
        <f>(T507+T517+T512+T522)/4</f>
      </c>
      <c r="U523" s="372">
        <f>(U507+U517+U512+U522)/4</f>
      </c>
      <c r="V523" s="370">
        <f t="shared" si="365"/>
      </c>
      <c r="W523" s="374">
        <f>W507+W512+W517+W522</f>
      </c>
      <c r="X523" s="374">
        <f>X507+X512+X517+X522</f>
      </c>
      <c r="Y523" s="374">
        <f>Y507+Y512+Y517+Y522</f>
      </c>
      <c r="Z523" s="374">
        <f>Z507+Z512+Z517+Z522</f>
      </c>
      <c r="AA523" s="374">
        <f>AA507+AA512+AA517+AA522</f>
      </c>
      <c r="AB523" s="374">
        <f>AB507+AB512+AB517+AB522</f>
      </c>
      <c r="AC523" s="374">
        <f>AC507+AC512+AC517+AC522</f>
      </c>
      <c r="AD523" s="374">
        <f>AD507+AD512+AD517+AD522</f>
      </c>
      <c r="AE523" s="372">
        <f>AE507</f>
      </c>
      <c r="AF523" s="369"/>
      <c r="AG523" s="369"/>
      <c r="AH523" s="374">
        <f>AH507+AH512+AH517+AH522</f>
      </c>
    </row>
    <row r="524">
      <c r="G524" s="480"/>
      <c r="H524" s="481">
        <f>H525-H523</f>
      </c>
      <c r="AH524" s="481">
        <f>AH525-AH523</f>
      </c>
    </row>
    <row r="525">
      <c r="G525" s="480"/>
      <c r="H525" s="481">
        <v>41445.8</v>
      </c>
      <c r="AH525" s="482">
        <v>372</v>
      </c>
    </row>
    <row r="526">
      <c r="G526" s="480"/>
    </row>
    <row r="527">
      <c r="G527" s="480"/>
    </row>
    <row r="528">
      <c r="G528" s="480"/>
    </row>
    <row r="529">
      <c r="G529" s="480"/>
    </row>
    <row r="530">
      <c r="G530" s="480"/>
    </row>
    <row r="531">
      <c r="G531" s="480"/>
    </row>
    <row r="532">
      <c r="G532" s="480"/>
    </row>
    <row r="533">
      <c r="G533" s="480"/>
    </row>
    <row r="534">
      <c r="G534" s="480"/>
    </row>
    <row r="535">
      <c r="G535" s="480"/>
    </row>
    <row r="536">
      <c r="G536" s="480"/>
    </row>
    <row r="537">
      <c r="G537" s="480"/>
    </row>
    <row r="538">
      <c r="G538" s="480"/>
    </row>
    <row r="539">
      <c r="G539" s="480"/>
    </row>
    <row r="540">
      <c r="G540" s="480"/>
    </row>
    <row r="541">
      <c r="G541" s="480"/>
    </row>
    <row r="542">
      <c r="G542" s="480"/>
    </row>
    <row r="543">
      <c r="G543" s="480"/>
    </row>
    <row r="544">
      <c r="G544" s="480"/>
    </row>
    <row r="545">
      <c r="G545" s="480"/>
    </row>
    <row r="546">
      <c r="G546" s="480"/>
    </row>
    <row r="547">
      <c r="G547" s="480"/>
    </row>
    <row r="548">
      <c r="G548" s="480"/>
    </row>
    <row r="549">
      <c r="G549" s="480"/>
    </row>
    <row r="550">
      <c r="G550" s="483"/>
    </row>
    <row r="551">
      <c r="G551" s="483"/>
    </row>
    <row r="552">
      <c r="G552" s="483"/>
    </row>
    <row r="553">
      <c r="G553" s="483"/>
    </row>
    <row r="554">
      <c r="G554" s="483"/>
    </row>
    <row r="555">
      <c r="G555" s="483"/>
    </row>
    <row r="556">
      <c r="G556" s="483"/>
    </row>
    <row r="557">
      <c r="G557" s="483"/>
    </row>
    <row r="558">
      <c r="G558" s="483"/>
    </row>
    <row r="559">
      <c r="G559" s="483"/>
    </row>
    <row r="560">
      <c r="G560" s="483"/>
    </row>
    <row r="561">
      <c r="G561" s="483"/>
    </row>
    <row r="562">
      <c r="G562" s="483"/>
    </row>
    <row r="563">
      <c r="G563" s="483"/>
    </row>
    <row r="564">
      <c r="G564" s="483"/>
    </row>
    <row r="565">
      <c r="G565" s="483"/>
    </row>
    <row r="566">
      <c r="G566" s="483"/>
    </row>
    <row r="567">
      <c r="G567" s="483"/>
    </row>
    <row r="568">
      <c r="G568" s="483"/>
    </row>
    <row r="569">
      <c r="G569" s="483"/>
    </row>
    <row r="570">
      <c r="G570" s="483"/>
    </row>
    <row r="571">
      <c r="G571" s="483"/>
    </row>
    <row r="572">
      <c r="G572" s="483"/>
    </row>
    <row r="573">
      <c r="G573" s="483"/>
    </row>
    <row r="574">
      <c r="G574" s="483"/>
    </row>
    <row r="575">
      <c r="G575" s="483"/>
    </row>
    <row r="576">
      <c r="G576" s="483"/>
    </row>
    <row r="577">
      <c r="G577" s="483"/>
    </row>
    <row r="578">
      <c r="G578" s="483"/>
    </row>
    <row r="579">
      <c r="G579" s="483"/>
    </row>
    <row r="580">
      <c r="G580" s="483"/>
    </row>
    <row r="581">
      <c r="G581" s="483"/>
    </row>
    <row r="582">
      <c r="G582" s="483"/>
    </row>
    <row r="583">
      <c r="G583" s="483"/>
    </row>
    <row r="584">
      <c r="G584" s="483"/>
    </row>
    <row r="585">
      <c r="G585" s="483"/>
    </row>
    <row r="586">
      <c r="G586" s="483"/>
    </row>
    <row r="587">
      <c r="G587" s="483"/>
    </row>
    <row r="588">
      <c r="G588" s="483"/>
    </row>
    <row r="589">
      <c r="G589" s="483"/>
    </row>
    <row r="590">
      <c r="G590" s="483"/>
    </row>
    <row r="591">
      <c r="G591" s="483"/>
    </row>
    <row r="592">
      <c r="G592" s="483"/>
    </row>
    <row r="593">
      <c r="G593" s="483"/>
    </row>
    <row r="594">
      <c r="G594" s="483"/>
    </row>
    <row r="595">
      <c r="G595" s="483"/>
    </row>
    <row r="596">
      <c r="G596" s="483"/>
    </row>
    <row r="597">
      <c r="G597" s="483"/>
    </row>
    <row r="598">
      <c r="G598" s="483"/>
    </row>
    <row r="599">
      <c r="G599" s="483"/>
    </row>
    <row r="600">
      <c r="G600" s="483"/>
    </row>
    <row r="601">
      <c r="G601" s="483"/>
    </row>
    <row r="602">
      <c r="G602" s="483"/>
    </row>
    <row r="603">
      <c r="G603" s="483"/>
    </row>
    <row r="604">
      <c r="G604" s="483"/>
    </row>
    <row r="605">
      <c r="G605" s="483"/>
    </row>
    <row r="606">
      <c r="G606" s="483"/>
    </row>
    <row r="607">
      <c r="G607" s="483"/>
    </row>
    <row r="608">
      <c r="G608" s="483"/>
    </row>
    <row r="609">
      <c r="G609" s="483"/>
    </row>
    <row r="610">
      <c r="G610" s="483"/>
    </row>
    <row r="611">
      <c r="G611" s="483"/>
    </row>
    <row r="612">
      <c r="G612" s="483"/>
    </row>
    <row r="613">
      <c r="G613" s="483"/>
    </row>
    <row r="614">
      <c r="G614" s="483"/>
    </row>
    <row r="615">
      <c r="G615" s="483"/>
    </row>
    <row r="616">
      <c r="G616" s="483"/>
    </row>
    <row r="617">
      <c r="G617" s="483"/>
    </row>
    <row r="618">
      <c r="G618" s="483"/>
    </row>
    <row r="619">
      <c r="G619" s="483"/>
    </row>
    <row r="620">
      <c r="G620" s="483"/>
    </row>
    <row r="621">
      <c r="G621" s="483"/>
    </row>
    <row r="622">
      <c r="G622" s="483"/>
    </row>
    <row r="623">
      <c r="G623" s="483"/>
    </row>
    <row r="624">
      <c r="G624" s="483"/>
    </row>
    <row r="625">
      <c r="G625" s="483"/>
    </row>
    <row r="626">
      <c r="G626" s="483"/>
    </row>
    <row r="627">
      <c r="G627" s="483"/>
    </row>
    <row r="628">
      <c r="G628" s="483"/>
    </row>
    <row r="629">
      <c r="G629" s="483"/>
    </row>
    <row r="630">
      <c r="G630" s="483"/>
    </row>
  </sheetData>
  <autoFilter ref="A1:AH630"/>
  <mergeCells>
    <mergeCell ref="B378:C378"/>
    <mergeCell ref="B379:C379"/>
    <mergeCell ref="B373:C373"/>
    <mergeCell ref="B368:C368"/>
    <mergeCell ref="B363:C363"/>
    <mergeCell ref="A356:A357"/>
    <mergeCell ref="B356:C356"/>
    <mergeCell ref="B355:C355"/>
    <mergeCell ref="B354:C354"/>
    <mergeCell ref="B348:C348"/>
    <mergeCell ref="B342:C342"/>
    <mergeCell ref="B339:C339"/>
    <mergeCell ref="A334:A355"/>
    <mergeCell ref="A332:A333"/>
    <mergeCell ref="B332:C332"/>
    <mergeCell ref="A308:A309"/>
    <mergeCell ref="B308:C308"/>
    <mergeCell ref="B318:C318"/>
    <mergeCell ref="B315:C315"/>
    <mergeCell ref="B324:C324"/>
    <mergeCell ref="A310:A331"/>
    <mergeCell ref="B330:C330"/>
    <mergeCell ref="B331:C331"/>
    <mergeCell ref="A289:A307"/>
    <mergeCell ref="B306:C306"/>
    <mergeCell ref="B307:C307"/>
    <mergeCell ref="B304:C304"/>
    <mergeCell ref="B299:C299"/>
    <mergeCell ref="B294:C294"/>
    <mergeCell ref="B253:C253"/>
    <mergeCell ref="B252:C252"/>
    <mergeCell ref="A241:A253"/>
    <mergeCell ref="B246:C246"/>
    <mergeCell ref="A239:A240"/>
    <mergeCell ref="B239:C239"/>
    <mergeCell ref="B238:C238"/>
    <mergeCell ref="B237:C237"/>
    <mergeCell ref="B232:C232"/>
    <mergeCell ref="B227:C227"/>
    <mergeCell ref="A223:A238"/>
    <mergeCell ref="A221:A222"/>
    <mergeCell ref="B221:C221"/>
    <mergeCell ref="B220:C220"/>
    <mergeCell ref="B219:C219"/>
    <mergeCell ref="B214:C214"/>
    <mergeCell ref="B209:C209"/>
    <mergeCell ref="A205:A220"/>
    <mergeCell ref="A203:A204"/>
    <mergeCell ref="B203:C203"/>
    <mergeCell ref="B202:C202"/>
    <mergeCell ref="B201:C201"/>
    <mergeCell ref="B196:C196"/>
    <mergeCell ref="B191:C191"/>
    <mergeCell ref="A187:A202"/>
    <mergeCell ref="A185:A186"/>
    <mergeCell ref="B185:C185"/>
    <mergeCell ref="B184:C184"/>
    <mergeCell ref="B183:C183"/>
    <mergeCell ref="B178:C178"/>
    <mergeCell ref="B173:C173"/>
    <mergeCell ref="A169:A184"/>
    <mergeCell ref="A167:A168"/>
    <mergeCell ref="B167:C167"/>
    <mergeCell ref="A151:A166"/>
    <mergeCell ref="B160:C160"/>
    <mergeCell ref="B165:C165"/>
    <mergeCell ref="B166:C166"/>
    <mergeCell ref="B155:C155"/>
    <mergeCell ref="A149:A150"/>
    <mergeCell ref="B149:C149"/>
    <mergeCell ref="B148:C148"/>
    <mergeCell ref="B147:C147"/>
    <mergeCell ref="B142:C142"/>
    <mergeCell ref="A138:A148"/>
    <mergeCell ref="A136:A137"/>
    <mergeCell ref="B136:C136"/>
    <mergeCell ref="B135:C135"/>
    <mergeCell ref="B134:C134"/>
    <mergeCell ref="B129:C129"/>
    <mergeCell ref="A125:A135"/>
    <mergeCell ref="A123:A124"/>
    <mergeCell ref="B123:C123"/>
    <mergeCell ref="A99:A109"/>
    <mergeCell ref="B122:C122"/>
    <mergeCell ref="B121:C121"/>
    <mergeCell ref="B116:C116"/>
    <mergeCell ref="A112:A122"/>
    <mergeCell ref="A110:A111"/>
    <mergeCell ref="B110:C110"/>
    <mergeCell ref="B109:C109"/>
    <mergeCell ref="B108:C108"/>
    <mergeCell ref="B103:C103"/>
    <mergeCell ref="A97:A98"/>
    <mergeCell ref="B97:C97"/>
    <mergeCell ref="B96:C96"/>
    <mergeCell ref="B95:C95"/>
    <mergeCell ref="B90:C90"/>
    <mergeCell ref="A86:A96"/>
    <mergeCell ref="A84:A85"/>
    <mergeCell ref="B84:C84"/>
    <mergeCell ref="B83:C83"/>
    <mergeCell ref="B82:C82"/>
    <mergeCell ref="B77:C77"/>
    <mergeCell ref="A73:A83"/>
    <mergeCell ref="A71:A72"/>
    <mergeCell ref="B71:C71"/>
    <mergeCell ref="B70:C70"/>
    <mergeCell ref="B69:C69"/>
    <mergeCell ref="B64:C64"/>
    <mergeCell ref="A60:A70"/>
    <mergeCell ref="A58:A59"/>
    <mergeCell ref="B58:C58"/>
    <mergeCell ref="B57:C57"/>
    <mergeCell ref="B56:C56"/>
    <mergeCell ref="B51:C51"/>
    <mergeCell ref="A47:A57"/>
    <mergeCell ref="A45:A46"/>
    <mergeCell ref="B45:C45"/>
    <mergeCell ref="A32:A33"/>
    <mergeCell ref="B32:C32"/>
    <mergeCell ref="A34:A44"/>
    <mergeCell ref="B38:C38"/>
    <mergeCell ref="B43:C43"/>
    <mergeCell ref="B44:C44"/>
    <mergeCell ref="B31:C31"/>
    <mergeCell ref="B30:C30"/>
    <mergeCell ref="A25:A31"/>
    <mergeCell ref="B23:C23"/>
    <mergeCell ref="A23:A24"/>
    <mergeCell ref="A10:A11"/>
    <mergeCell ref="B10:C10"/>
    <mergeCell ref="A12:A22"/>
    <mergeCell ref="B16:C16"/>
    <mergeCell ref="B21:C21"/>
    <mergeCell ref="B22:C22"/>
    <mergeCell ref="B9:C9"/>
    <mergeCell ref="B8:C8"/>
    <mergeCell ref="A3:A9"/>
    <mergeCell ref="B1:C1"/>
    <mergeCell ref="A1:A2"/>
    <mergeCell ref="A254:A255"/>
    <mergeCell ref="B254:C254"/>
    <mergeCell ref="A256:A268"/>
    <mergeCell ref="B261:C261"/>
    <mergeCell ref="B267:C267"/>
    <mergeCell ref="B268:C268"/>
    <mergeCell ref="A269:A270"/>
    <mergeCell ref="B269:C269"/>
    <mergeCell ref="A271:A286"/>
    <mergeCell ref="B275:C275"/>
    <mergeCell ref="B280:C280"/>
    <mergeCell ref="B285:C285"/>
    <mergeCell ref="B286:C286"/>
    <mergeCell ref="A287:A288"/>
    <mergeCell ref="B287:C287"/>
    <mergeCell ref="A358:A379"/>
    <mergeCell ref="A380:A381"/>
    <mergeCell ref="B380:C380"/>
    <mergeCell ref="A382:A403"/>
    <mergeCell ref="B387:C387"/>
    <mergeCell ref="B392:C392"/>
    <mergeCell ref="B397:C397"/>
    <mergeCell ref="B402:C402"/>
    <mergeCell ref="B403:C403"/>
    <mergeCell ref="D356:M356"/>
    <mergeCell ref="N356:AG356"/>
    <mergeCell ref="D332:M332"/>
    <mergeCell ref="N332:AG332"/>
    <mergeCell ref="D308:M308"/>
    <mergeCell ref="N308:AG308"/>
    <mergeCell ref="D239:M239"/>
    <mergeCell ref="N239:AG239"/>
    <mergeCell ref="D221:M221"/>
    <mergeCell ref="N221:AG221"/>
    <mergeCell ref="D203:M203"/>
    <mergeCell ref="N203:AG203"/>
    <mergeCell ref="D185:M185"/>
    <mergeCell ref="N185:AG185"/>
    <mergeCell ref="D167:M167"/>
    <mergeCell ref="N167:AG167"/>
    <mergeCell ref="D149:M149"/>
    <mergeCell ref="N149:AG149"/>
    <mergeCell ref="D136:M136"/>
    <mergeCell ref="N136:AG136"/>
    <mergeCell ref="D123:M123"/>
    <mergeCell ref="N123:AG123"/>
    <mergeCell ref="D110:M110"/>
    <mergeCell ref="N110:AG110"/>
    <mergeCell ref="D97:M97"/>
    <mergeCell ref="N97:AG97"/>
    <mergeCell ref="D84:M84"/>
    <mergeCell ref="N84:AG84"/>
    <mergeCell ref="D71:M71"/>
    <mergeCell ref="N71:AG71"/>
    <mergeCell ref="D58:M58"/>
    <mergeCell ref="N58:AG58"/>
    <mergeCell ref="D45:M45"/>
    <mergeCell ref="N45:AG45"/>
    <mergeCell ref="D32:M32"/>
    <mergeCell ref="N32:AG32"/>
    <mergeCell ref="N23:AG23"/>
    <mergeCell ref="D23:M23"/>
    <mergeCell ref="D10:M10"/>
    <mergeCell ref="N10:AG10"/>
    <mergeCell ref="N1:AG1"/>
    <mergeCell ref="D1:M1"/>
    <mergeCell ref="D254:M254"/>
    <mergeCell ref="N254:AG254"/>
    <mergeCell ref="D269:M269"/>
    <mergeCell ref="N269:AG269"/>
    <mergeCell ref="D287:M287"/>
    <mergeCell ref="N287:AG287"/>
    <mergeCell ref="D380:M380"/>
    <mergeCell ref="N380:AG380"/>
    <mergeCell ref="A404:A405"/>
    <mergeCell ref="B404:C404"/>
    <mergeCell ref="D404:M404"/>
    <mergeCell ref="N404:AG404"/>
    <mergeCell ref="A406:A427"/>
    <mergeCell ref="B411:C411"/>
    <mergeCell ref="B416:C416"/>
    <mergeCell ref="B421:C421"/>
    <mergeCell ref="B426:C426"/>
    <mergeCell ref="B427:C427"/>
    <mergeCell ref="A428:A429"/>
    <mergeCell ref="B428:C428"/>
    <mergeCell ref="D428:M428"/>
    <mergeCell ref="N428:AG428"/>
    <mergeCell ref="A430:A451"/>
    <mergeCell ref="B435:C435"/>
    <mergeCell ref="B440:C440"/>
    <mergeCell ref="B445:C445"/>
    <mergeCell ref="B450:C450"/>
    <mergeCell ref="B451:C451"/>
    <mergeCell ref="A452:A453"/>
    <mergeCell ref="B452:C452"/>
    <mergeCell ref="D452:M452"/>
    <mergeCell ref="N452:AG452"/>
    <mergeCell ref="A454:A475"/>
    <mergeCell ref="B459:C459"/>
    <mergeCell ref="B464:C464"/>
    <mergeCell ref="B469:C469"/>
    <mergeCell ref="B474:C474"/>
    <mergeCell ref="B475:C475"/>
    <mergeCell ref="A476:A477"/>
    <mergeCell ref="B476:C476"/>
    <mergeCell ref="D476:M476"/>
    <mergeCell ref="N476:AG476"/>
    <mergeCell ref="A478:A499"/>
    <mergeCell ref="B483:C483"/>
    <mergeCell ref="B488:C488"/>
    <mergeCell ref="B493:C493"/>
    <mergeCell ref="B498:C498"/>
    <mergeCell ref="B499:C499"/>
    <mergeCell ref="A500:A501"/>
    <mergeCell ref="B500:C500"/>
    <mergeCell ref="D500:M500"/>
    <mergeCell ref="N500:AG500"/>
    <mergeCell ref="A502:A523"/>
    <mergeCell ref="B507:C507"/>
    <mergeCell ref="B512:C512"/>
    <mergeCell ref="B517:C517"/>
    <mergeCell ref="B522:C522"/>
    <mergeCell ref="B523:C523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484">
        <v>2021.43</v>
      </c>
      <c r="B1" s="484" t="s">
        <v>270</v>
      </c>
      <c r="C1" s="484"/>
      <c r="D1" s="485" t="s">
        <v>271</v>
      </c>
      <c r="E1" s="485"/>
      <c r="F1" s="485"/>
      <c r="G1" s="485"/>
      <c r="H1" s="485"/>
      <c r="I1" s="485"/>
      <c r="J1" s="485"/>
      <c r="K1" s="485"/>
      <c r="L1" s="486" t="s">
        <v>272</v>
      </c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7"/>
    </row>
    <row r="2">
      <c r="A2" s="484"/>
      <c r="B2" s="484" t="s">
        <v>273</v>
      </c>
      <c r="C2" s="484" t="s">
        <v>274</v>
      </c>
      <c r="D2" s="485" t="s">
        <v>275</v>
      </c>
      <c r="E2" s="488" t="s">
        <v>276</v>
      </c>
      <c r="F2" s="488" t="s">
        <v>277</v>
      </c>
      <c r="G2" s="485" t="s">
        <v>278</v>
      </c>
      <c r="H2" s="489" t="s">
        <v>279</v>
      </c>
      <c r="I2" s="489" t="s">
        <v>280</v>
      </c>
      <c r="J2" s="489" t="s">
        <v>281</v>
      </c>
      <c r="K2" s="489" t="s">
        <v>282</v>
      </c>
      <c r="L2" s="490" t="s">
        <v>283</v>
      </c>
      <c r="M2" s="491" t="s">
        <v>284</v>
      </c>
      <c r="N2" s="491" t="s">
        <v>285</v>
      </c>
      <c r="O2" s="491" t="s">
        <v>286</v>
      </c>
      <c r="P2" s="491" t="s">
        <v>287</v>
      </c>
      <c r="Q2" s="492" t="s">
        <v>288</v>
      </c>
      <c r="R2" s="491" t="s">
        <v>289</v>
      </c>
      <c r="S2" s="492" t="s">
        <v>290</v>
      </c>
      <c r="T2" s="486" t="s">
        <v>291</v>
      </c>
      <c r="U2" s="487" t="s">
        <v>292</v>
      </c>
      <c r="V2" s="487" t="s">
        <v>293</v>
      </c>
      <c r="W2" s="487" t="s">
        <v>294</v>
      </c>
      <c r="X2" s="487" t="s">
        <v>295</v>
      </c>
      <c r="Y2" s="487" t="s">
        <v>296</v>
      </c>
      <c r="Z2" s="487" t="s">
        <v>297</v>
      </c>
      <c r="AA2" s="487" t="s">
        <v>298</v>
      </c>
      <c r="AB2" s="487" t="s">
        <v>299</v>
      </c>
      <c r="AC2" s="486" t="s">
        <v>300</v>
      </c>
      <c r="AD2" s="493" t="s">
        <v>301</v>
      </c>
      <c r="AE2" s="493" t="s">
        <v>302</v>
      </c>
      <c r="AF2" s="487" t="s">
        <v>303</v>
      </c>
    </row>
    <row r="3">
      <c r="A3" s="494" t="s">
        <v>304</v>
      </c>
      <c r="B3" s="495" t="s">
        <v>305</v>
      </c>
      <c r="C3" s="496" t="s">
        <v>306</v>
      </c>
      <c r="D3" s="497">
        <v>2545.01</v>
      </c>
      <c r="E3" s="498">
        <v>3</v>
      </c>
      <c r="F3" s="498">
        <v>2</v>
      </c>
      <c r="G3" s="499">
        <v>2706</v>
      </c>
      <c r="H3" s="500">
        <f t="shared" ref="H3:H13" si="0">G3/D3</f>
      </c>
      <c r="I3" s="500">
        <f t="shared" ref="I3:I13" si="63">D3/E3</f>
      </c>
      <c r="J3" s="500">
        <f t="shared" ref="J3:J13" si="126">D3/F3</f>
      </c>
      <c r="K3" s="500">
        <f t="shared" ref="K3:K13" si="189">G3/E3</f>
      </c>
      <c r="L3" s="500">
        <f t="shared" ref="L3:L13" si="21">D3/V3</f>
      </c>
      <c r="M3" s="501">
        <f t="shared" ref="M3:M13" si="84">Q3/U3*1</f>
      </c>
      <c r="N3" s="501">
        <f t="shared" ref="N3:N13" si="147">V3/U3</f>
      </c>
      <c r="O3" s="501">
        <f t="shared" ref="O3:O13" si="210">X3/U3</f>
      </c>
      <c r="P3" s="501">
        <f t="shared" ref="P3:P13" si="42">Y3/X3</f>
      </c>
      <c r="Q3" s="502">
        <f t="shared" ref="Q3:Q13" si="105">W3/R3</f>
      </c>
      <c r="R3" s="503">
        <v>0.0137</v>
      </c>
      <c r="S3" s="504">
        <v>28</v>
      </c>
      <c r="T3" s="500">
        <f t="shared" ref="T3:T13" si="168">(D3/U3)*1000</f>
      </c>
      <c r="U3" s="502">
        <v>16308</v>
      </c>
      <c r="V3" s="502">
        <v>1366</v>
      </c>
      <c r="W3" s="502">
        <v>106</v>
      </c>
      <c r="X3" s="502">
        <v>2276</v>
      </c>
      <c r="Y3" s="502">
        <v>74</v>
      </c>
      <c r="Z3" s="502">
        <v>18</v>
      </c>
      <c r="AA3" s="502">
        <v>3</v>
      </c>
      <c r="AB3" s="502">
        <v>9</v>
      </c>
      <c r="AC3" s="500">
        <f t="shared" ref="AC3:AC12" si="231">AF3*1000/D3</f>
      </c>
      <c r="AD3" s="505" t="s">
        <v>307</v>
      </c>
      <c r="AE3" s="506" t="s">
        <v>308</v>
      </c>
      <c r="AF3" s="504">
        <v>40</v>
      </c>
    </row>
    <row r="4">
      <c r="A4" s="494"/>
      <c r="B4" s="495" t="s">
        <v>305</v>
      </c>
      <c r="C4" s="496" t="s">
        <v>309</v>
      </c>
      <c r="D4" s="497">
        <v>2334.25</v>
      </c>
      <c r="E4" s="498">
        <v>7</v>
      </c>
      <c r="F4" s="498">
        <v>6</v>
      </c>
      <c r="G4" s="499">
        <v>5443.9</v>
      </c>
      <c r="H4" s="500">
        <f t="shared" si="0"/>
      </c>
      <c r="I4" s="500">
        <f t="shared" si="63"/>
      </c>
      <c r="J4" s="500">
        <f t="shared" si="126"/>
      </c>
      <c r="K4" s="500">
        <f t="shared" si="189"/>
      </c>
      <c r="L4" s="500">
        <f t="shared" si="21"/>
      </c>
      <c r="M4" s="501">
        <f t="shared" si="84"/>
      </c>
      <c r="N4" s="501">
        <f t="shared" si="147"/>
      </c>
      <c r="O4" s="501">
        <f t="shared" si="210"/>
      </c>
      <c r="P4" s="501">
        <f t="shared" si="42"/>
      </c>
      <c r="Q4" s="502">
        <f t="shared" si="105"/>
      </c>
      <c r="R4" s="503">
        <v>0.0115</v>
      </c>
      <c r="S4" s="504">
        <v>28</v>
      </c>
      <c r="T4" s="500">
        <f t="shared" si="168"/>
      </c>
      <c r="U4" s="502">
        <v>17521</v>
      </c>
      <c r="V4" s="502">
        <v>1432</v>
      </c>
      <c r="W4" s="502">
        <v>97</v>
      </c>
      <c r="X4" s="502">
        <v>2414</v>
      </c>
      <c r="Y4" s="502">
        <v>92</v>
      </c>
      <c r="Z4" s="502">
        <v>16</v>
      </c>
      <c r="AA4" s="502">
        <v>4</v>
      </c>
      <c r="AB4" s="502">
        <v>5</v>
      </c>
      <c r="AC4" s="500">
        <f t="shared" si="231"/>
      </c>
      <c r="AD4" s="505" t="s">
        <v>307</v>
      </c>
      <c r="AE4" s="506" t="s">
        <v>308</v>
      </c>
      <c r="AF4" s="504">
        <v>36</v>
      </c>
    </row>
    <row r="5">
      <c r="A5" s="494"/>
      <c r="B5" s="495" t="s">
        <v>305</v>
      </c>
      <c r="C5" s="496" t="s">
        <v>310</v>
      </c>
      <c r="D5" s="497">
        <v>1361.84</v>
      </c>
      <c r="E5" s="498">
        <v>5</v>
      </c>
      <c r="F5" s="498">
        <v>4</v>
      </c>
      <c r="G5" s="497">
        <v>5412</v>
      </c>
      <c r="H5" s="500">
        <f t="shared" si="0"/>
      </c>
      <c r="I5" s="500">
        <f t="shared" si="63"/>
      </c>
      <c r="J5" s="500">
        <f t="shared" si="126"/>
      </c>
      <c r="K5" s="500">
        <f t="shared" si="189"/>
      </c>
      <c r="L5" s="500">
        <f t="shared" si="21"/>
      </c>
      <c r="M5" s="501">
        <f t="shared" si="84"/>
      </c>
      <c r="N5" s="501">
        <f t="shared" si="147"/>
      </c>
      <c r="O5" s="501">
        <f t="shared" si="210"/>
      </c>
      <c r="P5" s="501">
        <f t="shared" si="42"/>
      </c>
      <c r="Q5" s="502">
        <f t="shared" si="105"/>
      </c>
      <c r="R5" s="503">
        <v>0.0091</v>
      </c>
      <c r="S5" s="504">
        <v>29</v>
      </c>
      <c r="T5" s="500">
        <f t="shared" si="168"/>
      </c>
      <c r="U5" s="502">
        <v>11654</v>
      </c>
      <c r="V5" s="502">
        <v>837</v>
      </c>
      <c r="W5" s="502">
        <v>51</v>
      </c>
      <c r="X5" s="502">
        <v>1388</v>
      </c>
      <c r="Y5" s="502">
        <v>50</v>
      </c>
      <c r="Z5" s="502">
        <v>4</v>
      </c>
      <c r="AA5" s="502">
        <v>1</v>
      </c>
      <c r="AB5" s="502">
        <v>3</v>
      </c>
      <c r="AC5" s="500">
        <f t="shared" si="231"/>
      </c>
      <c r="AD5" s="505" t="s">
        <v>307</v>
      </c>
      <c r="AE5" s="506" t="s">
        <v>308</v>
      </c>
      <c r="AF5" s="504">
        <v>29</v>
      </c>
    </row>
    <row r="6">
      <c r="A6" s="494"/>
      <c r="B6" s="495" t="s">
        <v>305</v>
      </c>
      <c r="C6" s="496" t="s">
        <v>311</v>
      </c>
      <c r="D6" s="497">
        <v>1274.92</v>
      </c>
      <c r="E6" s="498">
        <v>3</v>
      </c>
      <c r="F6" s="498">
        <v>0</v>
      </c>
      <c r="G6" s="499">
        <v>3498.000000000002</v>
      </c>
      <c r="H6" s="500">
        <f t="shared" si="0"/>
      </c>
      <c r="I6" s="500">
        <f t="shared" si="63"/>
      </c>
      <c r="J6" s="500">
        <f t="shared" si="126"/>
      </c>
      <c r="K6" s="500">
        <f t="shared" si="189"/>
      </c>
      <c r="L6" s="500">
        <f t="shared" si="21"/>
      </c>
      <c r="M6" s="501">
        <f t="shared" si="84"/>
      </c>
      <c r="N6" s="501">
        <f t="shared" si="147"/>
      </c>
      <c r="O6" s="501">
        <f t="shared" si="210"/>
      </c>
      <c r="P6" s="501">
        <f t="shared" si="42"/>
      </c>
      <c r="Q6" s="502">
        <f t="shared" si="105"/>
      </c>
      <c r="R6" s="503">
        <v>0.008</v>
      </c>
      <c r="S6" s="504">
        <v>29</v>
      </c>
      <c r="T6" s="500">
        <f t="shared" si="168"/>
      </c>
      <c r="U6" s="502">
        <v>12025</v>
      </c>
      <c r="V6" s="502">
        <v>1173</v>
      </c>
      <c r="W6" s="502">
        <v>45</v>
      </c>
      <c r="X6" s="502">
        <v>2049</v>
      </c>
      <c r="Y6" s="502">
        <v>48</v>
      </c>
      <c r="Z6" s="502">
        <v>7</v>
      </c>
      <c r="AA6" s="502">
        <v>3</v>
      </c>
      <c r="AB6" s="502">
        <v>3</v>
      </c>
      <c r="AC6" s="500">
        <f t="shared" si="231"/>
      </c>
      <c r="AD6" s="505" t="s">
        <v>307</v>
      </c>
      <c r="AE6" s="506" t="s">
        <v>308</v>
      </c>
      <c r="AF6" s="504">
        <v>28</v>
      </c>
    </row>
    <row r="7">
      <c r="A7" s="494"/>
      <c r="B7" s="507" t="s">
        <v>312</v>
      </c>
      <c r="C7" s="507"/>
      <c r="D7" s="508">
        <f>SUM(D3:D6)</f>
      </c>
      <c r="E7" s="509">
        <f>SUM(E3:E6)</f>
      </c>
      <c r="F7" s="509">
        <f>SUM(F3:F6)</f>
      </c>
      <c r="G7" s="508">
        <f>SUM(G3:G6)</f>
      </c>
      <c r="H7" s="510">
        <f t="shared" si="0"/>
      </c>
      <c r="I7" s="510">
        <f t="shared" si="63"/>
      </c>
      <c r="J7" s="510">
        <f t="shared" si="126"/>
      </c>
      <c r="K7" s="510">
        <f t="shared" si="189"/>
      </c>
      <c r="L7" s="510">
        <f t="shared" si="21"/>
      </c>
      <c r="M7" s="511">
        <f t="shared" si="84"/>
      </c>
      <c r="N7" s="511">
        <f t="shared" si="147"/>
      </c>
      <c r="O7" s="511">
        <f t="shared" si="210"/>
      </c>
      <c r="P7" s="511">
        <f t="shared" si="42"/>
      </c>
      <c r="Q7" s="512">
        <f t="shared" si="105"/>
      </c>
      <c r="R7" s="511">
        <f>AVERAGE(R3:R6)</f>
      </c>
      <c r="S7" s="508">
        <f>AVERAGE(S3:S6)</f>
      </c>
      <c r="T7" s="510">
        <f t="shared" si="168"/>
      </c>
      <c r="U7" s="512">
        <f>SUM(U3:U6)</f>
      </c>
      <c r="V7" s="512">
        <f>SUM(V3:V6)</f>
      </c>
      <c r="W7" s="512">
        <f>SUM(W3:W6)</f>
      </c>
      <c r="X7" s="512">
        <f>SUM(X3:X6)</f>
      </c>
      <c r="Y7" s="512">
        <f>SUM(Y3:Y6)</f>
      </c>
      <c r="Z7" s="512">
        <f>SUM(Z3:Z6)</f>
      </c>
      <c r="AA7" s="512">
        <f>SUM(AA3:AA6)</f>
      </c>
      <c r="AB7" s="512">
        <f>SUM(AB3:AB6)</f>
      </c>
      <c r="AC7" s="513">
        <f t="shared" si="231"/>
      </c>
      <c r="AD7" s="514"/>
      <c r="AE7" s="514"/>
      <c r="AF7" s="515">
        <f>SUM(AF3:AF6)</f>
      </c>
    </row>
    <row r="8">
      <c r="A8" s="494"/>
      <c r="B8" s="496" t="s">
        <v>313</v>
      </c>
      <c r="C8" s="496" t="s">
        <v>314</v>
      </c>
      <c r="D8" s="497">
        <v>1108.56</v>
      </c>
      <c r="E8" s="498">
        <v>3</v>
      </c>
      <c r="F8" s="498">
        <v>2</v>
      </c>
      <c r="G8" s="497">
        <v>2088.9000000000015</v>
      </c>
      <c r="H8" s="500">
        <f t="shared" si="0"/>
      </c>
      <c r="I8" s="500">
        <f t="shared" si="63"/>
      </c>
      <c r="J8" s="500">
        <f t="shared" si="126"/>
      </c>
      <c r="K8" s="500">
        <f t="shared" si="189"/>
      </c>
      <c r="L8" s="500">
        <f t="shared" si="21"/>
      </c>
      <c r="M8" s="501">
        <f t="shared" si="84"/>
      </c>
      <c r="N8" s="501">
        <f t="shared" si="147"/>
      </c>
      <c r="O8" s="501">
        <f t="shared" si="210"/>
      </c>
      <c r="P8" s="501">
        <f t="shared" si="42"/>
      </c>
      <c r="Q8" s="502">
        <f t="shared" si="105"/>
      </c>
      <c r="R8" s="503">
        <v>0.0088</v>
      </c>
      <c r="S8" s="504">
        <v>30</v>
      </c>
      <c r="T8" s="500">
        <f t="shared" si="168"/>
      </c>
      <c r="U8" s="502">
        <v>10655</v>
      </c>
      <c r="V8" s="502">
        <v>1088</v>
      </c>
      <c r="W8" s="502">
        <v>44</v>
      </c>
      <c r="X8" s="502">
        <v>1791</v>
      </c>
      <c r="Y8" s="502">
        <v>75</v>
      </c>
      <c r="Z8" s="502">
        <v>6</v>
      </c>
      <c r="AA8" s="502">
        <v>5</v>
      </c>
      <c r="AB8" s="502">
        <v>1</v>
      </c>
      <c r="AC8" s="500">
        <f t="shared" si="231"/>
      </c>
      <c r="AD8" s="505" t="s">
        <v>307</v>
      </c>
      <c r="AE8" s="506" t="s">
        <v>308</v>
      </c>
      <c r="AF8" s="504">
        <v>29</v>
      </c>
    </row>
    <row r="9">
      <c r="A9" s="494"/>
      <c r="B9" s="496" t="s">
        <v>313</v>
      </c>
      <c r="C9" s="496" t="s">
        <v>315</v>
      </c>
      <c r="D9" s="497">
        <v>1101.3</v>
      </c>
      <c r="E9" s="498">
        <v>5</v>
      </c>
      <c r="F9" s="498">
        <v>2</v>
      </c>
      <c r="G9" s="499">
        <v>3396.7999999999993</v>
      </c>
      <c r="H9" s="500">
        <f t="shared" si="0"/>
      </c>
      <c r="I9" s="500">
        <f t="shared" si="63"/>
      </c>
      <c r="J9" s="500">
        <f t="shared" si="126"/>
      </c>
      <c r="K9" s="500">
        <f t="shared" si="189"/>
      </c>
      <c r="L9" s="500">
        <f t="shared" si="21"/>
      </c>
      <c r="M9" s="501">
        <f t="shared" si="84"/>
      </c>
      <c r="N9" s="501">
        <f t="shared" si="147"/>
      </c>
      <c r="O9" s="501">
        <f t="shared" si="210"/>
      </c>
      <c r="P9" s="501">
        <f t="shared" si="42"/>
      </c>
      <c r="Q9" s="502">
        <f t="shared" si="105"/>
      </c>
      <c r="R9" s="503">
        <v>0.0072</v>
      </c>
      <c r="S9" s="504">
        <v>30</v>
      </c>
      <c r="T9" s="500">
        <f t="shared" si="168"/>
      </c>
      <c r="U9" s="502">
        <v>11426</v>
      </c>
      <c r="V9" s="502">
        <v>1118</v>
      </c>
      <c r="W9" s="502">
        <v>36</v>
      </c>
      <c r="X9" s="502">
        <v>1879</v>
      </c>
      <c r="Y9" s="502">
        <v>33</v>
      </c>
      <c r="Z9" s="502">
        <v>7</v>
      </c>
      <c r="AA9" s="502">
        <v>2</v>
      </c>
      <c r="AB9" s="502">
        <v>0</v>
      </c>
      <c r="AC9" s="500">
        <f t="shared" si="231"/>
      </c>
      <c r="AD9" s="505" t="s">
        <v>307</v>
      </c>
      <c r="AE9" s="506" t="s">
        <v>308</v>
      </c>
      <c r="AF9" s="504">
        <v>21</v>
      </c>
    </row>
    <row r="10">
      <c r="A10" s="494"/>
      <c r="B10" s="496" t="s">
        <v>313</v>
      </c>
      <c r="C10" s="496" t="s">
        <v>316</v>
      </c>
      <c r="D10" s="497">
        <v>889.97</v>
      </c>
      <c r="E10" s="498">
        <v>2</v>
      </c>
      <c r="F10" s="498">
        <v>2</v>
      </c>
      <c r="G10" s="497">
        <v>902</v>
      </c>
      <c r="H10" s="500">
        <f t="shared" si="0"/>
      </c>
      <c r="I10" s="500">
        <f t="shared" si="63"/>
      </c>
      <c r="J10" s="500">
        <f t="shared" si="126"/>
      </c>
      <c r="K10" s="500">
        <f t="shared" si="189"/>
      </c>
      <c r="L10" s="500">
        <f t="shared" si="21"/>
      </c>
      <c r="M10" s="501">
        <f t="shared" si="84"/>
      </c>
      <c r="N10" s="501">
        <f t="shared" si="147"/>
      </c>
      <c r="O10" s="501">
        <f t="shared" si="210"/>
      </c>
      <c r="P10" s="501">
        <f t="shared" si="42"/>
      </c>
      <c r="Q10" s="502">
        <f t="shared" si="105"/>
      </c>
      <c r="R10" s="503">
        <v>0.0102</v>
      </c>
      <c r="S10" s="504">
        <v>29</v>
      </c>
      <c r="T10" s="500">
        <f t="shared" si="168"/>
      </c>
      <c r="U10" s="502">
        <v>9333</v>
      </c>
      <c r="V10" s="502">
        <v>968</v>
      </c>
      <c r="W10" s="502">
        <v>39</v>
      </c>
      <c r="X10" s="502">
        <v>1675</v>
      </c>
      <c r="Y10" s="502">
        <v>49</v>
      </c>
      <c r="Z10" s="502">
        <v>7</v>
      </c>
      <c r="AA10" s="502">
        <v>0</v>
      </c>
      <c r="AB10" s="502">
        <v>2</v>
      </c>
      <c r="AC10" s="500">
        <f t="shared" si="231"/>
      </c>
      <c r="AD10" s="505" t="s">
        <v>307</v>
      </c>
      <c r="AE10" s="506" t="s">
        <v>308</v>
      </c>
      <c r="AF10" s="504">
        <v>19</v>
      </c>
    </row>
    <row r="11">
      <c r="A11" s="494"/>
      <c r="B11" s="496" t="s">
        <v>313</v>
      </c>
      <c r="C11" s="496" t="s">
        <v>317</v>
      </c>
      <c r="D11" s="497">
        <v>677.03</v>
      </c>
      <c r="E11" s="498">
        <v>3</v>
      </c>
      <c r="F11" s="498">
        <v>1</v>
      </c>
      <c r="G11" s="499">
        <v>2088.899999999998</v>
      </c>
      <c r="H11" s="500">
        <f t="shared" si="0"/>
      </c>
      <c r="I11" s="500">
        <f t="shared" si="63"/>
      </c>
      <c r="J11" s="500">
        <f t="shared" si="126"/>
      </c>
      <c r="K11" s="500">
        <f t="shared" si="189"/>
      </c>
      <c r="L11" s="500">
        <f t="shared" si="21"/>
      </c>
      <c r="M11" s="501">
        <f t="shared" si="84"/>
      </c>
      <c r="N11" s="501">
        <f t="shared" si="147"/>
      </c>
      <c r="O11" s="501">
        <f t="shared" si="210"/>
      </c>
      <c r="P11" s="501">
        <f t="shared" si="42"/>
      </c>
      <c r="Q11" s="502">
        <f t="shared" si="105"/>
      </c>
      <c r="R11" s="503">
        <v>0.0129</v>
      </c>
      <c r="S11" s="504">
        <v>30</v>
      </c>
      <c r="T11" s="500">
        <f t="shared" si="168"/>
      </c>
      <c r="U11" s="502">
        <v>6922</v>
      </c>
      <c r="V11" s="502">
        <v>703</v>
      </c>
      <c r="W11" s="502">
        <v>39</v>
      </c>
      <c r="X11" s="502">
        <v>1088</v>
      </c>
      <c r="Y11" s="502">
        <v>42</v>
      </c>
      <c r="Z11" s="502">
        <v>4</v>
      </c>
      <c r="AA11" s="502">
        <v>2</v>
      </c>
      <c r="AB11" s="502">
        <v>1</v>
      </c>
      <c r="AC11" s="500">
        <f t="shared" si="231"/>
      </c>
      <c r="AD11" s="505" t="s">
        <v>307</v>
      </c>
      <c r="AE11" s="506" t="s">
        <v>308</v>
      </c>
      <c r="AF11" s="504">
        <v>17</v>
      </c>
    </row>
    <row r="12">
      <c r="A12" s="494"/>
      <c r="B12" s="507" t="s">
        <v>312</v>
      </c>
      <c r="C12" s="507"/>
      <c r="D12" s="508">
        <f>SUM(D8:D11)</f>
      </c>
      <c r="E12" s="509">
        <f>SUM(E8:E11)</f>
      </c>
      <c r="F12" s="509">
        <f>SUM(F8:F11)</f>
      </c>
      <c r="G12" s="508">
        <f>SUM(G8:G11)</f>
      </c>
      <c r="H12" s="510">
        <f t="shared" si="0"/>
      </c>
      <c r="I12" s="510">
        <f t="shared" si="63"/>
      </c>
      <c r="J12" s="510">
        <f t="shared" si="126"/>
      </c>
      <c r="K12" s="510">
        <f t="shared" si="189"/>
      </c>
      <c r="L12" s="510">
        <f t="shared" si="21"/>
      </c>
      <c r="M12" s="511">
        <f t="shared" si="84"/>
      </c>
      <c r="N12" s="511">
        <f t="shared" si="147"/>
      </c>
      <c r="O12" s="511">
        <f t="shared" si="210"/>
      </c>
      <c r="P12" s="511">
        <f t="shared" si="42"/>
      </c>
      <c r="Q12" s="512">
        <f t="shared" si="105"/>
      </c>
      <c r="R12" s="511">
        <f>AVERAGE(R8:R11)</f>
      </c>
      <c r="S12" s="508">
        <f>AVERAGE(S8:S11)</f>
      </c>
      <c r="T12" s="510">
        <f t="shared" si="168"/>
      </c>
      <c r="U12" s="512">
        <f>SUM(U8:U11)</f>
      </c>
      <c r="V12" s="512">
        <f>SUM(V8:V11)</f>
      </c>
      <c r="W12" s="512">
        <f>SUM(W8:W11)</f>
      </c>
      <c r="X12" s="512">
        <f>SUM(X8:X11)</f>
      </c>
      <c r="Y12" s="512">
        <f>SUM(Y8:Y11)</f>
      </c>
      <c r="Z12" s="512">
        <f>SUM(Z8:Z11)</f>
      </c>
      <c r="AA12" s="512">
        <f>SUM(AA8:AA11)</f>
      </c>
      <c r="AB12" s="512">
        <f>SUM(AB8:AB11)</f>
      </c>
      <c r="AC12" s="513">
        <f t="shared" si="231"/>
      </c>
      <c r="AD12" s="514"/>
      <c r="AE12" s="514"/>
      <c r="AF12" s="512">
        <f>SUM(AF8:AF11)</f>
      </c>
    </row>
    <row r="13">
      <c r="A13" s="494"/>
      <c r="B13" s="516" t="s">
        <v>318</v>
      </c>
      <c r="C13" s="516"/>
      <c r="D13" s="517">
        <f>D7+D12</f>
      </c>
      <c r="E13" s="518">
        <f>E7+E12</f>
      </c>
      <c r="F13" s="518">
        <f>F7+F12</f>
      </c>
      <c r="G13" s="517">
        <f>G7+G12</f>
      </c>
      <c r="H13" s="519">
        <f t="shared" si="0"/>
      </c>
      <c r="I13" s="519">
        <f t="shared" si="63"/>
      </c>
      <c r="J13" s="519">
        <f t="shared" si="126"/>
      </c>
      <c r="K13" s="519">
        <f t="shared" si="189"/>
      </c>
      <c r="L13" s="519">
        <f t="shared" si="21"/>
      </c>
      <c r="M13" s="520">
        <f t="shared" si="84"/>
      </c>
      <c r="N13" s="520">
        <f t="shared" si="147"/>
      </c>
      <c r="O13" s="520">
        <f t="shared" si="210"/>
      </c>
      <c r="P13" s="520">
        <f t="shared" si="42"/>
      </c>
      <c r="Q13" s="521">
        <f t="shared" si="105"/>
      </c>
      <c r="R13" s="520">
        <f>(R7+R12)/2</f>
      </c>
      <c r="S13" s="517">
        <f>(S12+S7)/2</f>
      </c>
      <c r="T13" s="517">
        <f t="shared" si="168"/>
      </c>
      <c r="U13" s="521">
        <f>U7+U12</f>
      </c>
      <c r="V13" s="521">
        <f>V7+V12</f>
      </c>
      <c r="W13" s="521">
        <f>W7+W12</f>
      </c>
      <c r="X13" s="521">
        <f>X7+X12</f>
      </c>
      <c r="Y13" s="521">
        <f>Y7+Y12</f>
      </c>
      <c r="Z13" s="521">
        <f>Z7+Z12</f>
      </c>
      <c r="AA13" s="521">
        <f>AA7+AA12</f>
      </c>
      <c r="AB13" s="521">
        <f>AB7+AB12</f>
      </c>
      <c r="AC13" s="519">
        <f>AC7</f>
      </c>
      <c r="AD13" s="516"/>
      <c r="AE13" s="516"/>
      <c r="AF13" s="521">
        <f>AF7+AF12</f>
      </c>
    </row>
    <row r="14">
      <c r="A14" s="484" t="s">
        <v>319</v>
      </c>
      <c r="B14" s="484" t="s">
        <v>270</v>
      </c>
      <c r="C14" s="484"/>
      <c r="D14" s="485" t="s">
        <v>271</v>
      </c>
      <c r="E14" s="485"/>
      <c r="F14" s="485"/>
      <c r="G14" s="485"/>
      <c r="H14" s="485"/>
      <c r="I14" s="485"/>
      <c r="J14" s="485"/>
      <c r="K14" s="485"/>
      <c r="L14" s="486" t="s">
        <v>272</v>
      </c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  <c r="AD14" s="486"/>
      <c r="AE14" s="486"/>
      <c r="AF14" s="487"/>
    </row>
    <row r="15">
      <c r="A15" s="484"/>
      <c r="B15" s="484" t="s">
        <v>273</v>
      </c>
      <c r="C15" s="484" t="s">
        <v>274</v>
      </c>
      <c r="D15" s="485" t="s">
        <v>275</v>
      </c>
      <c r="E15" s="488" t="s">
        <v>276</v>
      </c>
      <c r="F15" s="488" t="s">
        <v>277</v>
      </c>
      <c r="G15" s="485" t="s">
        <v>278</v>
      </c>
      <c r="H15" s="489" t="s">
        <v>279</v>
      </c>
      <c r="I15" s="489" t="s">
        <v>280</v>
      </c>
      <c r="J15" s="489" t="s">
        <v>281</v>
      </c>
      <c r="K15" s="489" t="s">
        <v>282</v>
      </c>
      <c r="L15" s="490" t="s">
        <v>283</v>
      </c>
      <c r="M15" s="491" t="s">
        <v>284</v>
      </c>
      <c r="N15" s="491" t="s">
        <v>285</v>
      </c>
      <c r="O15" s="491" t="s">
        <v>286</v>
      </c>
      <c r="P15" s="491" t="s">
        <v>287</v>
      </c>
      <c r="Q15" s="492" t="s">
        <v>288</v>
      </c>
      <c r="R15" s="491" t="s">
        <v>289</v>
      </c>
      <c r="S15" s="492" t="s">
        <v>290</v>
      </c>
      <c r="T15" s="486" t="s">
        <v>291</v>
      </c>
      <c r="U15" s="487" t="s">
        <v>292</v>
      </c>
      <c r="V15" s="487" t="s">
        <v>293</v>
      </c>
      <c r="W15" s="487" t="s">
        <v>294</v>
      </c>
      <c r="X15" s="487" t="s">
        <v>295</v>
      </c>
      <c r="Y15" s="487" t="s">
        <v>296</v>
      </c>
      <c r="Z15" s="487" t="s">
        <v>297</v>
      </c>
      <c r="AA15" s="487" t="s">
        <v>298</v>
      </c>
      <c r="AB15" s="487" t="s">
        <v>299</v>
      </c>
      <c r="AC15" s="486" t="s">
        <v>300</v>
      </c>
      <c r="AD15" s="493" t="s">
        <v>301</v>
      </c>
      <c r="AE15" s="493" t="s">
        <v>302</v>
      </c>
      <c r="AF15" s="487" t="s">
        <v>303</v>
      </c>
    </row>
    <row r="16">
      <c r="A16" s="494" t="s">
        <v>320</v>
      </c>
      <c r="B16" s="495" t="s">
        <v>305</v>
      </c>
      <c r="C16" s="496" t="s">
        <v>306</v>
      </c>
      <c r="D16" s="497">
        <v>2639.79</v>
      </c>
      <c r="E16" s="498">
        <v>4</v>
      </c>
      <c r="F16" s="498">
        <v>4</v>
      </c>
      <c r="G16" s="499">
        <v>2209.9</v>
      </c>
      <c r="H16" s="500">
        <f t="shared" ref="H16:H26" si="1">G16/D16</f>
      </c>
      <c r="I16" s="500">
        <f t="shared" ref="I16:I26" si="64">D16/E16</f>
      </c>
      <c r="J16" s="500">
        <f t="shared" ref="J16:J26" si="127">D16/F16</f>
      </c>
      <c r="K16" s="500">
        <f t="shared" ref="K16:K26" si="190">G16/E16</f>
      </c>
      <c r="L16" s="500">
        <f t="shared" ref="L16:L26" si="22">D16/V16</f>
      </c>
      <c r="M16" s="501">
        <f t="shared" ref="M16:M26" si="85">Q16/U16*1</f>
      </c>
      <c r="N16" s="501">
        <f t="shared" ref="N16:N26" si="148">V16/U16</f>
      </c>
      <c r="O16" s="501">
        <f t="shared" ref="O16:O26" si="211">X16/U16</f>
      </c>
      <c r="P16" s="501">
        <f t="shared" ref="P16:P26" si="43">Y16/X16</f>
      </c>
      <c r="Q16" s="502">
        <f t="shared" ref="Q16:Q26" si="106">W16/R16</f>
      </c>
      <c r="R16" s="503">
        <v>0.0123</v>
      </c>
      <c r="S16" s="504">
        <v>25</v>
      </c>
      <c r="T16" s="500">
        <f t="shared" ref="T16:T26" si="169">(D16/U16)*1000</f>
      </c>
      <c r="U16" s="502">
        <v>18292</v>
      </c>
      <c r="V16" s="502">
        <v>1822</v>
      </c>
      <c r="W16" s="502">
        <v>103</v>
      </c>
      <c r="X16" s="502">
        <v>2669</v>
      </c>
      <c r="Y16" s="502">
        <v>86</v>
      </c>
      <c r="Z16" s="502">
        <v>20</v>
      </c>
      <c r="AA16" s="502">
        <v>1</v>
      </c>
      <c r="AB16" s="502">
        <v>12</v>
      </c>
      <c r="AC16" s="500">
        <f t="shared" ref="AC16:AC25" si="232">AF16*1000/D16</f>
      </c>
      <c r="AD16" s="505" t="s">
        <v>307</v>
      </c>
      <c r="AE16" s="506" t="s">
        <v>308</v>
      </c>
      <c r="AF16" s="504">
        <v>40</v>
      </c>
    </row>
    <row r="17">
      <c r="A17" s="494"/>
      <c r="B17" s="495" t="s">
        <v>305</v>
      </c>
      <c r="C17" s="496" t="s">
        <v>309</v>
      </c>
      <c r="D17" s="497">
        <v>2688.23</v>
      </c>
      <c r="E17" s="498">
        <v>5</v>
      </c>
      <c r="F17" s="498">
        <v>5</v>
      </c>
      <c r="G17" s="499">
        <v>3912.7000000000003</v>
      </c>
      <c r="H17" s="500">
        <f t="shared" si="1"/>
      </c>
      <c r="I17" s="500">
        <f t="shared" si="64"/>
      </c>
      <c r="J17" s="500">
        <f t="shared" si="127"/>
      </c>
      <c r="K17" s="500">
        <f t="shared" si="190"/>
      </c>
      <c r="L17" s="500">
        <f t="shared" si="22"/>
      </c>
      <c r="M17" s="501">
        <f t="shared" si="85"/>
      </c>
      <c r="N17" s="501">
        <f t="shared" si="148"/>
      </c>
      <c r="O17" s="501">
        <f t="shared" si="211"/>
      </c>
      <c r="P17" s="501">
        <f t="shared" si="43"/>
      </c>
      <c r="Q17" s="502">
        <f t="shared" si="106"/>
      </c>
      <c r="R17" s="503">
        <v>0.0118</v>
      </c>
      <c r="S17" s="504">
        <v>27</v>
      </c>
      <c r="T17" s="500">
        <f t="shared" si="169"/>
      </c>
      <c r="U17" s="502">
        <v>18293</v>
      </c>
      <c r="V17" s="502">
        <v>1439</v>
      </c>
      <c r="W17" s="502">
        <v>85</v>
      </c>
      <c r="X17" s="502">
        <v>1983</v>
      </c>
      <c r="Y17" s="502">
        <v>75</v>
      </c>
      <c r="Z17" s="502">
        <v>7</v>
      </c>
      <c r="AA17" s="502">
        <v>4</v>
      </c>
      <c r="AB17" s="502">
        <v>22</v>
      </c>
      <c r="AC17" s="500">
        <f t="shared" si="232"/>
      </c>
      <c r="AD17" s="505" t="s">
        <v>307</v>
      </c>
      <c r="AE17" s="506" t="s">
        <v>308</v>
      </c>
      <c r="AF17" s="504">
        <v>33</v>
      </c>
    </row>
    <row r="18">
      <c r="A18" s="494"/>
      <c r="B18" s="495" t="s">
        <v>305</v>
      </c>
      <c r="C18" s="496" t="s">
        <v>310</v>
      </c>
      <c r="D18" s="497">
        <v>2334.95</v>
      </c>
      <c r="E18" s="498">
        <v>6</v>
      </c>
      <c r="F18" s="498">
        <v>4</v>
      </c>
      <c r="G18" s="497">
        <v>3771.8999999999996</v>
      </c>
      <c r="H18" s="500">
        <f t="shared" si="1"/>
      </c>
      <c r="I18" s="500">
        <f t="shared" si="64"/>
      </c>
      <c r="J18" s="500">
        <f t="shared" si="127"/>
      </c>
      <c r="K18" s="500">
        <f t="shared" si="190"/>
      </c>
      <c r="L18" s="500">
        <f t="shared" si="22"/>
      </c>
      <c r="M18" s="501">
        <f t="shared" si="85"/>
      </c>
      <c r="N18" s="501">
        <f t="shared" si="148"/>
      </c>
      <c r="O18" s="501">
        <f t="shared" si="211"/>
      </c>
      <c r="P18" s="501">
        <f t="shared" si="43"/>
      </c>
      <c r="Q18" s="502">
        <f t="shared" si="106"/>
      </c>
      <c r="R18" s="503">
        <v>0.0155</v>
      </c>
      <c r="S18" s="504">
        <v>28</v>
      </c>
      <c r="T18" s="500">
        <f t="shared" si="169"/>
      </c>
      <c r="U18" s="502">
        <v>15832</v>
      </c>
      <c r="V18" s="502">
        <v>1715</v>
      </c>
      <c r="W18" s="502">
        <v>95</v>
      </c>
      <c r="X18" s="502">
        <v>2488</v>
      </c>
      <c r="Y18" s="502">
        <v>91</v>
      </c>
      <c r="Z18" s="502">
        <v>13</v>
      </c>
      <c r="AA18" s="502">
        <v>2</v>
      </c>
      <c r="AB18" s="502">
        <v>8</v>
      </c>
      <c r="AC18" s="500">
        <f t="shared" si="232"/>
      </c>
      <c r="AD18" s="505" t="s">
        <v>307</v>
      </c>
      <c r="AE18" s="506" t="s">
        <v>308</v>
      </c>
      <c r="AF18" s="504">
        <v>27</v>
      </c>
    </row>
    <row r="19">
      <c r="A19" s="494"/>
      <c r="B19" s="495" t="s">
        <v>305</v>
      </c>
      <c r="C19" s="496" t="s">
        <v>311</v>
      </c>
      <c r="D19" s="497">
        <v>2004.08</v>
      </c>
      <c r="E19" s="498">
        <v>6</v>
      </c>
      <c r="F19" s="498">
        <v>4</v>
      </c>
      <c r="G19" s="499">
        <v>3771.8999999999996</v>
      </c>
      <c r="H19" s="500">
        <f t="shared" si="1"/>
      </c>
      <c r="I19" s="500">
        <f t="shared" si="64"/>
      </c>
      <c r="J19" s="500">
        <f t="shared" si="127"/>
      </c>
      <c r="K19" s="500">
        <f t="shared" si="190"/>
      </c>
      <c r="L19" s="500">
        <f t="shared" si="22"/>
      </c>
      <c r="M19" s="501">
        <f t="shared" si="85"/>
      </c>
      <c r="N19" s="501">
        <f t="shared" si="148"/>
      </c>
      <c r="O19" s="501">
        <f t="shared" si="211"/>
      </c>
      <c r="P19" s="501">
        <f t="shared" si="43"/>
      </c>
      <c r="Q19" s="502">
        <f t="shared" si="106"/>
      </c>
      <c r="R19" s="503">
        <v>0.0139</v>
      </c>
      <c r="S19" s="504">
        <v>28</v>
      </c>
      <c r="T19" s="500">
        <f t="shared" si="169"/>
      </c>
      <c r="U19" s="502">
        <v>13827</v>
      </c>
      <c r="V19" s="502">
        <v>1659</v>
      </c>
      <c r="W19" s="502">
        <v>81</v>
      </c>
      <c r="X19" s="502">
        <v>2460</v>
      </c>
      <c r="Y19" s="502">
        <v>67</v>
      </c>
      <c r="Z19" s="502">
        <v>10</v>
      </c>
      <c r="AA19" s="502">
        <v>3</v>
      </c>
      <c r="AB19" s="502">
        <v>3</v>
      </c>
      <c r="AC19" s="500">
        <f t="shared" si="232"/>
      </c>
      <c r="AD19" s="505" t="s">
        <v>307</v>
      </c>
      <c r="AE19" s="506" t="s">
        <v>308</v>
      </c>
      <c r="AF19" s="504">
        <v>30</v>
      </c>
    </row>
    <row r="20">
      <c r="A20" s="494"/>
      <c r="B20" s="507" t="s">
        <v>312</v>
      </c>
      <c r="C20" s="507"/>
      <c r="D20" s="508">
        <f>SUM(D16:D19)</f>
      </c>
      <c r="E20" s="509">
        <f>SUM(E16:E19)</f>
      </c>
      <c r="F20" s="509">
        <f>SUM(F16:F19)</f>
      </c>
      <c r="G20" s="508">
        <f>SUM(G16:G19)</f>
      </c>
      <c r="H20" s="510">
        <f t="shared" si="1"/>
      </c>
      <c r="I20" s="510">
        <f t="shared" si="64"/>
      </c>
      <c r="J20" s="510">
        <f t="shared" si="127"/>
      </c>
      <c r="K20" s="510">
        <f t="shared" si="190"/>
      </c>
      <c r="L20" s="510">
        <f t="shared" si="22"/>
      </c>
      <c r="M20" s="511">
        <f t="shared" si="85"/>
      </c>
      <c r="N20" s="511">
        <f t="shared" si="148"/>
      </c>
      <c r="O20" s="511">
        <f t="shared" si="211"/>
      </c>
      <c r="P20" s="511">
        <f t="shared" si="43"/>
      </c>
      <c r="Q20" s="512">
        <f t="shared" si="106"/>
      </c>
      <c r="R20" s="511">
        <f>AVERAGE(R16:R19)</f>
      </c>
      <c r="S20" s="508">
        <f>AVERAGE(S16:S19)</f>
      </c>
      <c r="T20" s="510">
        <f t="shared" si="169"/>
      </c>
      <c r="U20" s="512">
        <f>SUM(U16:U19)</f>
      </c>
      <c r="V20" s="512">
        <f>SUM(V16:V19)</f>
      </c>
      <c r="W20" s="512">
        <f>SUM(W16:W19)</f>
      </c>
      <c r="X20" s="512">
        <f>SUM(X16:X19)</f>
      </c>
      <c r="Y20" s="512">
        <f>SUM(Y16:Y19)</f>
      </c>
      <c r="Z20" s="512">
        <f>SUM(Z16:Z19)</f>
      </c>
      <c r="AA20" s="512">
        <f>SUM(AA16:AA19)</f>
      </c>
      <c r="AB20" s="512">
        <f>SUM(AB16:AB19)</f>
      </c>
      <c r="AC20" s="513">
        <f t="shared" si="232"/>
      </c>
      <c r="AD20" s="514"/>
      <c r="AE20" s="514"/>
      <c r="AF20" s="515">
        <f>SUM(AF16:AF19)</f>
      </c>
    </row>
    <row r="21">
      <c r="A21" s="494"/>
      <c r="B21" s="496" t="s">
        <v>313</v>
      </c>
      <c r="C21" s="496" t="s">
        <v>314</v>
      </c>
      <c r="D21" s="497">
        <v>1672.93</v>
      </c>
      <c r="E21" s="498">
        <v>7</v>
      </c>
      <c r="F21" s="498">
        <v>4</v>
      </c>
      <c r="G21" s="497">
        <v>4849.9</v>
      </c>
      <c r="H21" s="500">
        <f t="shared" si="1"/>
      </c>
      <c r="I21" s="500">
        <f t="shared" si="64"/>
      </c>
      <c r="J21" s="500">
        <f t="shared" si="127"/>
      </c>
      <c r="K21" s="500">
        <f t="shared" si="190"/>
      </c>
      <c r="L21" s="500">
        <f t="shared" si="22"/>
      </c>
      <c r="M21" s="501">
        <f t="shared" si="85"/>
      </c>
      <c r="N21" s="501">
        <f t="shared" si="148"/>
      </c>
      <c r="O21" s="501">
        <f t="shared" si="211"/>
      </c>
      <c r="P21" s="501">
        <f t="shared" si="43"/>
      </c>
      <c r="Q21" s="502">
        <f t="shared" si="106"/>
      </c>
      <c r="R21" s="503">
        <v>0.0095</v>
      </c>
      <c r="S21" s="504">
        <v>28</v>
      </c>
      <c r="T21" s="500">
        <f t="shared" si="169"/>
      </c>
      <c r="U21" s="502">
        <v>15588</v>
      </c>
      <c r="V21" s="502">
        <v>1776</v>
      </c>
      <c r="W21" s="502">
        <v>72</v>
      </c>
      <c r="X21" s="502">
        <v>2658</v>
      </c>
      <c r="Y21" s="502">
        <v>60</v>
      </c>
      <c r="Z21" s="502">
        <v>7</v>
      </c>
      <c r="AA21" s="502">
        <v>1</v>
      </c>
      <c r="AB21" s="502">
        <v>3</v>
      </c>
      <c r="AC21" s="500">
        <f t="shared" si="232"/>
      </c>
      <c r="AD21" s="505" t="s">
        <v>307</v>
      </c>
      <c r="AE21" s="506" t="s">
        <v>308</v>
      </c>
      <c r="AF21" s="504">
        <v>28</v>
      </c>
    </row>
    <row r="22">
      <c r="A22" s="494"/>
      <c r="B22" s="496" t="s">
        <v>313</v>
      </c>
      <c r="C22" s="496" t="s">
        <v>315</v>
      </c>
      <c r="D22" s="497">
        <v>1666.91</v>
      </c>
      <c r="E22" s="498">
        <v>3</v>
      </c>
      <c r="F22" s="498">
        <v>3</v>
      </c>
      <c r="G22" s="499">
        <v>3441.899999999998</v>
      </c>
      <c r="H22" s="500">
        <f t="shared" si="1"/>
      </c>
      <c r="I22" s="500">
        <f t="shared" si="64"/>
      </c>
      <c r="J22" s="500">
        <f t="shared" si="127"/>
      </c>
      <c r="K22" s="500">
        <f t="shared" si="190"/>
      </c>
      <c r="L22" s="500">
        <f t="shared" si="22"/>
      </c>
      <c r="M22" s="501">
        <f t="shared" si="85"/>
      </c>
      <c r="N22" s="501">
        <f t="shared" si="148"/>
      </c>
      <c r="O22" s="501">
        <f t="shared" si="211"/>
      </c>
      <c r="P22" s="501">
        <f t="shared" si="43"/>
      </c>
      <c r="Q22" s="502">
        <f t="shared" si="106"/>
      </c>
      <c r="R22" s="503">
        <v>0.009</v>
      </c>
      <c r="S22" s="504">
        <v>28</v>
      </c>
      <c r="T22" s="500">
        <f t="shared" si="169"/>
      </c>
      <c r="U22" s="502">
        <v>17028</v>
      </c>
      <c r="V22" s="502">
        <v>1711</v>
      </c>
      <c r="W22" s="502">
        <v>75</v>
      </c>
      <c r="X22" s="502">
        <v>2503</v>
      </c>
      <c r="Y22" s="502">
        <v>58</v>
      </c>
      <c r="Z22" s="502">
        <v>7</v>
      </c>
      <c r="AA22" s="502">
        <v>1</v>
      </c>
      <c r="AB22" s="502">
        <v>2</v>
      </c>
      <c r="AC22" s="500">
        <f t="shared" si="232"/>
      </c>
      <c r="AD22" s="505" t="s">
        <v>307</v>
      </c>
      <c r="AE22" s="506" t="s">
        <v>308</v>
      </c>
      <c r="AF22" s="504">
        <v>29</v>
      </c>
    </row>
    <row r="23">
      <c r="A23" s="494"/>
      <c r="B23" s="496" t="s">
        <v>313</v>
      </c>
      <c r="C23" s="496" t="s">
        <v>316</v>
      </c>
      <c r="D23" s="497">
        <v>1626.43</v>
      </c>
      <c r="E23" s="498">
        <v>6</v>
      </c>
      <c r="F23" s="498">
        <v>3</v>
      </c>
      <c r="G23" s="497">
        <v>8408.400000000001</v>
      </c>
      <c r="H23" s="500">
        <f t="shared" si="1"/>
      </c>
      <c r="I23" s="500">
        <f t="shared" si="64"/>
      </c>
      <c r="J23" s="500">
        <f t="shared" si="127"/>
      </c>
      <c r="K23" s="500">
        <f t="shared" si="190"/>
      </c>
      <c r="L23" s="500">
        <f t="shared" si="22"/>
      </c>
      <c r="M23" s="501">
        <f t="shared" si="85"/>
      </c>
      <c r="N23" s="501">
        <f t="shared" si="148"/>
      </c>
      <c r="O23" s="501">
        <f t="shared" si="211"/>
      </c>
      <c r="P23" s="501">
        <f t="shared" si="43"/>
      </c>
      <c r="Q23" s="502">
        <f t="shared" si="106"/>
      </c>
      <c r="R23" s="503">
        <v>0.009</v>
      </c>
      <c r="S23" s="504">
        <v>30</v>
      </c>
      <c r="T23" s="500">
        <f t="shared" si="169"/>
      </c>
      <c r="U23" s="502">
        <v>16060</v>
      </c>
      <c r="V23" s="502">
        <v>1623</v>
      </c>
      <c r="W23" s="502">
        <v>66</v>
      </c>
      <c r="X23" s="502">
        <v>2432</v>
      </c>
      <c r="Y23" s="502">
        <v>83</v>
      </c>
      <c r="Z23" s="502">
        <v>12</v>
      </c>
      <c r="AA23" s="502">
        <v>2</v>
      </c>
      <c r="AB23" s="502">
        <v>4</v>
      </c>
      <c r="AC23" s="500">
        <f t="shared" si="232"/>
      </c>
      <c r="AD23" s="505" t="s">
        <v>307</v>
      </c>
      <c r="AE23" s="506" t="s">
        <v>308</v>
      </c>
      <c r="AF23" s="504">
        <v>32</v>
      </c>
    </row>
    <row r="24">
      <c r="A24" s="494"/>
      <c r="B24" s="496" t="s">
        <v>313</v>
      </c>
      <c r="C24" s="496" t="s">
        <v>317</v>
      </c>
      <c r="D24" s="497">
        <v>965.83</v>
      </c>
      <c r="E24" s="498">
        <v>5</v>
      </c>
      <c r="F24" s="498">
        <v>5</v>
      </c>
      <c r="G24" s="499">
        <v>3320.9000000000015</v>
      </c>
      <c r="H24" s="500">
        <f t="shared" si="1"/>
      </c>
      <c r="I24" s="500">
        <f t="shared" si="64"/>
      </c>
      <c r="J24" s="500">
        <f t="shared" si="127"/>
      </c>
      <c r="K24" s="500">
        <f t="shared" si="190"/>
      </c>
      <c r="L24" s="500">
        <f t="shared" si="22"/>
      </c>
      <c r="M24" s="501">
        <f t="shared" si="85"/>
      </c>
      <c r="N24" s="501">
        <f t="shared" si="148"/>
      </c>
      <c r="O24" s="501">
        <f t="shared" si="211"/>
      </c>
      <c r="P24" s="501">
        <f t="shared" si="43"/>
      </c>
      <c r="Q24" s="502">
        <f t="shared" si="106"/>
      </c>
      <c r="R24" s="503">
        <v>0.0167</v>
      </c>
      <c r="S24" s="504">
        <v>31</v>
      </c>
      <c r="T24" s="500">
        <f t="shared" si="169"/>
      </c>
      <c r="U24" s="502">
        <v>9100</v>
      </c>
      <c r="V24" s="502">
        <v>918</v>
      </c>
      <c r="W24" s="502">
        <v>65</v>
      </c>
      <c r="X24" s="502">
        <v>1340</v>
      </c>
      <c r="Y24" s="502">
        <v>91</v>
      </c>
      <c r="Z24" s="502">
        <v>7</v>
      </c>
      <c r="AA24" s="502">
        <v>1</v>
      </c>
      <c r="AB24" s="502">
        <v>1</v>
      </c>
      <c r="AC24" s="500">
        <f t="shared" si="232"/>
      </c>
      <c r="AD24" s="505" t="s">
        <v>307</v>
      </c>
      <c r="AE24" s="506" t="s">
        <v>308</v>
      </c>
      <c r="AF24" s="504">
        <v>22</v>
      </c>
    </row>
    <row r="25">
      <c r="A25" s="494"/>
      <c r="B25" s="507" t="s">
        <v>312</v>
      </c>
      <c r="C25" s="507"/>
      <c r="D25" s="508">
        <f>SUM(D21:D24)</f>
      </c>
      <c r="E25" s="509">
        <f>SUM(E21:E24)</f>
      </c>
      <c r="F25" s="509">
        <f>SUM(F21:F24)</f>
      </c>
      <c r="G25" s="508">
        <f>SUM(G21:G24)</f>
      </c>
      <c r="H25" s="510">
        <f t="shared" si="1"/>
      </c>
      <c r="I25" s="510">
        <f t="shared" si="64"/>
      </c>
      <c r="J25" s="510">
        <f t="shared" si="127"/>
      </c>
      <c r="K25" s="510">
        <f t="shared" si="190"/>
      </c>
      <c r="L25" s="510">
        <f t="shared" si="22"/>
      </c>
      <c r="M25" s="511">
        <f t="shared" si="85"/>
      </c>
      <c r="N25" s="511">
        <f t="shared" si="148"/>
      </c>
      <c r="O25" s="511">
        <f t="shared" si="211"/>
      </c>
      <c r="P25" s="511">
        <f t="shared" si="43"/>
      </c>
      <c r="Q25" s="512">
        <f t="shared" si="106"/>
      </c>
      <c r="R25" s="511">
        <f>AVERAGE(R21:R24)</f>
      </c>
      <c r="S25" s="508">
        <f>AVERAGE(S21:S24)</f>
      </c>
      <c r="T25" s="510">
        <f t="shared" si="169"/>
      </c>
      <c r="U25" s="512">
        <f>SUM(U21:U24)</f>
      </c>
      <c r="V25" s="512">
        <f>SUM(V21:V24)</f>
      </c>
      <c r="W25" s="512">
        <f>SUM(W21:W24)</f>
      </c>
      <c r="X25" s="512">
        <f>SUM(X21:X24)</f>
      </c>
      <c r="Y25" s="512">
        <f>SUM(Y21:Y24)</f>
      </c>
      <c r="Z25" s="512">
        <f>SUM(Z21:Z24)</f>
      </c>
      <c r="AA25" s="512">
        <f>SUM(AA21:AA24)</f>
      </c>
      <c r="AB25" s="512">
        <f>SUM(AB21:AB24)</f>
      </c>
      <c r="AC25" s="513">
        <f t="shared" si="232"/>
      </c>
      <c r="AD25" s="514"/>
      <c r="AE25" s="514"/>
      <c r="AF25" s="512">
        <f>SUM(AF21:AF24)</f>
      </c>
    </row>
    <row r="26">
      <c r="A26" s="494"/>
      <c r="B26" s="516" t="s">
        <v>318</v>
      </c>
      <c r="C26" s="516"/>
      <c r="D26" s="517">
        <f>D20+D25</f>
      </c>
      <c r="E26" s="518">
        <f>E20+E25</f>
      </c>
      <c r="F26" s="518">
        <f>F20+F25</f>
      </c>
      <c r="G26" s="517">
        <f>G20+G25</f>
      </c>
      <c r="H26" s="519">
        <f t="shared" si="1"/>
      </c>
      <c r="I26" s="519">
        <f t="shared" si="64"/>
      </c>
      <c r="J26" s="519">
        <f t="shared" si="127"/>
      </c>
      <c r="K26" s="519">
        <f t="shared" si="190"/>
      </c>
      <c r="L26" s="519">
        <f t="shared" si="22"/>
      </c>
      <c r="M26" s="520">
        <f t="shared" si="85"/>
      </c>
      <c r="N26" s="520">
        <f t="shared" si="148"/>
      </c>
      <c r="O26" s="520">
        <f t="shared" si="211"/>
      </c>
      <c r="P26" s="520">
        <f t="shared" si="43"/>
      </c>
      <c r="Q26" s="521">
        <f t="shared" si="106"/>
      </c>
      <c r="R26" s="520">
        <f>(R20+R25)/2</f>
      </c>
      <c r="S26" s="517">
        <f>(S25+S20)/2</f>
      </c>
      <c r="T26" s="517">
        <f t="shared" si="169"/>
      </c>
      <c r="U26" s="521">
        <f>U20+U25</f>
      </c>
      <c r="V26" s="521">
        <f>V20+V25</f>
      </c>
      <c r="W26" s="521">
        <f>W20+W25</f>
      </c>
      <c r="X26" s="521">
        <f>X20+X25</f>
      </c>
      <c r="Y26" s="521">
        <f>Y20+Y25</f>
      </c>
      <c r="Z26" s="521">
        <f>Z20+Z25</f>
      </c>
      <c r="AA26" s="521">
        <f>AA20+AA25</f>
      </c>
      <c r="AB26" s="521">
        <f>AB20+AB25</f>
      </c>
      <c r="AC26" s="519">
        <f>AC20</f>
      </c>
      <c r="AD26" s="516"/>
      <c r="AE26" s="516"/>
      <c r="AF26" s="521">
        <f>AF20+AF25</f>
      </c>
    </row>
    <row r="27">
      <c r="A27" s="484" t="s">
        <v>319</v>
      </c>
      <c r="B27" s="484" t="s">
        <v>270</v>
      </c>
      <c r="C27" s="484"/>
      <c r="D27" s="485" t="s">
        <v>271</v>
      </c>
      <c r="E27" s="485"/>
      <c r="F27" s="485"/>
      <c r="G27" s="485"/>
      <c r="H27" s="485"/>
      <c r="I27" s="485"/>
      <c r="J27" s="485"/>
      <c r="K27" s="485"/>
      <c r="L27" s="486" t="s">
        <v>272</v>
      </c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7"/>
    </row>
    <row r="28">
      <c r="A28" s="484"/>
      <c r="B28" s="484" t="s">
        <v>273</v>
      </c>
      <c r="C28" s="484" t="s">
        <v>274</v>
      </c>
      <c r="D28" s="485" t="s">
        <v>275</v>
      </c>
      <c r="E28" s="488" t="s">
        <v>276</v>
      </c>
      <c r="F28" s="488" t="s">
        <v>277</v>
      </c>
      <c r="G28" s="485" t="s">
        <v>278</v>
      </c>
      <c r="H28" s="489" t="s">
        <v>279</v>
      </c>
      <c r="I28" s="489" t="s">
        <v>280</v>
      </c>
      <c r="J28" s="489" t="s">
        <v>281</v>
      </c>
      <c r="K28" s="489" t="s">
        <v>282</v>
      </c>
      <c r="L28" s="490" t="s">
        <v>283</v>
      </c>
      <c r="M28" s="491" t="s">
        <v>284</v>
      </c>
      <c r="N28" s="491" t="s">
        <v>285</v>
      </c>
      <c r="O28" s="491" t="s">
        <v>286</v>
      </c>
      <c r="P28" s="491" t="s">
        <v>287</v>
      </c>
      <c r="Q28" s="492" t="s">
        <v>288</v>
      </c>
      <c r="R28" s="491" t="s">
        <v>289</v>
      </c>
      <c r="S28" s="492" t="s">
        <v>290</v>
      </c>
      <c r="T28" s="486" t="s">
        <v>291</v>
      </c>
      <c r="U28" s="487" t="s">
        <v>292</v>
      </c>
      <c r="V28" s="487" t="s">
        <v>293</v>
      </c>
      <c r="W28" s="487" t="s">
        <v>294</v>
      </c>
      <c r="X28" s="487" t="s">
        <v>295</v>
      </c>
      <c r="Y28" s="487" t="s">
        <v>296</v>
      </c>
      <c r="Z28" s="487" t="s">
        <v>297</v>
      </c>
      <c r="AA28" s="487" t="s">
        <v>298</v>
      </c>
      <c r="AB28" s="487" t="s">
        <v>299</v>
      </c>
      <c r="AC28" s="486" t="s">
        <v>300</v>
      </c>
      <c r="AD28" s="493" t="s">
        <v>301</v>
      </c>
      <c r="AE28" s="493" t="s">
        <v>302</v>
      </c>
      <c r="AF28" s="487" t="s">
        <v>303</v>
      </c>
    </row>
    <row r="29">
      <c r="A29" s="494" t="s">
        <v>321</v>
      </c>
      <c r="B29" s="495" t="s">
        <v>305</v>
      </c>
      <c r="C29" s="496" t="s">
        <v>306</v>
      </c>
      <c r="D29" s="497">
        <v>2960.38</v>
      </c>
      <c r="E29" s="498">
        <v>3</v>
      </c>
      <c r="F29" s="498">
        <v>2</v>
      </c>
      <c r="G29" s="499">
        <v>2343</v>
      </c>
      <c r="H29" s="500">
        <f t="shared" ref="H29:H39" si="2">G29/D29</f>
      </c>
      <c r="I29" s="500">
        <f t="shared" ref="I29:I39" si="65">D29/E29</f>
      </c>
      <c r="J29" s="500">
        <f t="shared" ref="J29:J39" si="128">D29/F29</f>
      </c>
      <c r="K29" s="500">
        <f t="shared" ref="K29:K39" si="191">G29/E29</f>
      </c>
      <c r="L29" s="500">
        <f t="shared" ref="L29:L39" si="23">D29/V29</f>
      </c>
      <c r="M29" s="501">
        <f t="shared" ref="M29:M39" si="86">Q29/U29*1</f>
      </c>
      <c r="N29" s="501">
        <f t="shared" ref="N29:N39" si="149">V29/U29</f>
      </c>
      <c r="O29" s="501">
        <f t="shared" ref="O29:O39" si="212">X29/U29</f>
      </c>
      <c r="P29" s="501">
        <f t="shared" ref="P29:P39" si="44">Y29/X29</f>
      </c>
      <c r="Q29" s="502">
        <f t="shared" ref="Q29:Q39" si="107">W29/R29</f>
      </c>
      <c r="R29" s="503">
        <v>0.0131</v>
      </c>
      <c r="S29" s="504">
        <v>28</v>
      </c>
      <c r="T29" s="500">
        <f t="shared" ref="T29:T39" si="170">(D29/U29)*1000</f>
      </c>
      <c r="U29" s="502">
        <v>20831</v>
      </c>
      <c r="V29" s="502">
        <v>1735</v>
      </c>
      <c r="W29" s="502">
        <v>106</v>
      </c>
      <c r="X29" s="502">
        <v>2324</v>
      </c>
      <c r="Y29" s="502">
        <v>68</v>
      </c>
      <c r="Z29" s="502">
        <v>13</v>
      </c>
      <c r="AA29" s="502">
        <v>4</v>
      </c>
      <c r="AB29" s="504">
        <v>14</v>
      </c>
      <c r="AC29" s="500">
        <f t="shared" ref="AC29:AC38" si="233">AF29*1000/D29</f>
      </c>
      <c r="AD29" s="505" t="s">
        <v>307</v>
      </c>
      <c r="AE29" s="506" t="s">
        <v>308</v>
      </c>
      <c r="AF29" s="504">
        <v>40</v>
      </c>
    </row>
    <row r="30">
      <c r="A30" s="494"/>
      <c r="B30" s="495" t="s">
        <v>305</v>
      </c>
      <c r="C30" s="496" t="s">
        <v>309</v>
      </c>
      <c r="D30" s="497">
        <v>2560.7</v>
      </c>
      <c r="E30" s="498">
        <v>2</v>
      </c>
      <c r="F30" s="498">
        <v>1</v>
      </c>
      <c r="G30" s="499">
        <v>2967.8</v>
      </c>
      <c r="H30" s="500">
        <f t="shared" si="2"/>
      </c>
      <c r="I30" s="500">
        <f t="shared" si="65"/>
      </c>
      <c r="J30" s="500">
        <f t="shared" si="128"/>
      </c>
      <c r="K30" s="500">
        <f t="shared" si="191"/>
      </c>
      <c r="L30" s="500">
        <f t="shared" si="23"/>
      </c>
      <c r="M30" s="501">
        <f t="shared" si="86"/>
      </c>
      <c r="N30" s="501">
        <f t="shared" si="149"/>
      </c>
      <c r="O30" s="501">
        <f t="shared" si="212"/>
      </c>
      <c r="P30" s="501">
        <f t="shared" si="44"/>
      </c>
      <c r="Q30" s="502">
        <f t="shared" si="107"/>
      </c>
      <c r="R30" s="503">
        <v>0.0144</v>
      </c>
      <c r="S30" s="504">
        <v>29</v>
      </c>
      <c r="T30" s="500">
        <f t="shared" si="170"/>
      </c>
      <c r="U30" s="502">
        <v>15864</v>
      </c>
      <c r="V30" s="502">
        <v>1608</v>
      </c>
      <c r="W30" s="502">
        <v>85</v>
      </c>
      <c r="X30" s="502">
        <v>2382</v>
      </c>
      <c r="Y30" s="502">
        <v>80</v>
      </c>
      <c r="Z30" s="502">
        <v>8</v>
      </c>
      <c r="AA30" s="502">
        <v>2</v>
      </c>
      <c r="AB30" s="502">
        <v>3</v>
      </c>
      <c r="AC30" s="500">
        <f t="shared" si="233"/>
      </c>
      <c r="AD30" s="505" t="s">
        <v>307</v>
      </c>
      <c r="AE30" s="506" t="s">
        <v>308</v>
      </c>
      <c r="AF30" s="504">
        <v>27</v>
      </c>
    </row>
    <row r="31">
      <c r="A31" s="494"/>
      <c r="B31" s="495" t="s">
        <v>305</v>
      </c>
      <c r="C31" s="496" t="s">
        <v>310</v>
      </c>
      <c r="D31" s="497">
        <v>1812.82</v>
      </c>
      <c r="E31" s="498">
        <v>10</v>
      </c>
      <c r="F31" s="498">
        <v>8</v>
      </c>
      <c r="G31" s="497">
        <v>9243.3</v>
      </c>
      <c r="H31" s="500">
        <f t="shared" si="2"/>
      </c>
      <c r="I31" s="500">
        <f t="shared" si="65"/>
      </c>
      <c r="J31" s="500">
        <f t="shared" si="128"/>
      </c>
      <c r="K31" s="500">
        <f t="shared" si="191"/>
      </c>
      <c r="L31" s="500">
        <f t="shared" si="23"/>
      </c>
      <c r="M31" s="501">
        <f t="shared" si="86"/>
      </c>
      <c r="N31" s="501">
        <f t="shared" si="149"/>
      </c>
      <c r="O31" s="501">
        <f t="shared" si="212"/>
      </c>
      <c r="P31" s="501">
        <f t="shared" si="44"/>
      </c>
      <c r="Q31" s="502">
        <f t="shared" si="107"/>
      </c>
      <c r="R31" s="503">
        <v>0.0213</v>
      </c>
      <c r="S31" s="504">
        <v>29</v>
      </c>
      <c r="T31" s="500">
        <f t="shared" si="170"/>
      </c>
      <c r="U31" s="502">
        <v>12264</v>
      </c>
      <c r="V31" s="502">
        <v>1377</v>
      </c>
      <c r="W31" s="502">
        <v>83</v>
      </c>
      <c r="X31" s="502">
        <v>2069</v>
      </c>
      <c r="Y31" s="502">
        <v>60</v>
      </c>
      <c r="Z31" s="502">
        <v>12</v>
      </c>
      <c r="AA31" s="502">
        <v>2</v>
      </c>
      <c r="AB31" s="502">
        <v>12</v>
      </c>
      <c r="AC31" s="500">
        <f t="shared" si="233"/>
      </c>
      <c r="AD31" s="505" t="s">
        <v>307</v>
      </c>
      <c r="AE31" s="506" t="s">
        <v>308</v>
      </c>
      <c r="AF31" s="504">
        <v>30</v>
      </c>
    </row>
    <row r="32">
      <c r="A32" s="494"/>
      <c r="B32" s="495" t="s">
        <v>305</v>
      </c>
      <c r="C32" s="496" t="s">
        <v>311</v>
      </c>
      <c r="D32" s="497">
        <v>1835.41</v>
      </c>
      <c r="E32" s="498">
        <v>3</v>
      </c>
      <c r="F32" s="498">
        <v>3</v>
      </c>
      <c r="G32" s="499">
        <v>3726.800000000003</v>
      </c>
      <c r="H32" s="500">
        <f t="shared" si="2"/>
      </c>
      <c r="I32" s="500">
        <f t="shared" si="65"/>
      </c>
      <c r="J32" s="500">
        <f t="shared" si="128"/>
      </c>
      <c r="K32" s="500">
        <f t="shared" si="191"/>
      </c>
      <c r="L32" s="500">
        <f t="shared" si="23"/>
      </c>
      <c r="M32" s="501">
        <f t="shared" si="86"/>
      </c>
      <c r="N32" s="501">
        <f t="shared" si="149"/>
      </c>
      <c r="O32" s="501">
        <f t="shared" si="212"/>
      </c>
      <c r="P32" s="501">
        <f t="shared" si="44"/>
      </c>
      <c r="Q32" s="502">
        <f t="shared" si="107"/>
      </c>
      <c r="R32" s="503">
        <v>0.0176</v>
      </c>
      <c r="S32" s="504">
        <v>29</v>
      </c>
      <c r="T32" s="500">
        <f t="shared" si="170"/>
      </c>
      <c r="U32" s="502">
        <v>11687</v>
      </c>
      <c r="V32" s="502">
        <v>1209</v>
      </c>
      <c r="W32" s="502">
        <v>69</v>
      </c>
      <c r="X32" s="502">
        <v>1803</v>
      </c>
      <c r="Y32" s="502">
        <v>89</v>
      </c>
      <c r="Z32" s="502">
        <v>8</v>
      </c>
      <c r="AA32" s="502">
        <v>2</v>
      </c>
      <c r="AB32" s="502">
        <v>9</v>
      </c>
      <c r="AC32" s="500">
        <f t="shared" si="233"/>
      </c>
      <c r="AD32" s="505" t="s">
        <v>307</v>
      </c>
      <c r="AE32" s="506" t="s">
        <v>308</v>
      </c>
      <c r="AF32" s="504">
        <v>30</v>
      </c>
    </row>
    <row r="33">
      <c r="A33" s="494"/>
      <c r="B33" s="507" t="s">
        <v>312</v>
      </c>
      <c r="C33" s="507"/>
      <c r="D33" s="508">
        <f>SUM(D29:D32)</f>
      </c>
      <c r="E33" s="509">
        <f>SUM(E29:E32)</f>
      </c>
      <c r="F33" s="509">
        <f>SUM(F29:F32)</f>
      </c>
      <c r="G33" s="508">
        <f>SUM(G29:G32)</f>
      </c>
      <c r="H33" s="510">
        <f t="shared" si="2"/>
      </c>
      <c r="I33" s="510">
        <f t="shared" si="65"/>
      </c>
      <c r="J33" s="510">
        <f t="shared" si="128"/>
      </c>
      <c r="K33" s="510">
        <f t="shared" si="191"/>
      </c>
      <c r="L33" s="510">
        <f t="shared" si="23"/>
      </c>
      <c r="M33" s="511">
        <f t="shared" si="86"/>
      </c>
      <c r="N33" s="511">
        <f t="shared" si="149"/>
      </c>
      <c r="O33" s="511">
        <f t="shared" si="212"/>
      </c>
      <c r="P33" s="511">
        <f t="shared" si="44"/>
      </c>
      <c r="Q33" s="512">
        <f t="shared" si="107"/>
      </c>
      <c r="R33" s="511">
        <f>AVERAGE(R29:R32)</f>
      </c>
      <c r="S33" s="508">
        <f>AVERAGE(S29:S32)</f>
      </c>
      <c r="T33" s="510">
        <f t="shared" si="170"/>
      </c>
      <c r="U33" s="512">
        <f>SUM(U29:U32)</f>
      </c>
      <c r="V33" s="512">
        <f>SUM(V29:V32)</f>
      </c>
      <c r="W33" s="512">
        <f>SUM(W29:W32)</f>
      </c>
      <c r="X33" s="512">
        <f>SUM(X29:X32)</f>
      </c>
      <c r="Y33" s="512">
        <f>SUM(Y29:Y32)</f>
      </c>
      <c r="Z33" s="512">
        <f>SUM(Z29:Z32)</f>
      </c>
      <c r="AA33" s="512">
        <f>SUM(AA29:AA32)</f>
      </c>
      <c r="AB33" s="512">
        <f>SUM(AB29:AB32)</f>
      </c>
      <c r="AC33" s="513">
        <f t="shared" si="233"/>
      </c>
      <c r="AD33" s="514"/>
      <c r="AE33" s="514"/>
      <c r="AF33" s="515">
        <f>SUM(AF29:AF32)</f>
      </c>
    </row>
    <row r="34">
      <c r="A34" s="494"/>
      <c r="B34" s="496" t="s">
        <v>313</v>
      </c>
      <c r="C34" s="496" t="s">
        <v>314</v>
      </c>
      <c r="D34" s="497">
        <v>1824.54</v>
      </c>
      <c r="E34" s="498">
        <v>4</v>
      </c>
      <c r="F34" s="498">
        <v>2</v>
      </c>
      <c r="G34" s="497">
        <v>2869.9000000000015</v>
      </c>
      <c r="H34" s="500">
        <f t="shared" si="2"/>
      </c>
      <c r="I34" s="500">
        <f t="shared" si="65"/>
      </c>
      <c r="J34" s="500">
        <f t="shared" si="128"/>
      </c>
      <c r="K34" s="500">
        <f t="shared" si="191"/>
      </c>
      <c r="L34" s="500">
        <f t="shared" si="23"/>
      </c>
      <c r="M34" s="501">
        <f t="shared" si="86"/>
      </c>
      <c r="N34" s="501">
        <f t="shared" si="149"/>
      </c>
      <c r="O34" s="501">
        <f t="shared" si="212"/>
      </c>
      <c r="P34" s="501">
        <f t="shared" si="44"/>
      </c>
      <c r="Q34" s="502">
        <f t="shared" si="107"/>
      </c>
      <c r="R34" s="503">
        <v>0.0203</v>
      </c>
      <c r="S34" s="504">
        <v>30</v>
      </c>
      <c r="T34" s="500">
        <f t="shared" si="170"/>
      </c>
      <c r="U34" s="502">
        <v>11358</v>
      </c>
      <c r="V34" s="502">
        <v>1177</v>
      </c>
      <c r="W34" s="502">
        <v>78</v>
      </c>
      <c r="X34" s="502">
        <v>1751</v>
      </c>
      <c r="Y34" s="502">
        <v>57</v>
      </c>
      <c r="Z34" s="502">
        <v>10</v>
      </c>
      <c r="AA34" s="502">
        <v>0</v>
      </c>
      <c r="AB34" s="502">
        <v>12</v>
      </c>
      <c r="AC34" s="500">
        <f t="shared" si="233"/>
      </c>
      <c r="AD34" s="505" t="s">
        <v>307</v>
      </c>
      <c r="AE34" s="506" t="s">
        <v>308</v>
      </c>
      <c r="AF34" s="504">
        <v>20</v>
      </c>
    </row>
    <row r="35">
      <c r="A35" s="494"/>
      <c r="B35" s="496" t="s">
        <v>313</v>
      </c>
      <c r="C35" s="496" t="s">
        <v>315</v>
      </c>
      <c r="D35" s="497">
        <v>1957.37</v>
      </c>
      <c r="E35" s="498">
        <v>3</v>
      </c>
      <c r="F35" s="498">
        <v>3</v>
      </c>
      <c r="G35" s="499">
        <v>1758.8999999999978</v>
      </c>
      <c r="H35" s="500">
        <f t="shared" si="2"/>
      </c>
      <c r="I35" s="500">
        <f t="shared" si="65"/>
      </c>
      <c r="J35" s="500">
        <f t="shared" si="128"/>
      </c>
      <c r="K35" s="500">
        <f t="shared" si="191"/>
      </c>
      <c r="L35" s="500">
        <f t="shared" si="23"/>
      </c>
      <c r="M35" s="501">
        <f t="shared" si="86"/>
      </c>
      <c r="N35" s="501">
        <f t="shared" si="149"/>
      </c>
      <c r="O35" s="501">
        <f t="shared" si="212"/>
      </c>
      <c r="P35" s="501">
        <f t="shared" si="44"/>
      </c>
      <c r="Q35" s="502">
        <f t="shared" si="107"/>
      </c>
      <c r="R35" s="503">
        <v>0.0177</v>
      </c>
      <c r="S35" s="504">
        <v>31</v>
      </c>
      <c r="T35" s="500">
        <f t="shared" si="170"/>
      </c>
      <c r="U35" s="502">
        <v>13779</v>
      </c>
      <c r="V35" s="502">
        <v>1142</v>
      </c>
      <c r="W35" s="502">
        <v>69</v>
      </c>
      <c r="X35" s="502">
        <v>1683</v>
      </c>
      <c r="Y35" s="502">
        <v>63</v>
      </c>
      <c r="Z35" s="502">
        <v>15</v>
      </c>
      <c r="AA35" s="502">
        <v>0</v>
      </c>
      <c r="AB35" s="502">
        <v>11</v>
      </c>
      <c r="AC35" s="500">
        <f t="shared" si="233"/>
      </c>
      <c r="AD35" s="505" t="s">
        <v>307</v>
      </c>
      <c r="AE35" s="506" t="s">
        <v>308</v>
      </c>
      <c r="AF35" s="504">
        <v>28</v>
      </c>
    </row>
    <row r="36">
      <c r="A36" s="494"/>
      <c r="B36" s="496" t="s">
        <v>313</v>
      </c>
      <c r="C36" s="496" t="s">
        <v>316</v>
      </c>
      <c r="D36" s="497">
        <v>1688.81</v>
      </c>
      <c r="E36" s="498">
        <v>3</v>
      </c>
      <c r="F36" s="498">
        <v>3</v>
      </c>
      <c r="G36" s="497">
        <v>4672.799999999999</v>
      </c>
      <c r="H36" s="500">
        <f t="shared" si="2"/>
      </c>
      <c r="I36" s="500">
        <f t="shared" si="65"/>
      </c>
      <c r="J36" s="500">
        <f t="shared" si="128"/>
      </c>
      <c r="K36" s="500">
        <f t="shared" si="191"/>
      </c>
      <c r="L36" s="500">
        <f t="shared" si="23"/>
      </c>
      <c r="M36" s="501">
        <f t="shared" si="86"/>
      </c>
      <c r="N36" s="501">
        <f t="shared" si="149"/>
      </c>
      <c r="O36" s="501">
        <f t="shared" si="212"/>
      </c>
      <c r="P36" s="501">
        <f t="shared" si="44"/>
      </c>
      <c r="Q36" s="502">
        <f t="shared" si="107"/>
      </c>
      <c r="R36" s="503">
        <v>0.0213</v>
      </c>
      <c r="S36" s="504">
        <v>31</v>
      </c>
      <c r="T36" s="500">
        <f t="shared" si="170"/>
      </c>
      <c r="U36" s="502">
        <v>13537</v>
      </c>
      <c r="V36" s="502">
        <v>1072</v>
      </c>
      <c r="W36" s="502">
        <v>79</v>
      </c>
      <c r="X36" s="502">
        <v>1542</v>
      </c>
      <c r="Y36" s="502">
        <v>21</v>
      </c>
      <c r="Z36" s="502">
        <v>5</v>
      </c>
      <c r="AA36" s="502">
        <v>2</v>
      </c>
      <c r="AB36" s="502">
        <v>15</v>
      </c>
      <c r="AC36" s="500">
        <f t="shared" si="233"/>
      </c>
      <c r="AD36" s="505" t="s">
        <v>307</v>
      </c>
      <c r="AE36" s="506" t="s">
        <v>308</v>
      </c>
      <c r="AF36" s="504">
        <v>16</v>
      </c>
    </row>
    <row r="37">
      <c r="A37" s="494"/>
      <c r="B37" s="496" t="s">
        <v>313</v>
      </c>
      <c r="C37" s="496" t="s">
        <v>317</v>
      </c>
      <c r="D37" s="497">
        <v>883.99</v>
      </c>
      <c r="E37" s="498">
        <v>7</v>
      </c>
      <c r="F37" s="498">
        <v>7</v>
      </c>
      <c r="G37" s="499">
        <v>3487</v>
      </c>
      <c r="H37" s="500">
        <f t="shared" si="2"/>
      </c>
      <c r="I37" s="500">
        <f t="shared" si="65"/>
      </c>
      <c r="J37" s="500">
        <f t="shared" si="128"/>
      </c>
      <c r="K37" s="500">
        <f t="shared" si="191"/>
      </c>
      <c r="L37" s="500">
        <f t="shared" si="23"/>
      </c>
      <c r="M37" s="501">
        <f t="shared" si="86"/>
      </c>
      <c r="N37" s="501">
        <f t="shared" si="149"/>
      </c>
      <c r="O37" s="501">
        <f t="shared" si="212"/>
      </c>
      <c r="P37" s="501">
        <f t="shared" si="44"/>
      </c>
      <c r="Q37" s="502">
        <f t="shared" si="107"/>
      </c>
      <c r="R37" s="503">
        <v>0.0326</v>
      </c>
      <c r="S37" s="504">
        <v>33</v>
      </c>
      <c r="T37" s="500">
        <f t="shared" si="170"/>
      </c>
      <c r="U37" s="502">
        <v>6080</v>
      </c>
      <c r="V37" s="502">
        <v>538</v>
      </c>
      <c r="W37" s="502">
        <v>57</v>
      </c>
      <c r="X37" s="502">
        <v>703</v>
      </c>
      <c r="Y37" s="502">
        <v>71</v>
      </c>
      <c r="Z37" s="502">
        <v>4</v>
      </c>
      <c r="AA37" s="502">
        <v>1</v>
      </c>
      <c r="AB37" s="502">
        <v>3</v>
      </c>
      <c r="AC37" s="500">
        <f t="shared" si="233"/>
      </c>
      <c r="AD37" s="505" t="s">
        <v>307</v>
      </c>
      <c r="AE37" s="506" t="s">
        <v>308</v>
      </c>
      <c r="AF37" s="504">
        <v>18</v>
      </c>
    </row>
    <row r="38">
      <c r="A38" s="494"/>
      <c r="B38" s="507" t="s">
        <v>312</v>
      </c>
      <c r="C38" s="507"/>
      <c r="D38" s="508">
        <f>SUM(D34:D37)</f>
      </c>
      <c r="E38" s="509">
        <f>SUM(E34:E37)</f>
      </c>
      <c r="F38" s="509">
        <f>SUM(F34:F37)</f>
      </c>
      <c r="G38" s="508">
        <f>SUM(G34:G37)</f>
      </c>
      <c r="H38" s="510">
        <f t="shared" si="2"/>
      </c>
      <c r="I38" s="510">
        <f t="shared" si="65"/>
      </c>
      <c r="J38" s="510">
        <f t="shared" si="128"/>
      </c>
      <c r="K38" s="510">
        <f t="shared" si="191"/>
      </c>
      <c r="L38" s="510">
        <f t="shared" si="23"/>
      </c>
      <c r="M38" s="511">
        <f t="shared" si="86"/>
      </c>
      <c r="N38" s="511">
        <f t="shared" si="149"/>
      </c>
      <c r="O38" s="511">
        <f t="shared" si="212"/>
      </c>
      <c r="P38" s="511">
        <f t="shared" si="44"/>
      </c>
      <c r="Q38" s="512">
        <f t="shared" si="107"/>
      </c>
      <c r="R38" s="511">
        <f>AVERAGE(R34:R37)</f>
      </c>
      <c r="S38" s="508">
        <f>AVERAGE(S34:S37)</f>
      </c>
      <c r="T38" s="510">
        <f t="shared" si="170"/>
      </c>
      <c r="U38" s="512">
        <f>SUM(U34:U37)</f>
      </c>
      <c r="V38" s="512">
        <f>SUM(V34:V37)</f>
      </c>
      <c r="W38" s="512">
        <f>SUM(W34:W37)</f>
      </c>
      <c r="X38" s="512">
        <f>SUM(X34:X37)</f>
      </c>
      <c r="Y38" s="512">
        <f>SUM(Y34:Y37)</f>
      </c>
      <c r="Z38" s="512">
        <f>SUM(Z34:Z37)</f>
      </c>
      <c r="AA38" s="512">
        <f>SUM(AA34:AA37)</f>
      </c>
      <c r="AB38" s="512">
        <f>SUM(AB34:AB37)</f>
      </c>
      <c r="AC38" s="513">
        <f t="shared" si="233"/>
      </c>
      <c r="AD38" s="514"/>
      <c r="AE38" s="514"/>
      <c r="AF38" s="512">
        <f>SUM(AF34:AF37)</f>
      </c>
    </row>
    <row r="39">
      <c r="A39" s="494"/>
      <c r="B39" s="516" t="s">
        <v>318</v>
      </c>
      <c r="C39" s="516"/>
      <c r="D39" s="517">
        <f>D33+D38</f>
      </c>
      <c r="E39" s="518">
        <f>E33+E38</f>
      </c>
      <c r="F39" s="518">
        <f>F33+F38</f>
      </c>
      <c r="G39" s="517">
        <f>G33+G38</f>
      </c>
      <c r="H39" s="519">
        <f t="shared" si="2"/>
      </c>
      <c r="I39" s="519">
        <f t="shared" si="65"/>
      </c>
      <c r="J39" s="519">
        <f t="shared" si="128"/>
      </c>
      <c r="K39" s="519">
        <f t="shared" si="191"/>
      </c>
      <c r="L39" s="519">
        <f t="shared" si="23"/>
      </c>
      <c r="M39" s="520">
        <f t="shared" si="86"/>
      </c>
      <c r="N39" s="520">
        <f t="shared" si="149"/>
      </c>
      <c r="O39" s="520">
        <f t="shared" si="212"/>
      </c>
      <c r="P39" s="520">
        <f t="shared" si="44"/>
      </c>
      <c r="Q39" s="521">
        <f t="shared" si="107"/>
      </c>
      <c r="R39" s="520">
        <f>(R33+R38)/2</f>
      </c>
      <c r="S39" s="517">
        <f>(S38+S33)/2</f>
      </c>
      <c r="T39" s="517">
        <f t="shared" si="170"/>
      </c>
      <c r="U39" s="521">
        <f>U33+U38</f>
      </c>
      <c r="V39" s="521">
        <f>V33+V38</f>
      </c>
      <c r="W39" s="521">
        <f>W33+W38</f>
      </c>
      <c r="X39" s="521">
        <f>X33+X38</f>
      </c>
      <c r="Y39" s="521">
        <f>Y33+Y38</f>
      </c>
      <c r="Z39" s="521">
        <f>Z33+Z38</f>
      </c>
      <c r="AA39" s="521">
        <f>AA33+AA38</f>
      </c>
      <c r="AB39" s="521">
        <f>AB33+AB38</f>
      </c>
      <c r="AC39" s="519">
        <f>AC33</f>
      </c>
      <c r="AD39" s="516"/>
      <c r="AE39" s="516"/>
      <c r="AF39" s="521">
        <f>AF33+AF38</f>
      </c>
    </row>
    <row r="40">
      <c r="A40" s="484" t="s">
        <v>319</v>
      </c>
      <c r="B40" s="484" t="s">
        <v>270</v>
      </c>
      <c r="C40" s="484"/>
      <c r="D40" s="485" t="s">
        <v>271</v>
      </c>
      <c r="E40" s="485"/>
      <c r="F40" s="485"/>
      <c r="G40" s="485"/>
      <c r="H40" s="485"/>
      <c r="I40" s="485"/>
      <c r="J40" s="485"/>
      <c r="K40" s="485"/>
      <c r="L40" s="486" t="s">
        <v>272</v>
      </c>
      <c r="M40" s="486"/>
      <c r="N40" s="486"/>
      <c r="O40" s="486"/>
      <c r="P40" s="486"/>
      <c r="Q40" s="486"/>
      <c r="R40" s="486"/>
      <c r="S40" s="486"/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7"/>
    </row>
    <row r="41">
      <c r="A41" s="484"/>
      <c r="B41" s="484" t="s">
        <v>273</v>
      </c>
      <c r="C41" s="484" t="s">
        <v>274</v>
      </c>
      <c r="D41" s="485" t="s">
        <v>275</v>
      </c>
      <c r="E41" s="488" t="s">
        <v>276</v>
      </c>
      <c r="F41" s="488" t="s">
        <v>277</v>
      </c>
      <c r="G41" s="485" t="s">
        <v>278</v>
      </c>
      <c r="H41" s="489" t="s">
        <v>279</v>
      </c>
      <c r="I41" s="489" t="s">
        <v>280</v>
      </c>
      <c r="J41" s="489" t="s">
        <v>281</v>
      </c>
      <c r="K41" s="489" t="s">
        <v>282</v>
      </c>
      <c r="L41" s="490" t="s">
        <v>283</v>
      </c>
      <c r="M41" s="491" t="s">
        <v>284</v>
      </c>
      <c r="N41" s="491" t="s">
        <v>285</v>
      </c>
      <c r="O41" s="491" t="s">
        <v>286</v>
      </c>
      <c r="P41" s="491" t="s">
        <v>287</v>
      </c>
      <c r="Q41" s="492" t="s">
        <v>288</v>
      </c>
      <c r="R41" s="491" t="s">
        <v>289</v>
      </c>
      <c r="S41" s="492" t="s">
        <v>290</v>
      </c>
      <c r="T41" s="486" t="s">
        <v>291</v>
      </c>
      <c r="U41" s="487" t="s">
        <v>292</v>
      </c>
      <c r="V41" s="487" t="s">
        <v>293</v>
      </c>
      <c r="W41" s="487" t="s">
        <v>294</v>
      </c>
      <c r="X41" s="487" t="s">
        <v>295</v>
      </c>
      <c r="Y41" s="487" t="s">
        <v>296</v>
      </c>
      <c r="Z41" s="487" t="s">
        <v>297</v>
      </c>
      <c r="AA41" s="487" t="s">
        <v>298</v>
      </c>
      <c r="AB41" s="487" t="s">
        <v>299</v>
      </c>
      <c r="AC41" s="486" t="s">
        <v>300</v>
      </c>
      <c r="AD41" s="493" t="s">
        <v>301</v>
      </c>
      <c r="AE41" s="493" t="s">
        <v>302</v>
      </c>
      <c r="AF41" s="487" t="s">
        <v>303</v>
      </c>
    </row>
    <row r="42">
      <c r="A42" s="494" t="s">
        <v>322</v>
      </c>
      <c r="B42" s="495" t="s">
        <v>305</v>
      </c>
      <c r="C42" s="495" t="s">
        <v>323</v>
      </c>
      <c r="D42" s="499">
        <v>5929.27</v>
      </c>
      <c r="E42" s="498">
        <v>6</v>
      </c>
      <c r="F42" s="498">
        <v>6</v>
      </c>
      <c r="G42" s="499">
        <v>2706</v>
      </c>
      <c r="H42" s="500">
        <f t="shared" ref="H42:H52" si="3">G42/D42</f>
      </c>
      <c r="I42" s="500">
        <f t="shared" ref="I42:I52" si="66">D42/E42</f>
      </c>
      <c r="J42" s="500">
        <f t="shared" ref="J42:J52" si="129">D42/F42</f>
      </c>
      <c r="K42" s="500">
        <f t="shared" ref="K42:K52" si="192">G42/E42</f>
      </c>
      <c r="L42" s="500">
        <f t="shared" ref="L42:L52" si="24">D42/V42</f>
      </c>
      <c r="M42" s="501">
        <f t="shared" ref="M42:M52" si="87">Q42/U42*1</f>
      </c>
      <c r="N42" s="501">
        <f t="shared" ref="N42:N52" si="150">V42/U42</f>
      </c>
      <c r="O42" s="501">
        <f t="shared" ref="O42:O52" si="213">X42/U42</f>
      </c>
      <c r="P42" s="501">
        <f t="shared" ref="P42:P52" si="45">Y42/X42</f>
      </c>
      <c r="Q42" s="502">
        <f t="shared" ref="Q42:Q52" si="108">W42/R42</f>
      </c>
      <c r="R42" s="503">
        <v>0.023</v>
      </c>
      <c r="S42" s="504">
        <v>35</v>
      </c>
      <c r="T42" s="500">
        <f t="shared" ref="T42:T52" si="171">(D42/U42)*1000</f>
      </c>
      <c r="U42" s="502">
        <v>35431</v>
      </c>
      <c r="V42" s="502">
        <v>1837</v>
      </c>
      <c r="W42" s="502">
        <v>186</v>
      </c>
      <c r="X42" s="502">
        <v>2529</v>
      </c>
      <c r="Y42" s="502">
        <v>76</v>
      </c>
      <c r="Z42" s="502">
        <v>32</v>
      </c>
      <c r="AA42" s="502">
        <v>5</v>
      </c>
      <c r="AB42" s="504">
        <v>49</v>
      </c>
      <c r="AC42" s="500">
        <f t="shared" ref="AC42:AC51" si="234">AF42*1000/D42</f>
      </c>
      <c r="AD42" s="505" t="s">
        <v>307</v>
      </c>
      <c r="AE42" s="506" t="s">
        <v>324</v>
      </c>
      <c r="AF42" s="504">
        <v>43</v>
      </c>
    </row>
    <row r="43">
      <c r="A43" s="494"/>
      <c r="B43" s="495" t="s">
        <v>305</v>
      </c>
      <c r="C43" s="496" t="s">
        <v>309</v>
      </c>
      <c r="D43" s="499">
        <v>3569.02</v>
      </c>
      <c r="E43" s="498">
        <v>10</v>
      </c>
      <c r="F43" s="498">
        <v>14</v>
      </c>
      <c r="G43" s="499">
        <v>10984.6</v>
      </c>
      <c r="H43" s="500">
        <f t="shared" si="3"/>
      </c>
      <c r="I43" s="500">
        <f t="shared" si="66"/>
      </c>
      <c r="J43" s="500">
        <f t="shared" si="129"/>
      </c>
      <c r="K43" s="500">
        <f t="shared" si="192"/>
      </c>
      <c r="L43" s="500">
        <f t="shared" si="24"/>
      </c>
      <c r="M43" s="501">
        <f t="shared" si="87"/>
      </c>
      <c r="N43" s="501">
        <f t="shared" si="150"/>
      </c>
      <c r="O43" s="501">
        <f t="shared" si="213"/>
      </c>
      <c r="P43" s="501">
        <f t="shared" si="45"/>
      </c>
      <c r="Q43" s="502">
        <f t="shared" si="108"/>
      </c>
      <c r="R43" s="503">
        <v>0.0153</v>
      </c>
      <c r="S43" s="504">
        <v>39</v>
      </c>
      <c r="T43" s="500">
        <f t="shared" si="171"/>
      </c>
      <c r="U43" s="502">
        <v>32124</v>
      </c>
      <c r="V43" s="502">
        <v>2311</v>
      </c>
      <c r="W43" s="502">
        <v>162</v>
      </c>
      <c r="X43" s="502">
        <v>2794</v>
      </c>
      <c r="Y43" s="502">
        <v>138</v>
      </c>
      <c r="Z43" s="502">
        <v>26</v>
      </c>
      <c r="AA43" s="502">
        <v>5</v>
      </c>
      <c r="AB43" s="502">
        <v>41</v>
      </c>
      <c r="AC43" s="500">
        <f t="shared" si="234"/>
      </c>
      <c r="AD43" s="505" t="s">
        <v>307</v>
      </c>
      <c r="AE43" s="506" t="s">
        <v>324</v>
      </c>
      <c r="AF43" s="504">
        <v>65</v>
      </c>
    </row>
    <row r="44">
      <c r="A44" s="494"/>
      <c r="B44" s="495" t="s">
        <v>305</v>
      </c>
      <c r="C44" s="496" t="s">
        <v>310</v>
      </c>
      <c r="D44" s="499">
        <v>4810.37</v>
      </c>
      <c r="E44" s="498">
        <v>13</v>
      </c>
      <c r="F44" s="498">
        <v>7</v>
      </c>
      <c r="G44" s="497">
        <v>7211.6</v>
      </c>
      <c r="H44" s="500">
        <f t="shared" si="3"/>
      </c>
      <c r="I44" s="500">
        <f t="shared" si="66"/>
      </c>
      <c r="J44" s="500">
        <f t="shared" si="129"/>
      </c>
      <c r="K44" s="500">
        <f t="shared" si="192"/>
      </c>
      <c r="L44" s="500">
        <f t="shared" si="24"/>
      </c>
      <c r="M44" s="501">
        <f t="shared" si="87"/>
      </c>
      <c r="N44" s="501">
        <f t="shared" si="150"/>
      </c>
      <c r="O44" s="501">
        <f t="shared" si="213"/>
      </c>
      <c r="P44" s="501">
        <f t="shared" si="45"/>
      </c>
      <c r="Q44" s="502">
        <f t="shared" si="108"/>
      </c>
      <c r="R44" s="503">
        <v>0.0226</v>
      </c>
      <c r="S44" s="504">
        <v>42</v>
      </c>
      <c r="T44" s="500">
        <f t="shared" si="171"/>
      </c>
      <c r="U44" s="502">
        <v>32589</v>
      </c>
      <c r="V44" s="502">
        <v>1627</v>
      </c>
      <c r="W44" s="502">
        <v>153</v>
      </c>
      <c r="X44" s="502">
        <v>2088</v>
      </c>
      <c r="Y44" s="502">
        <v>105</v>
      </c>
      <c r="Z44" s="502">
        <v>16</v>
      </c>
      <c r="AA44" s="502">
        <v>4</v>
      </c>
      <c r="AB44" s="502">
        <v>34</v>
      </c>
      <c r="AC44" s="500">
        <f t="shared" si="234"/>
      </c>
      <c r="AD44" s="505" t="s">
        <v>307</v>
      </c>
      <c r="AE44" s="506" t="s">
        <v>324</v>
      </c>
      <c r="AF44" s="504">
        <v>55</v>
      </c>
    </row>
    <row r="45">
      <c r="A45" s="494"/>
      <c r="B45" s="495" t="s">
        <v>305</v>
      </c>
      <c r="C45" s="496" t="s">
        <v>311</v>
      </c>
      <c r="D45" s="499">
        <v>3946.59</v>
      </c>
      <c r="E45" s="498">
        <v>7</v>
      </c>
      <c r="F45" s="498">
        <v>5</v>
      </c>
      <c r="G45" s="499">
        <v>5509.9</v>
      </c>
      <c r="H45" s="500">
        <f t="shared" si="3"/>
      </c>
      <c r="I45" s="500">
        <f t="shared" si="66"/>
      </c>
      <c r="J45" s="500">
        <f t="shared" si="129"/>
      </c>
      <c r="K45" s="500">
        <f t="shared" si="192"/>
      </c>
      <c r="L45" s="500">
        <f t="shared" si="24"/>
      </c>
      <c r="M45" s="501">
        <f t="shared" si="87"/>
      </c>
      <c r="N45" s="501">
        <f t="shared" si="150"/>
      </c>
      <c r="O45" s="501">
        <f t="shared" si="213"/>
      </c>
      <c r="P45" s="501">
        <f t="shared" si="45"/>
      </c>
      <c r="Q45" s="502">
        <f t="shared" si="108"/>
      </c>
      <c r="R45" s="503">
        <v>0.0265</v>
      </c>
      <c r="S45" s="504">
        <v>42</v>
      </c>
      <c r="T45" s="500">
        <f t="shared" si="171"/>
      </c>
      <c r="U45" s="502">
        <v>26289</v>
      </c>
      <c r="V45" s="502">
        <v>1471</v>
      </c>
      <c r="W45" s="502">
        <v>151</v>
      </c>
      <c r="X45" s="502">
        <v>2011</v>
      </c>
      <c r="Y45" s="502">
        <v>71</v>
      </c>
      <c r="Z45" s="502">
        <v>10</v>
      </c>
      <c r="AA45" s="502">
        <v>4</v>
      </c>
      <c r="AB45" s="502">
        <v>22</v>
      </c>
      <c r="AC45" s="500">
        <f t="shared" si="234"/>
      </c>
      <c r="AD45" s="505" t="s">
        <v>307</v>
      </c>
      <c r="AE45" s="506" t="s">
        <v>324</v>
      </c>
      <c r="AF45" s="504">
        <v>43</v>
      </c>
    </row>
    <row r="46">
      <c r="A46" s="494"/>
      <c r="B46" s="507" t="s">
        <v>312</v>
      </c>
      <c r="C46" s="507"/>
      <c r="D46" s="508">
        <f>SUM(D42:D45)</f>
      </c>
      <c r="E46" s="509">
        <f>SUM(E42:E45)</f>
      </c>
      <c r="F46" s="509">
        <f>SUM(F42:F45)</f>
      </c>
      <c r="G46" s="508">
        <f>SUM(G42:G45)</f>
      </c>
      <c r="H46" s="510">
        <f t="shared" si="3"/>
      </c>
      <c r="I46" s="510">
        <f t="shared" si="66"/>
      </c>
      <c r="J46" s="510">
        <f t="shared" si="129"/>
      </c>
      <c r="K46" s="510">
        <f t="shared" si="192"/>
      </c>
      <c r="L46" s="510">
        <f t="shared" si="24"/>
      </c>
      <c r="M46" s="511">
        <f t="shared" si="87"/>
      </c>
      <c r="N46" s="511">
        <f t="shared" si="150"/>
      </c>
      <c r="O46" s="511">
        <f t="shared" si="213"/>
      </c>
      <c r="P46" s="511">
        <f t="shared" si="45"/>
      </c>
      <c r="Q46" s="512">
        <f t="shared" si="108"/>
      </c>
      <c r="R46" s="511">
        <f>AVERAGE(R42:R45)</f>
      </c>
      <c r="S46" s="508">
        <f>AVERAGE(S42:S45)</f>
      </c>
      <c r="T46" s="510">
        <f t="shared" si="171"/>
      </c>
      <c r="U46" s="512">
        <f>SUM(U42:U45)</f>
      </c>
      <c r="V46" s="512">
        <f>SUM(V42:V45)</f>
      </c>
      <c r="W46" s="512">
        <f>SUM(W42:W45)</f>
      </c>
      <c r="X46" s="512">
        <f>SUM(X42:X45)</f>
      </c>
      <c r="Y46" s="512">
        <f>SUM(Y42:Y45)</f>
      </c>
      <c r="Z46" s="512">
        <f>SUM(Z42:Z45)</f>
      </c>
      <c r="AA46" s="512">
        <f>SUM(AA42:AA45)</f>
      </c>
      <c r="AB46" s="512">
        <f>SUM(AB42:AB45)</f>
      </c>
      <c r="AC46" s="513">
        <f t="shared" si="234"/>
      </c>
      <c r="AD46" s="514"/>
      <c r="AE46" s="514"/>
      <c r="AF46" s="515">
        <f>SUM(AF42:AF45)</f>
      </c>
    </row>
    <row r="47">
      <c r="A47" s="494"/>
      <c r="B47" s="495" t="s">
        <v>325</v>
      </c>
      <c r="C47" s="496" t="s">
        <v>314</v>
      </c>
      <c r="D47" s="499">
        <v>3134.65</v>
      </c>
      <c r="E47" s="498">
        <v>10</v>
      </c>
      <c r="F47" s="498">
        <v>9</v>
      </c>
      <c r="G47" s="497">
        <v>7328.200000000004</v>
      </c>
      <c r="H47" s="500">
        <f t="shared" si="3"/>
      </c>
      <c r="I47" s="500">
        <f t="shared" si="66"/>
      </c>
      <c r="J47" s="500">
        <f t="shared" si="129"/>
      </c>
      <c r="K47" s="500">
        <f t="shared" si="192"/>
      </c>
      <c r="L47" s="500">
        <f t="shared" si="24"/>
      </c>
      <c r="M47" s="501">
        <f t="shared" si="87"/>
      </c>
      <c r="N47" s="501">
        <f t="shared" si="150"/>
      </c>
      <c r="O47" s="501">
        <f t="shared" si="213"/>
      </c>
      <c r="P47" s="501">
        <f t="shared" si="45"/>
      </c>
      <c r="Q47" s="502">
        <f t="shared" si="108"/>
      </c>
      <c r="R47" s="503">
        <v>0.0265</v>
      </c>
      <c r="S47" s="504">
        <v>43</v>
      </c>
      <c r="T47" s="500">
        <f t="shared" si="171"/>
      </c>
      <c r="U47" s="502">
        <v>23437</v>
      </c>
      <c r="V47" s="502">
        <v>1116</v>
      </c>
      <c r="W47" s="502">
        <v>105</v>
      </c>
      <c r="X47" s="502">
        <v>1506</v>
      </c>
      <c r="Y47" s="502">
        <v>82</v>
      </c>
      <c r="Z47" s="502">
        <v>12</v>
      </c>
      <c r="AA47" s="502">
        <v>2</v>
      </c>
      <c r="AB47" s="502">
        <v>19</v>
      </c>
      <c r="AC47" s="500">
        <f t="shared" si="234"/>
      </c>
      <c r="AD47" s="505" t="s">
        <v>307</v>
      </c>
      <c r="AE47" s="506" t="s">
        <v>324</v>
      </c>
      <c r="AF47" s="504">
        <v>33</v>
      </c>
    </row>
    <row r="48">
      <c r="A48" s="494"/>
      <c r="B48" s="495" t="s">
        <v>325</v>
      </c>
      <c r="C48" s="496" t="s">
        <v>315</v>
      </c>
      <c r="D48" s="499">
        <v>5336.12</v>
      </c>
      <c r="E48" s="498">
        <v>8</v>
      </c>
      <c r="F48" s="498">
        <v>7</v>
      </c>
      <c r="G48" s="499">
        <v>6096.199999999997</v>
      </c>
      <c r="H48" s="500">
        <f t="shared" si="3"/>
      </c>
      <c r="I48" s="500">
        <f t="shared" si="66"/>
      </c>
      <c r="J48" s="500">
        <f t="shared" si="129"/>
      </c>
      <c r="K48" s="500">
        <f t="shared" si="192"/>
      </c>
      <c r="L48" s="500">
        <f t="shared" si="24"/>
      </c>
      <c r="M48" s="501">
        <f t="shared" si="87"/>
      </c>
      <c r="N48" s="501">
        <f t="shared" si="150"/>
      </c>
      <c r="O48" s="501">
        <f t="shared" si="213"/>
      </c>
      <c r="P48" s="501">
        <f t="shared" si="45"/>
      </c>
      <c r="Q48" s="502">
        <f t="shared" si="108"/>
      </c>
      <c r="R48" s="503">
        <v>0.045</v>
      </c>
      <c r="S48" s="504">
        <v>43</v>
      </c>
      <c r="T48" s="500">
        <f t="shared" si="171"/>
      </c>
      <c r="U48" s="502">
        <v>59701</v>
      </c>
      <c r="V48" s="502">
        <v>1427</v>
      </c>
      <c r="W48" s="502">
        <v>186</v>
      </c>
      <c r="X48" s="502">
        <v>1728</v>
      </c>
      <c r="Y48" s="502">
        <v>130</v>
      </c>
      <c r="Z48" s="502">
        <v>19</v>
      </c>
      <c r="AA48" s="502">
        <v>2</v>
      </c>
      <c r="AB48" s="502">
        <v>68</v>
      </c>
      <c r="AC48" s="500">
        <f t="shared" si="234"/>
      </c>
      <c r="AD48" s="505" t="s">
        <v>307</v>
      </c>
      <c r="AE48" s="506" t="s">
        <v>324</v>
      </c>
      <c r="AF48" s="504">
        <v>43</v>
      </c>
    </row>
    <row r="49">
      <c r="A49" s="494"/>
      <c r="B49" s="495" t="s">
        <v>325</v>
      </c>
      <c r="C49" s="496" t="s">
        <v>316</v>
      </c>
      <c r="D49" s="499">
        <v>4956.5</v>
      </c>
      <c r="E49" s="498">
        <v>12</v>
      </c>
      <c r="F49" s="498">
        <v>9</v>
      </c>
      <c r="G49" s="499">
        <v>8467.8</v>
      </c>
      <c r="H49" s="500">
        <f t="shared" si="3"/>
      </c>
      <c r="I49" s="500">
        <f t="shared" si="66"/>
      </c>
      <c r="J49" s="500">
        <f t="shared" si="129"/>
      </c>
      <c r="K49" s="500">
        <f t="shared" si="192"/>
      </c>
      <c r="L49" s="500">
        <f t="shared" si="24"/>
      </c>
      <c r="M49" s="501">
        <f t="shared" si="87"/>
      </c>
      <c r="N49" s="501">
        <f t="shared" si="150"/>
      </c>
      <c r="O49" s="501">
        <f t="shared" si="213"/>
      </c>
      <c r="P49" s="501">
        <f t="shared" si="45"/>
      </c>
      <c r="Q49" s="502">
        <f t="shared" si="108"/>
      </c>
      <c r="R49" s="503">
        <v>0.0569</v>
      </c>
      <c r="S49" s="504">
        <v>44</v>
      </c>
      <c r="T49" s="500">
        <f t="shared" si="171"/>
      </c>
      <c r="U49" s="502">
        <v>55944</v>
      </c>
      <c r="V49" s="502">
        <v>1369</v>
      </c>
      <c r="W49" s="502">
        <v>179</v>
      </c>
      <c r="X49" s="502">
        <v>1695</v>
      </c>
      <c r="Y49" s="502">
        <v>101</v>
      </c>
      <c r="Z49" s="502">
        <v>24</v>
      </c>
      <c r="AA49" s="502">
        <v>2</v>
      </c>
      <c r="AB49" s="502">
        <v>71</v>
      </c>
      <c r="AC49" s="500">
        <f t="shared" si="234"/>
      </c>
      <c r="AD49" s="505" t="s">
        <v>307</v>
      </c>
      <c r="AE49" s="506" t="s">
        <v>324</v>
      </c>
      <c r="AF49" s="504">
        <v>37</v>
      </c>
    </row>
    <row r="50">
      <c r="A50" s="494"/>
      <c r="B50" s="495" t="s">
        <v>325</v>
      </c>
      <c r="C50" s="496" t="s">
        <v>317</v>
      </c>
      <c r="D50" s="499">
        <v>2384.99</v>
      </c>
      <c r="E50" s="498">
        <v>6</v>
      </c>
      <c r="F50" s="498">
        <v>5</v>
      </c>
      <c r="G50" s="499">
        <v>5522</v>
      </c>
      <c r="H50" s="500">
        <f t="shared" si="3"/>
      </c>
      <c r="I50" s="500">
        <f t="shared" si="66"/>
      </c>
      <c r="J50" s="500">
        <f t="shared" si="129"/>
      </c>
      <c r="K50" s="500">
        <f t="shared" si="192"/>
      </c>
      <c r="L50" s="500">
        <f t="shared" si="24"/>
      </c>
      <c r="M50" s="501">
        <f t="shared" si="87"/>
      </c>
      <c r="N50" s="501">
        <f t="shared" si="150"/>
      </c>
      <c r="O50" s="501">
        <f t="shared" si="213"/>
      </c>
      <c r="P50" s="501">
        <f t="shared" si="45"/>
      </c>
      <c r="Q50" s="502">
        <f t="shared" si="108"/>
      </c>
      <c r="R50" s="503">
        <v>0.0705</v>
      </c>
      <c r="S50" s="504">
        <v>46</v>
      </c>
      <c r="T50" s="500">
        <f t="shared" si="171"/>
      </c>
      <c r="U50" s="502">
        <v>27110</v>
      </c>
      <c r="V50" s="502">
        <v>723</v>
      </c>
      <c r="W50" s="502">
        <v>118</v>
      </c>
      <c r="X50" s="502">
        <v>920</v>
      </c>
      <c r="Y50" s="502">
        <v>71</v>
      </c>
      <c r="Z50" s="502">
        <v>11</v>
      </c>
      <c r="AA50" s="502">
        <v>2</v>
      </c>
      <c r="AB50" s="502">
        <v>31</v>
      </c>
      <c r="AC50" s="500">
        <f t="shared" si="234"/>
      </c>
      <c r="AD50" s="505" t="s">
        <v>307</v>
      </c>
      <c r="AE50" s="506" t="s">
        <v>324</v>
      </c>
      <c r="AF50" s="504">
        <v>28</v>
      </c>
    </row>
    <row r="51">
      <c r="A51" s="494"/>
      <c r="B51" s="507" t="s">
        <v>312</v>
      </c>
      <c r="C51" s="507"/>
      <c r="D51" s="508">
        <f>SUM(D47:D50)</f>
      </c>
      <c r="E51" s="509">
        <f>SUM(E47:E50)</f>
      </c>
      <c r="F51" s="509">
        <f>SUM(F47:F50)</f>
      </c>
      <c r="G51" s="508">
        <f>SUM(G47:G50)</f>
      </c>
      <c r="H51" s="510">
        <f t="shared" si="3"/>
      </c>
      <c r="I51" s="510">
        <f t="shared" si="66"/>
      </c>
      <c r="J51" s="510">
        <f t="shared" si="129"/>
      </c>
      <c r="K51" s="510">
        <f t="shared" si="192"/>
      </c>
      <c r="L51" s="510">
        <f t="shared" si="24"/>
      </c>
      <c r="M51" s="511">
        <f t="shared" si="87"/>
      </c>
      <c r="N51" s="511">
        <f t="shared" si="150"/>
      </c>
      <c r="O51" s="511">
        <f t="shared" si="213"/>
      </c>
      <c r="P51" s="511">
        <f t="shared" si="45"/>
      </c>
      <c r="Q51" s="512">
        <f t="shared" si="108"/>
      </c>
      <c r="R51" s="511">
        <f>AVERAGE(R47:R50)</f>
      </c>
      <c r="S51" s="508">
        <f>AVERAGE(S47:S50)</f>
      </c>
      <c r="T51" s="510">
        <f t="shared" si="171"/>
      </c>
      <c r="U51" s="512">
        <f>SUM(U47:U50)</f>
      </c>
      <c r="V51" s="512">
        <f>SUM(V47:V50)</f>
      </c>
      <c r="W51" s="512">
        <f>SUM(W47:W50)</f>
      </c>
      <c r="X51" s="512">
        <f>SUM(X47:X50)</f>
      </c>
      <c r="Y51" s="512">
        <f>SUM(Y47:Y50)</f>
      </c>
      <c r="Z51" s="512">
        <f>SUM(Z47:Z50)</f>
      </c>
      <c r="AA51" s="512">
        <f>SUM(AA47:AA50)</f>
      </c>
      <c r="AB51" s="512">
        <f>SUM(AB47:AB50)</f>
      </c>
      <c r="AC51" s="513">
        <f t="shared" si="234"/>
      </c>
      <c r="AD51" s="514"/>
      <c r="AE51" s="514"/>
      <c r="AF51" s="512">
        <f>SUM(AF47:AF50)</f>
      </c>
    </row>
    <row r="52">
      <c r="A52" s="494"/>
      <c r="B52" s="516" t="s">
        <v>318</v>
      </c>
      <c r="C52" s="516"/>
      <c r="D52" s="517">
        <f>D46+D51</f>
      </c>
      <c r="E52" s="518">
        <f>E46+E51</f>
      </c>
      <c r="F52" s="518">
        <f>F46+F51</f>
      </c>
      <c r="G52" s="517">
        <f>G46+G51</f>
      </c>
      <c r="H52" s="519">
        <f t="shared" si="3"/>
      </c>
      <c r="I52" s="519">
        <f t="shared" si="66"/>
      </c>
      <c r="J52" s="519">
        <f t="shared" si="129"/>
      </c>
      <c r="K52" s="519">
        <f t="shared" si="192"/>
      </c>
      <c r="L52" s="519">
        <f t="shared" si="24"/>
      </c>
      <c r="M52" s="520">
        <f t="shared" si="87"/>
      </c>
      <c r="N52" s="520">
        <f t="shared" si="150"/>
      </c>
      <c r="O52" s="520">
        <f t="shared" si="213"/>
      </c>
      <c r="P52" s="520">
        <f t="shared" si="45"/>
      </c>
      <c r="Q52" s="521">
        <f t="shared" si="108"/>
      </c>
      <c r="R52" s="520">
        <f>(R46+R51)/2</f>
      </c>
      <c r="S52" s="517">
        <f>(S51+S46)/2</f>
      </c>
      <c r="T52" s="517">
        <f t="shared" si="171"/>
      </c>
      <c r="U52" s="521">
        <f>U46+U51</f>
      </c>
      <c r="V52" s="521">
        <f>V46+V51</f>
      </c>
      <c r="W52" s="521">
        <f>W46+W51</f>
      </c>
      <c r="X52" s="521">
        <f>X46+X51</f>
      </c>
      <c r="Y52" s="521">
        <f>Y46+Y51</f>
      </c>
      <c r="Z52" s="521">
        <f>Z46+Z51</f>
      </c>
      <c r="AA52" s="521">
        <f>AA46+AA51</f>
      </c>
      <c r="AB52" s="521">
        <f>AB46+AB51</f>
      </c>
      <c r="AC52" s="519">
        <f>AC46</f>
      </c>
      <c r="AD52" s="516"/>
      <c r="AE52" s="516"/>
      <c r="AF52" s="521">
        <f>AF46+AF51</f>
      </c>
    </row>
    <row r="53">
      <c r="A53" s="484" t="s">
        <v>319</v>
      </c>
      <c r="B53" s="484" t="s">
        <v>270</v>
      </c>
      <c r="C53" s="484"/>
      <c r="D53" s="485" t="s">
        <v>271</v>
      </c>
      <c r="E53" s="485"/>
      <c r="F53" s="485"/>
      <c r="G53" s="485"/>
      <c r="H53" s="485"/>
      <c r="I53" s="485"/>
      <c r="J53" s="485"/>
      <c r="K53" s="485"/>
      <c r="L53" s="486" t="s">
        <v>272</v>
      </c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7"/>
    </row>
    <row r="54">
      <c r="A54" s="484"/>
      <c r="B54" s="484" t="s">
        <v>273</v>
      </c>
      <c r="C54" s="484" t="s">
        <v>274</v>
      </c>
      <c r="D54" s="485" t="s">
        <v>275</v>
      </c>
      <c r="E54" s="488" t="s">
        <v>276</v>
      </c>
      <c r="F54" s="488" t="s">
        <v>277</v>
      </c>
      <c r="G54" s="485" t="s">
        <v>278</v>
      </c>
      <c r="H54" s="489" t="s">
        <v>279</v>
      </c>
      <c r="I54" s="489" t="s">
        <v>280</v>
      </c>
      <c r="J54" s="489" t="s">
        <v>281</v>
      </c>
      <c r="K54" s="489" t="s">
        <v>282</v>
      </c>
      <c r="L54" s="490" t="s">
        <v>283</v>
      </c>
      <c r="M54" s="491" t="s">
        <v>284</v>
      </c>
      <c r="N54" s="491" t="s">
        <v>285</v>
      </c>
      <c r="O54" s="491" t="s">
        <v>286</v>
      </c>
      <c r="P54" s="491" t="s">
        <v>287</v>
      </c>
      <c r="Q54" s="492" t="s">
        <v>288</v>
      </c>
      <c r="R54" s="491" t="s">
        <v>289</v>
      </c>
      <c r="S54" s="492" t="s">
        <v>290</v>
      </c>
      <c r="T54" s="486" t="s">
        <v>291</v>
      </c>
      <c r="U54" s="487" t="s">
        <v>292</v>
      </c>
      <c r="V54" s="487" t="s">
        <v>293</v>
      </c>
      <c r="W54" s="487" t="s">
        <v>294</v>
      </c>
      <c r="X54" s="487" t="s">
        <v>295</v>
      </c>
      <c r="Y54" s="487" t="s">
        <v>296</v>
      </c>
      <c r="Z54" s="487" t="s">
        <v>297</v>
      </c>
      <c r="AA54" s="487" t="s">
        <v>298</v>
      </c>
      <c r="AB54" s="487" t="s">
        <v>299</v>
      </c>
      <c r="AC54" s="486" t="s">
        <v>300</v>
      </c>
      <c r="AD54" s="493" t="s">
        <v>301</v>
      </c>
      <c r="AE54" s="493" t="s">
        <v>302</v>
      </c>
      <c r="AF54" s="487" t="s">
        <v>303</v>
      </c>
    </row>
    <row r="55">
      <c r="A55" s="494" t="s">
        <v>326</v>
      </c>
      <c r="B55" s="495" t="s">
        <v>305</v>
      </c>
      <c r="C55" s="495" t="s">
        <v>323</v>
      </c>
      <c r="D55" s="499">
        <v>3000</v>
      </c>
      <c r="E55" s="498">
        <v>7</v>
      </c>
      <c r="F55" s="498">
        <v>7</v>
      </c>
      <c r="G55" s="499">
        <v>3157</v>
      </c>
      <c r="H55" s="500">
        <f t="shared" ref="H55:H65" si="4">G55/D55</f>
      </c>
      <c r="I55" s="500">
        <f t="shared" ref="I55:I65" si="67">D55/E55</f>
      </c>
      <c r="J55" s="500">
        <f t="shared" ref="J55:J65" si="130">D55/F55</f>
      </c>
      <c r="K55" s="500">
        <f t="shared" ref="K55:K65" si="193">G55/E55</f>
      </c>
      <c r="L55" s="500">
        <f t="shared" ref="L55:L65" si="25">D55/V55</f>
      </c>
      <c r="M55" s="501">
        <f t="shared" ref="M55:M65" si="88">Q55/U55*1</f>
      </c>
      <c r="N55" s="501">
        <f t="shared" ref="N55:N65" si="151">V55/U55</f>
      </c>
      <c r="O55" s="501">
        <f t="shared" ref="O55:O65" si="214">X55/U55</f>
      </c>
      <c r="P55" s="501">
        <f t="shared" ref="P55:P65" si="46">Y55/X55</f>
      </c>
      <c r="Q55" s="502">
        <f t="shared" ref="Q55:Q65" si="109">W55/R55</f>
      </c>
      <c r="R55" s="503">
        <v>0.0154</v>
      </c>
      <c r="S55" s="504">
        <v>37</v>
      </c>
      <c r="T55" s="500">
        <f t="shared" ref="T55:T65" si="172">(D55/U55)*1000</f>
      </c>
      <c r="U55" s="502">
        <v>24809</v>
      </c>
      <c r="V55" s="502">
        <v>1540</v>
      </c>
      <c r="W55" s="502">
        <v>126</v>
      </c>
      <c r="X55" s="502">
        <v>2137</v>
      </c>
      <c r="Y55" s="502">
        <v>86</v>
      </c>
      <c r="Z55" s="502">
        <v>22</v>
      </c>
      <c r="AA55" s="502">
        <v>2</v>
      </c>
      <c r="AB55" s="504">
        <v>27</v>
      </c>
      <c r="AC55" s="500">
        <f t="shared" ref="AC55:AC64" si="235">AF55*1000/D55</f>
      </c>
      <c r="AD55" s="505" t="s">
        <v>307</v>
      </c>
      <c r="AE55" s="506" t="s">
        <v>324</v>
      </c>
      <c r="AF55" s="504">
        <v>36</v>
      </c>
    </row>
    <row r="56">
      <c r="A56" s="494"/>
      <c r="B56" s="495" t="s">
        <v>305</v>
      </c>
      <c r="C56" s="496" t="s">
        <v>309</v>
      </c>
      <c r="D56" s="499">
        <v>3984.13</v>
      </c>
      <c r="E56" s="498">
        <v>5</v>
      </c>
      <c r="F56" s="498">
        <v>5</v>
      </c>
      <c r="G56" s="499">
        <v>6103.9</v>
      </c>
      <c r="H56" s="500">
        <f t="shared" si="4"/>
      </c>
      <c r="I56" s="500">
        <f t="shared" si="67"/>
      </c>
      <c r="J56" s="500">
        <f t="shared" si="130"/>
      </c>
      <c r="K56" s="500">
        <f t="shared" si="193"/>
      </c>
      <c r="L56" s="500">
        <f t="shared" si="25"/>
      </c>
      <c r="M56" s="501">
        <f t="shared" si="88"/>
      </c>
      <c r="N56" s="501">
        <f t="shared" si="151"/>
      </c>
      <c r="O56" s="501">
        <f t="shared" si="214"/>
      </c>
      <c r="P56" s="501">
        <f t="shared" si="46"/>
      </c>
      <c r="Q56" s="502">
        <f t="shared" si="109"/>
      </c>
      <c r="R56" s="503">
        <v>0.0176</v>
      </c>
      <c r="S56" s="504">
        <v>42</v>
      </c>
      <c r="T56" s="500">
        <f t="shared" si="172"/>
      </c>
      <c r="U56" s="502">
        <v>31190</v>
      </c>
      <c r="V56" s="502">
        <v>1139</v>
      </c>
      <c r="W56" s="502">
        <v>128</v>
      </c>
      <c r="X56" s="502">
        <v>1289</v>
      </c>
      <c r="Y56" s="502">
        <v>96</v>
      </c>
      <c r="Z56" s="502">
        <v>17</v>
      </c>
      <c r="AA56" s="502">
        <v>2</v>
      </c>
      <c r="AB56" s="502">
        <v>51</v>
      </c>
      <c r="AC56" s="500">
        <f t="shared" si="235"/>
      </c>
      <c r="AD56" s="505" t="s">
        <v>307</v>
      </c>
      <c r="AE56" s="506" t="s">
        <v>324</v>
      </c>
      <c r="AF56" s="504">
        <v>39</v>
      </c>
    </row>
    <row r="57">
      <c r="A57" s="494"/>
      <c r="B57" s="495" t="s">
        <v>305</v>
      </c>
      <c r="C57" s="496" t="s">
        <v>310</v>
      </c>
      <c r="D57" s="499">
        <v>2708.89</v>
      </c>
      <c r="E57" s="498">
        <v>5</v>
      </c>
      <c r="F57" s="498">
        <v>5</v>
      </c>
      <c r="G57" s="497">
        <v>5768.4</v>
      </c>
      <c r="H57" s="500">
        <f t="shared" si="4"/>
      </c>
      <c r="I57" s="500">
        <f t="shared" si="67"/>
      </c>
      <c r="J57" s="500">
        <f t="shared" si="130"/>
      </c>
      <c r="K57" s="500">
        <f t="shared" si="193"/>
      </c>
      <c r="L57" s="500">
        <f t="shared" si="25"/>
      </c>
      <c r="M57" s="501">
        <f t="shared" si="88"/>
      </c>
      <c r="N57" s="501">
        <f t="shared" si="151"/>
      </c>
      <c r="O57" s="501">
        <f t="shared" si="214"/>
      </c>
      <c r="P57" s="501">
        <f t="shared" si="46"/>
      </c>
      <c r="Q57" s="502">
        <f t="shared" si="109"/>
      </c>
      <c r="R57" s="503">
        <v>0.0227</v>
      </c>
      <c r="S57" s="504">
        <v>46</v>
      </c>
      <c r="T57" s="500">
        <f t="shared" si="172"/>
      </c>
      <c r="U57" s="502">
        <v>18201</v>
      </c>
      <c r="V57" s="502">
        <v>685</v>
      </c>
      <c r="W57" s="502">
        <v>94</v>
      </c>
      <c r="X57" s="502">
        <v>956</v>
      </c>
      <c r="Y57" s="502">
        <v>80</v>
      </c>
      <c r="Z57" s="502">
        <v>9</v>
      </c>
      <c r="AA57" s="502">
        <v>4</v>
      </c>
      <c r="AB57" s="502">
        <v>21</v>
      </c>
      <c r="AC57" s="500">
        <f t="shared" si="235"/>
      </c>
      <c r="AD57" s="505" t="s">
        <v>307</v>
      </c>
      <c r="AE57" s="506" t="s">
        <v>324</v>
      </c>
      <c r="AF57" s="504">
        <v>28</v>
      </c>
    </row>
    <row r="58">
      <c r="A58" s="494"/>
      <c r="B58" s="495" t="s">
        <v>305</v>
      </c>
      <c r="C58" s="496" t="s">
        <v>311</v>
      </c>
      <c r="D58" s="499">
        <v>3656.13</v>
      </c>
      <c r="E58" s="498">
        <v>9</v>
      </c>
      <c r="F58" s="498">
        <v>7</v>
      </c>
      <c r="G58" s="499">
        <v>9214.7</v>
      </c>
      <c r="H58" s="500">
        <f t="shared" si="4"/>
      </c>
      <c r="I58" s="500">
        <f t="shared" si="67"/>
      </c>
      <c r="J58" s="500">
        <f t="shared" si="130"/>
      </c>
      <c r="K58" s="500">
        <f t="shared" si="193"/>
      </c>
      <c r="L58" s="500">
        <f t="shared" si="25"/>
      </c>
      <c r="M58" s="501">
        <f t="shared" si="88"/>
      </c>
      <c r="N58" s="501">
        <f t="shared" si="151"/>
      </c>
      <c r="O58" s="501">
        <f t="shared" si="214"/>
      </c>
      <c r="P58" s="501">
        <f t="shared" si="46"/>
      </c>
      <c r="Q58" s="502">
        <f t="shared" si="109"/>
      </c>
      <c r="R58" s="503">
        <v>0.0256</v>
      </c>
      <c r="S58" s="504">
        <v>43</v>
      </c>
      <c r="T58" s="500">
        <f t="shared" si="172"/>
      </c>
      <c r="U58" s="502">
        <v>27214</v>
      </c>
      <c r="V58" s="502">
        <v>1242</v>
      </c>
      <c r="W58" s="502">
        <v>118</v>
      </c>
      <c r="X58" s="502">
        <v>1824</v>
      </c>
      <c r="Y58" s="502">
        <v>88</v>
      </c>
      <c r="Z58" s="502">
        <v>11</v>
      </c>
      <c r="AA58" s="502">
        <v>0</v>
      </c>
      <c r="AB58" s="502">
        <v>49</v>
      </c>
      <c r="AC58" s="500">
        <f t="shared" si="235"/>
      </c>
      <c r="AD58" s="505" t="s">
        <v>307</v>
      </c>
      <c r="AE58" s="506" t="s">
        <v>324</v>
      </c>
      <c r="AF58" s="504">
        <v>40</v>
      </c>
    </row>
    <row r="59">
      <c r="A59" s="494"/>
      <c r="B59" s="507" t="s">
        <v>312</v>
      </c>
      <c r="C59" s="507"/>
      <c r="D59" s="508">
        <f>SUM(D55:D58)</f>
      </c>
      <c r="E59" s="509">
        <f>SUM(E55:E58)</f>
      </c>
      <c r="F59" s="509">
        <f>SUM(F55:F58)</f>
      </c>
      <c r="G59" s="508">
        <f>SUM(G55:G58)</f>
      </c>
      <c r="H59" s="510">
        <f t="shared" si="4"/>
      </c>
      <c r="I59" s="510">
        <f t="shared" si="67"/>
      </c>
      <c r="J59" s="510">
        <f t="shared" si="130"/>
      </c>
      <c r="K59" s="510">
        <f t="shared" si="193"/>
      </c>
      <c r="L59" s="510">
        <f t="shared" si="25"/>
      </c>
      <c r="M59" s="511">
        <f t="shared" si="88"/>
      </c>
      <c r="N59" s="511">
        <f t="shared" si="151"/>
      </c>
      <c r="O59" s="511">
        <f t="shared" si="214"/>
      </c>
      <c r="P59" s="511">
        <f t="shared" si="46"/>
      </c>
      <c r="Q59" s="512">
        <f t="shared" si="109"/>
      </c>
      <c r="R59" s="511">
        <f>AVERAGE(R55:R58)</f>
      </c>
      <c r="S59" s="508">
        <f>AVERAGE(S55:S58)</f>
      </c>
      <c r="T59" s="510">
        <f t="shared" si="172"/>
      </c>
      <c r="U59" s="512">
        <f>SUM(U55:U58)</f>
      </c>
      <c r="V59" s="512">
        <f>SUM(V55:V58)</f>
      </c>
      <c r="W59" s="512">
        <f>SUM(W55:W58)</f>
      </c>
      <c r="X59" s="512">
        <f>SUM(X55:X58)</f>
      </c>
      <c r="Y59" s="512">
        <f>SUM(Y55:Y58)</f>
      </c>
      <c r="Z59" s="512">
        <f>SUM(Z55:Z58)</f>
      </c>
      <c r="AA59" s="512">
        <f>SUM(AA55:AA58)</f>
      </c>
      <c r="AB59" s="512">
        <f>SUM(AB55:AB58)</f>
      </c>
      <c r="AC59" s="513">
        <f t="shared" si="235"/>
      </c>
      <c r="AD59" s="514"/>
      <c r="AE59" s="514"/>
      <c r="AF59" s="515">
        <f>SUM(AF55:AF58)</f>
      </c>
    </row>
    <row r="60">
      <c r="A60" s="494"/>
      <c r="B60" s="496" t="s">
        <v>313</v>
      </c>
      <c r="C60" s="496" t="s">
        <v>314</v>
      </c>
      <c r="D60" s="499">
        <v>4153.11</v>
      </c>
      <c r="E60" s="498">
        <v>6</v>
      </c>
      <c r="F60" s="498">
        <v>6</v>
      </c>
      <c r="G60" s="497">
        <v>4068.9000000000015</v>
      </c>
      <c r="H60" s="500">
        <f t="shared" si="4"/>
      </c>
      <c r="I60" s="500">
        <f t="shared" si="67"/>
      </c>
      <c r="J60" s="500">
        <f t="shared" si="130"/>
      </c>
      <c r="K60" s="500">
        <f t="shared" si="193"/>
      </c>
      <c r="L60" s="500">
        <f t="shared" si="25"/>
      </c>
      <c r="M60" s="501">
        <f t="shared" si="88"/>
      </c>
      <c r="N60" s="501">
        <f t="shared" si="151"/>
      </c>
      <c r="O60" s="501">
        <f t="shared" si="214"/>
      </c>
      <c r="P60" s="501">
        <f t="shared" si="46"/>
      </c>
      <c r="Q60" s="502">
        <f t="shared" si="109"/>
      </c>
      <c r="R60" s="503">
        <v>0.0266</v>
      </c>
      <c r="S60" s="504">
        <v>42</v>
      </c>
      <c r="T60" s="500">
        <f t="shared" si="172"/>
      </c>
      <c r="U60" s="502">
        <v>34791</v>
      </c>
      <c r="V60" s="502">
        <v>1229</v>
      </c>
      <c r="W60" s="502">
        <v>117</v>
      </c>
      <c r="X60" s="502">
        <v>1753</v>
      </c>
      <c r="Y60" s="502">
        <v>113</v>
      </c>
      <c r="Z60" s="502">
        <v>12</v>
      </c>
      <c r="AA60" s="502">
        <v>4</v>
      </c>
      <c r="AB60" s="502">
        <v>54</v>
      </c>
      <c r="AC60" s="500">
        <f t="shared" si="235"/>
      </c>
      <c r="AD60" s="505" t="s">
        <v>307</v>
      </c>
      <c r="AE60" s="506" t="s">
        <v>324</v>
      </c>
      <c r="AF60" s="504">
        <v>32</v>
      </c>
    </row>
    <row r="61">
      <c r="A61" s="494"/>
      <c r="B61" s="496" t="s">
        <v>313</v>
      </c>
      <c r="C61" s="496" t="s">
        <v>315</v>
      </c>
      <c r="D61" s="499">
        <v>3788.85</v>
      </c>
      <c r="E61" s="498">
        <v>5</v>
      </c>
      <c r="F61" s="498">
        <v>4</v>
      </c>
      <c r="G61" s="499">
        <v>3788.399999999998</v>
      </c>
      <c r="H61" s="500">
        <f t="shared" si="4"/>
      </c>
      <c r="I61" s="500">
        <f t="shared" si="67"/>
      </c>
      <c r="J61" s="500">
        <f t="shared" si="130"/>
      </c>
      <c r="K61" s="500">
        <f t="shared" si="193"/>
      </c>
      <c r="L61" s="500">
        <f t="shared" si="25"/>
      </c>
      <c r="M61" s="501">
        <f t="shared" si="88"/>
      </c>
      <c r="N61" s="501">
        <f t="shared" si="151"/>
      </c>
      <c r="O61" s="501">
        <f t="shared" si="214"/>
      </c>
      <c r="P61" s="501">
        <f t="shared" si="46"/>
      </c>
      <c r="Q61" s="502">
        <f t="shared" si="109"/>
      </c>
      <c r="R61" s="503">
        <v>0.0221</v>
      </c>
      <c r="S61" s="504">
        <v>41</v>
      </c>
      <c r="T61" s="500">
        <f t="shared" si="172"/>
      </c>
      <c r="U61" s="502">
        <v>41676</v>
      </c>
      <c r="V61" s="502">
        <v>1523</v>
      </c>
      <c r="W61" s="502">
        <v>147</v>
      </c>
      <c r="X61" s="502">
        <v>2089</v>
      </c>
      <c r="Y61" s="502">
        <v>152</v>
      </c>
      <c r="Z61" s="502">
        <v>20</v>
      </c>
      <c r="AA61" s="502">
        <v>5</v>
      </c>
      <c r="AB61" s="502">
        <v>55</v>
      </c>
      <c r="AC61" s="500">
        <f t="shared" si="235"/>
      </c>
      <c r="AD61" s="505" t="s">
        <v>307</v>
      </c>
      <c r="AE61" s="506" t="s">
        <v>324</v>
      </c>
      <c r="AF61" s="504">
        <v>55</v>
      </c>
    </row>
    <row r="62">
      <c r="A62" s="494"/>
      <c r="B62" s="496" t="s">
        <v>313</v>
      </c>
      <c r="C62" s="496" t="s">
        <v>316</v>
      </c>
      <c r="D62" s="499">
        <v>1201</v>
      </c>
      <c r="E62" s="498">
        <v>7</v>
      </c>
      <c r="F62" s="498">
        <v>7</v>
      </c>
      <c r="G62" s="499">
        <v>6034.600000000002</v>
      </c>
      <c r="H62" s="500">
        <f t="shared" si="4"/>
      </c>
      <c r="I62" s="500">
        <f t="shared" si="67"/>
      </c>
      <c r="J62" s="500">
        <f t="shared" si="130"/>
      </c>
      <c r="K62" s="500">
        <f t="shared" si="193"/>
      </c>
      <c r="L62" s="500">
        <f t="shared" si="25"/>
      </c>
      <c r="M62" s="501">
        <f t="shared" si="88"/>
      </c>
      <c r="N62" s="501">
        <f t="shared" si="151"/>
      </c>
      <c r="O62" s="501">
        <f t="shared" si="214"/>
      </c>
      <c r="P62" s="501">
        <f t="shared" si="46"/>
      </c>
      <c r="Q62" s="502">
        <f t="shared" si="109"/>
      </c>
      <c r="R62" s="503">
        <v>0.0097</v>
      </c>
      <c r="S62" s="504">
        <v>41</v>
      </c>
      <c r="T62" s="500">
        <f t="shared" si="172"/>
      </c>
      <c r="U62" s="502">
        <v>11640</v>
      </c>
      <c r="V62" s="502">
        <v>1126</v>
      </c>
      <c r="W62" s="502">
        <v>56</v>
      </c>
      <c r="X62" s="502">
        <v>1599</v>
      </c>
      <c r="Y62" s="502">
        <v>93</v>
      </c>
      <c r="Z62" s="502">
        <v>12</v>
      </c>
      <c r="AA62" s="502">
        <v>1</v>
      </c>
      <c r="AB62" s="502">
        <v>2</v>
      </c>
      <c r="AC62" s="500">
        <f t="shared" si="235"/>
      </c>
      <c r="AD62" s="505" t="s">
        <v>307</v>
      </c>
      <c r="AE62" s="506" t="s">
        <v>324</v>
      </c>
      <c r="AF62" s="504">
        <v>30</v>
      </c>
    </row>
    <row r="63">
      <c r="A63" s="494"/>
      <c r="B63" s="496" t="s">
        <v>313</v>
      </c>
      <c r="C63" s="496" t="s">
        <v>317</v>
      </c>
      <c r="D63" s="499">
        <v>716.94</v>
      </c>
      <c r="E63" s="498">
        <v>2</v>
      </c>
      <c r="F63" s="498">
        <v>2</v>
      </c>
      <c r="G63" s="499">
        <v>1965.699999999997</v>
      </c>
      <c r="H63" s="500">
        <f t="shared" si="4"/>
      </c>
      <c r="I63" s="500">
        <f t="shared" si="67"/>
      </c>
      <c r="J63" s="500">
        <f t="shared" si="130"/>
      </c>
      <c r="K63" s="500">
        <f t="shared" si="193"/>
      </c>
      <c r="L63" s="500">
        <f t="shared" si="25"/>
      </c>
      <c r="M63" s="501">
        <f t="shared" si="88"/>
      </c>
      <c r="N63" s="501">
        <f t="shared" si="151"/>
      </c>
      <c r="O63" s="501">
        <f t="shared" si="214"/>
      </c>
      <c r="P63" s="501">
        <f t="shared" si="46"/>
      </c>
      <c r="Q63" s="502">
        <f t="shared" si="109"/>
      </c>
      <c r="R63" s="503">
        <v>0.0133</v>
      </c>
      <c r="S63" s="504">
        <v>43</v>
      </c>
      <c r="T63" s="500">
        <f t="shared" si="172"/>
      </c>
      <c r="U63" s="502">
        <v>6479</v>
      </c>
      <c r="V63" s="502">
        <v>548</v>
      </c>
      <c r="W63" s="502">
        <v>37</v>
      </c>
      <c r="X63" s="502">
        <v>751</v>
      </c>
      <c r="Y63" s="502">
        <v>12</v>
      </c>
      <c r="Z63" s="502">
        <v>2</v>
      </c>
      <c r="AA63" s="502">
        <v>2</v>
      </c>
      <c r="AB63" s="502">
        <v>2</v>
      </c>
      <c r="AC63" s="500">
        <f t="shared" si="235"/>
      </c>
      <c r="AD63" s="505" t="s">
        <v>307</v>
      </c>
      <c r="AE63" s="506" t="s">
        <v>324</v>
      </c>
      <c r="AF63" s="504">
        <v>11</v>
      </c>
    </row>
    <row r="64">
      <c r="A64" s="494"/>
      <c r="B64" s="507" t="s">
        <v>312</v>
      </c>
      <c r="C64" s="507"/>
      <c r="D64" s="508">
        <f>SUM(D60:D63)</f>
      </c>
      <c r="E64" s="509">
        <f>SUM(E60:E63)</f>
      </c>
      <c r="F64" s="509">
        <f>SUM(F60:F63)</f>
      </c>
      <c r="G64" s="508">
        <f>SUM(G60:G63)</f>
      </c>
      <c r="H64" s="510">
        <f t="shared" si="4"/>
      </c>
      <c r="I64" s="510">
        <f t="shared" si="67"/>
      </c>
      <c r="J64" s="510">
        <f t="shared" si="130"/>
      </c>
      <c r="K64" s="510">
        <f t="shared" si="193"/>
      </c>
      <c r="L64" s="510">
        <f t="shared" si="25"/>
      </c>
      <c r="M64" s="511">
        <f t="shared" si="88"/>
      </c>
      <c r="N64" s="511">
        <f t="shared" si="151"/>
      </c>
      <c r="O64" s="511">
        <f t="shared" si="214"/>
      </c>
      <c r="P64" s="511">
        <f t="shared" si="46"/>
      </c>
      <c r="Q64" s="512">
        <f t="shared" si="109"/>
      </c>
      <c r="R64" s="511">
        <f>AVERAGE(R60:R63)</f>
      </c>
      <c r="S64" s="508">
        <f>AVERAGE(S60:S63)</f>
      </c>
      <c r="T64" s="510">
        <f t="shared" si="172"/>
      </c>
      <c r="U64" s="512">
        <f>SUM(U60:U63)</f>
      </c>
      <c r="V64" s="512">
        <f>SUM(V60:V63)</f>
      </c>
      <c r="W64" s="512">
        <f>SUM(W60:W63)</f>
      </c>
      <c r="X64" s="512">
        <f>SUM(X60:X63)</f>
      </c>
      <c r="Y64" s="512">
        <f>SUM(Y60:Y63)</f>
      </c>
      <c r="Z64" s="512">
        <f>SUM(Z60:Z63)</f>
      </c>
      <c r="AA64" s="512">
        <f>SUM(AA60:AA63)</f>
      </c>
      <c r="AB64" s="512">
        <f>SUM(AB60:AB63)</f>
      </c>
      <c r="AC64" s="513">
        <f t="shared" si="235"/>
      </c>
      <c r="AD64" s="514"/>
      <c r="AE64" s="514"/>
      <c r="AF64" s="512">
        <f>SUM(AF60:AF63)</f>
      </c>
    </row>
    <row r="65">
      <c r="A65" s="494"/>
      <c r="B65" s="516" t="s">
        <v>318</v>
      </c>
      <c r="C65" s="516"/>
      <c r="D65" s="517">
        <f>D59+D64</f>
      </c>
      <c r="E65" s="518">
        <f>E59+E64</f>
      </c>
      <c r="F65" s="518">
        <f>F59+F64</f>
      </c>
      <c r="G65" s="517">
        <f>G59+G64</f>
      </c>
      <c r="H65" s="519">
        <f t="shared" si="4"/>
      </c>
      <c r="I65" s="519">
        <f t="shared" si="67"/>
      </c>
      <c r="J65" s="519">
        <f t="shared" si="130"/>
      </c>
      <c r="K65" s="519">
        <f t="shared" si="193"/>
      </c>
      <c r="L65" s="519">
        <f t="shared" si="25"/>
      </c>
      <c r="M65" s="520">
        <f t="shared" si="88"/>
      </c>
      <c r="N65" s="520">
        <f t="shared" si="151"/>
      </c>
      <c r="O65" s="520">
        <f t="shared" si="214"/>
      </c>
      <c r="P65" s="520">
        <f t="shared" si="46"/>
      </c>
      <c r="Q65" s="521">
        <f t="shared" si="109"/>
      </c>
      <c r="R65" s="520">
        <f>(R59+R64)/2</f>
      </c>
      <c r="S65" s="517">
        <f>(S64+S59)/2</f>
      </c>
      <c r="T65" s="517">
        <f t="shared" si="172"/>
      </c>
      <c r="U65" s="521">
        <f>U59+U64</f>
      </c>
      <c r="V65" s="521">
        <f>V59+V64</f>
      </c>
      <c r="W65" s="521">
        <f>W59+W64</f>
      </c>
      <c r="X65" s="521">
        <f>X59+X64</f>
      </c>
      <c r="Y65" s="521">
        <f>Y59+Y64</f>
      </c>
      <c r="Z65" s="521">
        <f>Z59+Z64</f>
      </c>
      <c r="AA65" s="521">
        <f>AA59+AA64</f>
      </c>
      <c r="AB65" s="521">
        <f>AB59+AB64</f>
      </c>
      <c r="AC65" s="519">
        <f>AC59</f>
      </c>
      <c r="AD65" s="516"/>
      <c r="AE65" s="516"/>
      <c r="AF65" s="521">
        <f>AF59+AF64</f>
      </c>
    </row>
    <row r="66">
      <c r="A66" s="484" t="s">
        <v>319</v>
      </c>
      <c r="B66" s="484" t="s">
        <v>270</v>
      </c>
      <c r="C66" s="484"/>
      <c r="D66" s="485" t="s">
        <v>271</v>
      </c>
      <c r="E66" s="485"/>
      <c r="F66" s="485"/>
      <c r="G66" s="485"/>
      <c r="H66" s="485"/>
      <c r="I66" s="485"/>
      <c r="J66" s="485"/>
      <c r="K66" s="485"/>
      <c r="L66" s="486" t="s">
        <v>272</v>
      </c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7"/>
    </row>
    <row r="67">
      <c r="A67" s="484"/>
      <c r="B67" s="484" t="s">
        <v>273</v>
      </c>
      <c r="C67" s="484" t="s">
        <v>274</v>
      </c>
      <c r="D67" s="485" t="s">
        <v>275</v>
      </c>
      <c r="E67" s="488" t="s">
        <v>276</v>
      </c>
      <c r="F67" s="488" t="s">
        <v>277</v>
      </c>
      <c r="G67" s="485" t="s">
        <v>278</v>
      </c>
      <c r="H67" s="489" t="s">
        <v>279</v>
      </c>
      <c r="I67" s="489" t="s">
        <v>280</v>
      </c>
      <c r="J67" s="489" t="s">
        <v>281</v>
      </c>
      <c r="K67" s="489" t="s">
        <v>282</v>
      </c>
      <c r="L67" s="490" t="s">
        <v>283</v>
      </c>
      <c r="M67" s="491" t="s">
        <v>284</v>
      </c>
      <c r="N67" s="491" t="s">
        <v>285</v>
      </c>
      <c r="O67" s="491" t="s">
        <v>286</v>
      </c>
      <c r="P67" s="491" t="s">
        <v>287</v>
      </c>
      <c r="Q67" s="492" t="s">
        <v>288</v>
      </c>
      <c r="R67" s="491" t="s">
        <v>289</v>
      </c>
      <c r="S67" s="492" t="s">
        <v>290</v>
      </c>
      <c r="T67" s="486" t="s">
        <v>291</v>
      </c>
      <c r="U67" s="487" t="s">
        <v>292</v>
      </c>
      <c r="V67" s="487" t="s">
        <v>293</v>
      </c>
      <c r="W67" s="487" t="s">
        <v>294</v>
      </c>
      <c r="X67" s="487" t="s">
        <v>295</v>
      </c>
      <c r="Y67" s="487" t="s">
        <v>296</v>
      </c>
      <c r="Z67" s="487" t="s">
        <v>297</v>
      </c>
      <c r="AA67" s="487" t="s">
        <v>298</v>
      </c>
      <c r="AB67" s="487" t="s">
        <v>299</v>
      </c>
      <c r="AC67" s="486" t="s">
        <v>300</v>
      </c>
      <c r="AD67" s="493" t="s">
        <v>301</v>
      </c>
      <c r="AE67" s="493" t="s">
        <v>302</v>
      </c>
      <c r="AF67" s="487" t="s">
        <v>303</v>
      </c>
    </row>
    <row r="68">
      <c r="A68" s="494" t="s">
        <v>327</v>
      </c>
      <c r="B68" s="495" t="s">
        <v>305</v>
      </c>
      <c r="C68" s="495" t="s">
        <v>323</v>
      </c>
      <c r="D68" s="499">
        <v>3000</v>
      </c>
      <c r="E68" s="498">
        <v>5</v>
      </c>
      <c r="F68" s="498">
        <v>3</v>
      </c>
      <c r="G68" s="499">
        <v>2585</v>
      </c>
      <c r="H68" s="500">
        <f t="shared" ref="H68:H78" si="5">G68/D68</f>
      </c>
      <c r="I68" s="500">
        <f t="shared" ref="I68:I78" si="68">D68/E68</f>
      </c>
      <c r="J68" s="500">
        <f t="shared" ref="J68:J78" si="131">D68/F68</f>
      </c>
      <c r="K68" s="500">
        <f t="shared" ref="K68:K78" si="194">G68/E68</f>
      </c>
      <c r="L68" s="500">
        <f t="shared" ref="L68:L78" si="26">D68/V68</f>
      </c>
      <c r="M68" s="501">
        <f t="shared" ref="M68:M78" si="89">Q68/U68*1</f>
      </c>
      <c r="N68" s="501">
        <f t="shared" ref="N68:N78" si="152">V68/U68</f>
      </c>
      <c r="O68" s="501">
        <f t="shared" ref="O68:O78" si="215">X68/U68</f>
      </c>
      <c r="P68" s="501">
        <f t="shared" ref="P68:P78" si="47">Y68/X68</f>
      </c>
      <c r="Q68" s="502">
        <f t="shared" ref="Q68:Q78" si="110">W68/R68</f>
      </c>
      <c r="R68" s="503">
        <v>0.0138</v>
      </c>
      <c r="S68" s="504">
        <v>37</v>
      </c>
      <c r="T68" s="500">
        <f t="shared" ref="T68:T78" si="173">(D68/U68)*1000</f>
      </c>
      <c r="U68" s="502">
        <v>28851</v>
      </c>
      <c r="V68" s="502">
        <v>1333</v>
      </c>
      <c r="W68" s="502">
        <v>117</v>
      </c>
      <c r="X68" s="502">
        <v>1814</v>
      </c>
      <c r="Y68" s="502">
        <v>69</v>
      </c>
      <c r="Z68" s="502">
        <v>13</v>
      </c>
      <c r="AA68" s="502">
        <v>2</v>
      </c>
      <c r="AB68" s="504">
        <v>30</v>
      </c>
      <c r="AC68" s="500">
        <f t="shared" ref="AC68:AC77" si="236">AF68*1000/D68</f>
      </c>
      <c r="AD68" s="522" t="s">
        <v>307</v>
      </c>
      <c r="AE68" s="522" t="s">
        <v>328</v>
      </c>
      <c r="AF68" s="504">
        <v>40</v>
      </c>
    </row>
    <row r="69">
      <c r="A69" s="494"/>
      <c r="B69" s="495" t="s">
        <v>305</v>
      </c>
      <c r="C69" s="496" t="s">
        <v>309</v>
      </c>
      <c r="D69" s="499">
        <v>3027.54</v>
      </c>
      <c r="E69" s="498">
        <v>17</v>
      </c>
      <c r="F69" s="498">
        <v>12</v>
      </c>
      <c r="G69" s="499">
        <v>11819.5</v>
      </c>
      <c r="H69" s="500">
        <f t="shared" si="5"/>
      </c>
      <c r="I69" s="500">
        <f t="shared" si="68"/>
      </c>
      <c r="J69" s="500">
        <f t="shared" si="131"/>
      </c>
      <c r="K69" s="500">
        <f t="shared" si="194"/>
      </c>
      <c r="L69" s="500">
        <f t="shared" si="26"/>
      </c>
      <c r="M69" s="501">
        <f t="shared" si="89"/>
      </c>
      <c r="N69" s="501">
        <f t="shared" si="152"/>
      </c>
      <c r="O69" s="501">
        <f t="shared" si="215"/>
      </c>
      <c r="P69" s="501">
        <f t="shared" si="47"/>
      </c>
      <c r="Q69" s="502">
        <f t="shared" si="110"/>
      </c>
      <c r="R69" s="503">
        <v>0.0211</v>
      </c>
      <c r="S69" s="504">
        <v>47</v>
      </c>
      <c r="T69" s="500">
        <f t="shared" si="173"/>
      </c>
      <c r="U69" s="502">
        <v>23501</v>
      </c>
      <c r="V69" s="502">
        <v>711</v>
      </c>
      <c r="W69" s="502">
        <v>99</v>
      </c>
      <c r="X69" s="502">
        <v>853</v>
      </c>
      <c r="Y69" s="502">
        <v>108</v>
      </c>
      <c r="Z69" s="502">
        <v>13</v>
      </c>
      <c r="AA69" s="502">
        <v>1</v>
      </c>
      <c r="AB69" s="502">
        <v>49</v>
      </c>
      <c r="AC69" s="500">
        <f t="shared" si="236"/>
      </c>
      <c r="AD69" s="522" t="s">
        <v>307</v>
      </c>
      <c r="AE69" s="522" t="s">
        <v>328</v>
      </c>
      <c r="AF69" s="504">
        <v>45</v>
      </c>
    </row>
    <row r="70">
      <c r="A70" s="494"/>
      <c r="B70" s="495" t="s">
        <v>305</v>
      </c>
      <c r="C70" s="496" t="s">
        <v>310</v>
      </c>
      <c r="D70" s="499">
        <v>472.46</v>
      </c>
      <c r="E70" s="498">
        <v>7</v>
      </c>
      <c r="F70" s="498">
        <v>3</v>
      </c>
      <c r="G70" s="497">
        <v>4688.200000000001</v>
      </c>
      <c r="H70" s="500">
        <f t="shared" si="5"/>
      </c>
      <c r="I70" s="500">
        <f t="shared" si="68"/>
      </c>
      <c r="J70" s="500">
        <f t="shared" si="131"/>
      </c>
      <c r="K70" s="500">
        <f t="shared" si="194"/>
      </c>
      <c r="L70" s="500">
        <f t="shared" si="26"/>
      </c>
      <c r="M70" s="501">
        <f t="shared" si="89"/>
      </c>
      <c r="N70" s="501">
        <f t="shared" si="152"/>
      </c>
      <c r="O70" s="501">
        <f t="shared" si="215"/>
      </c>
      <c r="P70" s="501">
        <f t="shared" si="47"/>
      </c>
      <c r="Q70" s="502">
        <f t="shared" si="110"/>
      </c>
      <c r="R70" s="503">
        <v>0.0132</v>
      </c>
      <c r="S70" s="504">
        <v>52</v>
      </c>
      <c r="T70" s="500">
        <f t="shared" si="173"/>
      </c>
      <c r="U70" s="502">
        <v>5865</v>
      </c>
      <c r="V70" s="502">
        <v>445</v>
      </c>
      <c r="W70" s="502">
        <v>38</v>
      </c>
      <c r="X70" s="502">
        <v>635</v>
      </c>
      <c r="Y70" s="502">
        <v>73</v>
      </c>
      <c r="Z70" s="502">
        <v>7</v>
      </c>
      <c r="AA70" s="502">
        <v>1</v>
      </c>
      <c r="AB70" s="502">
        <v>0</v>
      </c>
      <c r="AC70" s="500">
        <f t="shared" si="236"/>
      </c>
      <c r="AD70" s="522" t="s">
        <v>307</v>
      </c>
      <c r="AE70" s="522" t="s">
        <v>328</v>
      </c>
      <c r="AF70" s="504">
        <v>16</v>
      </c>
    </row>
    <row r="71">
      <c r="A71" s="494"/>
      <c r="B71" s="495" t="s">
        <v>305</v>
      </c>
      <c r="C71" s="496" t="s">
        <v>311</v>
      </c>
      <c r="D71" s="499">
        <v>1625.56</v>
      </c>
      <c r="E71" s="498">
        <v>3</v>
      </c>
      <c r="F71" s="498">
        <v>2</v>
      </c>
      <c r="G71" s="499">
        <v>2706</v>
      </c>
      <c r="H71" s="500">
        <f t="shared" si="5"/>
      </c>
      <c r="I71" s="500">
        <f t="shared" si="68"/>
      </c>
      <c r="J71" s="500">
        <f t="shared" si="131"/>
      </c>
      <c r="K71" s="500">
        <f t="shared" si="194"/>
      </c>
      <c r="L71" s="500">
        <f t="shared" si="26"/>
      </c>
      <c r="M71" s="501">
        <f t="shared" si="89"/>
      </c>
      <c r="N71" s="501">
        <f t="shared" si="152"/>
      </c>
      <c r="O71" s="501">
        <f t="shared" si="215"/>
      </c>
      <c r="P71" s="501">
        <f t="shared" si="47"/>
      </c>
      <c r="Q71" s="502">
        <f t="shared" si="110"/>
      </c>
      <c r="R71" s="503">
        <v>0.0174</v>
      </c>
      <c r="S71" s="504">
        <v>53</v>
      </c>
      <c r="T71" s="500">
        <f t="shared" si="173"/>
      </c>
      <c r="U71" s="502">
        <v>13095</v>
      </c>
      <c r="V71" s="502">
        <v>349</v>
      </c>
      <c r="W71" s="502">
        <v>50</v>
      </c>
      <c r="X71" s="502">
        <v>376</v>
      </c>
      <c r="Y71" s="502">
        <v>40</v>
      </c>
      <c r="Z71" s="502">
        <v>2</v>
      </c>
      <c r="AA71" s="502">
        <v>2</v>
      </c>
      <c r="AB71" s="502">
        <v>10</v>
      </c>
      <c r="AC71" s="500">
        <f t="shared" si="236"/>
      </c>
      <c r="AD71" s="522" t="s">
        <v>307</v>
      </c>
      <c r="AE71" s="522" t="s">
        <v>328</v>
      </c>
      <c r="AF71" s="504">
        <v>18</v>
      </c>
    </row>
    <row r="72">
      <c r="A72" s="494"/>
      <c r="B72" s="507" t="s">
        <v>312</v>
      </c>
      <c r="C72" s="507"/>
      <c r="D72" s="508">
        <f>SUM(D68:D71)</f>
      </c>
      <c r="E72" s="509">
        <f>SUM(E68:E71)</f>
      </c>
      <c r="F72" s="509">
        <f>SUM(F68:F71)</f>
      </c>
      <c r="G72" s="508">
        <f>SUM(G68:G71)</f>
      </c>
      <c r="H72" s="510">
        <f t="shared" si="5"/>
      </c>
      <c r="I72" s="510">
        <f t="shared" si="68"/>
      </c>
      <c r="J72" s="510">
        <f t="shared" si="131"/>
      </c>
      <c r="K72" s="510">
        <f t="shared" si="194"/>
      </c>
      <c r="L72" s="510">
        <f t="shared" si="26"/>
      </c>
      <c r="M72" s="511">
        <f t="shared" si="89"/>
      </c>
      <c r="N72" s="511">
        <f t="shared" si="152"/>
      </c>
      <c r="O72" s="511">
        <f t="shared" si="215"/>
      </c>
      <c r="P72" s="511">
        <f t="shared" si="47"/>
      </c>
      <c r="Q72" s="512">
        <f t="shared" si="110"/>
      </c>
      <c r="R72" s="511">
        <f>AVERAGE(R68:R71)</f>
      </c>
      <c r="S72" s="508">
        <f>AVERAGE(S68:S71)</f>
      </c>
      <c r="T72" s="510">
        <f t="shared" si="173"/>
      </c>
      <c r="U72" s="512">
        <f>SUM(U68:U71)</f>
      </c>
      <c r="V72" s="512">
        <f>SUM(V68:V71)</f>
      </c>
      <c r="W72" s="512">
        <f>SUM(W68:W71)</f>
      </c>
      <c r="X72" s="512">
        <f>SUM(X68:X71)</f>
      </c>
      <c r="Y72" s="512">
        <f>SUM(Y68:Y71)</f>
      </c>
      <c r="Z72" s="512">
        <f>SUM(Z68:Z71)</f>
      </c>
      <c r="AA72" s="512">
        <f>SUM(AA68:AA71)</f>
      </c>
      <c r="AB72" s="512">
        <f>SUM(AB68:AB71)</f>
      </c>
      <c r="AC72" s="513">
        <f t="shared" si="236"/>
      </c>
      <c r="AD72" s="523"/>
      <c r="AE72" s="523"/>
      <c r="AF72" s="515">
        <f>SUM(AF68:AF71)</f>
      </c>
    </row>
    <row r="73">
      <c r="A73" s="494"/>
      <c r="B73" s="496" t="s">
        <v>313</v>
      </c>
      <c r="C73" s="496" t="s">
        <v>314</v>
      </c>
      <c r="D73" s="499">
        <v>6464.46</v>
      </c>
      <c r="E73" s="498">
        <v>6</v>
      </c>
      <c r="F73" s="498">
        <v>6</v>
      </c>
      <c r="G73" s="497">
        <v>5638.600000000002</v>
      </c>
      <c r="H73" s="500">
        <f t="shared" si="5"/>
      </c>
      <c r="I73" s="500">
        <f t="shared" si="68"/>
      </c>
      <c r="J73" s="500">
        <f t="shared" si="131"/>
      </c>
      <c r="K73" s="500">
        <f t="shared" si="194"/>
      </c>
      <c r="L73" s="500">
        <f t="shared" si="26"/>
      </c>
      <c r="M73" s="501">
        <f t="shared" si="89"/>
      </c>
      <c r="N73" s="501">
        <f t="shared" si="152"/>
      </c>
      <c r="O73" s="501">
        <f t="shared" si="215"/>
      </c>
      <c r="P73" s="501">
        <f t="shared" si="47"/>
      </c>
      <c r="Q73" s="502">
        <f t="shared" si="110"/>
      </c>
      <c r="R73" s="503">
        <v>0.032</v>
      </c>
      <c r="S73" s="504">
        <v>48</v>
      </c>
      <c r="T73" s="500">
        <f t="shared" si="173"/>
      </c>
      <c r="U73" s="502">
        <v>56960</v>
      </c>
      <c r="V73" s="502">
        <v>1507</v>
      </c>
      <c r="W73" s="502">
        <v>193</v>
      </c>
      <c r="X73" s="502">
        <v>1890</v>
      </c>
      <c r="Y73" s="502">
        <v>115</v>
      </c>
      <c r="Z73" s="502">
        <v>19</v>
      </c>
      <c r="AA73" s="502">
        <v>6</v>
      </c>
      <c r="AB73" s="502">
        <v>78</v>
      </c>
      <c r="AC73" s="500">
        <f t="shared" si="236"/>
      </c>
      <c r="AD73" s="522" t="s">
        <v>307</v>
      </c>
      <c r="AE73" s="522" t="s">
        <v>328</v>
      </c>
      <c r="AF73" s="504">
        <v>49</v>
      </c>
    </row>
    <row r="74">
      <c r="A74" s="494"/>
      <c r="B74" s="496" t="s">
        <v>313</v>
      </c>
      <c r="C74" s="496" t="s">
        <v>315</v>
      </c>
      <c r="D74" s="499">
        <v>4036.28</v>
      </c>
      <c r="E74" s="498">
        <v>3</v>
      </c>
      <c r="F74" s="498">
        <v>2</v>
      </c>
      <c r="G74" s="499">
        <v>2072.399999999998</v>
      </c>
      <c r="H74" s="500">
        <f t="shared" si="5"/>
      </c>
      <c r="I74" s="500">
        <f t="shared" si="68"/>
      </c>
      <c r="J74" s="500">
        <f t="shared" si="131"/>
      </c>
      <c r="K74" s="500">
        <f t="shared" si="194"/>
      </c>
      <c r="L74" s="500">
        <f t="shared" si="26"/>
      </c>
      <c r="M74" s="501">
        <f t="shared" si="89"/>
      </c>
      <c r="N74" s="501">
        <f t="shared" si="152"/>
      </c>
      <c r="O74" s="501">
        <f t="shared" si="215"/>
      </c>
      <c r="P74" s="501">
        <f t="shared" si="47"/>
      </c>
      <c r="Q74" s="502">
        <f t="shared" si="110"/>
      </c>
      <c r="R74" s="503">
        <v>0.0245</v>
      </c>
      <c r="S74" s="504">
        <v>43</v>
      </c>
      <c r="T74" s="500">
        <f t="shared" si="173"/>
      </c>
      <c r="U74" s="502">
        <v>34324</v>
      </c>
      <c r="V74" s="502">
        <v>1447</v>
      </c>
      <c r="W74" s="502">
        <v>137</v>
      </c>
      <c r="X74" s="502">
        <v>1986</v>
      </c>
      <c r="Y74" s="502">
        <v>76</v>
      </c>
      <c r="Z74" s="502">
        <v>12</v>
      </c>
      <c r="AA74" s="502">
        <v>0</v>
      </c>
      <c r="AB74" s="502">
        <v>49</v>
      </c>
      <c r="AC74" s="500">
        <f t="shared" si="236"/>
      </c>
      <c r="AD74" s="522" t="s">
        <v>307</v>
      </c>
      <c r="AE74" s="522" t="s">
        <v>328</v>
      </c>
      <c r="AF74" s="504">
        <v>35</v>
      </c>
    </row>
    <row r="75">
      <c r="A75" s="494"/>
      <c r="B75" s="496" t="s">
        <v>313</v>
      </c>
      <c r="C75" s="496" t="s">
        <v>316</v>
      </c>
      <c r="D75" s="499">
        <v>2351.5</v>
      </c>
      <c r="E75" s="498">
        <v>6</v>
      </c>
      <c r="F75" s="498">
        <v>4</v>
      </c>
      <c r="G75" s="499">
        <v>3111.899999999998</v>
      </c>
      <c r="H75" s="500">
        <f t="shared" si="5"/>
      </c>
      <c r="I75" s="500">
        <f t="shared" si="68"/>
      </c>
      <c r="J75" s="500">
        <f t="shared" si="131"/>
      </c>
      <c r="K75" s="500">
        <f t="shared" si="194"/>
      </c>
      <c r="L75" s="500">
        <f t="shared" si="26"/>
      </c>
      <c r="M75" s="501">
        <f t="shared" si="89"/>
      </c>
      <c r="N75" s="501">
        <f t="shared" si="152"/>
      </c>
      <c r="O75" s="501">
        <f t="shared" si="215"/>
      </c>
      <c r="P75" s="501">
        <f t="shared" si="47"/>
      </c>
      <c r="Q75" s="502">
        <f t="shared" si="110"/>
      </c>
      <c r="R75" s="503">
        <v>0.0137</v>
      </c>
      <c r="S75" s="504">
        <v>41</v>
      </c>
      <c r="T75" s="500">
        <f t="shared" si="173"/>
      </c>
      <c r="U75" s="502">
        <v>18147</v>
      </c>
      <c r="V75" s="502">
        <v>1303</v>
      </c>
      <c r="W75" s="502">
        <v>86</v>
      </c>
      <c r="X75" s="502">
        <v>1764</v>
      </c>
      <c r="Y75" s="502">
        <v>77</v>
      </c>
      <c r="Z75" s="502">
        <v>5</v>
      </c>
      <c r="AA75" s="502">
        <v>2</v>
      </c>
      <c r="AB75" s="502">
        <v>19</v>
      </c>
      <c r="AC75" s="500">
        <f t="shared" si="236"/>
      </c>
      <c r="AD75" s="522" t="s">
        <v>307</v>
      </c>
      <c r="AE75" s="522" t="s">
        <v>328</v>
      </c>
      <c r="AF75" s="504">
        <v>26</v>
      </c>
    </row>
    <row r="76">
      <c r="A76" s="494"/>
      <c r="B76" s="496" t="s">
        <v>313</v>
      </c>
      <c r="C76" s="496" t="s">
        <v>317</v>
      </c>
      <c r="D76" s="499">
        <v>808.28</v>
      </c>
      <c r="E76" s="498">
        <v>2</v>
      </c>
      <c r="F76" s="498">
        <v>1</v>
      </c>
      <c r="G76" s="499">
        <v>1346.8499999999985</v>
      </c>
      <c r="H76" s="500">
        <f t="shared" si="5"/>
      </c>
      <c r="I76" s="500">
        <f t="shared" si="68"/>
      </c>
      <c r="J76" s="500">
        <f t="shared" si="131"/>
      </c>
      <c r="K76" s="500">
        <f t="shared" si="194"/>
      </c>
      <c r="L76" s="500">
        <f t="shared" si="26"/>
      </c>
      <c r="M76" s="501">
        <f t="shared" si="89"/>
      </c>
      <c r="N76" s="501">
        <f t="shared" si="152"/>
      </c>
      <c r="O76" s="501">
        <f t="shared" si="215"/>
      </c>
      <c r="P76" s="501">
        <f t="shared" si="47"/>
      </c>
      <c r="Q76" s="502">
        <f t="shared" si="110"/>
      </c>
      <c r="R76" s="503">
        <v>0.0196</v>
      </c>
      <c r="S76" s="504">
        <v>42</v>
      </c>
      <c r="T76" s="500">
        <f t="shared" si="173"/>
      </c>
      <c r="U76" s="502">
        <v>6197</v>
      </c>
      <c r="V76" s="502">
        <v>492</v>
      </c>
      <c r="W76" s="502">
        <v>37</v>
      </c>
      <c r="X76" s="502">
        <v>726</v>
      </c>
      <c r="Y76" s="502">
        <v>42</v>
      </c>
      <c r="Z76" s="502">
        <v>5</v>
      </c>
      <c r="AA76" s="502">
        <v>1</v>
      </c>
      <c r="AB76" s="502">
        <v>6</v>
      </c>
      <c r="AC76" s="500">
        <f t="shared" si="236"/>
      </c>
      <c r="AD76" s="522" t="s">
        <v>307</v>
      </c>
      <c r="AE76" s="522" t="s">
        <v>328</v>
      </c>
      <c r="AF76" s="504">
        <v>15</v>
      </c>
    </row>
    <row r="77">
      <c r="A77" s="494"/>
      <c r="B77" s="507" t="s">
        <v>312</v>
      </c>
      <c r="C77" s="507"/>
      <c r="D77" s="508">
        <f>SUM(D73:D76)</f>
      </c>
      <c r="E77" s="509">
        <f>SUM(E73:E76)</f>
      </c>
      <c r="F77" s="509">
        <f>SUM(F73:F76)</f>
      </c>
      <c r="G77" s="508">
        <f>SUM(G73:G76)</f>
      </c>
      <c r="H77" s="510">
        <f t="shared" si="5"/>
      </c>
      <c r="I77" s="510">
        <f t="shared" si="68"/>
      </c>
      <c r="J77" s="510">
        <f t="shared" si="131"/>
      </c>
      <c r="K77" s="510">
        <f t="shared" si="194"/>
      </c>
      <c r="L77" s="510">
        <f t="shared" si="26"/>
      </c>
      <c r="M77" s="511">
        <f t="shared" si="89"/>
      </c>
      <c r="N77" s="511">
        <f t="shared" si="152"/>
      </c>
      <c r="O77" s="511">
        <f t="shared" si="215"/>
      </c>
      <c r="P77" s="511">
        <f t="shared" si="47"/>
      </c>
      <c r="Q77" s="512">
        <f t="shared" si="110"/>
      </c>
      <c r="R77" s="511">
        <f>AVERAGE(R73:R76)</f>
      </c>
      <c r="S77" s="508">
        <f>AVERAGE(S73:S76)</f>
      </c>
      <c r="T77" s="510">
        <f t="shared" si="173"/>
      </c>
      <c r="U77" s="512">
        <f>SUM(U73:U76)</f>
      </c>
      <c r="V77" s="512">
        <f>SUM(V73:V76)</f>
      </c>
      <c r="W77" s="512">
        <f>SUM(W73:W76)</f>
      </c>
      <c r="X77" s="512">
        <f>SUM(X73:X76)</f>
      </c>
      <c r="Y77" s="512">
        <f>SUM(Y73:Y76)</f>
      </c>
      <c r="Z77" s="512">
        <f>SUM(Z73:Z76)</f>
      </c>
      <c r="AA77" s="512">
        <f>SUM(AA73:AA76)</f>
      </c>
      <c r="AB77" s="512">
        <f>SUM(AB73:AB76)</f>
      </c>
      <c r="AC77" s="513">
        <f t="shared" si="236"/>
      </c>
      <c r="AD77" s="514"/>
      <c r="AE77" s="514"/>
      <c r="AF77" s="512">
        <f>SUM(AF73:AF76)</f>
      </c>
    </row>
    <row r="78">
      <c r="A78" s="494"/>
      <c r="B78" s="516" t="s">
        <v>318</v>
      </c>
      <c r="C78" s="516"/>
      <c r="D78" s="517">
        <f>D72+D77</f>
      </c>
      <c r="E78" s="518">
        <f>E72+E77</f>
      </c>
      <c r="F78" s="518">
        <f>F72+F77</f>
      </c>
      <c r="G78" s="517">
        <f>G72+G77</f>
      </c>
      <c r="H78" s="519">
        <f t="shared" si="5"/>
      </c>
      <c r="I78" s="519">
        <f t="shared" si="68"/>
      </c>
      <c r="J78" s="519">
        <f t="shared" si="131"/>
      </c>
      <c r="K78" s="519">
        <f t="shared" si="194"/>
      </c>
      <c r="L78" s="519">
        <f t="shared" si="26"/>
      </c>
      <c r="M78" s="520">
        <f t="shared" si="89"/>
      </c>
      <c r="N78" s="520">
        <f t="shared" si="152"/>
      </c>
      <c r="O78" s="520">
        <f t="shared" si="215"/>
      </c>
      <c r="P78" s="520">
        <f t="shared" si="47"/>
      </c>
      <c r="Q78" s="521">
        <f t="shared" si="110"/>
      </c>
      <c r="R78" s="520">
        <f>(R72+R77)/2</f>
      </c>
      <c r="S78" s="517">
        <f>(S77+S72)/2</f>
      </c>
      <c r="T78" s="517">
        <f t="shared" si="173"/>
      </c>
      <c r="U78" s="521">
        <f>U72+U77</f>
      </c>
      <c r="V78" s="521">
        <f>V72+V77</f>
      </c>
      <c r="W78" s="521">
        <f>W72+W77</f>
      </c>
      <c r="X78" s="521">
        <f>X72+X77</f>
      </c>
      <c r="Y78" s="521">
        <f>Y72+Y77</f>
      </c>
      <c r="Z78" s="521">
        <f>Z72+Z77</f>
      </c>
      <c r="AA78" s="521">
        <f>AA72+AA77</f>
      </c>
      <c r="AB78" s="521">
        <f>AB72+AB77</f>
      </c>
      <c r="AC78" s="519">
        <f>AC72</f>
      </c>
      <c r="AD78" s="516"/>
      <c r="AE78" s="516"/>
      <c r="AF78" s="521">
        <f>AF72+AF77</f>
      </c>
    </row>
    <row r="79">
      <c r="A79" s="484" t="s">
        <v>319</v>
      </c>
      <c r="B79" s="484" t="s">
        <v>270</v>
      </c>
      <c r="C79" s="484"/>
      <c r="D79" s="485" t="s">
        <v>271</v>
      </c>
      <c r="E79" s="485"/>
      <c r="F79" s="485"/>
      <c r="G79" s="485"/>
      <c r="H79" s="485"/>
      <c r="I79" s="485"/>
      <c r="J79" s="485"/>
      <c r="K79" s="485"/>
      <c r="L79" s="486" t="s">
        <v>272</v>
      </c>
      <c r="M79" s="486"/>
      <c r="N79" s="486"/>
      <c r="O79" s="486"/>
      <c r="P79" s="486"/>
      <c r="Q79" s="486"/>
      <c r="R79" s="486"/>
      <c r="S79" s="486"/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7"/>
    </row>
    <row r="80">
      <c r="A80" s="484"/>
      <c r="B80" s="484" t="s">
        <v>273</v>
      </c>
      <c r="C80" s="484" t="s">
        <v>274</v>
      </c>
      <c r="D80" s="485" t="s">
        <v>275</v>
      </c>
      <c r="E80" s="488" t="s">
        <v>276</v>
      </c>
      <c r="F80" s="488" t="s">
        <v>277</v>
      </c>
      <c r="G80" s="485" t="s">
        <v>278</v>
      </c>
      <c r="H80" s="489" t="s">
        <v>279</v>
      </c>
      <c r="I80" s="489" t="s">
        <v>280</v>
      </c>
      <c r="J80" s="489" t="s">
        <v>281</v>
      </c>
      <c r="K80" s="489" t="s">
        <v>282</v>
      </c>
      <c r="L80" s="490" t="s">
        <v>283</v>
      </c>
      <c r="M80" s="491" t="s">
        <v>284</v>
      </c>
      <c r="N80" s="491" t="s">
        <v>285</v>
      </c>
      <c r="O80" s="491" t="s">
        <v>286</v>
      </c>
      <c r="P80" s="491" t="s">
        <v>287</v>
      </c>
      <c r="Q80" s="492" t="s">
        <v>288</v>
      </c>
      <c r="R80" s="491" t="s">
        <v>289</v>
      </c>
      <c r="S80" s="492" t="s">
        <v>290</v>
      </c>
      <c r="T80" s="486" t="s">
        <v>291</v>
      </c>
      <c r="U80" s="487" t="s">
        <v>292</v>
      </c>
      <c r="V80" s="487" t="s">
        <v>293</v>
      </c>
      <c r="W80" s="487" t="s">
        <v>294</v>
      </c>
      <c r="X80" s="487" t="s">
        <v>295</v>
      </c>
      <c r="Y80" s="487" t="s">
        <v>296</v>
      </c>
      <c r="Z80" s="487" t="s">
        <v>297</v>
      </c>
      <c r="AA80" s="487" t="s">
        <v>298</v>
      </c>
      <c r="AB80" s="487" t="s">
        <v>299</v>
      </c>
      <c r="AC80" s="486" t="s">
        <v>300</v>
      </c>
      <c r="AD80" s="493" t="s">
        <v>301</v>
      </c>
      <c r="AE80" s="493" t="s">
        <v>302</v>
      </c>
      <c r="AF80" s="487" t="s">
        <v>303</v>
      </c>
    </row>
    <row r="81">
      <c r="A81" s="494" t="s">
        <v>329</v>
      </c>
      <c r="B81" s="495" t="s">
        <v>305</v>
      </c>
      <c r="C81" s="495" t="s">
        <v>323</v>
      </c>
      <c r="D81" s="499">
        <v>2969.01</v>
      </c>
      <c r="E81" s="498">
        <v>4</v>
      </c>
      <c r="F81" s="498">
        <v>3</v>
      </c>
      <c r="G81" s="499">
        <v>2615.8</v>
      </c>
      <c r="H81" s="500">
        <f t="shared" ref="H81:H91" si="6">G81/D81</f>
      </c>
      <c r="I81" s="500">
        <f t="shared" ref="I81:I91" si="69">D81/E81</f>
      </c>
      <c r="J81" s="500">
        <f t="shared" ref="J81:J91" si="132">D81/F81</f>
      </c>
      <c r="K81" s="500">
        <f t="shared" ref="K81:K91" si="195">G81/E81</f>
      </c>
      <c r="L81" s="500">
        <f t="shared" ref="L81:L91" si="27">D81/V81</f>
      </c>
      <c r="M81" s="501">
        <f t="shared" ref="M81:M91" si="90">Q81/U81*1</f>
      </c>
      <c r="N81" s="501">
        <f t="shared" ref="N81:N91" si="153">V81/U81</f>
      </c>
      <c r="O81" s="501">
        <f t="shared" ref="O81:O91" si="216">X81/U81</f>
      </c>
      <c r="P81" s="501">
        <f t="shared" ref="P81:P91" si="48">Y81/X81</f>
      </c>
      <c r="Q81" s="502">
        <f t="shared" ref="Q81:Q91" si="111">W81/R81</f>
      </c>
      <c r="R81" s="503">
        <v>0.0153</v>
      </c>
      <c r="S81" s="504">
        <v>30</v>
      </c>
      <c r="T81" s="500">
        <f t="shared" ref="T81:T91" si="174">(D81/U81)*1000</f>
      </c>
      <c r="U81" s="502">
        <v>20864</v>
      </c>
      <c r="V81" s="502">
        <v>1157</v>
      </c>
      <c r="W81" s="502">
        <v>114</v>
      </c>
      <c r="X81" s="502">
        <v>1627</v>
      </c>
      <c r="Y81" s="502">
        <v>46</v>
      </c>
      <c r="Z81" s="502">
        <v>8</v>
      </c>
      <c r="AA81" s="502">
        <v>1</v>
      </c>
      <c r="AB81" s="504">
        <v>18</v>
      </c>
      <c r="AC81" s="500">
        <f t="shared" ref="AC81:AC90" si="237">AF81*1000/D81</f>
      </c>
      <c r="AD81" s="522" t="s">
        <v>307</v>
      </c>
      <c r="AE81" s="522" t="s">
        <v>328</v>
      </c>
      <c r="AF81" s="504">
        <v>31</v>
      </c>
    </row>
    <row r="82">
      <c r="A82" s="494"/>
      <c r="B82" s="495" t="s">
        <v>305</v>
      </c>
      <c r="C82" s="496" t="s">
        <v>309</v>
      </c>
      <c r="D82" s="499">
        <v>2082.87</v>
      </c>
      <c r="E82" s="498">
        <v>5</v>
      </c>
      <c r="F82" s="498">
        <v>4</v>
      </c>
      <c r="G82" s="499">
        <v>3617.9000000000005</v>
      </c>
      <c r="H82" s="500">
        <f t="shared" si="6"/>
      </c>
      <c r="I82" s="500">
        <f t="shared" si="69"/>
      </c>
      <c r="J82" s="500">
        <f t="shared" si="132"/>
      </c>
      <c r="K82" s="500">
        <f t="shared" si="195"/>
      </c>
      <c r="L82" s="500">
        <f t="shared" si="27"/>
      </c>
      <c r="M82" s="501">
        <f t="shared" si="90"/>
      </c>
      <c r="N82" s="501">
        <f t="shared" si="153"/>
      </c>
      <c r="O82" s="501">
        <f t="shared" si="216"/>
      </c>
      <c r="P82" s="501">
        <f t="shared" si="48"/>
      </c>
      <c r="Q82" s="502">
        <f t="shared" si="111"/>
      </c>
      <c r="R82" s="503">
        <v>0.0176</v>
      </c>
      <c r="S82" s="504">
        <v>34</v>
      </c>
      <c r="T82" s="500">
        <f t="shared" si="174"/>
      </c>
      <c r="U82" s="502">
        <v>13251</v>
      </c>
      <c r="V82" s="502">
        <v>969</v>
      </c>
      <c r="W82" s="502">
        <v>87</v>
      </c>
      <c r="X82" s="502">
        <v>1329</v>
      </c>
      <c r="Y82" s="502">
        <v>56</v>
      </c>
      <c r="Z82" s="502">
        <v>11</v>
      </c>
      <c r="AA82" s="502">
        <v>2</v>
      </c>
      <c r="AB82" s="502">
        <v>8</v>
      </c>
      <c r="AC82" s="500">
        <f t="shared" si="237"/>
      </c>
      <c r="AD82" s="522" t="s">
        <v>307</v>
      </c>
      <c r="AE82" s="522" t="s">
        <v>328</v>
      </c>
      <c r="AF82" s="504">
        <v>31</v>
      </c>
    </row>
    <row r="83">
      <c r="A83" s="494"/>
      <c r="B83" s="495" t="s">
        <v>305</v>
      </c>
      <c r="C83" s="496" t="s">
        <v>310</v>
      </c>
      <c r="D83" s="499">
        <v>1657.17</v>
      </c>
      <c r="E83" s="498">
        <v>2</v>
      </c>
      <c r="F83" s="498">
        <v>3</v>
      </c>
      <c r="G83" s="497">
        <v>1637.8999999999996</v>
      </c>
      <c r="H83" s="500">
        <f t="shared" si="6"/>
      </c>
      <c r="I83" s="500">
        <f t="shared" si="69"/>
      </c>
      <c r="J83" s="500">
        <f t="shared" si="132"/>
      </c>
      <c r="K83" s="500">
        <f t="shared" si="195"/>
      </c>
      <c r="L83" s="500">
        <f t="shared" si="27"/>
      </c>
      <c r="M83" s="501">
        <f t="shared" si="90"/>
      </c>
      <c r="N83" s="501">
        <f t="shared" si="153"/>
      </c>
      <c r="O83" s="501">
        <f t="shared" si="216"/>
      </c>
      <c r="P83" s="501">
        <f t="shared" si="48"/>
      </c>
      <c r="Q83" s="502">
        <f t="shared" si="111"/>
      </c>
      <c r="R83" s="503">
        <v>0.0123</v>
      </c>
      <c r="S83" s="504">
        <v>33</v>
      </c>
      <c r="T83" s="500">
        <f t="shared" si="174"/>
      </c>
      <c r="U83" s="502">
        <v>11159</v>
      </c>
      <c r="V83" s="502">
        <v>959</v>
      </c>
      <c r="W83" s="502">
        <v>53</v>
      </c>
      <c r="X83" s="502">
        <v>1291</v>
      </c>
      <c r="Y83" s="502">
        <v>66</v>
      </c>
      <c r="Z83" s="502">
        <v>2</v>
      </c>
      <c r="AA83" s="502">
        <v>4</v>
      </c>
      <c r="AB83" s="502">
        <v>4</v>
      </c>
      <c r="AC83" s="500">
        <f t="shared" si="237"/>
      </c>
      <c r="AD83" s="522" t="s">
        <v>307</v>
      </c>
      <c r="AE83" s="522" t="s">
        <v>328</v>
      </c>
      <c r="AF83" s="504">
        <v>28</v>
      </c>
    </row>
    <row r="84">
      <c r="A84" s="494"/>
      <c r="B84" s="495" t="s">
        <v>305</v>
      </c>
      <c r="C84" s="496" t="s">
        <v>311</v>
      </c>
      <c r="D84" s="499">
        <v>1875.48</v>
      </c>
      <c r="E84" s="498">
        <v>6</v>
      </c>
      <c r="F84" s="498">
        <v>5</v>
      </c>
      <c r="G84" s="499">
        <v>5241.5</v>
      </c>
      <c r="H84" s="500">
        <f t="shared" si="6"/>
      </c>
      <c r="I84" s="500">
        <f t="shared" si="69"/>
      </c>
      <c r="J84" s="500">
        <f t="shared" si="132"/>
      </c>
      <c r="K84" s="500">
        <f t="shared" si="195"/>
      </c>
      <c r="L84" s="500">
        <f t="shared" si="27"/>
      </c>
      <c r="M84" s="501">
        <f t="shared" si="90"/>
      </c>
      <c r="N84" s="501">
        <f t="shared" si="153"/>
      </c>
      <c r="O84" s="501">
        <f t="shared" si="216"/>
      </c>
      <c r="P84" s="501">
        <f t="shared" si="48"/>
      </c>
      <c r="Q84" s="502">
        <f t="shared" si="111"/>
      </c>
      <c r="R84" s="503">
        <v>0.0159</v>
      </c>
      <c r="S84" s="504">
        <v>33</v>
      </c>
      <c r="T84" s="500">
        <f t="shared" si="174"/>
      </c>
      <c r="U84" s="502">
        <v>11518</v>
      </c>
      <c r="V84" s="502">
        <v>1053</v>
      </c>
      <c r="W84" s="502">
        <v>69</v>
      </c>
      <c r="X84" s="502">
        <v>1370</v>
      </c>
      <c r="Y84" s="502">
        <v>65</v>
      </c>
      <c r="Z84" s="502">
        <v>8</v>
      </c>
      <c r="AA84" s="502">
        <v>0</v>
      </c>
      <c r="AB84" s="502">
        <v>7</v>
      </c>
      <c r="AC84" s="500">
        <f t="shared" si="237"/>
      </c>
      <c r="AD84" s="522" t="s">
        <v>307</v>
      </c>
      <c r="AE84" s="522" t="s">
        <v>328</v>
      </c>
      <c r="AF84" s="504">
        <v>24</v>
      </c>
    </row>
    <row r="85">
      <c r="A85" s="494"/>
      <c r="B85" s="507" t="s">
        <v>312</v>
      </c>
      <c r="C85" s="507"/>
      <c r="D85" s="508">
        <f>SUM(D81:D84)</f>
      </c>
      <c r="E85" s="509">
        <f>SUM(E81:E84)</f>
      </c>
      <c r="F85" s="509">
        <f>SUM(F81:F84)</f>
      </c>
      <c r="G85" s="508">
        <f>SUM(G81:G84)</f>
      </c>
      <c r="H85" s="510">
        <f t="shared" si="6"/>
      </c>
      <c r="I85" s="510">
        <f t="shared" si="69"/>
      </c>
      <c r="J85" s="510">
        <f t="shared" si="132"/>
      </c>
      <c r="K85" s="510">
        <f t="shared" si="195"/>
      </c>
      <c r="L85" s="510">
        <f t="shared" si="27"/>
      </c>
      <c r="M85" s="511">
        <f t="shared" si="90"/>
      </c>
      <c r="N85" s="511">
        <f t="shared" si="153"/>
      </c>
      <c r="O85" s="511">
        <f t="shared" si="216"/>
      </c>
      <c r="P85" s="511">
        <f t="shared" si="48"/>
      </c>
      <c r="Q85" s="512">
        <f t="shared" si="111"/>
      </c>
      <c r="R85" s="511">
        <f>AVERAGE(R81:R84)</f>
      </c>
      <c r="S85" s="508">
        <f>AVERAGE(S81:S84)</f>
      </c>
      <c r="T85" s="510">
        <f t="shared" si="174"/>
      </c>
      <c r="U85" s="512">
        <f>SUM(U81:U84)</f>
      </c>
      <c r="V85" s="512">
        <f>SUM(V81:V84)</f>
      </c>
      <c r="W85" s="512">
        <f>SUM(W81:W84)</f>
      </c>
      <c r="X85" s="512">
        <f>SUM(X81:X84)</f>
      </c>
      <c r="Y85" s="512">
        <f>SUM(Y81:Y84)</f>
      </c>
      <c r="Z85" s="512">
        <f>SUM(Z81:Z84)</f>
      </c>
      <c r="AA85" s="512">
        <f>SUM(AA81:AA84)</f>
      </c>
      <c r="AB85" s="512">
        <f>SUM(AB81:AB84)</f>
      </c>
      <c r="AC85" s="513">
        <f t="shared" si="237"/>
      </c>
      <c r="AD85" s="523"/>
      <c r="AE85" s="523"/>
      <c r="AF85" s="515">
        <f>SUM(AF81:AF84)</f>
      </c>
    </row>
    <row r="86">
      <c r="A86" s="494"/>
      <c r="B86" s="496" t="s">
        <v>313</v>
      </c>
      <c r="C86" s="496" t="s">
        <v>314</v>
      </c>
      <c r="D86" s="499">
        <v>1978.94</v>
      </c>
      <c r="E86" s="498">
        <v>4</v>
      </c>
      <c r="F86" s="498">
        <v>3</v>
      </c>
      <c r="G86" s="497">
        <v>2900.7000000000007</v>
      </c>
      <c r="H86" s="500">
        <f t="shared" si="6"/>
      </c>
      <c r="I86" s="500">
        <f t="shared" si="69"/>
      </c>
      <c r="J86" s="500">
        <f t="shared" si="132"/>
      </c>
      <c r="K86" s="500">
        <f t="shared" si="195"/>
      </c>
      <c r="L86" s="500">
        <f t="shared" si="27"/>
      </c>
      <c r="M86" s="501">
        <f t="shared" si="90"/>
      </c>
      <c r="N86" s="501">
        <f t="shared" si="153"/>
      </c>
      <c r="O86" s="501">
        <f t="shared" si="216"/>
      </c>
      <c r="P86" s="501">
        <f t="shared" si="48"/>
      </c>
      <c r="Q86" s="502">
        <f t="shared" si="111"/>
      </c>
      <c r="R86" s="503">
        <v>0.014</v>
      </c>
      <c r="S86" s="504">
        <v>35</v>
      </c>
      <c r="T86" s="500">
        <f t="shared" si="174"/>
      </c>
      <c r="U86" s="502">
        <v>14444</v>
      </c>
      <c r="V86" s="502">
        <v>1360</v>
      </c>
      <c r="W86" s="502">
        <v>90</v>
      </c>
      <c r="X86" s="502">
        <v>1677</v>
      </c>
      <c r="Y86" s="502">
        <v>85</v>
      </c>
      <c r="Z86" s="502">
        <v>15</v>
      </c>
      <c r="AA86" s="502">
        <v>1</v>
      </c>
      <c r="AB86" s="502">
        <v>7</v>
      </c>
      <c r="AC86" s="500">
        <f t="shared" si="237"/>
      </c>
      <c r="AD86" s="522" t="s">
        <v>307</v>
      </c>
      <c r="AE86" s="522" t="s">
        <v>328</v>
      </c>
      <c r="AF86" s="504">
        <v>33</v>
      </c>
    </row>
    <row r="87">
      <c r="A87" s="494"/>
      <c r="B87" s="496" t="s">
        <v>313</v>
      </c>
      <c r="C87" s="496" t="s">
        <v>315</v>
      </c>
      <c r="D87" s="499">
        <v>2478.78</v>
      </c>
      <c r="E87" s="498">
        <v>5</v>
      </c>
      <c r="F87" s="498">
        <v>4</v>
      </c>
      <c r="G87" s="499">
        <v>2990.8999999999996</v>
      </c>
      <c r="H87" s="500">
        <f t="shared" si="6"/>
      </c>
      <c r="I87" s="500">
        <f t="shared" si="69"/>
      </c>
      <c r="J87" s="500">
        <f t="shared" si="132"/>
      </c>
      <c r="K87" s="500">
        <f t="shared" si="195"/>
      </c>
      <c r="L87" s="500">
        <f t="shared" si="27"/>
      </c>
      <c r="M87" s="501">
        <f t="shared" si="90"/>
      </c>
      <c r="N87" s="501">
        <f t="shared" si="153"/>
      </c>
      <c r="O87" s="501">
        <f t="shared" si="216"/>
      </c>
      <c r="P87" s="501">
        <f t="shared" si="48"/>
      </c>
      <c r="Q87" s="502">
        <f t="shared" si="111"/>
      </c>
      <c r="R87" s="503">
        <v>0.012</v>
      </c>
      <c r="S87" s="504">
        <v>35</v>
      </c>
      <c r="T87" s="500">
        <f t="shared" si="174"/>
      </c>
      <c r="U87" s="502">
        <v>16062</v>
      </c>
      <c r="V87" s="502">
        <v>1412</v>
      </c>
      <c r="W87" s="502">
        <v>76</v>
      </c>
      <c r="X87" s="502">
        <v>1785</v>
      </c>
      <c r="Y87" s="502">
        <v>92</v>
      </c>
      <c r="Z87" s="502">
        <v>10</v>
      </c>
      <c r="AA87" s="502">
        <v>1</v>
      </c>
      <c r="AB87" s="502">
        <v>7</v>
      </c>
      <c r="AC87" s="500">
        <f t="shared" si="237"/>
      </c>
      <c r="AD87" s="522" t="s">
        <v>307</v>
      </c>
      <c r="AE87" s="522" t="s">
        <v>328</v>
      </c>
      <c r="AF87" s="504">
        <v>37</v>
      </c>
    </row>
    <row r="88">
      <c r="A88" s="494"/>
      <c r="B88" s="496" t="s">
        <v>313</v>
      </c>
      <c r="C88" s="496" t="s">
        <v>316</v>
      </c>
      <c r="D88" s="499">
        <v>1793.68</v>
      </c>
      <c r="E88" s="498">
        <v>2</v>
      </c>
      <c r="F88" s="498">
        <v>1</v>
      </c>
      <c r="G88" s="499">
        <v>1232</v>
      </c>
      <c r="H88" s="500">
        <f t="shared" si="6"/>
      </c>
      <c r="I88" s="500">
        <f t="shared" si="69"/>
      </c>
      <c r="J88" s="500">
        <f t="shared" si="132"/>
      </c>
      <c r="K88" s="500">
        <f t="shared" si="195"/>
      </c>
      <c r="L88" s="500">
        <f t="shared" si="27"/>
      </c>
      <c r="M88" s="501">
        <f t="shared" si="90"/>
      </c>
      <c r="N88" s="501">
        <f t="shared" si="153"/>
      </c>
      <c r="O88" s="501">
        <f t="shared" si="216"/>
      </c>
      <c r="P88" s="501">
        <f t="shared" si="48"/>
      </c>
      <c r="Q88" s="502">
        <f t="shared" si="111"/>
      </c>
      <c r="R88" s="503">
        <v>0.0109</v>
      </c>
      <c r="S88" s="504">
        <v>35</v>
      </c>
      <c r="T88" s="500">
        <f t="shared" si="174"/>
      </c>
      <c r="U88" s="502">
        <v>14587</v>
      </c>
      <c r="V88" s="502">
        <v>1336</v>
      </c>
      <c r="W88" s="502">
        <v>60</v>
      </c>
      <c r="X88" s="502">
        <v>1677</v>
      </c>
      <c r="Y88" s="502">
        <v>57</v>
      </c>
      <c r="Z88" s="502">
        <v>8</v>
      </c>
      <c r="AA88" s="502">
        <v>3</v>
      </c>
      <c r="AB88" s="502">
        <v>4</v>
      </c>
      <c r="AC88" s="500">
        <f t="shared" si="237"/>
      </c>
      <c r="AD88" s="522" t="s">
        <v>307</v>
      </c>
      <c r="AE88" s="522" t="s">
        <v>328</v>
      </c>
      <c r="AF88" s="504">
        <v>16</v>
      </c>
    </row>
    <row r="89">
      <c r="A89" s="494"/>
      <c r="B89" s="496" t="s">
        <v>313</v>
      </c>
      <c r="C89" s="496" t="s">
        <v>317</v>
      </c>
      <c r="D89" s="499">
        <v>659.99</v>
      </c>
      <c r="E89" s="498">
        <v>2</v>
      </c>
      <c r="F89" s="498">
        <v>1</v>
      </c>
      <c r="G89" s="499">
        <v>1307.8999999999978</v>
      </c>
      <c r="H89" s="500">
        <f t="shared" si="6"/>
      </c>
      <c r="I89" s="500">
        <f t="shared" si="69"/>
      </c>
      <c r="J89" s="500">
        <f t="shared" si="132"/>
      </c>
      <c r="K89" s="500">
        <f t="shared" si="195"/>
      </c>
      <c r="L89" s="500">
        <f t="shared" si="27"/>
      </c>
      <c r="M89" s="501">
        <f t="shared" si="90"/>
      </c>
      <c r="N89" s="501">
        <f t="shared" si="153"/>
      </c>
      <c r="O89" s="501">
        <f t="shared" si="216"/>
      </c>
      <c r="P89" s="501">
        <f t="shared" si="48"/>
      </c>
      <c r="Q89" s="502">
        <f t="shared" si="111"/>
      </c>
      <c r="R89" s="503">
        <v>0.0186</v>
      </c>
      <c r="S89" s="504">
        <v>35</v>
      </c>
      <c r="T89" s="500">
        <f t="shared" si="174"/>
      </c>
      <c r="U89" s="502">
        <v>4865</v>
      </c>
      <c r="V89" s="502">
        <v>552</v>
      </c>
      <c r="W89" s="502">
        <v>35</v>
      </c>
      <c r="X89" s="502">
        <v>755</v>
      </c>
      <c r="Y89" s="502">
        <v>25</v>
      </c>
      <c r="Z89" s="502">
        <v>5</v>
      </c>
      <c r="AA89" s="502">
        <v>1</v>
      </c>
      <c r="AB89" s="502">
        <v>2</v>
      </c>
      <c r="AC89" s="500">
        <f t="shared" si="237"/>
      </c>
      <c r="AD89" s="522" t="s">
        <v>307</v>
      </c>
      <c r="AE89" s="522" t="s">
        <v>328</v>
      </c>
      <c r="AF89" s="504">
        <v>10</v>
      </c>
    </row>
    <row r="90">
      <c r="A90" s="494"/>
      <c r="B90" s="507" t="s">
        <v>312</v>
      </c>
      <c r="C90" s="507"/>
      <c r="D90" s="508">
        <f>SUM(D86:D89)</f>
      </c>
      <c r="E90" s="509">
        <f>SUM(E86:E89)</f>
      </c>
      <c r="F90" s="509">
        <f>SUM(F86:F89)</f>
      </c>
      <c r="G90" s="508">
        <f>SUM(G86:G89)</f>
      </c>
      <c r="H90" s="510">
        <f t="shared" si="6"/>
      </c>
      <c r="I90" s="510">
        <f t="shared" si="69"/>
      </c>
      <c r="J90" s="510">
        <f t="shared" si="132"/>
      </c>
      <c r="K90" s="510">
        <f t="shared" si="195"/>
      </c>
      <c r="L90" s="510">
        <f t="shared" si="27"/>
      </c>
      <c r="M90" s="511">
        <f t="shared" si="90"/>
      </c>
      <c r="N90" s="511">
        <f t="shared" si="153"/>
      </c>
      <c r="O90" s="511">
        <f t="shared" si="216"/>
      </c>
      <c r="P90" s="511">
        <f t="shared" si="48"/>
      </c>
      <c r="Q90" s="512">
        <f t="shared" si="111"/>
      </c>
      <c r="R90" s="511">
        <f>AVERAGE(R86:R89)</f>
      </c>
      <c r="S90" s="508">
        <f>AVERAGE(S86:S89)</f>
      </c>
      <c r="T90" s="510">
        <f t="shared" si="174"/>
      </c>
      <c r="U90" s="512">
        <f>SUM(U86:U89)</f>
      </c>
      <c r="V90" s="512">
        <f>SUM(V86:V89)</f>
      </c>
      <c r="W90" s="512">
        <f>SUM(W86:W89)</f>
      </c>
      <c r="X90" s="512">
        <f>SUM(X86:X89)</f>
      </c>
      <c r="Y90" s="512">
        <f>SUM(Y86:Y89)</f>
      </c>
      <c r="Z90" s="512">
        <f>SUM(Z86:Z89)</f>
      </c>
      <c r="AA90" s="512">
        <f>SUM(AA86:AA89)</f>
      </c>
      <c r="AB90" s="512">
        <f>SUM(AB86:AB89)</f>
      </c>
      <c r="AC90" s="513">
        <f t="shared" si="237"/>
      </c>
      <c r="AD90" s="514"/>
      <c r="AE90" s="514"/>
      <c r="AF90" s="512">
        <f>SUM(AF86:AF89)</f>
      </c>
    </row>
    <row r="91">
      <c r="A91" s="494"/>
      <c r="B91" s="516" t="s">
        <v>318</v>
      </c>
      <c r="C91" s="516"/>
      <c r="D91" s="517">
        <f>D85+D90</f>
      </c>
      <c r="E91" s="518">
        <f>E85+E90</f>
      </c>
      <c r="F91" s="518">
        <f>F85+F90</f>
      </c>
      <c r="G91" s="517">
        <f>G85+G90</f>
      </c>
      <c r="H91" s="519">
        <f t="shared" si="6"/>
      </c>
      <c r="I91" s="519">
        <f t="shared" si="69"/>
      </c>
      <c r="J91" s="519">
        <f t="shared" si="132"/>
      </c>
      <c r="K91" s="519">
        <f t="shared" si="195"/>
      </c>
      <c r="L91" s="519">
        <f t="shared" si="27"/>
      </c>
      <c r="M91" s="520">
        <f t="shared" si="90"/>
      </c>
      <c r="N91" s="520">
        <f t="shared" si="153"/>
      </c>
      <c r="O91" s="520">
        <f t="shared" si="216"/>
      </c>
      <c r="P91" s="520">
        <f t="shared" si="48"/>
      </c>
      <c r="Q91" s="521">
        <f t="shared" si="111"/>
      </c>
      <c r="R91" s="520">
        <f>(R85+R90)/2</f>
      </c>
      <c r="S91" s="517">
        <f>(S90+S85)/2</f>
      </c>
      <c r="T91" s="517">
        <f t="shared" si="174"/>
      </c>
      <c r="U91" s="521">
        <f>U85+U90</f>
      </c>
      <c r="V91" s="521">
        <f>V85+V90</f>
      </c>
      <c r="W91" s="521">
        <f>W85+W90</f>
      </c>
      <c r="X91" s="521">
        <f>X85+X90</f>
      </c>
      <c r="Y91" s="521">
        <f>Y85+Y90</f>
      </c>
      <c r="Z91" s="521">
        <f>Z85+Z90</f>
      </c>
      <c r="AA91" s="521">
        <f>AA85+AA90</f>
      </c>
      <c r="AB91" s="521">
        <f>AB85+AB90</f>
      </c>
      <c r="AC91" s="519">
        <f>AC85</f>
      </c>
      <c r="AD91" s="516"/>
      <c r="AE91" s="516"/>
      <c r="AF91" s="521">
        <f>AF85+AF90</f>
      </c>
    </row>
    <row r="92">
      <c r="A92" s="484" t="s">
        <v>319</v>
      </c>
      <c r="B92" s="484" t="s">
        <v>270</v>
      </c>
      <c r="C92" s="484"/>
      <c r="D92" s="485" t="s">
        <v>271</v>
      </c>
      <c r="E92" s="485"/>
      <c r="F92" s="485"/>
      <c r="G92" s="485"/>
      <c r="H92" s="485"/>
      <c r="I92" s="485"/>
      <c r="J92" s="485"/>
      <c r="K92" s="485"/>
      <c r="L92" s="486" t="s">
        <v>272</v>
      </c>
      <c r="M92" s="486"/>
      <c r="N92" s="486"/>
      <c r="O92" s="486"/>
      <c r="P92" s="486"/>
      <c r="Q92" s="486"/>
      <c r="R92" s="486"/>
      <c r="S92" s="486"/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7"/>
    </row>
    <row r="93">
      <c r="A93" s="484"/>
      <c r="B93" s="484" t="s">
        <v>273</v>
      </c>
      <c r="C93" s="484" t="s">
        <v>274</v>
      </c>
      <c r="D93" s="485" t="s">
        <v>275</v>
      </c>
      <c r="E93" s="488" t="s">
        <v>276</v>
      </c>
      <c r="F93" s="488" t="s">
        <v>277</v>
      </c>
      <c r="G93" s="485" t="s">
        <v>278</v>
      </c>
      <c r="H93" s="489" t="s">
        <v>279</v>
      </c>
      <c r="I93" s="489" t="s">
        <v>280</v>
      </c>
      <c r="J93" s="489" t="s">
        <v>281</v>
      </c>
      <c r="K93" s="489" t="s">
        <v>282</v>
      </c>
      <c r="L93" s="490" t="s">
        <v>283</v>
      </c>
      <c r="M93" s="491" t="s">
        <v>284</v>
      </c>
      <c r="N93" s="491" t="s">
        <v>285</v>
      </c>
      <c r="O93" s="491" t="s">
        <v>286</v>
      </c>
      <c r="P93" s="491" t="s">
        <v>287</v>
      </c>
      <c r="Q93" s="492" t="s">
        <v>288</v>
      </c>
      <c r="R93" s="491" t="s">
        <v>289</v>
      </c>
      <c r="S93" s="492" t="s">
        <v>290</v>
      </c>
      <c r="T93" s="486" t="s">
        <v>291</v>
      </c>
      <c r="U93" s="487" t="s">
        <v>292</v>
      </c>
      <c r="V93" s="487" t="s">
        <v>293</v>
      </c>
      <c r="W93" s="487" t="s">
        <v>294</v>
      </c>
      <c r="X93" s="487" t="s">
        <v>295</v>
      </c>
      <c r="Y93" s="487" t="s">
        <v>296</v>
      </c>
      <c r="Z93" s="487" t="s">
        <v>297</v>
      </c>
      <c r="AA93" s="487" t="s">
        <v>298</v>
      </c>
      <c r="AB93" s="487" t="s">
        <v>299</v>
      </c>
      <c r="AC93" s="486" t="s">
        <v>300</v>
      </c>
      <c r="AD93" s="493" t="s">
        <v>301</v>
      </c>
      <c r="AE93" s="493" t="s">
        <v>302</v>
      </c>
      <c r="AF93" s="487" t="s">
        <v>303</v>
      </c>
    </row>
    <row r="94">
      <c r="A94" s="494" t="s">
        <v>330</v>
      </c>
      <c r="B94" s="495" t="s">
        <v>331</v>
      </c>
      <c r="C94" s="495" t="s">
        <v>323</v>
      </c>
      <c r="D94" s="499">
        <v>2728.77</v>
      </c>
      <c r="E94" s="498">
        <v>4</v>
      </c>
      <c r="F94" s="498">
        <v>4</v>
      </c>
      <c r="G94" s="499">
        <v>3886.3</v>
      </c>
      <c r="H94" s="500">
        <f t="shared" ref="H94:H104" si="7">G94/D94</f>
      </c>
      <c r="I94" s="500">
        <f t="shared" ref="I94:I104" si="70">D94/E94</f>
      </c>
      <c r="J94" s="500">
        <f t="shared" ref="J94:J104" si="133">D94/F94</f>
      </c>
      <c r="K94" s="500">
        <f t="shared" ref="K94:K104" si="196">G94/E94</f>
      </c>
      <c r="L94" s="500">
        <f t="shared" ref="L94:L104" si="28">D94/V94</f>
      </c>
      <c r="M94" s="501">
        <f t="shared" ref="M94:M104" si="91">Q94/U94*1</f>
      </c>
      <c r="N94" s="501">
        <f t="shared" ref="N94:N104" si="154">V94/U94</f>
      </c>
      <c r="O94" s="501">
        <f t="shared" ref="O94:O104" si="217">X94/U94</f>
      </c>
      <c r="P94" s="501">
        <f t="shared" ref="P94:P104" si="49">Y94/X94</f>
      </c>
      <c r="Q94" s="502">
        <f t="shared" ref="Q94:Q104" si="112">W94/R94</f>
      </c>
      <c r="R94" s="503">
        <v>0.0206</v>
      </c>
      <c r="S94" s="504">
        <v>36</v>
      </c>
      <c r="T94" s="500">
        <f t="shared" ref="T94:T104" si="175">(D94/U94)*1000</f>
      </c>
      <c r="U94" s="502">
        <v>17185</v>
      </c>
      <c r="V94" s="502">
        <v>1250</v>
      </c>
      <c r="W94" s="502">
        <v>134</v>
      </c>
      <c r="X94" s="502">
        <v>1782</v>
      </c>
      <c r="Y94" s="502">
        <v>102</v>
      </c>
      <c r="Z94" s="502">
        <v>12</v>
      </c>
      <c r="AA94" s="502">
        <v>3</v>
      </c>
      <c r="AB94" s="504">
        <v>12</v>
      </c>
      <c r="AC94" s="500">
        <f t="shared" ref="AC94:AC103" si="238">AF94*1000/D94</f>
      </c>
      <c r="AD94" s="522" t="s">
        <v>307</v>
      </c>
      <c r="AE94" s="522" t="s">
        <v>324</v>
      </c>
      <c r="AF94" s="504">
        <v>42</v>
      </c>
    </row>
    <row r="95">
      <c r="A95" s="494"/>
      <c r="B95" s="495" t="s">
        <v>331</v>
      </c>
      <c r="C95" s="496" t="s">
        <v>309</v>
      </c>
      <c r="D95" s="499">
        <v>3352.45</v>
      </c>
      <c r="E95" s="498">
        <v>11</v>
      </c>
      <c r="F95" s="498">
        <v>10</v>
      </c>
      <c r="G95" s="499">
        <v>8576.7</v>
      </c>
      <c r="H95" s="500">
        <f t="shared" si="7"/>
      </c>
      <c r="I95" s="500">
        <f t="shared" si="70"/>
      </c>
      <c r="J95" s="500">
        <f t="shared" si="133"/>
      </c>
      <c r="K95" s="500">
        <f t="shared" si="196"/>
      </c>
      <c r="L95" s="500">
        <f t="shared" si="28"/>
      </c>
      <c r="M95" s="501">
        <f t="shared" si="91"/>
      </c>
      <c r="N95" s="501">
        <f t="shared" si="154"/>
      </c>
      <c r="O95" s="501">
        <f t="shared" si="217"/>
      </c>
      <c r="P95" s="501">
        <f t="shared" si="49"/>
      </c>
      <c r="Q95" s="502">
        <f t="shared" si="112"/>
      </c>
      <c r="R95" s="503">
        <v>0.0246</v>
      </c>
      <c r="S95" s="504">
        <v>41</v>
      </c>
      <c r="T95" s="500">
        <f t="shared" si="175"/>
      </c>
      <c r="U95" s="502">
        <v>18419</v>
      </c>
      <c r="V95" s="502">
        <v>1134</v>
      </c>
      <c r="W95" s="502">
        <v>109</v>
      </c>
      <c r="X95" s="502">
        <v>1465</v>
      </c>
      <c r="Y95" s="502">
        <v>67</v>
      </c>
      <c r="Z95" s="502">
        <v>13</v>
      </c>
      <c r="AA95" s="502">
        <v>2</v>
      </c>
      <c r="AB95" s="502">
        <v>26</v>
      </c>
      <c r="AC95" s="500">
        <f t="shared" si="238"/>
      </c>
      <c r="AD95" s="522" t="s">
        <v>307</v>
      </c>
      <c r="AE95" s="522" t="s">
        <v>324</v>
      </c>
      <c r="AF95" s="504">
        <v>36</v>
      </c>
    </row>
    <row r="96">
      <c r="A96" s="494"/>
      <c r="B96" s="495" t="s">
        <v>331</v>
      </c>
      <c r="C96" s="496" t="s">
        <v>310</v>
      </c>
      <c r="D96" s="499">
        <v>2367.7</v>
      </c>
      <c r="E96" s="498">
        <v>8</v>
      </c>
      <c r="F96" s="498">
        <v>8</v>
      </c>
      <c r="G96" s="497">
        <v>5300.9000000000015</v>
      </c>
      <c r="H96" s="500">
        <f t="shared" si="7"/>
      </c>
      <c r="I96" s="500">
        <f t="shared" si="70"/>
      </c>
      <c r="J96" s="500">
        <f t="shared" si="133"/>
      </c>
      <c r="K96" s="500">
        <f t="shared" si="196"/>
      </c>
      <c r="L96" s="500">
        <f t="shared" si="28"/>
      </c>
      <c r="M96" s="501">
        <f t="shared" si="91"/>
      </c>
      <c r="N96" s="501">
        <f t="shared" si="154"/>
      </c>
      <c r="O96" s="501">
        <f t="shared" si="217"/>
      </c>
      <c r="P96" s="501">
        <f t="shared" si="49"/>
      </c>
      <c r="Q96" s="502">
        <f t="shared" si="112"/>
      </c>
      <c r="R96" s="503">
        <v>0.0221</v>
      </c>
      <c r="S96" s="504">
        <v>44</v>
      </c>
      <c r="T96" s="500">
        <f t="shared" si="175"/>
      </c>
      <c r="U96" s="502">
        <v>14571</v>
      </c>
      <c r="V96" s="502">
        <v>932</v>
      </c>
      <c r="W96" s="502">
        <v>81</v>
      </c>
      <c r="X96" s="502">
        <v>1214</v>
      </c>
      <c r="Y96" s="502">
        <v>89</v>
      </c>
      <c r="Z96" s="502">
        <v>9</v>
      </c>
      <c r="AA96" s="502">
        <v>2</v>
      </c>
      <c r="AB96" s="502">
        <v>19</v>
      </c>
      <c r="AC96" s="500">
        <f t="shared" si="238"/>
      </c>
      <c r="AD96" s="522" t="s">
        <v>307</v>
      </c>
      <c r="AE96" s="522" t="s">
        <v>324</v>
      </c>
      <c r="AF96" s="504">
        <v>37</v>
      </c>
    </row>
    <row r="97">
      <c r="A97" s="494"/>
      <c r="B97" s="495" t="s">
        <v>331</v>
      </c>
      <c r="C97" s="496" t="s">
        <v>311</v>
      </c>
      <c r="D97" s="499">
        <v>2987.03</v>
      </c>
      <c r="E97" s="498">
        <v>1</v>
      </c>
      <c r="F97" s="498">
        <v>1</v>
      </c>
      <c r="G97" s="499">
        <v>781</v>
      </c>
      <c r="H97" s="500">
        <f t="shared" si="7"/>
      </c>
      <c r="I97" s="500">
        <f t="shared" si="70"/>
      </c>
      <c r="J97" s="500">
        <f t="shared" si="133"/>
      </c>
      <c r="K97" s="500">
        <f t="shared" si="196"/>
      </c>
      <c r="L97" s="500">
        <f t="shared" si="28"/>
      </c>
      <c r="M97" s="501">
        <f t="shared" si="91"/>
      </c>
      <c r="N97" s="501">
        <f t="shared" si="154"/>
      </c>
      <c r="O97" s="501">
        <f t="shared" si="217"/>
      </c>
      <c r="P97" s="501">
        <f t="shared" si="49"/>
      </c>
      <c r="Q97" s="502">
        <f t="shared" si="112"/>
      </c>
      <c r="R97" s="503">
        <v>0.0284</v>
      </c>
      <c r="S97" s="504">
        <v>42</v>
      </c>
      <c r="T97" s="500">
        <f t="shared" si="175"/>
      </c>
      <c r="U97" s="502">
        <v>15930</v>
      </c>
      <c r="V97" s="502">
        <v>1021</v>
      </c>
      <c r="W97" s="502">
        <v>103</v>
      </c>
      <c r="X97" s="502">
        <v>1393</v>
      </c>
      <c r="Y97" s="502">
        <v>98</v>
      </c>
      <c r="Z97" s="502">
        <v>9</v>
      </c>
      <c r="AA97" s="502">
        <v>0</v>
      </c>
      <c r="AB97" s="502">
        <v>11</v>
      </c>
      <c r="AC97" s="500">
        <f t="shared" si="238"/>
      </c>
      <c r="AD97" s="522" t="s">
        <v>307</v>
      </c>
      <c r="AE97" s="522" t="s">
        <v>324</v>
      </c>
      <c r="AF97" s="504">
        <v>33</v>
      </c>
    </row>
    <row r="98">
      <c r="A98" s="494"/>
      <c r="B98" s="507" t="s">
        <v>312</v>
      </c>
      <c r="C98" s="507"/>
      <c r="D98" s="508">
        <f>SUM(D94:D97)</f>
      </c>
      <c r="E98" s="509">
        <f>SUM(E94:E97)</f>
      </c>
      <c r="F98" s="509">
        <f>SUM(F94:F97)</f>
      </c>
      <c r="G98" s="508">
        <f>SUM(G94:G97)</f>
      </c>
      <c r="H98" s="510">
        <f t="shared" si="7"/>
      </c>
      <c r="I98" s="510">
        <f t="shared" si="70"/>
      </c>
      <c r="J98" s="510">
        <f t="shared" si="133"/>
      </c>
      <c r="K98" s="510">
        <f t="shared" si="196"/>
      </c>
      <c r="L98" s="510">
        <f t="shared" si="28"/>
      </c>
      <c r="M98" s="511">
        <f t="shared" si="91"/>
      </c>
      <c r="N98" s="511">
        <f t="shared" si="154"/>
      </c>
      <c r="O98" s="511">
        <f t="shared" si="217"/>
      </c>
      <c r="P98" s="511">
        <f t="shared" si="49"/>
      </c>
      <c r="Q98" s="512">
        <f t="shared" si="112"/>
      </c>
      <c r="R98" s="511">
        <f>AVERAGE(R94:R97)</f>
      </c>
      <c r="S98" s="508">
        <f>AVERAGE(S94:S97)</f>
      </c>
      <c r="T98" s="510">
        <f t="shared" si="175"/>
      </c>
      <c r="U98" s="512">
        <f>SUM(U94:U97)</f>
      </c>
      <c r="V98" s="512">
        <f>SUM(V94:V97)</f>
      </c>
      <c r="W98" s="512">
        <f>SUM(W94:W97)</f>
      </c>
      <c r="X98" s="512">
        <f>SUM(X94:X97)</f>
      </c>
      <c r="Y98" s="512">
        <f>SUM(Y94:Y97)</f>
      </c>
      <c r="Z98" s="512">
        <f>SUM(Z94:Z97)</f>
      </c>
      <c r="AA98" s="512">
        <f>SUM(AA94:AA97)</f>
      </c>
      <c r="AB98" s="512">
        <f>SUM(AB94:AB97)</f>
      </c>
      <c r="AC98" s="513">
        <f t="shared" si="238"/>
      </c>
      <c r="AD98" s="523"/>
      <c r="AE98" s="523"/>
      <c r="AF98" s="515">
        <f>SUM(AF94:AF97)</f>
      </c>
    </row>
    <row r="99">
      <c r="A99" s="494"/>
      <c r="B99" s="495" t="s">
        <v>325</v>
      </c>
      <c r="C99" s="496" t="s">
        <v>314</v>
      </c>
      <c r="D99" s="499">
        <v>2760.92</v>
      </c>
      <c r="E99" s="498">
        <v>7</v>
      </c>
      <c r="F99" s="498">
        <v>5</v>
      </c>
      <c r="G99" s="497">
        <v>4569.399999999998</v>
      </c>
      <c r="H99" s="500">
        <f t="shared" si="7"/>
      </c>
      <c r="I99" s="500">
        <f t="shared" si="70"/>
      </c>
      <c r="J99" s="500">
        <f t="shared" si="133"/>
      </c>
      <c r="K99" s="500">
        <f t="shared" si="196"/>
      </c>
      <c r="L99" s="500">
        <f t="shared" si="28"/>
      </c>
      <c r="M99" s="501">
        <f t="shared" si="91"/>
      </c>
      <c r="N99" s="501">
        <f t="shared" si="154"/>
      </c>
      <c r="O99" s="501">
        <f t="shared" si="217"/>
      </c>
      <c r="P99" s="501">
        <f t="shared" si="49"/>
      </c>
      <c r="Q99" s="502">
        <f t="shared" si="112"/>
      </c>
      <c r="R99" s="503">
        <v>0.0291</v>
      </c>
      <c r="S99" s="504">
        <v>42</v>
      </c>
      <c r="T99" s="500">
        <f t="shared" si="175"/>
      </c>
      <c r="U99" s="502">
        <v>16292</v>
      </c>
      <c r="V99" s="502">
        <v>1013</v>
      </c>
      <c r="W99" s="502">
        <v>113</v>
      </c>
      <c r="X99" s="502">
        <v>1460</v>
      </c>
      <c r="Y99" s="502">
        <v>89</v>
      </c>
      <c r="Z99" s="502">
        <v>12</v>
      </c>
      <c r="AA99" s="502">
        <v>2</v>
      </c>
      <c r="AB99" s="502">
        <v>14</v>
      </c>
      <c r="AC99" s="500">
        <f t="shared" si="238"/>
      </c>
      <c r="AD99" s="522" t="s">
        <v>307</v>
      </c>
      <c r="AE99" s="522" t="s">
        <v>324</v>
      </c>
      <c r="AF99" s="504">
        <v>48</v>
      </c>
    </row>
    <row r="100">
      <c r="A100" s="494"/>
      <c r="B100" s="495" t="s">
        <v>325</v>
      </c>
      <c r="C100" s="496" t="s">
        <v>315</v>
      </c>
      <c r="D100" s="499">
        <v>3356.53</v>
      </c>
      <c r="E100" s="498">
        <v>8</v>
      </c>
      <c r="F100" s="498">
        <v>6</v>
      </c>
      <c r="G100" s="499">
        <v>8891.3</v>
      </c>
      <c r="H100" s="500">
        <f t="shared" si="7"/>
      </c>
      <c r="I100" s="500">
        <f t="shared" si="70"/>
      </c>
      <c r="J100" s="500">
        <f t="shared" si="133"/>
      </c>
      <c r="K100" s="500">
        <f t="shared" si="196"/>
      </c>
      <c r="L100" s="500">
        <f t="shared" si="28"/>
      </c>
      <c r="M100" s="501">
        <f t="shared" si="91"/>
      </c>
      <c r="N100" s="501">
        <f t="shared" si="154"/>
      </c>
      <c r="O100" s="501">
        <f t="shared" si="217"/>
      </c>
      <c r="P100" s="501">
        <f t="shared" si="49"/>
      </c>
      <c r="Q100" s="502">
        <f t="shared" si="112"/>
      </c>
      <c r="R100" s="503">
        <v>0.0285</v>
      </c>
      <c r="S100" s="504">
        <v>41</v>
      </c>
      <c r="T100" s="500">
        <f t="shared" si="175"/>
      </c>
      <c r="U100" s="502">
        <v>21869</v>
      </c>
      <c r="V100" s="502">
        <v>1198</v>
      </c>
      <c r="W100" s="502">
        <v>123</v>
      </c>
      <c r="X100" s="502">
        <v>1574</v>
      </c>
      <c r="Y100" s="502">
        <v>121</v>
      </c>
      <c r="Z100" s="502">
        <v>16</v>
      </c>
      <c r="AA100" s="502">
        <v>6</v>
      </c>
      <c r="AB100" s="502">
        <v>22</v>
      </c>
      <c r="AC100" s="500">
        <f t="shared" si="238"/>
      </c>
      <c r="AD100" s="522" t="s">
        <v>307</v>
      </c>
      <c r="AE100" s="522" t="s">
        <v>324</v>
      </c>
      <c r="AF100" s="504">
        <v>36</v>
      </c>
    </row>
    <row r="101">
      <c r="A101" s="494"/>
      <c r="B101" s="495" t="s">
        <v>325</v>
      </c>
      <c r="C101" s="496" t="s">
        <v>316</v>
      </c>
      <c r="D101" s="499">
        <v>3734.72</v>
      </c>
      <c r="E101" s="498">
        <v>7</v>
      </c>
      <c r="F101" s="498">
        <v>7</v>
      </c>
      <c r="G101" s="499">
        <v>6694.5999999999985</v>
      </c>
      <c r="H101" s="500">
        <f t="shared" si="7"/>
      </c>
      <c r="I101" s="500">
        <f t="shared" si="70"/>
      </c>
      <c r="J101" s="500">
        <f t="shared" si="133"/>
      </c>
      <c r="K101" s="500">
        <f t="shared" si="196"/>
      </c>
      <c r="L101" s="500">
        <f t="shared" si="28"/>
      </c>
      <c r="M101" s="501">
        <f t="shared" si="91"/>
      </c>
      <c r="N101" s="501">
        <f t="shared" si="154"/>
      </c>
      <c r="O101" s="501">
        <f t="shared" si="217"/>
      </c>
      <c r="P101" s="501">
        <f t="shared" si="49"/>
      </c>
      <c r="Q101" s="502">
        <f t="shared" si="112"/>
      </c>
      <c r="R101" s="503">
        <v>0.027</v>
      </c>
      <c r="S101" s="504">
        <v>42</v>
      </c>
      <c r="T101" s="500">
        <f t="shared" si="175"/>
      </c>
      <c r="U101" s="502">
        <v>24963</v>
      </c>
      <c r="V101" s="502">
        <v>1148</v>
      </c>
      <c r="W101" s="502">
        <v>105</v>
      </c>
      <c r="X101" s="502">
        <v>1541</v>
      </c>
      <c r="Y101" s="502">
        <v>185</v>
      </c>
      <c r="Z101" s="502">
        <v>12</v>
      </c>
      <c r="AA101" s="502">
        <v>2</v>
      </c>
      <c r="AB101" s="502">
        <v>29</v>
      </c>
      <c r="AC101" s="500">
        <f t="shared" si="238"/>
      </c>
      <c r="AD101" s="522" t="s">
        <v>307</v>
      </c>
      <c r="AE101" s="522" t="s">
        <v>324</v>
      </c>
      <c r="AF101" s="504">
        <v>43</v>
      </c>
    </row>
    <row r="102">
      <c r="A102" s="494"/>
      <c r="B102" s="495" t="s">
        <v>325</v>
      </c>
      <c r="C102" s="496" t="s">
        <v>317</v>
      </c>
      <c r="D102" s="499">
        <v>1291.71</v>
      </c>
      <c r="E102" s="498">
        <v>4</v>
      </c>
      <c r="F102" s="498">
        <v>4</v>
      </c>
      <c r="G102" s="499">
        <v>1804</v>
      </c>
      <c r="H102" s="500">
        <f t="shared" si="7"/>
      </c>
      <c r="I102" s="500">
        <f t="shared" si="70"/>
      </c>
      <c r="J102" s="500">
        <f t="shared" si="133"/>
      </c>
      <c r="K102" s="500">
        <f t="shared" si="196"/>
      </c>
      <c r="L102" s="500">
        <f t="shared" si="28"/>
      </c>
      <c r="M102" s="501">
        <f t="shared" si="91"/>
      </c>
      <c r="N102" s="501">
        <f t="shared" si="154"/>
      </c>
      <c r="O102" s="501">
        <f t="shared" si="217"/>
      </c>
      <c r="P102" s="501">
        <f t="shared" si="49"/>
      </c>
      <c r="Q102" s="502">
        <f t="shared" si="112"/>
      </c>
      <c r="R102" s="503">
        <v>0.0314</v>
      </c>
      <c r="S102" s="504">
        <v>43</v>
      </c>
      <c r="T102" s="500">
        <f t="shared" si="175"/>
      </c>
      <c r="U102" s="502">
        <v>9081</v>
      </c>
      <c r="V102" s="502">
        <v>533</v>
      </c>
      <c r="W102" s="502">
        <v>58</v>
      </c>
      <c r="X102" s="502">
        <v>758</v>
      </c>
      <c r="Y102" s="502">
        <v>46</v>
      </c>
      <c r="Z102" s="502">
        <v>5</v>
      </c>
      <c r="AA102" s="502">
        <v>0</v>
      </c>
      <c r="AB102" s="502">
        <v>8</v>
      </c>
      <c r="AC102" s="500">
        <f t="shared" si="238"/>
      </c>
      <c r="AD102" s="522" t="s">
        <v>307</v>
      </c>
      <c r="AE102" s="522" t="s">
        <v>324</v>
      </c>
      <c r="AF102" s="504">
        <v>14</v>
      </c>
    </row>
    <row r="103">
      <c r="A103" s="494"/>
      <c r="B103" s="507" t="s">
        <v>312</v>
      </c>
      <c r="C103" s="507"/>
      <c r="D103" s="508">
        <f>SUM(D99:D102)</f>
      </c>
      <c r="E103" s="509">
        <f>SUM(E99:E102)</f>
      </c>
      <c r="F103" s="509">
        <f>SUM(F99:F102)</f>
      </c>
      <c r="G103" s="508">
        <f>SUM(G99:G102)</f>
      </c>
      <c r="H103" s="510">
        <f t="shared" si="7"/>
      </c>
      <c r="I103" s="510">
        <f t="shared" si="70"/>
      </c>
      <c r="J103" s="510">
        <f t="shared" si="133"/>
      </c>
      <c r="K103" s="510">
        <f t="shared" si="196"/>
      </c>
      <c r="L103" s="510">
        <f t="shared" si="28"/>
      </c>
      <c r="M103" s="511">
        <f t="shared" si="91"/>
      </c>
      <c r="N103" s="511">
        <f t="shared" si="154"/>
      </c>
      <c r="O103" s="511">
        <f t="shared" si="217"/>
      </c>
      <c r="P103" s="511">
        <f t="shared" si="49"/>
      </c>
      <c r="Q103" s="512">
        <f t="shared" si="112"/>
      </c>
      <c r="R103" s="511">
        <f>AVERAGE(R99:R102)</f>
      </c>
      <c r="S103" s="508">
        <f>AVERAGE(S99:S102)</f>
      </c>
      <c r="T103" s="510">
        <f t="shared" si="175"/>
      </c>
      <c r="U103" s="512">
        <f>SUM(U99:U102)</f>
      </c>
      <c r="V103" s="512">
        <f>SUM(V99:V102)</f>
      </c>
      <c r="W103" s="512">
        <f>SUM(W99:W102)</f>
      </c>
      <c r="X103" s="512">
        <f>SUM(X99:X102)</f>
      </c>
      <c r="Y103" s="512">
        <f>SUM(Y99:Y102)</f>
      </c>
      <c r="Z103" s="512">
        <f>SUM(Z99:Z102)</f>
      </c>
      <c r="AA103" s="512">
        <f>SUM(AA99:AA102)</f>
      </c>
      <c r="AB103" s="512">
        <f>SUM(AB99:AB102)</f>
      </c>
      <c r="AC103" s="513">
        <f t="shared" si="238"/>
      </c>
      <c r="AD103" s="514"/>
      <c r="AE103" s="514"/>
      <c r="AF103" s="512">
        <f>SUM(AF99:AF102)</f>
      </c>
    </row>
    <row r="104">
      <c r="A104" s="494"/>
      <c r="B104" s="516" t="s">
        <v>318</v>
      </c>
      <c r="C104" s="516"/>
      <c r="D104" s="517">
        <f>D98+D103</f>
      </c>
      <c r="E104" s="518">
        <f>E98+E103</f>
      </c>
      <c r="F104" s="518">
        <f>F98+F103</f>
      </c>
      <c r="G104" s="517">
        <f>G98+G103</f>
      </c>
      <c r="H104" s="519">
        <f t="shared" si="7"/>
      </c>
      <c r="I104" s="519">
        <f t="shared" si="70"/>
      </c>
      <c r="J104" s="519">
        <f t="shared" si="133"/>
      </c>
      <c r="K104" s="519">
        <f t="shared" si="196"/>
      </c>
      <c r="L104" s="519">
        <f t="shared" si="28"/>
      </c>
      <c r="M104" s="520">
        <f t="shared" si="91"/>
      </c>
      <c r="N104" s="520">
        <f t="shared" si="154"/>
      </c>
      <c r="O104" s="520">
        <f t="shared" si="217"/>
      </c>
      <c r="P104" s="520">
        <f t="shared" si="49"/>
      </c>
      <c r="Q104" s="521">
        <f t="shared" si="112"/>
      </c>
      <c r="R104" s="520">
        <f>(R98+R103)/2</f>
      </c>
      <c r="S104" s="517">
        <f>(S103+S98)/2</f>
      </c>
      <c r="T104" s="517">
        <f t="shared" si="175"/>
      </c>
      <c r="U104" s="521">
        <f>U98+U103</f>
      </c>
      <c r="V104" s="521">
        <f>V98+V103</f>
      </c>
      <c r="W104" s="521">
        <f>W98+W103</f>
      </c>
      <c r="X104" s="521">
        <f>X98+X103</f>
      </c>
      <c r="Y104" s="521">
        <f>Y98+Y103</f>
      </c>
      <c r="Z104" s="521">
        <f>Z98+Z103</f>
      </c>
      <c r="AA104" s="521">
        <f>AA98+AA103</f>
      </c>
      <c r="AB104" s="521">
        <f>AB98+AB103</f>
      </c>
      <c r="AC104" s="519">
        <f>AC98</f>
      </c>
      <c r="AD104" s="516"/>
      <c r="AE104" s="516"/>
      <c r="AF104" s="521">
        <f>AF98+AF103</f>
      </c>
    </row>
    <row r="105">
      <c r="A105" s="484" t="s">
        <v>319</v>
      </c>
      <c r="B105" s="484" t="s">
        <v>270</v>
      </c>
      <c r="C105" s="484"/>
      <c r="D105" s="485" t="s">
        <v>271</v>
      </c>
      <c r="E105" s="485"/>
      <c r="F105" s="485"/>
      <c r="G105" s="485"/>
      <c r="H105" s="485"/>
      <c r="I105" s="485"/>
      <c r="J105" s="485"/>
      <c r="K105" s="485"/>
      <c r="L105" s="486" t="s">
        <v>272</v>
      </c>
      <c r="M105" s="486"/>
      <c r="N105" s="486"/>
      <c r="O105" s="486"/>
      <c r="P105" s="486"/>
      <c r="Q105" s="486"/>
      <c r="R105" s="486"/>
      <c r="S105" s="486"/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7"/>
    </row>
    <row r="106">
      <c r="A106" s="484"/>
      <c r="B106" s="484" t="s">
        <v>273</v>
      </c>
      <c r="C106" s="484" t="s">
        <v>274</v>
      </c>
      <c r="D106" s="485" t="s">
        <v>275</v>
      </c>
      <c r="E106" s="488" t="s">
        <v>276</v>
      </c>
      <c r="F106" s="488" t="s">
        <v>277</v>
      </c>
      <c r="G106" s="485" t="s">
        <v>278</v>
      </c>
      <c r="H106" s="489" t="s">
        <v>279</v>
      </c>
      <c r="I106" s="489" t="s">
        <v>280</v>
      </c>
      <c r="J106" s="489" t="s">
        <v>281</v>
      </c>
      <c r="K106" s="489" t="s">
        <v>282</v>
      </c>
      <c r="L106" s="490" t="s">
        <v>283</v>
      </c>
      <c r="M106" s="491" t="s">
        <v>284</v>
      </c>
      <c r="N106" s="491" t="s">
        <v>285</v>
      </c>
      <c r="O106" s="491" t="s">
        <v>286</v>
      </c>
      <c r="P106" s="491" t="s">
        <v>287</v>
      </c>
      <c r="Q106" s="492" t="s">
        <v>288</v>
      </c>
      <c r="R106" s="491" t="s">
        <v>289</v>
      </c>
      <c r="S106" s="492" t="s">
        <v>290</v>
      </c>
      <c r="T106" s="486" t="s">
        <v>291</v>
      </c>
      <c r="U106" s="487" t="s">
        <v>292</v>
      </c>
      <c r="V106" s="487" t="s">
        <v>293</v>
      </c>
      <c r="W106" s="487" t="s">
        <v>294</v>
      </c>
      <c r="X106" s="487" t="s">
        <v>295</v>
      </c>
      <c r="Y106" s="487" t="s">
        <v>296</v>
      </c>
      <c r="Z106" s="487" t="s">
        <v>297</v>
      </c>
      <c r="AA106" s="487" t="s">
        <v>298</v>
      </c>
      <c r="AB106" s="487" t="s">
        <v>299</v>
      </c>
      <c r="AC106" s="486" t="s">
        <v>300</v>
      </c>
      <c r="AD106" s="493" t="s">
        <v>301</v>
      </c>
      <c r="AE106" s="493" t="s">
        <v>302</v>
      </c>
      <c r="AF106" s="487" t="s">
        <v>303</v>
      </c>
    </row>
    <row r="107">
      <c r="A107" s="494" t="s">
        <v>332</v>
      </c>
      <c r="B107" s="495" t="s">
        <v>331</v>
      </c>
      <c r="C107" s="495" t="s">
        <v>323</v>
      </c>
      <c r="D107" s="499">
        <v>3000</v>
      </c>
      <c r="E107" s="498">
        <v>7</v>
      </c>
      <c r="F107" s="498">
        <v>6</v>
      </c>
      <c r="G107" s="499">
        <v>4880.7</v>
      </c>
      <c r="H107" s="500">
        <f t="shared" ref="H107:H117" si="8">G107/D107</f>
      </c>
      <c r="I107" s="500">
        <f t="shared" ref="I107:I117" si="71">D107/E107</f>
      </c>
      <c r="J107" s="500">
        <f t="shared" ref="J107:J117" si="134">D107/F107</f>
      </c>
      <c r="K107" s="500">
        <f t="shared" ref="K107:K117" si="197">G107/E107</f>
      </c>
      <c r="L107" s="500">
        <f t="shared" ref="L107:L117" si="29">D107/V107</f>
      </c>
      <c r="M107" s="501">
        <f t="shared" ref="M107:M117" si="92">Q107/U107*1</f>
      </c>
      <c r="N107" s="501">
        <f t="shared" ref="N107:N117" si="155">V107/U107</f>
      </c>
      <c r="O107" s="501">
        <f t="shared" ref="O107:O117" si="218">X107/U107</f>
      </c>
      <c r="P107" s="501">
        <f t="shared" ref="P107:P117" si="50">Y107/X107</f>
      </c>
      <c r="Q107" s="502">
        <f t="shared" ref="Q107:Q117" si="113">W107/R107</f>
      </c>
      <c r="R107" s="503">
        <v>0.0159</v>
      </c>
      <c r="S107" s="504">
        <v>39</v>
      </c>
      <c r="T107" s="500">
        <f t="shared" ref="T107:T117" si="176">(D107/U107)*1000</f>
      </c>
      <c r="U107" s="502">
        <v>20724</v>
      </c>
      <c r="V107" s="502">
        <v>1232</v>
      </c>
      <c r="W107" s="502">
        <v>118</v>
      </c>
      <c r="X107" s="502">
        <v>2215</v>
      </c>
      <c r="Y107" s="502">
        <v>116</v>
      </c>
      <c r="Z107" s="502">
        <v>26</v>
      </c>
      <c r="AA107" s="502">
        <v>2</v>
      </c>
      <c r="AB107" s="504">
        <v>10</v>
      </c>
      <c r="AC107" s="500">
        <f t="shared" ref="AC107:AC116" si="239">AF107*1000/D107</f>
      </c>
      <c r="AD107" s="522" t="s">
        <v>307</v>
      </c>
      <c r="AE107" s="522" t="s">
        <v>328</v>
      </c>
      <c r="AF107" s="504">
        <v>48</v>
      </c>
    </row>
    <row r="108">
      <c r="A108" s="494"/>
      <c r="B108" s="495" t="s">
        <v>331</v>
      </c>
      <c r="C108" s="496" t="s">
        <v>309</v>
      </c>
      <c r="D108" s="499">
        <v>2890.57</v>
      </c>
      <c r="E108" s="498">
        <v>8</v>
      </c>
      <c r="F108" s="498">
        <v>6</v>
      </c>
      <c r="G108" s="499">
        <v>4268.000000000001</v>
      </c>
      <c r="H108" s="500">
        <f t="shared" si="8"/>
      </c>
      <c r="I108" s="500">
        <f t="shared" si="71"/>
      </c>
      <c r="J108" s="500">
        <f t="shared" si="134"/>
      </c>
      <c r="K108" s="500">
        <f t="shared" si="197"/>
      </c>
      <c r="L108" s="500">
        <f t="shared" si="29"/>
      </c>
      <c r="M108" s="501">
        <f t="shared" si="92"/>
      </c>
      <c r="N108" s="501">
        <f t="shared" si="155"/>
      </c>
      <c r="O108" s="501">
        <f t="shared" si="218"/>
      </c>
      <c r="P108" s="501">
        <f t="shared" si="50"/>
      </c>
      <c r="Q108" s="502">
        <f t="shared" si="113"/>
      </c>
      <c r="R108" s="503">
        <v>0.0191</v>
      </c>
      <c r="S108" s="504">
        <v>41</v>
      </c>
      <c r="T108" s="500">
        <f t="shared" si="176"/>
      </c>
      <c r="U108" s="502">
        <v>18863</v>
      </c>
      <c r="V108" s="502">
        <v>810</v>
      </c>
      <c r="W108" s="502">
        <v>88</v>
      </c>
      <c r="X108" s="502">
        <v>1151</v>
      </c>
      <c r="Y108" s="502">
        <v>82</v>
      </c>
      <c r="Z108" s="502">
        <v>14</v>
      </c>
      <c r="AA108" s="502">
        <v>1</v>
      </c>
      <c r="AB108" s="502">
        <v>24</v>
      </c>
      <c r="AC108" s="500">
        <f t="shared" si="239"/>
      </c>
      <c r="AD108" s="522" t="s">
        <v>307</v>
      </c>
      <c r="AE108" s="522" t="s">
        <v>328</v>
      </c>
      <c r="AF108" s="504">
        <v>39</v>
      </c>
    </row>
    <row r="109">
      <c r="A109" s="494"/>
      <c r="B109" s="495" t="s">
        <v>331</v>
      </c>
      <c r="C109" s="496" t="s">
        <v>310</v>
      </c>
      <c r="D109" s="499">
        <v>1791.95</v>
      </c>
      <c r="E109" s="498">
        <v>7</v>
      </c>
      <c r="F109" s="498">
        <v>6</v>
      </c>
      <c r="G109" s="497">
        <v>3892.8999999999996</v>
      </c>
      <c r="H109" s="500">
        <f t="shared" si="8"/>
      </c>
      <c r="I109" s="500">
        <f t="shared" si="71"/>
      </c>
      <c r="J109" s="500">
        <f t="shared" si="134"/>
      </c>
      <c r="K109" s="500">
        <f t="shared" si="197"/>
      </c>
      <c r="L109" s="500">
        <f t="shared" si="29"/>
      </c>
      <c r="M109" s="501">
        <f t="shared" si="92"/>
      </c>
      <c r="N109" s="501">
        <f t="shared" si="155"/>
      </c>
      <c r="O109" s="501">
        <f t="shared" si="218"/>
      </c>
      <c r="P109" s="501">
        <f t="shared" si="50"/>
      </c>
      <c r="Q109" s="502">
        <f t="shared" si="113"/>
      </c>
      <c r="R109" s="503">
        <v>0.0135</v>
      </c>
      <c r="S109" s="504">
        <v>40</v>
      </c>
      <c r="T109" s="500">
        <f t="shared" si="176"/>
      </c>
      <c r="U109" s="502">
        <v>11249</v>
      </c>
      <c r="V109" s="502">
        <v>790</v>
      </c>
      <c r="W109" s="502">
        <v>57</v>
      </c>
      <c r="X109" s="502">
        <v>1246</v>
      </c>
      <c r="Y109" s="502">
        <v>38</v>
      </c>
      <c r="Z109" s="502">
        <v>6</v>
      </c>
      <c r="AA109" s="502">
        <v>3</v>
      </c>
      <c r="AB109" s="502">
        <v>4</v>
      </c>
      <c r="AC109" s="500">
        <f t="shared" si="239"/>
      </c>
      <c r="AD109" s="522" t="s">
        <v>307</v>
      </c>
      <c r="AE109" s="522" t="s">
        <v>328</v>
      </c>
      <c r="AF109" s="504">
        <v>20</v>
      </c>
    </row>
    <row r="110">
      <c r="A110" s="494"/>
      <c r="B110" s="495" t="s">
        <v>331</v>
      </c>
      <c r="C110" s="496" t="s">
        <v>311</v>
      </c>
      <c r="D110" s="499">
        <v>5092.9</v>
      </c>
      <c r="E110" s="498">
        <v>7</v>
      </c>
      <c r="F110" s="498">
        <v>4</v>
      </c>
      <c r="G110" s="499">
        <v>4847.699999999999</v>
      </c>
      <c r="H110" s="500">
        <f t="shared" si="8"/>
      </c>
      <c r="I110" s="500">
        <f t="shared" si="71"/>
      </c>
      <c r="J110" s="500">
        <f t="shared" si="134"/>
      </c>
      <c r="K110" s="500">
        <f t="shared" si="197"/>
      </c>
      <c r="L110" s="500">
        <f t="shared" si="29"/>
      </c>
      <c r="M110" s="501">
        <f t="shared" si="92"/>
      </c>
      <c r="N110" s="501">
        <f t="shared" si="155"/>
      </c>
      <c r="O110" s="501">
        <f t="shared" si="218"/>
      </c>
      <c r="P110" s="501">
        <f t="shared" si="50"/>
      </c>
      <c r="Q110" s="502">
        <f t="shared" si="113"/>
      </c>
      <c r="R110" s="503">
        <v>0.0409</v>
      </c>
      <c r="S110" s="504">
        <v>41</v>
      </c>
      <c r="T110" s="500">
        <f t="shared" si="176"/>
      </c>
      <c r="U110" s="502">
        <v>27460</v>
      </c>
      <c r="V110" s="502">
        <v>1142</v>
      </c>
      <c r="W110" s="502">
        <v>157</v>
      </c>
      <c r="X110" s="502">
        <v>1642</v>
      </c>
      <c r="Y110" s="502">
        <v>97</v>
      </c>
      <c r="Z110" s="502">
        <v>20</v>
      </c>
      <c r="AA110" s="502">
        <v>2</v>
      </c>
      <c r="AB110" s="502">
        <v>27</v>
      </c>
      <c r="AC110" s="500">
        <f t="shared" si="239"/>
      </c>
      <c r="AD110" s="522" t="s">
        <v>307</v>
      </c>
      <c r="AE110" s="522" t="s">
        <v>328</v>
      </c>
      <c r="AF110" s="504">
        <v>47</v>
      </c>
    </row>
    <row r="111">
      <c r="A111" s="494"/>
      <c r="B111" s="507" t="s">
        <v>312</v>
      </c>
      <c r="C111" s="507"/>
      <c r="D111" s="508">
        <f>SUM(D107:D110)</f>
      </c>
      <c r="E111" s="509">
        <f>SUM(E107:E110)</f>
      </c>
      <c r="F111" s="509">
        <f>SUM(F107:F110)</f>
      </c>
      <c r="G111" s="508">
        <f>SUM(G107:G110)</f>
      </c>
      <c r="H111" s="510">
        <f t="shared" si="8"/>
      </c>
      <c r="I111" s="510">
        <f t="shared" si="71"/>
      </c>
      <c r="J111" s="510">
        <f t="shared" si="134"/>
      </c>
      <c r="K111" s="510">
        <f t="shared" si="197"/>
      </c>
      <c r="L111" s="510">
        <f t="shared" si="29"/>
      </c>
      <c r="M111" s="511">
        <f t="shared" si="92"/>
      </c>
      <c r="N111" s="511">
        <f t="shared" si="155"/>
      </c>
      <c r="O111" s="511">
        <f t="shared" si="218"/>
      </c>
      <c r="P111" s="511">
        <f t="shared" si="50"/>
      </c>
      <c r="Q111" s="512">
        <f t="shared" si="113"/>
      </c>
      <c r="R111" s="511">
        <f>AVERAGE(R107:R110)</f>
      </c>
      <c r="S111" s="508">
        <f>AVERAGE(S107:S110)</f>
      </c>
      <c r="T111" s="510">
        <f t="shared" si="176"/>
      </c>
      <c r="U111" s="512">
        <f>SUM(U107:U110)</f>
      </c>
      <c r="V111" s="512">
        <f>SUM(V107:V110)</f>
      </c>
      <c r="W111" s="512">
        <f>SUM(W107:W110)</f>
      </c>
      <c r="X111" s="512">
        <f>SUM(X107:X110)</f>
      </c>
      <c r="Y111" s="512">
        <f>SUM(Y107:Y110)</f>
      </c>
      <c r="Z111" s="512">
        <f>SUM(Z107:Z110)</f>
      </c>
      <c r="AA111" s="512">
        <f>SUM(AA107:AA110)</f>
      </c>
      <c r="AB111" s="512">
        <f>SUM(AB107:AB110)</f>
      </c>
      <c r="AC111" s="513">
        <f t="shared" si="239"/>
      </c>
      <c r="AD111" s="523"/>
      <c r="AE111" s="523"/>
      <c r="AF111" s="515">
        <f>SUM(AF107:AF110)</f>
      </c>
    </row>
    <row r="112">
      <c r="A112" s="494"/>
      <c r="B112" s="495" t="s">
        <v>325</v>
      </c>
      <c r="C112" s="496" t="s">
        <v>314</v>
      </c>
      <c r="D112" s="499">
        <v>2273.15</v>
      </c>
      <c r="E112" s="498">
        <v>2</v>
      </c>
      <c r="F112" s="498">
        <v>1</v>
      </c>
      <c r="G112" s="499">
        <v>902</v>
      </c>
      <c r="H112" s="500">
        <f t="shared" si="8"/>
      </c>
      <c r="I112" s="500">
        <f t="shared" si="71"/>
      </c>
      <c r="J112" s="500">
        <f t="shared" si="134"/>
      </c>
      <c r="K112" s="500">
        <f t="shared" si="197"/>
      </c>
      <c r="L112" s="500">
        <f t="shared" si="29"/>
      </c>
      <c r="M112" s="501">
        <f t="shared" si="92"/>
      </c>
      <c r="N112" s="501">
        <f t="shared" si="155"/>
      </c>
      <c r="O112" s="501">
        <f t="shared" si="218"/>
      </c>
      <c r="P112" s="501">
        <f t="shared" si="50"/>
      </c>
      <c r="Q112" s="502">
        <f t="shared" si="113"/>
      </c>
      <c r="R112" s="503">
        <v>0.0206</v>
      </c>
      <c r="S112" s="504">
        <v>41</v>
      </c>
      <c r="T112" s="500">
        <f t="shared" si="176"/>
      </c>
      <c r="U112" s="502">
        <v>14226</v>
      </c>
      <c r="V112" s="502">
        <v>880</v>
      </c>
      <c r="W112" s="502">
        <v>75</v>
      </c>
      <c r="X112" s="502">
        <v>1320</v>
      </c>
      <c r="Y112" s="502">
        <v>91</v>
      </c>
      <c r="Z112" s="502">
        <v>9</v>
      </c>
      <c r="AA112" s="502">
        <v>2</v>
      </c>
      <c r="AB112" s="502">
        <v>10</v>
      </c>
      <c r="AC112" s="500">
        <f t="shared" si="239"/>
      </c>
      <c r="AD112" s="522" t="s">
        <v>307</v>
      </c>
      <c r="AE112" s="522" t="s">
        <v>328</v>
      </c>
      <c r="AF112" s="504">
        <v>34</v>
      </c>
    </row>
    <row r="113">
      <c r="A113" s="494"/>
      <c r="B113" s="495" t="s">
        <v>325</v>
      </c>
      <c r="C113" s="496" t="s">
        <v>315</v>
      </c>
      <c r="D113" s="499">
        <v>1556.38</v>
      </c>
      <c r="E113" s="498">
        <v>4</v>
      </c>
      <c r="F113" s="498">
        <v>4</v>
      </c>
      <c r="G113" s="499">
        <v>3496.899999999998</v>
      </c>
      <c r="H113" s="500">
        <f t="shared" si="8"/>
      </c>
      <c r="I113" s="500">
        <f t="shared" si="71"/>
      </c>
      <c r="J113" s="500">
        <f t="shared" si="134"/>
      </c>
      <c r="K113" s="500">
        <f t="shared" si="197"/>
      </c>
      <c r="L113" s="500">
        <f t="shared" si="29"/>
      </c>
      <c r="M113" s="501">
        <f t="shared" si="92"/>
      </c>
      <c r="N113" s="501">
        <f t="shared" si="155"/>
      </c>
      <c r="O113" s="501">
        <f t="shared" si="218"/>
      </c>
      <c r="P113" s="501">
        <f t="shared" si="50"/>
      </c>
      <c r="Q113" s="502">
        <f t="shared" si="113"/>
      </c>
      <c r="R113" s="503">
        <v>0.0149</v>
      </c>
      <c r="S113" s="504">
        <v>40</v>
      </c>
      <c r="T113" s="500">
        <f t="shared" si="176"/>
      </c>
      <c r="U113" s="502">
        <v>10487</v>
      </c>
      <c r="V113" s="502">
        <v>948</v>
      </c>
      <c r="W113" s="502">
        <v>66</v>
      </c>
      <c r="X113" s="502">
        <v>1383</v>
      </c>
      <c r="Y113" s="502">
        <v>85</v>
      </c>
      <c r="Z113" s="502">
        <v>8</v>
      </c>
      <c r="AA113" s="502">
        <v>1</v>
      </c>
      <c r="AB113" s="502">
        <v>11</v>
      </c>
      <c r="AC113" s="500">
        <f t="shared" si="239"/>
      </c>
      <c r="AD113" s="522" t="s">
        <v>307</v>
      </c>
      <c r="AE113" s="522" t="s">
        <v>328</v>
      </c>
      <c r="AF113" s="504">
        <v>31</v>
      </c>
    </row>
    <row r="114">
      <c r="A114" s="494"/>
      <c r="B114" s="495" t="s">
        <v>325</v>
      </c>
      <c r="C114" s="496" t="s">
        <v>316</v>
      </c>
      <c r="D114" s="499">
        <v>1866.25</v>
      </c>
      <c r="E114" s="498">
        <v>2</v>
      </c>
      <c r="F114" s="498">
        <v>1</v>
      </c>
      <c r="G114" s="499">
        <v>1232</v>
      </c>
      <c r="H114" s="500">
        <f t="shared" si="8"/>
      </c>
      <c r="I114" s="500">
        <f t="shared" si="71"/>
      </c>
      <c r="J114" s="500">
        <f t="shared" si="134"/>
      </c>
      <c r="K114" s="500">
        <f t="shared" si="197"/>
      </c>
      <c r="L114" s="500">
        <f t="shared" si="29"/>
      </c>
      <c r="M114" s="501">
        <f t="shared" si="92"/>
      </c>
      <c r="N114" s="501">
        <f t="shared" si="155"/>
      </c>
      <c r="O114" s="501">
        <f t="shared" si="218"/>
      </c>
      <c r="P114" s="501">
        <f t="shared" si="50"/>
      </c>
      <c r="Q114" s="502">
        <f t="shared" si="113"/>
      </c>
      <c r="R114" s="503">
        <v>0.0154</v>
      </c>
      <c r="S114" s="504">
        <v>39</v>
      </c>
      <c r="T114" s="500">
        <f t="shared" si="176"/>
      </c>
      <c r="U114" s="502">
        <v>10919</v>
      </c>
      <c r="V114" s="502">
        <v>970</v>
      </c>
      <c r="W114" s="502">
        <v>64</v>
      </c>
      <c r="X114" s="502">
        <v>1417</v>
      </c>
      <c r="Y114" s="502">
        <v>82</v>
      </c>
      <c r="Z114" s="502">
        <v>7</v>
      </c>
      <c r="AA114" s="502">
        <v>3</v>
      </c>
      <c r="AB114" s="502">
        <v>4</v>
      </c>
      <c r="AC114" s="500">
        <f t="shared" si="239"/>
      </c>
      <c r="AD114" s="522" t="s">
        <v>307</v>
      </c>
      <c r="AE114" s="522" t="s">
        <v>328</v>
      </c>
      <c r="AF114" s="504">
        <v>26</v>
      </c>
    </row>
    <row r="115">
      <c r="A115" s="494"/>
      <c r="B115" s="495" t="s">
        <v>325</v>
      </c>
      <c r="C115" s="496" t="s">
        <v>317</v>
      </c>
      <c r="D115" s="499">
        <v>1007.01</v>
      </c>
      <c r="E115" s="498">
        <v>0</v>
      </c>
      <c r="F115" s="498">
        <v>0</v>
      </c>
      <c r="G115" s="499">
        <v>0</v>
      </c>
      <c r="H115" s="500">
        <f t="shared" si="8"/>
      </c>
      <c r="I115" s="500">
        <f t="shared" si="71"/>
      </c>
      <c r="J115" s="500">
        <f t="shared" si="134"/>
      </c>
      <c r="K115" s="500">
        <f t="shared" si="197"/>
      </c>
      <c r="L115" s="500">
        <f t="shared" si="29"/>
      </c>
      <c r="M115" s="501">
        <f t="shared" si="92"/>
      </c>
      <c r="N115" s="501">
        <f t="shared" si="155"/>
      </c>
      <c r="O115" s="501">
        <f t="shared" si="218"/>
      </c>
      <c r="P115" s="501">
        <f t="shared" si="50"/>
      </c>
      <c r="Q115" s="502">
        <f t="shared" si="113"/>
      </c>
      <c r="R115" s="503">
        <v>0.0278</v>
      </c>
      <c r="S115" s="504">
        <v>40</v>
      </c>
      <c r="T115" s="500">
        <f t="shared" si="176"/>
      </c>
      <c r="U115" s="502">
        <v>6992</v>
      </c>
      <c r="V115" s="502">
        <v>523</v>
      </c>
      <c r="W115" s="502">
        <v>60</v>
      </c>
      <c r="X115" s="502">
        <v>754</v>
      </c>
      <c r="Y115" s="502">
        <v>63</v>
      </c>
      <c r="Z115" s="502">
        <v>7</v>
      </c>
      <c r="AA115" s="502">
        <v>1</v>
      </c>
      <c r="AB115" s="502">
        <v>8</v>
      </c>
      <c r="AC115" s="500">
        <f t="shared" si="239"/>
      </c>
      <c r="AD115" s="522" t="s">
        <v>307</v>
      </c>
      <c r="AE115" s="522" t="s">
        <v>328</v>
      </c>
      <c r="AF115" s="504">
        <v>21</v>
      </c>
    </row>
    <row r="116">
      <c r="A116" s="494"/>
      <c r="B116" s="507" t="s">
        <v>312</v>
      </c>
      <c r="C116" s="507"/>
      <c r="D116" s="508">
        <f>SUM(D112:D115)</f>
      </c>
      <c r="E116" s="509">
        <f>SUM(E112:E115)</f>
      </c>
      <c r="F116" s="509">
        <f>SUM(F112:F115)</f>
      </c>
      <c r="G116" s="508">
        <f>SUM(G112:G115)</f>
      </c>
      <c r="H116" s="510">
        <f t="shared" si="8"/>
      </c>
      <c r="I116" s="510">
        <f t="shared" si="71"/>
      </c>
      <c r="J116" s="510">
        <f t="shared" si="134"/>
      </c>
      <c r="K116" s="510">
        <f t="shared" si="197"/>
      </c>
      <c r="L116" s="510">
        <f t="shared" si="29"/>
      </c>
      <c r="M116" s="511">
        <f t="shared" si="92"/>
      </c>
      <c r="N116" s="511">
        <f t="shared" si="155"/>
      </c>
      <c r="O116" s="511">
        <f t="shared" si="218"/>
      </c>
      <c r="P116" s="511">
        <f t="shared" si="50"/>
      </c>
      <c r="Q116" s="512">
        <f t="shared" si="113"/>
      </c>
      <c r="R116" s="511">
        <f>AVERAGE(R112:R115)</f>
      </c>
      <c r="S116" s="508">
        <f>AVERAGE(S112:S115)</f>
      </c>
      <c r="T116" s="510">
        <f t="shared" si="176"/>
      </c>
      <c r="U116" s="512">
        <f>SUM(U112:U115)</f>
      </c>
      <c r="V116" s="512">
        <f>SUM(V112:V115)</f>
      </c>
      <c r="W116" s="512">
        <f>SUM(W112:W115)</f>
      </c>
      <c r="X116" s="512">
        <f>SUM(X112:X115)</f>
      </c>
      <c r="Y116" s="512">
        <f>SUM(Y112:Y115)</f>
      </c>
      <c r="Z116" s="512">
        <f>SUM(Z112:Z115)</f>
      </c>
      <c r="AA116" s="512">
        <f>SUM(AA112:AA115)</f>
      </c>
      <c r="AB116" s="512">
        <f>SUM(AB112:AB115)</f>
      </c>
      <c r="AC116" s="513">
        <f t="shared" si="239"/>
      </c>
      <c r="AD116" s="514"/>
      <c r="AE116" s="514"/>
      <c r="AF116" s="512">
        <f>SUM(AF112:AF115)</f>
      </c>
    </row>
    <row r="117">
      <c r="A117" s="494"/>
      <c r="B117" s="516" t="s">
        <v>318</v>
      </c>
      <c r="C117" s="516"/>
      <c r="D117" s="517">
        <f>D111+D116</f>
      </c>
      <c r="E117" s="518">
        <f>E111+E116</f>
      </c>
      <c r="F117" s="518">
        <f>F111+F116</f>
      </c>
      <c r="G117" s="517">
        <f>G111+G116</f>
      </c>
      <c r="H117" s="519">
        <f t="shared" si="8"/>
      </c>
      <c r="I117" s="519">
        <f t="shared" si="71"/>
      </c>
      <c r="J117" s="519">
        <f t="shared" si="134"/>
      </c>
      <c r="K117" s="519">
        <f t="shared" si="197"/>
      </c>
      <c r="L117" s="519">
        <f t="shared" si="29"/>
      </c>
      <c r="M117" s="520">
        <f t="shared" si="92"/>
      </c>
      <c r="N117" s="520">
        <f t="shared" si="155"/>
      </c>
      <c r="O117" s="520">
        <f t="shared" si="218"/>
      </c>
      <c r="P117" s="520">
        <f t="shared" si="50"/>
      </c>
      <c r="Q117" s="521">
        <f t="shared" si="113"/>
      </c>
      <c r="R117" s="520">
        <f>(R111+R116)/2</f>
      </c>
      <c r="S117" s="517">
        <f>(S116+S111)/2</f>
      </c>
      <c r="T117" s="517">
        <f t="shared" si="176"/>
      </c>
      <c r="U117" s="521">
        <f>U111+U116</f>
      </c>
      <c r="V117" s="521">
        <f>V111+V116</f>
      </c>
      <c r="W117" s="521">
        <f>W111+W116</f>
      </c>
      <c r="X117" s="521">
        <f>X111+X116</f>
      </c>
      <c r="Y117" s="521">
        <f>Y111+Y116</f>
      </c>
      <c r="Z117" s="521">
        <f>Z111+Z116</f>
      </c>
      <c r="AA117" s="521">
        <f>AA111+AA116</f>
      </c>
      <c r="AB117" s="521">
        <f>AB111+AB116</f>
      </c>
      <c r="AC117" s="519">
        <f>AC111</f>
      </c>
      <c r="AD117" s="516"/>
      <c r="AE117" s="516"/>
      <c r="AF117" s="521">
        <f>AF111+AF116</f>
      </c>
    </row>
    <row r="118">
      <c r="A118" s="484" t="s">
        <v>319</v>
      </c>
      <c r="B118" s="484" t="s">
        <v>270</v>
      </c>
      <c r="C118" s="484"/>
      <c r="D118" s="485" t="s">
        <v>271</v>
      </c>
      <c r="E118" s="485"/>
      <c r="F118" s="485"/>
      <c r="G118" s="485"/>
      <c r="H118" s="485"/>
      <c r="I118" s="485"/>
      <c r="J118" s="485"/>
      <c r="K118" s="485"/>
      <c r="L118" s="486" t="s">
        <v>272</v>
      </c>
      <c r="M118" s="486"/>
      <c r="N118" s="486"/>
      <c r="O118" s="486"/>
      <c r="P118" s="486"/>
      <c r="Q118" s="486"/>
      <c r="R118" s="486"/>
      <c r="S118" s="486"/>
      <c r="T118" s="486"/>
      <c r="U118" s="486"/>
      <c r="V118" s="486"/>
      <c r="W118" s="486"/>
      <c r="X118" s="486"/>
      <c r="Y118" s="486"/>
      <c r="Z118" s="486"/>
      <c r="AA118" s="486"/>
      <c r="AB118" s="486"/>
      <c r="AC118" s="486"/>
      <c r="AD118" s="486"/>
      <c r="AE118" s="486"/>
      <c r="AF118" s="487"/>
    </row>
    <row r="119">
      <c r="A119" s="484"/>
      <c r="B119" s="484" t="s">
        <v>273</v>
      </c>
      <c r="C119" s="484" t="s">
        <v>274</v>
      </c>
      <c r="D119" s="485" t="s">
        <v>275</v>
      </c>
      <c r="E119" s="488" t="s">
        <v>276</v>
      </c>
      <c r="F119" s="488" t="s">
        <v>277</v>
      </c>
      <c r="G119" s="485" t="s">
        <v>278</v>
      </c>
      <c r="H119" s="489" t="s">
        <v>279</v>
      </c>
      <c r="I119" s="489" t="s">
        <v>280</v>
      </c>
      <c r="J119" s="489" t="s">
        <v>281</v>
      </c>
      <c r="K119" s="489" t="s">
        <v>282</v>
      </c>
      <c r="L119" s="490" t="s">
        <v>283</v>
      </c>
      <c r="M119" s="491" t="s">
        <v>284</v>
      </c>
      <c r="N119" s="491" t="s">
        <v>285</v>
      </c>
      <c r="O119" s="491" t="s">
        <v>286</v>
      </c>
      <c r="P119" s="491" t="s">
        <v>287</v>
      </c>
      <c r="Q119" s="492" t="s">
        <v>288</v>
      </c>
      <c r="R119" s="491" t="s">
        <v>289</v>
      </c>
      <c r="S119" s="492" t="s">
        <v>290</v>
      </c>
      <c r="T119" s="486" t="s">
        <v>291</v>
      </c>
      <c r="U119" s="487" t="s">
        <v>292</v>
      </c>
      <c r="V119" s="487" t="s">
        <v>293</v>
      </c>
      <c r="W119" s="487" t="s">
        <v>294</v>
      </c>
      <c r="X119" s="487" t="s">
        <v>295</v>
      </c>
      <c r="Y119" s="487" t="s">
        <v>296</v>
      </c>
      <c r="Z119" s="487" t="s">
        <v>297</v>
      </c>
      <c r="AA119" s="487" t="s">
        <v>298</v>
      </c>
      <c r="AB119" s="487" t="s">
        <v>299</v>
      </c>
      <c r="AC119" s="486" t="s">
        <v>300</v>
      </c>
      <c r="AD119" s="493" t="s">
        <v>301</v>
      </c>
      <c r="AE119" s="493" t="s">
        <v>302</v>
      </c>
      <c r="AF119" s="487" t="s">
        <v>303</v>
      </c>
    </row>
    <row r="120">
      <c r="A120" s="494" t="s">
        <v>333</v>
      </c>
      <c r="B120" s="495" t="s">
        <v>331</v>
      </c>
      <c r="C120" s="495" t="s">
        <v>323</v>
      </c>
      <c r="D120" s="499">
        <v>2583.94</v>
      </c>
      <c r="E120" s="498">
        <v>3</v>
      </c>
      <c r="F120" s="498">
        <v>3</v>
      </c>
      <c r="G120" s="499">
        <v>1353</v>
      </c>
      <c r="H120" s="500">
        <f t="shared" ref="H120:H130" si="9">G120/D120</f>
      </c>
      <c r="I120" s="500">
        <f t="shared" ref="I120:I130" si="72">D120/E120</f>
      </c>
      <c r="J120" s="500">
        <f t="shared" ref="J120:J130" si="135">D120/F120</f>
      </c>
      <c r="K120" s="500">
        <f t="shared" ref="K120:K130" si="198">G120/E120</f>
      </c>
      <c r="L120" s="500">
        <f t="shared" ref="L120:L130" si="30">D120/V120</f>
      </c>
      <c r="M120" s="501">
        <f t="shared" ref="M120:M130" si="93">Q120/U120*1</f>
      </c>
      <c r="N120" s="501">
        <f t="shared" ref="N120:N130" si="156">V120/U120</f>
      </c>
      <c r="O120" s="501">
        <f t="shared" ref="O120:O130" si="219">X120/U120</f>
      </c>
      <c r="P120" s="501">
        <f t="shared" ref="P120:P130" si="51">Y120/X120</f>
      </c>
      <c r="Q120" s="502">
        <f t="shared" ref="Q120:Q130" si="114">W120/R120</f>
      </c>
      <c r="R120" s="503">
        <v>0.0223</v>
      </c>
      <c r="S120" s="504">
        <v>44</v>
      </c>
      <c r="T120" s="500">
        <f t="shared" ref="T120:T130" si="177">(D120/U120)*1000</f>
      </c>
      <c r="U120" s="502">
        <v>14671</v>
      </c>
      <c r="V120" s="502">
        <v>947</v>
      </c>
      <c r="W120" s="502">
        <v>104</v>
      </c>
      <c r="X120" s="502">
        <v>1562</v>
      </c>
      <c r="Y120" s="502">
        <v>76</v>
      </c>
      <c r="Z120" s="502">
        <v>12</v>
      </c>
      <c r="AA120" s="502">
        <v>2</v>
      </c>
      <c r="AB120" s="504">
        <v>18</v>
      </c>
      <c r="AC120" s="500">
        <f t="shared" ref="AC120:AC129" si="240">AF120*1000/D120</f>
      </c>
      <c r="AD120" s="522" t="s">
        <v>307</v>
      </c>
      <c r="AE120" s="522" t="s">
        <v>328</v>
      </c>
      <c r="AF120" s="504">
        <v>37</v>
      </c>
    </row>
    <row r="121">
      <c r="A121" s="494"/>
      <c r="B121" s="495" t="s">
        <v>331</v>
      </c>
      <c r="C121" s="496" t="s">
        <v>309</v>
      </c>
      <c r="D121" s="499">
        <v>2510.42</v>
      </c>
      <c r="E121" s="498">
        <v>6</v>
      </c>
      <c r="F121" s="498">
        <v>6</v>
      </c>
      <c r="G121" s="499">
        <v>3036</v>
      </c>
      <c r="H121" s="500">
        <f t="shared" si="9"/>
      </c>
      <c r="I121" s="500">
        <f t="shared" si="72"/>
      </c>
      <c r="J121" s="500">
        <f t="shared" si="135"/>
      </c>
      <c r="K121" s="500">
        <f t="shared" si="198"/>
      </c>
      <c r="L121" s="500">
        <f t="shared" si="30"/>
      </c>
      <c r="M121" s="501">
        <f t="shared" si="93"/>
      </c>
      <c r="N121" s="501">
        <f t="shared" si="156"/>
      </c>
      <c r="O121" s="501">
        <f t="shared" si="219"/>
      </c>
      <c r="P121" s="501">
        <f t="shared" si="51"/>
      </c>
      <c r="Q121" s="502">
        <f t="shared" si="114"/>
      </c>
      <c r="R121" s="503">
        <v>0.0214</v>
      </c>
      <c r="S121" s="504">
        <v>43</v>
      </c>
      <c r="T121" s="500">
        <f t="shared" si="177"/>
      </c>
      <c r="U121" s="502">
        <v>14851</v>
      </c>
      <c r="V121" s="502">
        <v>995</v>
      </c>
      <c r="W121" s="502">
        <v>100</v>
      </c>
      <c r="X121" s="502">
        <v>1462</v>
      </c>
      <c r="Y121" s="502">
        <v>69</v>
      </c>
      <c r="Z121" s="502">
        <v>10</v>
      </c>
      <c r="AA121" s="502">
        <v>2</v>
      </c>
      <c r="AB121" s="502">
        <v>19</v>
      </c>
      <c r="AC121" s="500">
        <f t="shared" si="240"/>
      </c>
      <c r="AD121" s="522" t="s">
        <v>307</v>
      </c>
      <c r="AE121" s="522" t="s">
        <v>328</v>
      </c>
      <c r="AF121" s="504">
        <v>29</v>
      </c>
    </row>
    <row r="122">
      <c r="A122" s="494"/>
      <c r="B122" s="495" t="s">
        <v>331</v>
      </c>
      <c r="C122" s="496" t="s">
        <v>310</v>
      </c>
      <c r="D122" s="499">
        <v>1982.66</v>
      </c>
      <c r="E122" s="498">
        <v>5</v>
      </c>
      <c r="F122" s="498">
        <v>5</v>
      </c>
      <c r="G122" s="497">
        <v>4136</v>
      </c>
      <c r="H122" s="500">
        <f t="shared" si="9"/>
      </c>
      <c r="I122" s="500">
        <f t="shared" si="72"/>
      </c>
      <c r="J122" s="500">
        <f t="shared" si="135"/>
      </c>
      <c r="K122" s="500">
        <f t="shared" si="198"/>
      </c>
      <c r="L122" s="500">
        <f t="shared" si="30"/>
      </c>
      <c r="M122" s="501">
        <f t="shared" si="93"/>
      </c>
      <c r="N122" s="501">
        <f t="shared" si="156"/>
      </c>
      <c r="O122" s="501">
        <f t="shared" si="219"/>
      </c>
      <c r="P122" s="501">
        <f t="shared" si="51"/>
      </c>
      <c r="Q122" s="502">
        <f t="shared" si="114"/>
      </c>
      <c r="R122" s="503">
        <v>0.0184</v>
      </c>
      <c r="S122" s="504">
        <v>40</v>
      </c>
      <c r="T122" s="500">
        <f t="shared" si="177"/>
      </c>
      <c r="U122" s="502">
        <v>13111</v>
      </c>
      <c r="V122" s="502">
        <v>865</v>
      </c>
      <c r="W122" s="502">
        <v>78</v>
      </c>
      <c r="X122" s="502">
        <v>1285</v>
      </c>
      <c r="Y122" s="502">
        <v>88</v>
      </c>
      <c r="Z122" s="502">
        <v>3</v>
      </c>
      <c r="AA122" s="502">
        <v>4</v>
      </c>
      <c r="AB122" s="502">
        <v>7</v>
      </c>
      <c r="AC122" s="500">
        <f t="shared" si="240"/>
      </c>
      <c r="AD122" s="522" t="s">
        <v>307</v>
      </c>
      <c r="AE122" s="522" t="s">
        <v>328</v>
      </c>
      <c r="AF122" s="504">
        <v>31</v>
      </c>
    </row>
    <row r="123">
      <c r="A123" s="494"/>
      <c r="B123" s="495" t="s">
        <v>331</v>
      </c>
      <c r="C123" s="496" t="s">
        <v>311</v>
      </c>
      <c r="D123" s="499">
        <v>3015.81</v>
      </c>
      <c r="E123" s="498">
        <v>8</v>
      </c>
      <c r="F123" s="498">
        <v>6</v>
      </c>
      <c r="G123" s="499">
        <v>3938</v>
      </c>
      <c r="H123" s="500">
        <f t="shared" si="9"/>
      </c>
      <c r="I123" s="500">
        <f t="shared" si="72"/>
      </c>
      <c r="J123" s="500">
        <f t="shared" si="135"/>
      </c>
      <c r="K123" s="500">
        <f t="shared" si="198"/>
      </c>
      <c r="L123" s="500">
        <f t="shared" si="30"/>
      </c>
      <c r="M123" s="501">
        <f t="shared" si="93"/>
      </c>
      <c r="N123" s="501">
        <f t="shared" si="156"/>
      </c>
      <c r="O123" s="501">
        <f t="shared" si="219"/>
      </c>
      <c r="P123" s="501">
        <f t="shared" si="51"/>
      </c>
      <c r="Q123" s="502">
        <f t="shared" si="114"/>
      </c>
      <c r="R123" s="503">
        <v>0.0194</v>
      </c>
      <c r="S123" s="504">
        <v>38</v>
      </c>
      <c r="T123" s="500">
        <f t="shared" si="177"/>
      </c>
      <c r="U123" s="502">
        <v>17180</v>
      </c>
      <c r="V123" s="502">
        <v>1116</v>
      </c>
      <c r="W123" s="502">
        <v>87</v>
      </c>
      <c r="X123" s="502">
        <v>1541</v>
      </c>
      <c r="Y123" s="502">
        <v>84</v>
      </c>
      <c r="Z123" s="502">
        <v>12</v>
      </c>
      <c r="AA123" s="502">
        <v>2</v>
      </c>
      <c r="AB123" s="502">
        <v>18</v>
      </c>
      <c r="AC123" s="500">
        <f t="shared" si="240"/>
      </c>
      <c r="AD123" s="522" t="s">
        <v>307</v>
      </c>
      <c r="AE123" s="522" t="s">
        <v>328</v>
      </c>
      <c r="AF123" s="504">
        <v>34</v>
      </c>
    </row>
    <row r="124">
      <c r="A124" s="494"/>
      <c r="B124" s="507" t="s">
        <v>312</v>
      </c>
      <c r="C124" s="507"/>
      <c r="D124" s="508">
        <f>SUM(D120:D123)</f>
      </c>
      <c r="E124" s="509">
        <f>SUM(E120:E123)</f>
      </c>
      <c r="F124" s="509">
        <f>SUM(F120:F123)</f>
      </c>
      <c r="G124" s="508">
        <f>SUM(G120:G123)</f>
      </c>
      <c r="H124" s="510">
        <f t="shared" si="9"/>
      </c>
      <c r="I124" s="510">
        <f t="shared" si="72"/>
      </c>
      <c r="J124" s="510">
        <f t="shared" si="135"/>
      </c>
      <c r="K124" s="510">
        <f t="shared" si="198"/>
      </c>
      <c r="L124" s="510">
        <f t="shared" si="30"/>
      </c>
      <c r="M124" s="511">
        <f t="shared" si="93"/>
      </c>
      <c r="N124" s="511">
        <f t="shared" si="156"/>
      </c>
      <c r="O124" s="511">
        <f t="shared" si="219"/>
      </c>
      <c r="P124" s="511">
        <f t="shared" si="51"/>
      </c>
      <c r="Q124" s="512">
        <f t="shared" si="114"/>
      </c>
      <c r="R124" s="511">
        <f>AVERAGE(R120:R123)</f>
      </c>
      <c r="S124" s="508">
        <f>AVERAGE(S120:S123)</f>
      </c>
      <c r="T124" s="510">
        <f t="shared" si="177"/>
      </c>
      <c r="U124" s="512">
        <f>SUM(U120:U123)</f>
      </c>
      <c r="V124" s="512">
        <f>SUM(V120:V123)</f>
      </c>
      <c r="W124" s="512">
        <f>SUM(W120:W123)</f>
      </c>
      <c r="X124" s="512">
        <f>SUM(X120:X123)</f>
      </c>
      <c r="Y124" s="512">
        <f>SUM(Y120:Y123)</f>
      </c>
      <c r="Z124" s="512">
        <f>SUM(Z120:Z123)</f>
      </c>
      <c r="AA124" s="512">
        <f>SUM(AA120:AA123)</f>
      </c>
      <c r="AB124" s="512">
        <f>SUM(AB120:AB123)</f>
      </c>
      <c r="AC124" s="513">
        <f t="shared" si="240"/>
      </c>
      <c r="AD124" s="523"/>
      <c r="AE124" s="523"/>
      <c r="AF124" s="515">
        <f>SUM(AF120:AF123)</f>
      </c>
    </row>
    <row r="125">
      <c r="A125" s="494"/>
      <c r="B125" s="495" t="s">
        <v>325</v>
      </c>
      <c r="C125" s="496" t="s">
        <v>314</v>
      </c>
      <c r="D125" s="499">
        <v>3149.78</v>
      </c>
      <c r="E125" s="498">
        <v>5</v>
      </c>
      <c r="F125" s="498">
        <v>5</v>
      </c>
      <c r="G125" s="499">
        <v>3066.7999999999993</v>
      </c>
      <c r="H125" s="500">
        <f t="shared" si="9"/>
      </c>
      <c r="I125" s="500">
        <f t="shared" si="72"/>
      </c>
      <c r="J125" s="500">
        <f t="shared" si="135"/>
      </c>
      <c r="K125" s="500">
        <f t="shared" si="198"/>
      </c>
      <c r="L125" s="500">
        <f t="shared" si="30"/>
      </c>
      <c r="M125" s="501">
        <f t="shared" si="93"/>
      </c>
      <c r="N125" s="501">
        <f t="shared" si="156"/>
      </c>
      <c r="O125" s="501">
        <f t="shared" si="219"/>
      </c>
      <c r="P125" s="501">
        <f t="shared" si="51"/>
      </c>
      <c r="Q125" s="502">
        <f t="shared" si="114"/>
      </c>
      <c r="R125" s="503">
        <v>0.0273</v>
      </c>
      <c r="S125" s="504">
        <v>38</v>
      </c>
      <c r="T125" s="500">
        <f t="shared" si="177"/>
      </c>
      <c r="U125" s="502">
        <v>21293</v>
      </c>
      <c r="V125" s="502">
        <v>1159</v>
      </c>
      <c r="W125" s="502">
        <v>107</v>
      </c>
      <c r="X125" s="502">
        <v>1617</v>
      </c>
      <c r="Y125" s="502">
        <v>114</v>
      </c>
      <c r="Z125" s="502">
        <v>10</v>
      </c>
      <c r="AA125" s="502">
        <v>1</v>
      </c>
      <c r="AB125" s="502">
        <v>18</v>
      </c>
      <c r="AC125" s="500">
        <f t="shared" si="240"/>
      </c>
      <c r="AD125" s="522" t="s">
        <v>307</v>
      </c>
      <c r="AE125" s="522" t="s">
        <v>328</v>
      </c>
      <c r="AF125" s="504">
        <v>37</v>
      </c>
    </row>
    <row r="126">
      <c r="A126" s="494"/>
      <c r="B126" s="495" t="s">
        <v>325</v>
      </c>
      <c r="C126" s="496" t="s">
        <v>315</v>
      </c>
      <c r="D126" s="499">
        <v>2160.39</v>
      </c>
      <c r="E126" s="498">
        <v>2</v>
      </c>
      <c r="F126" s="498">
        <v>2</v>
      </c>
      <c r="G126" s="499">
        <v>1307.9000000000015</v>
      </c>
      <c r="H126" s="500">
        <f t="shared" si="9"/>
      </c>
      <c r="I126" s="500">
        <f t="shared" si="72"/>
      </c>
      <c r="J126" s="500">
        <f t="shared" si="135"/>
      </c>
      <c r="K126" s="500">
        <f t="shared" si="198"/>
      </c>
      <c r="L126" s="500">
        <f t="shared" si="30"/>
      </c>
      <c r="M126" s="501">
        <f t="shared" si="93"/>
      </c>
      <c r="N126" s="501">
        <f t="shared" si="156"/>
      </c>
      <c r="O126" s="501">
        <f t="shared" si="219"/>
      </c>
      <c r="P126" s="501">
        <f t="shared" si="51"/>
      </c>
      <c r="Q126" s="502">
        <f t="shared" si="114"/>
      </c>
      <c r="R126" s="503">
        <v>0.0259</v>
      </c>
      <c r="S126" s="504">
        <v>38</v>
      </c>
      <c r="T126" s="500">
        <f t="shared" si="177"/>
      </c>
      <c r="U126" s="502">
        <v>14618</v>
      </c>
      <c r="V126" s="502">
        <v>852</v>
      </c>
      <c r="W126" s="502">
        <v>80</v>
      </c>
      <c r="X126" s="502">
        <v>1279</v>
      </c>
      <c r="Y126" s="502">
        <v>84</v>
      </c>
      <c r="Z126" s="502">
        <v>3</v>
      </c>
      <c r="AA126" s="502">
        <v>1</v>
      </c>
      <c r="AB126" s="502">
        <v>13</v>
      </c>
      <c r="AC126" s="500">
        <f t="shared" si="240"/>
      </c>
      <c r="AD126" s="522" t="s">
        <v>307</v>
      </c>
      <c r="AE126" s="522" t="s">
        <v>328</v>
      </c>
      <c r="AF126" s="504">
        <v>34</v>
      </c>
    </row>
    <row r="127">
      <c r="A127" s="494"/>
      <c r="B127" s="495" t="s">
        <v>325</v>
      </c>
      <c r="C127" s="496" t="s">
        <v>316</v>
      </c>
      <c r="D127" s="499">
        <v>2417.13</v>
      </c>
      <c r="E127" s="498">
        <v>4</v>
      </c>
      <c r="F127" s="498">
        <v>4</v>
      </c>
      <c r="G127" s="499">
        <v>2134</v>
      </c>
      <c r="H127" s="500">
        <f t="shared" si="9"/>
      </c>
      <c r="I127" s="500">
        <f t="shared" si="72"/>
      </c>
      <c r="J127" s="500">
        <f t="shared" si="135"/>
      </c>
      <c r="K127" s="500">
        <f t="shared" si="198"/>
      </c>
      <c r="L127" s="500">
        <f t="shared" si="30"/>
      </c>
      <c r="M127" s="501">
        <f t="shared" si="93"/>
      </c>
      <c r="N127" s="501">
        <f t="shared" si="156"/>
      </c>
      <c r="O127" s="501">
        <f t="shared" si="219"/>
      </c>
      <c r="P127" s="501">
        <f t="shared" si="51"/>
      </c>
      <c r="Q127" s="502">
        <f t="shared" si="114"/>
      </c>
      <c r="R127" s="503">
        <v>0.0405</v>
      </c>
      <c r="S127" s="504">
        <v>38</v>
      </c>
      <c r="T127" s="500">
        <f t="shared" si="177"/>
      </c>
      <c r="U127" s="502">
        <v>13217</v>
      </c>
      <c r="V127" s="502">
        <v>843</v>
      </c>
      <c r="W127" s="502">
        <v>85</v>
      </c>
      <c r="X127" s="502">
        <v>1179</v>
      </c>
      <c r="Y127" s="502">
        <v>78</v>
      </c>
      <c r="Z127" s="502">
        <v>10</v>
      </c>
      <c r="AA127" s="502">
        <v>0</v>
      </c>
      <c r="AB127" s="502">
        <v>13</v>
      </c>
      <c r="AC127" s="500">
        <f t="shared" si="240"/>
      </c>
      <c r="AD127" s="522" t="s">
        <v>307</v>
      </c>
      <c r="AE127" s="522" t="s">
        <v>328</v>
      </c>
      <c r="AF127" s="504">
        <v>30</v>
      </c>
    </row>
    <row r="128">
      <c r="A128" s="494"/>
      <c r="B128" s="495" t="s">
        <v>325</v>
      </c>
      <c r="C128" s="496" t="s">
        <v>317</v>
      </c>
      <c r="D128" s="499">
        <v>1601.83</v>
      </c>
      <c r="E128" s="498">
        <v>6</v>
      </c>
      <c r="F128" s="498">
        <v>6</v>
      </c>
      <c r="G128" s="499">
        <v>3366</v>
      </c>
      <c r="H128" s="500">
        <f t="shared" si="9"/>
      </c>
      <c r="I128" s="500">
        <f t="shared" si="72"/>
      </c>
      <c r="J128" s="500">
        <f t="shared" si="135"/>
      </c>
      <c r="K128" s="500">
        <f t="shared" si="198"/>
      </c>
      <c r="L128" s="500">
        <f t="shared" si="30"/>
      </c>
      <c r="M128" s="501">
        <f t="shared" si="93"/>
      </c>
      <c r="N128" s="501">
        <f t="shared" si="156"/>
      </c>
      <c r="O128" s="501">
        <f t="shared" si="219"/>
      </c>
      <c r="P128" s="501">
        <f t="shared" si="51"/>
      </c>
      <c r="Q128" s="502">
        <f t="shared" si="114"/>
      </c>
      <c r="R128" s="503">
        <v>0.0634</v>
      </c>
      <c r="S128" s="504">
        <v>39</v>
      </c>
      <c r="T128" s="500">
        <f t="shared" si="177"/>
      </c>
      <c r="U128" s="502">
        <v>10394</v>
      </c>
      <c r="V128" s="502">
        <v>554</v>
      </c>
      <c r="W128" s="502">
        <v>72</v>
      </c>
      <c r="X128" s="502">
        <v>753</v>
      </c>
      <c r="Y128" s="502">
        <v>58</v>
      </c>
      <c r="Z128" s="502">
        <v>4</v>
      </c>
      <c r="AA128" s="502">
        <v>1</v>
      </c>
      <c r="AB128" s="502">
        <v>13</v>
      </c>
      <c r="AC128" s="500">
        <f t="shared" si="240"/>
      </c>
      <c r="AD128" s="522" t="s">
        <v>307</v>
      </c>
      <c r="AE128" s="522" t="s">
        <v>328</v>
      </c>
      <c r="AF128" s="504">
        <v>16</v>
      </c>
    </row>
    <row r="129">
      <c r="A129" s="494"/>
      <c r="B129" s="507" t="s">
        <v>312</v>
      </c>
      <c r="C129" s="507"/>
      <c r="D129" s="508">
        <f>SUM(D125:D128)</f>
      </c>
      <c r="E129" s="509">
        <f>SUM(E125:E128)</f>
      </c>
      <c r="F129" s="509">
        <f>SUM(F125:F128)</f>
      </c>
      <c r="G129" s="508">
        <f>SUM(G125:G128)</f>
      </c>
      <c r="H129" s="510">
        <f t="shared" si="9"/>
      </c>
      <c r="I129" s="510">
        <f t="shared" si="72"/>
      </c>
      <c r="J129" s="510">
        <f t="shared" si="135"/>
      </c>
      <c r="K129" s="510">
        <f t="shared" si="198"/>
      </c>
      <c r="L129" s="510">
        <f t="shared" si="30"/>
      </c>
      <c r="M129" s="511">
        <f t="shared" si="93"/>
      </c>
      <c r="N129" s="511">
        <f t="shared" si="156"/>
      </c>
      <c r="O129" s="511">
        <f t="shared" si="219"/>
      </c>
      <c r="P129" s="511">
        <f t="shared" si="51"/>
      </c>
      <c r="Q129" s="512">
        <f t="shared" si="114"/>
      </c>
      <c r="R129" s="511">
        <f>AVERAGE(R125:R128)</f>
      </c>
      <c r="S129" s="508">
        <f>AVERAGE(S125:S128)</f>
      </c>
      <c r="T129" s="510">
        <f t="shared" si="177"/>
      </c>
      <c r="U129" s="512">
        <f>SUM(U125:U128)</f>
      </c>
      <c r="V129" s="512">
        <f>SUM(V125:V128)</f>
      </c>
      <c r="W129" s="512">
        <f>SUM(W125:W128)</f>
      </c>
      <c r="X129" s="512">
        <f>SUM(X125:X128)</f>
      </c>
      <c r="Y129" s="512">
        <f>SUM(Y125:Y128)</f>
      </c>
      <c r="Z129" s="512">
        <f>SUM(Z125:Z128)</f>
      </c>
      <c r="AA129" s="512">
        <f>SUM(AA125:AA128)</f>
      </c>
      <c r="AB129" s="512">
        <f>SUM(AB125:AB128)</f>
      </c>
      <c r="AC129" s="513">
        <f t="shared" si="240"/>
      </c>
      <c r="AD129" s="514"/>
      <c r="AE129" s="514"/>
      <c r="AF129" s="512">
        <f>SUM(AF125:AF128)</f>
      </c>
    </row>
    <row r="130">
      <c r="A130" s="494"/>
      <c r="B130" s="516" t="s">
        <v>318</v>
      </c>
      <c r="C130" s="516"/>
      <c r="D130" s="517">
        <f>D124+D129</f>
      </c>
      <c r="E130" s="518">
        <f>E124+E129</f>
      </c>
      <c r="F130" s="518">
        <f>F124+F129</f>
      </c>
      <c r="G130" s="517">
        <f>G124+G129</f>
      </c>
      <c r="H130" s="519">
        <f t="shared" si="9"/>
      </c>
      <c r="I130" s="519">
        <f t="shared" si="72"/>
      </c>
      <c r="J130" s="519">
        <f t="shared" si="135"/>
      </c>
      <c r="K130" s="519">
        <f t="shared" si="198"/>
      </c>
      <c r="L130" s="519">
        <f t="shared" si="30"/>
      </c>
      <c r="M130" s="520">
        <f t="shared" si="93"/>
      </c>
      <c r="N130" s="520">
        <f t="shared" si="156"/>
      </c>
      <c r="O130" s="520">
        <f t="shared" si="219"/>
      </c>
      <c r="P130" s="520">
        <f t="shared" si="51"/>
      </c>
      <c r="Q130" s="521">
        <f t="shared" si="114"/>
      </c>
      <c r="R130" s="520">
        <f>(R124+R129)/2</f>
      </c>
      <c r="S130" s="517">
        <f>(S129+S124)/2</f>
      </c>
      <c r="T130" s="517">
        <f t="shared" si="177"/>
      </c>
      <c r="U130" s="521">
        <f>U124+U129</f>
      </c>
      <c r="V130" s="521">
        <f>V124+V129</f>
      </c>
      <c r="W130" s="521">
        <f>W124+W129</f>
      </c>
      <c r="X130" s="521">
        <f>X124+X129</f>
      </c>
      <c r="Y130" s="521">
        <f>Y124+Y129</f>
      </c>
      <c r="Z130" s="521">
        <f>Z124+Z129</f>
      </c>
      <c r="AA130" s="521">
        <f>AA124+AA129</f>
      </c>
      <c r="AB130" s="521">
        <f>AB124+AB129</f>
      </c>
      <c r="AC130" s="519">
        <f>AC124</f>
      </c>
      <c r="AD130" s="516"/>
      <c r="AE130" s="516"/>
      <c r="AF130" s="521">
        <f>AF124+AF129</f>
      </c>
    </row>
    <row r="131">
      <c r="A131" s="484" t="s">
        <v>319</v>
      </c>
      <c r="B131" s="484" t="s">
        <v>270</v>
      </c>
      <c r="C131" s="484"/>
      <c r="D131" s="485" t="s">
        <v>271</v>
      </c>
      <c r="E131" s="485"/>
      <c r="F131" s="485"/>
      <c r="G131" s="485"/>
      <c r="H131" s="485"/>
      <c r="I131" s="485"/>
      <c r="J131" s="485"/>
      <c r="K131" s="485"/>
      <c r="L131" s="486" t="s">
        <v>272</v>
      </c>
      <c r="M131" s="486"/>
      <c r="N131" s="486"/>
      <c r="O131" s="486"/>
      <c r="P131" s="486"/>
      <c r="Q131" s="486"/>
      <c r="R131" s="486"/>
      <c r="S131" s="486"/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7"/>
    </row>
    <row r="132">
      <c r="A132" s="484"/>
      <c r="B132" s="484" t="s">
        <v>273</v>
      </c>
      <c r="C132" s="484" t="s">
        <v>274</v>
      </c>
      <c r="D132" s="485" t="s">
        <v>275</v>
      </c>
      <c r="E132" s="488" t="s">
        <v>276</v>
      </c>
      <c r="F132" s="488" t="s">
        <v>277</v>
      </c>
      <c r="G132" s="485" t="s">
        <v>278</v>
      </c>
      <c r="H132" s="489" t="s">
        <v>279</v>
      </c>
      <c r="I132" s="489" t="s">
        <v>280</v>
      </c>
      <c r="J132" s="489" t="s">
        <v>281</v>
      </c>
      <c r="K132" s="489" t="s">
        <v>282</v>
      </c>
      <c r="L132" s="490" t="s">
        <v>283</v>
      </c>
      <c r="M132" s="491" t="s">
        <v>284</v>
      </c>
      <c r="N132" s="491" t="s">
        <v>285</v>
      </c>
      <c r="O132" s="491" t="s">
        <v>286</v>
      </c>
      <c r="P132" s="491" t="s">
        <v>287</v>
      </c>
      <c r="Q132" s="492" t="s">
        <v>288</v>
      </c>
      <c r="R132" s="491" t="s">
        <v>289</v>
      </c>
      <c r="S132" s="492" t="s">
        <v>290</v>
      </c>
      <c r="T132" s="486" t="s">
        <v>291</v>
      </c>
      <c r="U132" s="487" t="s">
        <v>292</v>
      </c>
      <c r="V132" s="487" t="s">
        <v>293</v>
      </c>
      <c r="W132" s="487" t="s">
        <v>294</v>
      </c>
      <c r="X132" s="487" t="s">
        <v>295</v>
      </c>
      <c r="Y132" s="487" t="s">
        <v>296</v>
      </c>
      <c r="Z132" s="487" t="s">
        <v>297</v>
      </c>
      <c r="AA132" s="487" t="s">
        <v>298</v>
      </c>
      <c r="AB132" s="487" t="s">
        <v>299</v>
      </c>
      <c r="AC132" s="486" t="s">
        <v>300</v>
      </c>
      <c r="AD132" s="493" t="s">
        <v>301</v>
      </c>
      <c r="AE132" s="493" t="s">
        <v>302</v>
      </c>
      <c r="AF132" s="487" t="s">
        <v>303</v>
      </c>
    </row>
    <row r="133">
      <c r="A133" s="494" t="s">
        <v>334</v>
      </c>
      <c r="B133" s="495" t="s">
        <v>331</v>
      </c>
      <c r="C133" s="495" t="s">
        <v>323</v>
      </c>
      <c r="D133" s="499">
        <v>2642.98</v>
      </c>
      <c r="E133" s="498">
        <v>1</v>
      </c>
      <c r="F133" s="498">
        <v>1</v>
      </c>
      <c r="G133" s="499">
        <v>451</v>
      </c>
      <c r="H133" s="500">
        <f t="shared" ref="H133:H143" si="10">G133/D133</f>
      </c>
      <c r="I133" s="500">
        <f t="shared" ref="I133:I143" si="73">D133/E133</f>
      </c>
      <c r="J133" s="500">
        <f t="shared" ref="J133:J143" si="136">D133/F133</f>
      </c>
      <c r="K133" s="500">
        <f t="shared" ref="K133:K143" si="199">G133/E133</f>
      </c>
      <c r="L133" s="500">
        <f t="shared" ref="L133:L143" si="31">D133/V133</f>
      </c>
      <c r="M133" s="501">
        <f t="shared" ref="M133:M143" si="94">Q133/U133*1</f>
      </c>
      <c r="N133" s="501">
        <f t="shared" ref="N133:N143" si="157">V133/U133</f>
      </c>
      <c r="O133" s="501">
        <f t="shared" ref="O133:O143" si="220">X133/U133</f>
      </c>
      <c r="P133" s="501">
        <f t="shared" ref="P133:P143" si="52">Y133/X133</f>
      </c>
      <c r="Q133" s="502">
        <f t="shared" ref="Q133:Q143" si="115">W133/R133</f>
      </c>
      <c r="R133" s="503">
        <v>0.0165</v>
      </c>
      <c r="S133" s="504">
        <v>27</v>
      </c>
      <c r="T133" s="500">
        <f t="shared" ref="T133:T143" si="178">(D133/U133)*1000</f>
      </c>
      <c r="U133" s="502">
        <v>16475</v>
      </c>
      <c r="V133" s="502">
        <v>931</v>
      </c>
      <c r="W133" s="502">
        <v>83</v>
      </c>
      <c r="X133" s="502">
        <v>1722</v>
      </c>
      <c r="Y133" s="502">
        <v>44</v>
      </c>
      <c r="Z133" s="502">
        <v>9</v>
      </c>
      <c r="AA133" s="502">
        <v>1</v>
      </c>
      <c r="AB133" s="504">
        <v>15</v>
      </c>
      <c r="AC133" s="500">
        <f t="shared" ref="AC133:AC142" si="241">AF133*1000/D133</f>
      </c>
      <c r="AD133" s="522" t="s">
        <v>307</v>
      </c>
      <c r="AE133" s="522" t="s">
        <v>328</v>
      </c>
      <c r="AF133" s="504">
        <v>33</v>
      </c>
    </row>
    <row r="134">
      <c r="A134" s="494"/>
      <c r="B134" s="495" t="s">
        <v>331</v>
      </c>
      <c r="C134" s="496" t="s">
        <v>309</v>
      </c>
      <c r="D134" s="499">
        <v>1664.79</v>
      </c>
      <c r="E134" s="498">
        <v>2</v>
      </c>
      <c r="F134" s="498">
        <v>2</v>
      </c>
      <c r="G134" s="499">
        <v>1621.4</v>
      </c>
      <c r="H134" s="500">
        <f t="shared" si="10"/>
      </c>
      <c r="I134" s="500">
        <f t="shared" si="73"/>
      </c>
      <c r="J134" s="500">
        <f t="shared" si="136"/>
      </c>
      <c r="K134" s="500">
        <f t="shared" si="199"/>
      </c>
      <c r="L134" s="500">
        <f t="shared" si="31"/>
      </c>
      <c r="M134" s="501">
        <f t="shared" si="94"/>
      </c>
      <c r="N134" s="501">
        <f t="shared" si="157"/>
      </c>
      <c r="O134" s="501">
        <f t="shared" si="220"/>
      </c>
      <c r="P134" s="501">
        <f t="shared" si="52"/>
      </c>
      <c r="Q134" s="502">
        <f t="shared" si="115"/>
      </c>
      <c r="R134" s="503">
        <v>0.0185</v>
      </c>
      <c r="S134" s="504">
        <v>31</v>
      </c>
      <c r="T134" s="500">
        <f t="shared" si="178"/>
      </c>
      <c r="U134" s="502">
        <v>11683</v>
      </c>
      <c r="V134" s="502">
        <v>679</v>
      </c>
      <c r="W134" s="502">
        <v>66</v>
      </c>
      <c r="X134" s="502">
        <v>1324</v>
      </c>
      <c r="Y134" s="502">
        <v>61</v>
      </c>
      <c r="Z134" s="502">
        <v>6</v>
      </c>
      <c r="AA134" s="502">
        <v>1</v>
      </c>
      <c r="AB134" s="502">
        <v>7</v>
      </c>
      <c r="AC134" s="500">
        <f t="shared" si="241"/>
      </c>
      <c r="AD134" s="522" t="s">
        <v>307</v>
      </c>
      <c r="AE134" s="522" t="s">
        <v>328</v>
      </c>
      <c r="AF134" s="504">
        <v>25</v>
      </c>
    </row>
    <row r="135">
      <c r="A135" s="494"/>
      <c r="B135" s="495" t="s">
        <v>331</v>
      </c>
      <c r="C135" s="496" t="s">
        <v>310</v>
      </c>
      <c r="D135" s="499">
        <v>2021.43</v>
      </c>
      <c r="E135" s="498">
        <v>6</v>
      </c>
      <c r="F135" s="498">
        <v>4</v>
      </c>
      <c r="G135" s="497">
        <v>3035.9999999999995</v>
      </c>
      <c r="H135" s="500">
        <f t="shared" si="10"/>
      </c>
      <c r="I135" s="500">
        <f t="shared" si="73"/>
      </c>
      <c r="J135" s="500">
        <f t="shared" si="136"/>
      </c>
      <c r="K135" s="500">
        <f t="shared" si="199"/>
      </c>
      <c r="L135" s="500">
        <f t="shared" si="31"/>
      </c>
      <c r="M135" s="501">
        <f t="shared" si="94"/>
      </c>
      <c r="N135" s="501">
        <f t="shared" si="157"/>
      </c>
      <c r="O135" s="501">
        <f t="shared" si="220"/>
      </c>
      <c r="P135" s="501">
        <f t="shared" si="52"/>
      </c>
      <c r="Q135" s="502">
        <f t="shared" si="115"/>
      </c>
      <c r="R135" s="503">
        <v>0.0314</v>
      </c>
      <c r="S135" s="504">
        <v>31</v>
      </c>
      <c r="T135" s="500">
        <f t="shared" si="178"/>
      </c>
      <c r="U135" s="502">
        <v>13875</v>
      </c>
      <c r="V135" s="502">
        <v>856</v>
      </c>
      <c r="W135" s="502">
        <v>85</v>
      </c>
      <c r="X135" s="502">
        <v>1556</v>
      </c>
      <c r="Y135" s="502">
        <v>56</v>
      </c>
      <c r="Z135" s="502">
        <v>3</v>
      </c>
      <c r="AA135" s="502">
        <v>2</v>
      </c>
      <c r="AB135" s="502">
        <v>13</v>
      </c>
      <c r="AC135" s="500">
        <f t="shared" si="241"/>
      </c>
      <c r="AD135" s="522" t="s">
        <v>307</v>
      </c>
      <c r="AE135" s="522" t="s">
        <v>328</v>
      </c>
      <c r="AF135" s="504">
        <v>24</v>
      </c>
    </row>
    <row r="136">
      <c r="A136" s="494"/>
      <c r="B136" s="495" t="s">
        <v>331</v>
      </c>
      <c r="C136" s="496" t="s">
        <v>311</v>
      </c>
      <c r="D136" s="499">
        <v>2149.35</v>
      </c>
      <c r="E136" s="498">
        <v>10</v>
      </c>
      <c r="F136" s="498">
        <v>7</v>
      </c>
      <c r="G136" s="499">
        <v>7813.85</v>
      </c>
      <c r="H136" s="500">
        <f t="shared" si="10"/>
      </c>
      <c r="I136" s="500">
        <f t="shared" si="73"/>
      </c>
      <c r="J136" s="500">
        <f t="shared" si="136"/>
      </c>
      <c r="K136" s="500">
        <f t="shared" si="199"/>
      </c>
      <c r="L136" s="500">
        <f t="shared" si="31"/>
      </c>
      <c r="M136" s="501">
        <f t="shared" si="94"/>
      </c>
      <c r="N136" s="501">
        <f t="shared" si="157"/>
      </c>
      <c r="O136" s="501">
        <f t="shared" si="220"/>
      </c>
      <c r="P136" s="501">
        <f t="shared" si="52"/>
      </c>
      <c r="Q136" s="502">
        <f t="shared" si="115"/>
      </c>
      <c r="R136" s="503">
        <v>0.0288</v>
      </c>
      <c r="S136" s="504">
        <v>32</v>
      </c>
      <c r="T136" s="500">
        <f t="shared" si="178"/>
      </c>
      <c r="U136" s="502">
        <v>14401</v>
      </c>
      <c r="V136" s="502">
        <v>1023</v>
      </c>
      <c r="W136" s="502">
        <v>82</v>
      </c>
      <c r="X136" s="502">
        <v>1597</v>
      </c>
      <c r="Y136" s="502">
        <v>62</v>
      </c>
      <c r="Z136" s="502">
        <v>11</v>
      </c>
      <c r="AA136" s="502">
        <v>1</v>
      </c>
      <c r="AB136" s="502">
        <v>10</v>
      </c>
      <c r="AC136" s="500">
        <f t="shared" si="241"/>
      </c>
      <c r="AD136" s="522" t="s">
        <v>307</v>
      </c>
      <c r="AE136" s="522" t="s">
        <v>328</v>
      </c>
      <c r="AF136" s="504">
        <v>30</v>
      </c>
    </row>
    <row r="137">
      <c r="A137" s="494"/>
      <c r="B137" s="507" t="s">
        <v>312</v>
      </c>
      <c r="C137" s="507"/>
      <c r="D137" s="508">
        <f>SUM(D133:D136)</f>
      </c>
      <c r="E137" s="509">
        <f>SUM(E133:E136)</f>
      </c>
      <c r="F137" s="509">
        <f>SUM(F133:F136)</f>
      </c>
      <c r="G137" s="508">
        <f>SUM(G133:G136)</f>
      </c>
      <c r="H137" s="510">
        <f t="shared" si="10"/>
      </c>
      <c r="I137" s="510">
        <f t="shared" si="73"/>
      </c>
      <c r="J137" s="510">
        <f t="shared" si="136"/>
      </c>
      <c r="K137" s="510">
        <f t="shared" si="199"/>
      </c>
      <c r="L137" s="510">
        <f t="shared" si="31"/>
      </c>
      <c r="M137" s="511">
        <f t="shared" si="94"/>
      </c>
      <c r="N137" s="511">
        <f t="shared" si="157"/>
      </c>
      <c r="O137" s="511">
        <f t="shared" si="220"/>
      </c>
      <c r="P137" s="511">
        <f t="shared" si="52"/>
      </c>
      <c r="Q137" s="512">
        <f t="shared" si="115"/>
      </c>
      <c r="R137" s="511">
        <f>AVERAGE(R133:R136)</f>
      </c>
      <c r="S137" s="508">
        <f>AVERAGE(S133:S136)</f>
      </c>
      <c r="T137" s="510">
        <f t="shared" si="178"/>
      </c>
      <c r="U137" s="512">
        <f>SUM(U133:U136)</f>
      </c>
      <c r="V137" s="512">
        <f>SUM(V133:V136)</f>
      </c>
      <c r="W137" s="512">
        <f>SUM(W133:W136)</f>
      </c>
      <c r="X137" s="512">
        <f>SUM(X133:X136)</f>
      </c>
      <c r="Y137" s="512">
        <f>SUM(Y133:Y136)</f>
      </c>
      <c r="Z137" s="512">
        <f>SUM(Z133:Z136)</f>
      </c>
      <c r="AA137" s="512">
        <f>SUM(AA133:AA136)</f>
      </c>
      <c r="AB137" s="512">
        <f>SUM(AB133:AB136)</f>
      </c>
      <c r="AC137" s="513">
        <f t="shared" si="241"/>
      </c>
      <c r="AD137" s="523"/>
      <c r="AE137" s="523"/>
      <c r="AF137" s="515">
        <f>SUM(AF133:AF136)</f>
      </c>
    </row>
    <row r="138">
      <c r="A138" s="494"/>
      <c r="B138" s="495" t="s">
        <v>325</v>
      </c>
      <c r="C138" s="496" t="s">
        <v>314</v>
      </c>
      <c r="D138" s="499">
        <v>3789.54</v>
      </c>
      <c r="E138" s="498">
        <v>3</v>
      </c>
      <c r="F138" s="498">
        <v>3</v>
      </c>
      <c r="G138" s="499">
        <v>2072.3999999999996</v>
      </c>
      <c r="H138" s="500">
        <f t="shared" si="10"/>
      </c>
      <c r="I138" s="500">
        <f t="shared" si="73"/>
      </c>
      <c r="J138" s="500">
        <f t="shared" si="136"/>
      </c>
      <c r="K138" s="500">
        <f t="shared" si="199"/>
      </c>
      <c r="L138" s="500">
        <f t="shared" si="31"/>
      </c>
      <c r="M138" s="501">
        <f t="shared" si="94"/>
      </c>
      <c r="N138" s="501">
        <f t="shared" si="157"/>
      </c>
      <c r="O138" s="501">
        <f t="shared" si="220"/>
      </c>
      <c r="P138" s="501">
        <f t="shared" si="52"/>
      </c>
      <c r="Q138" s="502">
        <f t="shared" si="115"/>
      </c>
      <c r="R138" s="503">
        <v>0.036</v>
      </c>
      <c r="S138" s="504">
        <v>33</v>
      </c>
      <c r="T138" s="500">
        <f t="shared" si="178"/>
      </c>
      <c r="U138" s="502">
        <v>26341</v>
      </c>
      <c r="V138" s="502">
        <v>987</v>
      </c>
      <c r="W138" s="502">
        <v>105</v>
      </c>
      <c r="X138" s="502">
        <v>1536</v>
      </c>
      <c r="Y138" s="502">
        <v>114</v>
      </c>
      <c r="Z138" s="502">
        <v>12</v>
      </c>
      <c r="AA138" s="502">
        <v>3</v>
      </c>
      <c r="AB138" s="502">
        <v>32</v>
      </c>
      <c r="AC138" s="500">
        <f t="shared" si="241"/>
      </c>
      <c r="AD138" s="522" t="s">
        <v>307</v>
      </c>
      <c r="AE138" s="522" t="s">
        <v>328</v>
      </c>
      <c r="AF138" s="504">
        <v>36</v>
      </c>
    </row>
    <row r="139">
      <c r="A139" s="494"/>
      <c r="B139" s="495" t="s">
        <v>325</v>
      </c>
      <c r="C139" s="496" t="s">
        <v>315</v>
      </c>
      <c r="D139" s="499">
        <v>2569.94</v>
      </c>
      <c r="E139" s="498">
        <v>4</v>
      </c>
      <c r="F139" s="498">
        <v>3</v>
      </c>
      <c r="G139" s="499">
        <v>2929.300000000001</v>
      </c>
      <c r="H139" s="500">
        <f t="shared" si="10"/>
      </c>
      <c r="I139" s="500">
        <f t="shared" si="73"/>
      </c>
      <c r="J139" s="500">
        <f t="shared" si="136"/>
      </c>
      <c r="K139" s="500">
        <f t="shared" si="199"/>
      </c>
      <c r="L139" s="500">
        <f t="shared" si="31"/>
      </c>
      <c r="M139" s="501">
        <f t="shared" si="94"/>
      </c>
      <c r="N139" s="501">
        <f t="shared" si="157"/>
      </c>
      <c r="O139" s="501">
        <f t="shared" si="220"/>
      </c>
      <c r="P139" s="501">
        <f t="shared" si="52"/>
      </c>
      <c r="Q139" s="502">
        <f t="shared" si="115"/>
      </c>
      <c r="R139" s="503">
        <v>0.0328</v>
      </c>
      <c r="S139" s="504">
        <v>33</v>
      </c>
      <c r="T139" s="500">
        <f t="shared" si="178"/>
      </c>
      <c r="U139" s="502">
        <v>21623</v>
      </c>
      <c r="V139" s="502">
        <v>1105</v>
      </c>
      <c r="W139" s="502">
        <v>112</v>
      </c>
      <c r="X139" s="502">
        <v>1602</v>
      </c>
      <c r="Y139" s="502">
        <v>49</v>
      </c>
      <c r="Z139" s="502">
        <v>4</v>
      </c>
      <c r="AA139" s="502">
        <v>2</v>
      </c>
      <c r="AB139" s="502">
        <v>24</v>
      </c>
      <c r="AC139" s="500">
        <f t="shared" si="241"/>
      </c>
      <c r="AD139" s="522" t="s">
        <v>307</v>
      </c>
      <c r="AE139" s="522" t="s">
        <v>328</v>
      </c>
      <c r="AF139" s="504">
        <v>31</v>
      </c>
    </row>
    <row r="140">
      <c r="A140" s="494"/>
      <c r="B140" s="495" t="s">
        <v>325</v>
      </c>
      <c r="C140" s="496" t="s">
        <v>316</v>
      </c>
      <c r="D140" s="499">
        <v>2623.52</v>
      </c>
      <c r="E140" s="498">
        <v>6</v>
      </c>
      <c r="F140" s="498">
        <v>5</v>
      </c>
      <c r="G140" s="499">
        <v>6431.700000000001</v>
      </c>
      <c r="H140" s="500">
        <f t="shared" si="10"/>
      </c>
      <c r="I140" s="500">
        <f t="shared" si="73"/>
      </c>
      <c r="J140" s="500">
        <f t="shared" si="136"/>
      </c>
      <c r="K140" s="500">
        <f t="shared" si="199"/>
      </c>
      <c r="L140" s="500">
        <f t="shared" si="31"/>
      </c>
      <c r="M140" s="501">
        <f t="shared" si="94"/>
      </c>
      <c r="N140" s="501">
        <f t="shared" si="157"/>
      </c>
      <c r="O140" s="501">
        <f t="shared" si="220"/>
      </c>
      <c r="P140" s="501">
        <f t="shared" si="52"/>
      </c>
      <c r="Q140" s="502">
        <f t="shared" si="115"/>
      </c>
      <c r="R140" s="503">
        <v>0.037</v>
      </c>
      <c r="S140" s="504">
        <v>33</v>
      </c>
      <c r="T140" s="500">
        <f t="shared" si="178"/>
      </c>
      <c r="U140" s="502">
        <v>20509</v>
      </c>
      <c r="V140" s="502">
        <v>1045</v>
      </c>
      <c r="W140" s="502">
        <v>96</v>
      </c>
      <c r="X140" s="502">
        <v>1525</v>
      </c>
      <c r="Y140" s="502">
        <v>79</v>
      </c>
      <c r="Z140" s="502">
        <v>4</v>
      </c>
      <c r="AA140" s="502">
        <v>0</v>
      </c>
      <c r="AB140" s="502">
        <v>21</v>
      </c>
      <c r="AC140" s="500">
        <f t="shared" si="241"/>
      </c>
      <c r="AD140" s="522" t="s">
        <v>307</v>
      </c>
      <c r="AE140" s="522" t="s">
        <v>328</v>
      </c>
      <c r="AF140" s="504">
        <v>23</v>
      </c>
    </row>
    <row r="141">
      <c r="A141" s="494"/>
      <c r="B141" s="495" t="s">
        <v>325</v>
      </c>
      <c r="C141" s="496" t="s">
        <v>317</v>
      </c>
      <c r="D141" s="499">
        <v>1691.68</v>
      </c>
      <c r="E141" s="498">
        <v>4</v>
      </c>
      <c r="F141" s="498">
        <v>3</v>
      </c>
      <c r="G141" s="499">
        <v>3230.699999999997</v>
      </c>
      <c r="H141" s="500">
        <f t="shared" si="10"/>
      </c>
      <c r="I141" s="500">
        <f t="shared" si="73"/>
      </c>
      <c r="J141" s="500">
        <f t="shared" si="136"/>
      </c>
      <c r="K141" s="500">
        <f t="shared" si="199"/>
      </c>
      <c r="L141" s="500">
        <f t="shared" si="31"/>
      </c>
      <c r="M141" s="501">
        <f t="shared" si="94"/>
      </c>
      <c r="N141" s="501">
        <f t="shared" si="157"/>
      </c>
      <c r="O141" s="501">
        <f t="shared" si="220"/>
      </c>
      <c r="P141" s="501">
        <f t="shared" si="52"/>
      </c>
      <c r="Q141" s="502">
        <f t="shared" si="115"/>
      </c>
      <c r="R141" s="503">
        <v>0.052</v>
      </c>
      <c r="S141" s="504">
        <v>34</v>
      </c>
      <c r="T141" s="500">
        <f t="shared" si="178"/>
      </c>
      <c r="U141" s="502">
        <v>13249</v>
      </c>
      <c r="V141" s="502">
        <v>554</v>
      </c>
      <c r="W141" s="502">
        <v>62</v>
      </c>
      <c r="X141" s="502">
        <v>759</v>
      </c>
      <c r="Y141" s="502">
        <v>34</v>
      </c>
      <c r="Z141" s="502">
        <v>8</v>
      </c>
      <c r="AA141" s="502">
        <v>0</v>
      </c>
      <c r="AB141" s="502">
        <v>20</v>
      </c>
      <c r="AC141" s="500">
        <f t="shared" si="241"/>
      </c>
      <c r="AD141" s="522" t="s">
        <v>307</v>
      </c>
      <c r="AE141" s="522" t="s">
        <v>328</v>
      </c>
      <c r="AF141" s="504">
        <v>22</v>
      </c>
    </row>
    <row r="142">
      <c r="A142" s="494"/>
      <c r="B142" s="507" t="s">
        <v>312</v>
      </c>
      <c r="C142" s="507"/>
      <c r="D142" s="508">
        <f>SUM(D138:D141)</f>
      </c>
      <c r="E142" s="509">
        <f>SUM(E138:E141)</f>
      </c>
      <c r="F142" s="509">
        <f>SUM(F138:F141)</f>
      </c>
      <c r="G142" s="508">
        <f>SUM(G138:G141)</f>
      </c>
      <c r="H142" s="510">
        <f t="shared" si="10"/>
      </c>
      <c r="I142" s="510">
        <f t="shared" si="73"/>
      </c>
      <c r="J142" s="510">
        <f t="shared" si="136"/>
      </c>
      <c r="K142" s="510">
        <f t="shared" si="199"/>
      </c>
      <c r="L142" s="510">
        <f t="shared" si="31"/>
      </c>
      <c r="M142" s="511">
        <f t="shared" si="94"/>
      </c>
      <c r="N142" s="511">
        <f t="shared" si="157"/>
      </c>
      <c r="O142" s="511">
        <f t="shared" si="220"/>
      </c>
      <c r="P142" s="511">
        <f t="shared" si="52"/>
      </c>
      <c r="Q142" s="512">
        <f t="shared" si="115"/>
      </c>
      <c r="R142" s="511">
        <f>AVERAGE(R138:R141)</f>
      </c>
      <c r="S142" s="508">
        <f>AVERAGE(S138:S141)</f>
      </c>
      <c r="T142" s="510">
        <f t="shared" si="178"/>
      </c>
      <c r="U142" s="512">
        <f>SUM(U138:U141)</f>
      </c>
      <c r="V142" s="512">
        <f>SUM(V138:V141)</f>
      </c>
      <c r="W142" s="512">
        <f>SUM(W138:W141)</f>
      </c>
      <c r="X142" s="512">
        <f>SUM(X138:X141)</f>
      </c>
      <c r="Y142" s="512">
        <f>SUM(Y138:Y141)</f>
      </c>
      <c r="Z142" s="512">
        <f>SUM(Z138:Z141)</f>
      </c>
      <c r="AA142" s="512">
        <f>SUM(AA138:AA141)</f>
      </c>
      <c r="AB142" s="512">
        <f>SUM(AB138:AB141)</f>
      </c>
      <c r="AC142" s="513">
        <f t="shared" si="241"/>
      </c>
      <c r="AD142" s="514"/>
      <c r="AE142" s="514"/>
      <c r="AF142" s="512">
        <f>SUM(AF138:AF141)</f>
      </c>
    </row>
    <row r="143">
      <c r="A143" s="494"/>
      <c r="B143" s="516" t="s">
        <v>318</v>
      </c>
      <c r="C143" s="516"/>
      <c r="D143" s="517">
        <f>D137+D142</f>
      </c>
      <c r="E143" s="518">
        <f>E137+E142</f>
      </c>
      <c r="F143" s="518">
        <f>F137+F142</f>
      </c>
      <c r="G143" s="517">
        <f>G137+G142</f>
      </c>
      <c r="H143" s="519">
        <f t="shared" si="10"/>
      </c>
      <c r="I143" s="519">
        <f t="shared" si="73"/>
      </c>
      <c r="J143" s="519">
        <f t="shared" si="136"/>
      </c>
      <c r="K143" s="519">
        <f t="shared" si="199"/>
      </c>
      <c r="L143" s="519">
        <f t="shared" si="31"/>
      </c>
      <c r="M143" s="520">
        <f t="shared" si="94"/>
      </c>
      <c r="N143" s="520">
        <f t="shared" si="157"/>
      </c>
      <c r="O143" s="520">
        <f t="shared" si="220"/>
      </c>
      <c r="P143" s="520">
        <f t="shared" si="52"/>
      </c>
      <c r="Q143" s="521">
        <f t="shared" si="115"/>
      </c>
      <c r="R143" s="520">
        <f>(R137+R142)/2</f>
      </c>
      <c r="S143" s="517">
        <f>(S142+S137)/2</f>
      </c>
      <c r="T143" s="517">
        <f t="shared" si="178"/>
      </c>
      <c r="U143" s="521">
        <f>U137+U142</f>
      </c>
      <c r="V143" s="521">
        <f>V137+V142</f>
      </c>
      <c r="W143" s="521">
        <f>W137+W142</f>
      </c>
      <c r="X143" s="521">
        <f>X137+X142</f>
      </c>
      <c r="Y143" s="521">
        <f>Y137+Y142</f>
      </c>
      <c r="Z143" s="521">
        <f>Z137+Z142</f>
      </c>
      <c r="AA143" s="521">
        <f>AA137+AA142</f>
      </c>
      <c r="AB143" s="521">
        <f>AB137+AB142</f>
      </c>
      <c r="AC143" s="519">
        <f>AC137</f>
      </c>
      <c r="AD143" s="516"/>
      <c r="AE143" s="516"/>
      <c r="AF143" s="521">
        <f>AF137+AF142</f>
      </c>
    </row>
    <row r="144">
      <c r="A144" s="484" t="s">
        <v>319</v>
      </c>
      <c r="B144" s="484" t="s">
        <v>270</v>
      </c>
      <c r="C144" s="484"/>
      <c r="D144" s="485" t="s">
        <v>271</v>
      </c>
      <c r="E144" s="485"/>
      <c r="F144" s="485"/>
      <c r="G144" s="485"/>
      <c r="H144" s="485"/>
      <c r="I144" s="485"/>
      <c r="J144" s="485"/>
      <c r="K144" s="485"/>
      <c r="L144" s="486" t="s">
        <v>272</v>
      </c>
      <c r="M144" s="486"/>
      <c r="N144" s="486"/>
      <c r="O144" s="486"/>
      <c r="P144" s="486"/>
      <c r="Q144" s="486"/>
      <c r="R144" s="486"/>
      <c r="S144" s="486"/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7"/>
    </row>
    <row r="145">
      <c r="A145" s="484"/>
      <c r="B145" s="484" t="s">
        <v>273</v>
      </c>
      <c r="C145" s="484" t="s">
        <v>274</v>
      </c>
      <c r="D145" s="485" t="s">
        <v>275</v>
      </c>
      <c r="E145" s="488" t="s">
        <v>276</v>
      </c>
      <c r="F145" s="488" t="s">
        <v>277</v>
      </c>
      <c r="G145" s="485" t="s">
        <v>278</v>
      </c>
      <c r="H145" s="489" t="s">
        <v>279</v>
      </c>
      <c r="I145" s="489" t="s">
        <v>280</v>
      </c>
      <c r="J145" s="489" t="s">
        <v>281</v>
      </c>
      <c r="K145" s="489" t="s">
        <v>282</v>
      </c>
      <c r="L145" s="490" t="s">
        <v>283</v>
      </c>
      <c r="M145" s="491" t="s">
        <v>284</v>
      </c>
      <c r="N145" s="491" t="s">
        <v>285</v>
      </c>
      <c r="O145" s="491" t="s">
        <v>286</v>
      </c>
      <c r="P145" s="491" t="s">
        <v>287</v>
      </c>
      <c r="Q145" s="492" t="s">
        <v>288</v>
      </c>
      <c r="R145" s="491" t="s">
        <v>289</v>
      </c>
      <c r="S145" s="492" t="s">
        <v>290</v>
      </c>
      <c r="T145" s="486" t="s">
        <v>291</v>
      </c>
      <c r="U145" s="487" t="s">
        <v>292</v>
      </c>
      <c r="V145" s="487" t="s">
        <v>293</v>
      </c>
      <c r="W145" s="487" t="s">
        <v>294</v>
      </c>
      <c r="X145" s="487" t="s">
        <v>295</v>
      </c>
      <c r="Y145" s="487" t="s">
        <v>296</v>
      </c>
      <c r="Z145" s="487" t="s">
        <v>297</v>
      </c>
      <c r="AA145" s="487" t="s">
        <v>298</v>
      </c>
      <c r="AB145" s="487" t="s">
        <v>299</v>
      </c>
      <c r="AC145" s="486" t="s">
        <v>300</v>
      </c>
      <c r="AD145" s="493" t="s">
        <v>301</v>
      </c>
      <c r="AE145" s="493" t="s">
        <v>302</v>
      </c>
      <c r="AF145" s="487" t="s">
        <v>303</v>
      </c>
    </row>
    <row r="146">
      <c r="A146" s="494" t="s">
        <v>335</v>
      </c>
      <c r="B146" s="495" t="s">
        <v>331</v>
      </c>
      <c r="C146" s="495" t="s">
        <v>323</v>
      </c>
      <c r="D146" s="499">
        <v>2098.18</v>
      </c>
      <c r="E146" s="498">
        <v>5</v>
      </c>
      <c r="F146" s="498">
        <v>4</v>
      </c>
      <c r="G146" s="499">
        <v>3265.3500000000004</v>
      </c>
      <c r="H146" s="500">
        <f t="shared" ref="H146:H156" si="11">G146/D146</f>
      </c>
      <c r="I146" s="500">
        <f t="shared" ref="I146:I156" si="74">D146/E146</f>
      </c>
      <c r="J146" s="500">
        <f t="shared" ref="J146:J156" si="137">D146/F146</f>
      </c>
      <c r="K146" s="500">
        <f t="shared" ref="K146:K156" si="200">G146/E146</f>
      </c>
      <c r="L146" s="500">
        <f t="shared" ref="L146:L156" si="32">D146/V146</f>
      </c>
      <c r="M146" s="501">
        <f t="shared" ref="M146:M156" si="95">Q146/U146*1</f>
      </c>
      <c r="N146" s="501">
        <f t="shared" ref="N146:N156" si="158">V146/U146</f>
      </c>
      <c r="O146" s="501">
        <f t="shared" ref="O146:O156" si="221">X146/U146</f>
      </c>
      <c r="P146" s="501">
        <f t="shared" ref="P146:P156" si="53">Y146/X146</f>
      </c>
      <c r="Q146" s="502">
        <f t="shared" ref="Q146:Q156" si="116">W146/R146</f>
      </c>
      <c r="R146" s="503">
        <v>0.0243</v>
      </c>
      <c r="S146" s="504">
        <v>34</v>
      </c>
      <c r="T146" s="500">
        <f t="shared" ref="T146:T156" si="179">(D146/U146)*1000</f>
      </c>
      <c r="U146" s="502">
        <v>14200</v>
      </c>
      <c r="V146" s="502">
        <v>687</v>
      </c>
      <c r="W146" s="502">
        <v>74</v>
      </c>
      <c r="X146" s="502">
        <v>1146</v>
      </c>
      <c r="Y146" s="502">
        <v>73</v>
      </c>
      <c r="Z146" s="502">
        <v>10</v>
      </c>
      <c r="AA146" s="502">
        <v>2</v>
      </c>
      <c r="AB146" s="504">
        <v>18</v>
      </c>
      <c r="AC146" s="500">
        <f t="shared" ref="AC146:AC155" si="242">AF146*1000/D146</f>
      </c>
      <c r="AD146" s="522" t="s">
        <v>307</v>
      </c>
      <c r="AE146" s="522" t="s">
        <v>328</v>
      </c>
      <c r="AF146" s="504">
        <v>34</v>
      </c>
    </row>
    <row r="147">
      <c r="A147" s="494"/>
      <c r="B147" s="495" t="s">
        <v>331</v>
      </c>
      <c r="C147" s="496" t="s">
        <v>309</v>
      </c>
      <c r="D147" s="499">
        <v>1228.03</v>
      </c>
      <c r="E147" s="498">
        <v>2</v>
      </c>
      <c r="F147" s="498">
        <v>2</v>
      </c>
      <c r="G147" s="499">
        <v>902</v>
      </c>
      <c r="H147" s="500">
        <f t="shared" si="11"/>
      </c>
      <c r="I147" s="500">
        <f t="shared" si="74"/>
      </c>
      <c r="J147" s="500">
        <f t="shared" si="137"/>
      </c>
      <c r="K147" s="500">
        <f t="shared" si="200"/>
      </c>
      <c r="L147" s="500">
        <f t="shared" si="32"/>
      </c>
      <c r="M147" s="501">
        <f t="shared" si="95"/>
      </c>
      <c r="N147" s="501">
        <f t="shared" si="158"/>
      </c>
      <c r="O147" s="501">
        <f t="shared" si="221"/>
      </c>
      <c r="P147" s="501">
        <f t="shared" si="53"/>
      </c>
      <c r="Q147" s="502">
        <f t="shared" si="116"/>
      </c>
      <c r="R147" s="503">
        <v>0.0282</v>
      </c>
      <c r="S147" s="504">
        <v>35</v>
      </c>
      <c r="T147" s="500">
        <f t="shared" si="179"/>
      </c>
      <c r="U147" s="502">
        <v>7680</v>
      </c>
      <c r="V147" s="502">
        <v>519</v>
      </c>
      <c r="W147" s="502">
        <v>60</v>
      </c>
      <c r="X147" s="502">
        <v>699</v>
      </c>
      <c r="Y147" s="502">
        <v>42</v>
      </c>
      <c r="Z147" s="502">
        <v>5</v>
      </c>
      <c r="AA147" s="502">
        <v>0</v>
      </c>
      <c r="AB147" s="502">
        <v>8</v>
      </c>
      <c r="AC147" s="500">
        <f t="shared" si="242"/>
      </c>
      <c r="AD147" s="522" t="s">
        <v>307</v>
      </c>
      <c r="AE147" s="522" t="s">
        <v>328</v>
      </c>
      <c r="AF147" s="504">
        <v>21</v>
      </c>
    </row>
    <row r="148">
      <c r="A148" s="494"/>
      <c r="B148" s="495" t="s">
        <v>331</v>
      </c>
      <c r="C148" s="496" t="s">
        <v>310</v>
      </c>
      <c r="D148" s="499">
        <v>1675.17</v>
      </c>
      <c r="E148" s="498">
        <v>1</v>
      </c>
      <c r="F148" s="498">
        <v>1</v>
      </c>
      <c r="G148" s="497">
        <v>781</v>
      </c>
      <c r="H148" s="500">
        <f t="shared" si="11"/>
      </c>
      <c r="I148" s="500">
        <f t="shared" si="74"/>
      </c>
      <c r="J148" s="500">
        <f t="shared" si="137"/>
      </c>
      <c r="K148" s="500">
        <f t="shared" si="200"/>
      </c>
      <c r="L148" s="500">
        <f t="shared" si="32"/>
      </c>
      <c r="M148" s="501">
        <f t="shared" si="95"/>
      </c>
      <c r="N148" s="501">
        <f t="shared" si="158"/>
      </c>
      <c r="O148" s="501">
        <f t="shared" si="221"/>
      </c>
      <c r="P148" s="501">
        <f t="shared" si="53"/>
      </c>
      <c r="Q148" s="502">
        <f t="shared" si="116"/>
      </c>
      <c r="R148" s="503">
        <v>0.0346</v>
      </c>
      <c r="S148" s="504">
        <v>37</v>
      </c>
      <c r="T148" s="500">
        <f t="shared" si="179"/>
      </c>
      <c r="U148" s="502">
        <v>10691</v>
      </c>
      <c r="V148" s="502">
        <v>714</v>
      </c>
      <c r="W148" s="502">
        <v>78</v>
      </c>
      <c r="X148" s="502">
        <v>959</v>
      </c>
      <c r="Y148" s="502">
        <v>88</v>
      </c>
      <c r="Z148" s="502">
        <v>8</v>
      </c>
      <c r="AA148" s="502">
        <v>2</v>
      </c>
      <c r="AB148" s="502">
        <v>7</v>
      </c>
      <c r="AC148" s="500">
        <f t="shared" si="242"/>
      </c>
      <c r="AD148" s="522" t="s">
        <v>307</v>
      </c>
      <c r="AE148" s="522" t="s">
        <v>328</v>
      </c>
      <c r="AF148" s="504">
        <v>23</v>
      </c>
    </row>
    <row r="149">
      <c r="A149" s="494"/>
      <c r="B149" s="495" t="s">
        <v>331</v>
      </c>
      <c r="C149" s="496" t="s">
        <v>311</v>
      </c>
      <c r="D149" s="499">
        <v>1635.69</v>
      </c>
      <c r="E149" s="498">
        <v>3</v>
      </c>
      <c r="F149" s="498">
        <v>2</v>
      </c>
      <c r="G149" s="499">
        <v>4408.799999999999</v>
      </c>
      <c r="H149" s="500">
        <f t="shared" si="11"/>
      </c>
      <c r="I149" s="500">
        <f t="shared" si="74"/>
      </c>
      <c r="J149" s="500">
        <f t="shared" si="137"/>
      </c>
      <c r="K149" s="500">
        <f t="shared" si="200"/>
      </c>
      <c r="L149" s="500">
        <f t="shared" si="32"/>
      </c>
      <c r="M149" s="501">
        <f t="shared" si="95"/>
      </c>
      <c r="N149" s="501">
        <f t="shared" si="158"/>
      </c>
      <c r="O149" s="501">
        <f t="shared" si="221"/>
      </c>
      <c r="P149" s="501">
        <f t="shared" si="53"/>
      </c>
      <c r="Q149" s="502">
        <f t="shared" si="116"/>
      </c>
      <c r="R149" s="503">
        <v>0.0403</v>
      </c>
      <c r="S149" s="504">
        <v>36</v>
      </c>
      <c r="T149" s="500">
        <f t="shared" si="179"/>
      </c>
      <c r="U149" s="502">
        <v>10428</v>
      </c>
      <c r="V149" s="502">
        <v>638</v>
      </c>
      <c r="W149" s="502">
        <v>69</v>
      </c>
      <c r="X149" s="502">
        <v>869</v>
      </c>
      <c r="Y149" s="502">
        <v>26</v>
      </c>
      <c r="Z149" s="502">
        <v>7</v>
      </c>
      <c r="AA149" s="502">
        <v>0</v>
      </c>
      <c r="AB149" s="502">
        <v>7</v>
      </c>
      <c r="AC149" s="500">
        <f t="shared" si="242"/>
      </c>
      <c r="AD149" s="522" t="s">
        <v>307</v>
      </c>
      <c r="AE149" s="522" t="s">
        <v>328</v>
      </c>
      <c r="AF149" s="504">
        <v>8</v>
      </c>
    </row>
    <row r="150">
      <c r="A150" s="494"/>
      <c r="B150" s="507" t="s">
        <v>312</v>
      </c>
      <c r="C150" s="507"/>
      <c r="D150" s="508">
        <f>SUM(D146:D149)</f>
      </c>
      <c r="E150" s="509">
        <f>SUM(E146:E149)</f>
      </c>
      <c r="F150" s="509">
        <f>SUM(F146:F149)</f>
      </c>
      <c r="G150" s="508">
        <f>SUM(G146:G149)</f>
      </c>
      <c r="H150" s="510">
        <f t="shared" si="11"/>
      </c>
      <c r="I150" s="510">
        <f t="shared" si="74"/>
      </c>
      <c r="J150" s="510">
        <f t="shared" si="137"/>
      </c>
      <c r="K150" s="510">
        <f t="shared" si="200"/>
      </c>
      <c r="L150" s="510">
        <f t="shared" si="32"/>
      </c>
      <c r="M150" s="511">
        <f t="shared" si="95"/>
      </c>
      <c r="N150" s="511">
        <f t="shared" si="158"/>
      </c>
      <c r="O150" s="511">
        <f t="shared" si="221"/>
      </c>
      <c r="P150" s="511">
        <f t="shared" si="53"/>
      </c>
      <c r="Q150" s="512">
        <f t="shared" si="116"/>
      </c>
      <c r="R150" s="511">
        <f>AVERAGE(R146:R149)</f>
      </c>
      <c r="S150" s="508">
        <f>AVERAGE(S146:S149)</f>
      </c>
      <c r="T150" s="510">
        <f t="shared" si="179"/>
      </c>
      <c r="U150" s="512">
        <f>SUM(U146:U149)</f>
      </c>
      <c r="V150" s="512">
        <f>SUM(V146:V149)</f>
      </c>
      <c r="W150" s="512">
        <f>SUM(W146:W149)</f>
      </c>
      <c r="X150" s="512">
        <f>SUM(X146:X149)</f>
      </c>
      <c r="Y150" s="512">
        <f>SUM(Y146:Y149)</f>
      </c>
      <c r="Z150" s="512">
        <f>SUM(Z146:Z149)</f>
      </c>
      <c r="AA150" s="512">
        <f>SUM(AA146:AA149)</f>
      </c>
      <c r="AB150" s="512">
        <f>SUM(AB146:AB149)</f>
      </c>
      <c r="AC150" s="513">
        <f t="shared" si="242"/>
      </c>
      <c r="AD150" s="523"/>
      <c r="AE150" s="523"/>
      <c r="AF150" s="515">
        <f>SUM(AF146:AF149)</f>
      </c>
    </row>
    <row r="151">
      <c r="A151" s="494"/>
      <c r="B151" s="495" t="s">
        <v>325</v>
      </c>
      <c r="C151" s="496" t="s">
        <v>314</v>
      </c>
      <c r="D151" s="499">
        <v>1639.16</v>
      </c>
      <c r="E151" s="498">
        <v>3</v>
      </c>
      <c r="F151" s="498">
        <v>2</v>
      </c>
      <c r="G151" s="499">
        <v>1643.9500000000007</v>
      </c>
      <c r="H151" s="500">
        <f t="shared" si="11"/>
      </c>
      <c r="I151" s="500">
        <f t="shared" si="74"/>
      </c>
      <c r="J151" s="500">
        <f t="shared" si="137"/>
      </c>
      <c r="K151" s="500">
        <f t="shared" si="200"/>
      </c>
      <c r="L151" s="500">
        <f t="shared" si="32"/>
      </c>
      <c r="M151" s="501">
        <f t="shared" si="95"/>
      </c>
      <c r="N151" s="501">
        <f t="shared" si="158"/>
      </c>
      <c r="O151" s="501">
        <f t="shared" si="221"/>
      </c>
      <c r="P151" s="501">
        <f t="shared" si="53"/>
      </c>
      <c r="Q151" s="502">
        <f t="shared" si="116"/>
      </c>
      <c r="R151" s="503">
        <v>0.0429</v>
      </c>
      <c r="S151" s="504">
        <v>34</v>
      </c>
      <c r="T151" s="500">
        <f t="shared" si="179"/>
      </c>
      <c r="U151" s="502">
        <v>9815</v>
      </c>
      <c r="V151" s="502">
        <v>678</v>
      </c>
      <c r="W151" s="502">
        <v>75</v>
      </c>
      <c r="X151" s="502">
        <v>865</v>
      </c>
      <c r="Y151" s="502">
        <v>60</v>
      </c>
      <c r="Z151" s="502">
        <v>10</v>
      </c>
      <c r="AA151" s="502">
        <v>1</v>
      </c>
      <c r="AB151" s="502">
        <v>13</v>
      </c>
      <c r="AC151" s="500">
        <f t="shared" si="242"/>
      </c>
      <c r="AD151" s="522" t="s">
        <v>307</v>
      </c>
      <c r="AE151" s="522" t="s">
        <v>328</v>
      </c>
      <c r="AF151" s="504">
        <v>28</v>
      </c>
    </row>
    <row r="152">
      <c r="A152" s="494"/>
      <c r="B152" s="495" t="s">
        <v>325</v>
      </c>
      <c r="C152" s="496" t="s">
        <v>315</v>
      </c>
      <c r="D152" s="499">
        <v>1840.23</v>
      </c>
      <c r="E152" s="498">
        <v>3</v>
      </c>
      <c r="F152" s="498">
        <v>3</v>
      </c>
      <c r="G152" s="499">
        <v>2746.699999999999</v>
      </c>
      <c r="H152" s="500">
        <f t="shared" si="11"/>
      </c>
      <c r="I152" s="500">
        <f t="shared" si="74"/>
      </c>
      <c r="J152" s="500">
        <f t="shared" si="137"/>
      </c>
      <c r="K152" s="500">
        <f t="shared" si="200"/>
      </c>
      <c r="L152" s="500">
        <f t="shared" si="32"/>
      </c>
      <c r="M152" s="501">
        <f t="shared" si="95"/>
      </c>
      <c r="N152" s="501">
        <f t="shared" si="158"/>
      </c>
      <c r="O152" s="501">
        <f t="shared" si="221"/>
      </c>
      <c r="P152" s="501">
        <f t="shared" si="53"/>
      </c>
      <c r="Q152" s="502">
        <f t="shared" si="116"/>
      </c>
      <c r="R152" s="503">
        <v>0.0304</v>
      </c>
      <c r="S152" s="504">
        <v>36</v>
      </c>
      <c r="T152" s="500">
        <f t="shared" si="179"/>
      </c>
      <c r="U152" s="502">
        <v>11972</v>
      </c>
      <c r="V152" s="502">
        <v>812</v>
      </c>
      <c r="W152" s="502">
        <v>70</v>
      </c>
      <c r="X152" s="502">
        <v>1060</v>
      </c>
      <c r="Y152" s="502">
        <v>85</v>
      </c>
      <c r="Z152" s="502">
        <v>8</v>
      </c>
      <c r="AA152" s="502">
        <v>1</v>
      </c>
      <c r="AB152" s="502">
        <v>8</v>
      </c>
      <c r="AC152" s="500">
        <f t="shared" si="242"/>
      </c>
      <c r="AD152" s="522" t="s">
        <v>307</v>
      </c>
      <c r="AE152" s="522" t="s">
        <v>328</v>
      </c>
      <c r="AF152" s="504">
        <v>25</v>
      </c>
    </row>
    <row r="153">
      <c r="A153" s="494"/>
      <c r="B153" s="495" t="s">
        <v>325</v>
      </c>
      <c r="C153" s="496" t="s">
        <v>316</v>
      </c>
      <c r="D153" s="499">
        <v>1659.96</v>
      </c>
      <c r="E153" s="498">
        <v>6</v>
      </c>
      <c r="F153" s="498">
        <v>4</v>
      </c>
      <c r="G153" s="499">
        <v>3771.899999999998</v>
      </c>
      <c r="H153" s="500">
        <f t="shared" si="11"/>
      </c>
      <c r="I153" s="500">
        <f t="shared" si="74"/>
      </c>
      <c r="J153" s="500">
        <f t="shared" si="137"/>
      </c>
      <c r="K153" s="500">
        <f t="shared" si="200"/>
      </c>
      <c r="L153" s="500">
        <f t="shared" si="32"/>
      </c>
      <c r="M153" s="501">
        <f t="shared" si="95"/>
      </c>
      <c r="N153" s="501">
        <f t="shared" si="158"/>
      </c>
      <c r="O153" s="501">
        <f t="shared" si="221"/>
      </c>
      <c r="P153" s="501">
        <f t="shared" si="53"/>
      </c>
      <c r="Q153" s="502">
        <f t="shared" si="116"/>
      </c>
      <c r="R153" s="503">
        <v>0.0293</v>
      </c>
      <c r="S153" s="504">
        <v>36</v>
      </c>
      <c r="T153" s="500">
        <f t="shared" si="179"/>
      </c>
      <c r="U153" s="502">
        <v>11158</v>
      </c>
      <c r="V153" s="502">
        <v>895</v>
      </c>
      <c r="W153" s="502">
        <v>72</v>
      </c>
      <c r="X153" s="502">
        <v>1126</v>
      </c>
      <c r="Y153" s="502">
        <v>53</v>
      </c>
      <c r="Z153" s="502">
        <v>3</v>
      </c>
      <c r="AA153" s="502">
        <v>2</v>
      </c>
      <c r="AB153" s="502">
        <v>16</v>
      </c>
      <c r="AC153" s="500">
        <f t="shared" si="242"/>
      </c>
      <c r="AD153" s="522" t="s">
        <v>307</v>
      </c>
      <c r="AE153" s="522" t="s">
        <v>328</v>
      </c>
      <c r="AF153" s="504">
        <v>23</v>
      </c>
    </row>
    <row r="154">
      <c r="A154" s="494"/>
      <c r="B154" s="495" t="s">
        <v>325</v>
      </c>
      <c r="C154" s="496" t="s">
        <v>317</v>
      </c>
      <c r="D154" s="499">
        <v>965.96</v>
      </c>
      <c r="E154" s="498">
        <v>5</v>
      </c>
      <c r="F154" s="498">
        <v>4</v>
      </c>
      <c r="G154" s="499">
        <v>3320.9000000000015</v>
      </c>
      <c r="H154" s="500">
        <f t="shared" si="11"/>
      </c>
      <c r="I154" s="500">
        <f t="shared" si="74"/>
      </c>
      <c r="J154" s="500">
        <f t="shared" si="137"/>
      </c>
      <c r="K154" s="500">
        <f t="shared" si="200"/>
      </c>
      <c r="L154" s="500">
        <f t="shared" si="32"/>
      </c>
      <c r="M154" s="501">
        <f t="shared" si="95"/>
      </c>
      <c r="N154" s="501">
        <f t="shared" si="158"/>
      </c>
      <c r="O154" s="501">
        <f t="shared" si="221"/>
      </c>
      <c r="P154" s="501">
        <f t="shared" si="53"/>
      </c>
      <c r="Q154" s="502">
        <f t="shared" si="116"/>
      </c>
      <c r="R154" s="503">
        <v>0.0508</v>
      </c>
      <c r="S154" s="504">
        <v>38</v>
      </c>
      <c r="T154" s="500">
        <f t="shared" si="179"/>
      </c>
      <c r="U154" s="502">
        <v>6824</v>
      </c>
      <c r="V154" s="502">
        <v>455</v>
      </c>
      <c r="W154" s="502">
        <v>52</v>
      </c>
      <c r="X154" s="502">
        <v>554</v>
      </c>
      <c r="Y154" s="502">
        <v>59</v>
      </c>
      <c r="Z154" s="502">
        <v>7</v>
      </c>
      <c r="AA154" s="502">
        <v>2</v>
      </c>
      <c r="AB154" s="502">
        <v>8</v>
      </c>
      <c r="AC154" s="500">
        <f t="shared" si="242"/>
      </c>
      <c r="AD154" s="522" t="s">
        <v>307</v>
      </c>
      <c r="AE154" s="522" t="s">
        <v>328</v>
      </c>
      <c r="AF154" s="504">
        <v>19</v>
      </c>
    </row>
    <row r="155">
      <c r="A155" s="494"/>
      <c r="B155" s="507" t="s">
        <v>312</v>
      </c>
      <c r="C155" s="507"/>
      <c r="D155" s="508">
        <f>SUM(D151:D154)</f>
      </c>
      <c r="E155" s="509">
        <f>SUM(E151:E154)</f>
      </c>
      <c r="F155" s="509">
        <f>SUM(F151:F154)</f>
      </c>
      <c r="G155" s="508">
        <f>SUM(G151:G154)</f>
      </c>
      <c r="H155" s="510">
        <f t="shared" si="11"/>
      </c>
      <c r="I155" s="510">
        <f t="shared" si="74"/>
      </c>
      <c r="J155" s="510">
        <f t="shared" si="137"/>
      </c>
      <c r="K155" s="510">
        <f t="shared" si="200"/>
      </c>
      <c r="L155" s="510">
        <f t="shared" si="32"/>
      </c>
      <c r="M155" s="511">
        <f t="shared" si="95"/>
      </c>
      <c r="N155" s="511">
        <f t="shared" si="158"/>
      </c>
      <c r="O155" s="511">
        <f t="shared" si="221"/>
      </c>
      <c r="P155" s="511">
        <f t="shared" si="53"/>
      </c>
      <c r="Q155" s="512">
        <f t="shared" si="116"/>
      </c>
      <c r="R155" s="511">
        <f>AVERAGE(R151:R154)</f>
      </c>
      <c r="S155" s="508">
        <f>AVERAGE(S151:S154)</f>
      </c>
      <c r="T155" s="510">
        <f t="shared" si="179"/>
      </c>
      <c r="U155" s="512">
        <f>SUM(U151:U154)</f>
      </c>
      <c r="V155" s="512">
        <f>SUM(V151:V154)</f>
      </c>
      <c r="W155" s="512">
        <f>SUM(W151:W154)</f>
      </c>
      <c r="X155" s="512">
        <f>SUM(X151:X154)</f>
      </c>
      <c r="Y155" s="512">
        <f>SUM(Y151:Y154)</f>
      </c>
      <c r="Z155" s="512">
        <f>SUM(Z151:Z154)</f>
      </c>
      <c r="AA155" s="512">
        <f>SUM(AA151:AA154)</f>
      </c>
      <c r="AB155" s="512">
        <f>SUM(AB151:AB154)</f>
      </c>
      <c r="AC155" s="513">
        <f t="shared" si="242"/>
      </c>
      <c r="AD155" s="514"/>
      <c r="AE155" s="514"/>
      <c r="AF155" s="512">
        <f>SUM(AF151:AF154)</f>
      </c>
    </row>
    <row r="156">
      <c r="A156" s="494"/>
      <c r="B156" s="516" t="s">
        <v>318</v>
      </c>
      <c r="C156" s="516"/>
      <c r="D156" s="517">
        <f>D150+D155</f>
      </c>
      <c r="E156" s="518">
        <f>E150+E155</f>
      </c>
      <c r="F156" s="518">
        <f>F150+F155</f>
      </c>
      <c r="G156" s="517">
        <f>G150+G155</f>
      </c>
      <c r="H156" s="519">
        <f t="shared" si="11"/>
      </c>
      <c r="I156" s="519">
        <f t="shared" si="74"/>
      </c>
      <c r="J156" s="519">
        <f t="shared" si="137"/>
      </c>
      <c r="K156" s="519">
        <f t="shared" si="200"/>
      </c>
      <c r="L156" s="519">
        <f t="shared" si="32"/>
      </c>
      <c r="M156" s="520">
        <f t="shared" si="95"/>
      </c>
      <c r="N156" s="520">
        <f t="shared" si="158"/>
      </c>
      <c r="O156" s="520">
        <f t="shared" si="221"/>
      </c>
      <c r="P156" s="520">
        <f t="shared" si="53"/>
      </c>
      <c r="Q156" s="521">
        <f t="shared" si="116"/>
      </c>
      <c r="R156" s="520">
        <f>(R150+R155)/2</f>
      </c>
      <c r="S156" s="517">
        <f>(S155+S150)/2</f>
      </c>
      <c r="T156" s="517">
        <f t="shared" si="179"/>
      </c>
      <c r="U156" s="521">
        <f>U150+U155</f>
      </c>
      <c r="V156" s="521">
        <f>V150+V155</f>
      </c>
      <c r="W156" s="521">
        <f>W150+W155</f>
      </c>
      <c r="X156" s="521">
        <f>X150+X155</f>
      </c>
      <c r="Y156" s="521">
        <f>Y150+Y155</f>
      </c>
      <c r="Z156" s="521">
        <f>Z150+Z155</f>
      </c>
      <c r="AA156" s="521">
        <f>AA150+AA155</f>
      </c>
      <c r="AB156" s="521">
        <f>AB150+AB155</f>
      </c>
      <c r="AC156" s="519">
        <f>AC150</f>
      </c>
      <c r="AD156" s="516"/>
      <c r="AE156" s="516"/>
      <c r="AF156" s="521">
        <f>AF150+AF155</f>
      </c>
    </row>
    <row r="157">
      <c r="A157" s="484" t="s">
        <v>319</v>
      </c>
      <c r="B157" s="484" t="s">
        <v>270</v>
      </c>
      <c r="C157" s="484"/>
      <c r="D157" s="485" t="s">
        <v>271</v>
      </c>
      <c r="E157" s="485"/>
      <c r="F157" s="485"/>
      <c r="G157" s="485"/>
      <c r="H157" s="485"/>
      <c r="I157" s="485"/>
      <c r="J157" s="485"/>
      <c r="K157" s="485"/>
      <c r="L157" s="486" t="s">
        <v>272</v>
      </c>
      <c r="M157" s="486"/>
      <c r="N157" s="486"/>
      <c r="O157" s="486"/>
      <c r="P157" s="486"/>
      <c r="Q157" s="486"/>
      <c r="R157" s="486"/>
      <c r="S157" s="486"/>
      <c r="T157" s="486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7"/>
    </row>
    <row r="158">
      <c r="A158" s="484"/>
      <c r="B158" s="484" t="s">
        <v>273</v>
      </c>
      <c r="C158" s="484" t="s">
        <v>274</v>
      </c>
      <c r="D158" s="485" t="s">
        <v>275</v>
      </c>
      <c r="E158" s="488" t="s">
        <v>276</v>
      </c>
      <c r="F158" s="488" t="s">
        <v>277</v>
      </c>
      <c r="G158" s="485" t="s">
        <v>278</v>
      </c>
      <c r="H158" s="489" t="s">
        <v>279</v>
      </c>
      <c r="I158" s="489" t="s">
        <v>280</v>
      </c>
      <c r="J158" s="489" t="s">
        <v>281</v>
      </c>
      <c r="K158" s="489" t="s">
        <v>282</v>
      </c>
      <c r="L158" s="490" t="s">
        <v>283</v>
      </c>
      <c r="M158" s="491" t="s">
        <v>284</v>
      </c>
      <c r="N158" s="491" t="s">
        <v>285</v>
      </c>
      <c r="O158" s="491" t="s">
        <v>286</v>
      </c>
      <c r="P158" s="491" t="s">
        <v>287</v>
      </c>
      <c r="Q158" s="492" t="s">
        <v>288</v>
      </c>
      <c r="R158" s="491" t="s">
        <v>289</v>
      </c>
      <c r="S158" s="492" t="s">
        <v>290</v>
      </c>
      <c r="T158" s="486" t="s">
        <v>291</v>
      </c>
      <c r="U158" s="487" t="s">
        <v>292</v>
      </c>
      <c r="V158" s="487" t="s">
        <v>293</v>
      </c>
      <c r="W158" s="487" t="s">
        <v>294</v>
      </c>
      <c r="X158" s="487" t="s">
        <v>295</v>
      </c>
      <c r="Y158" s="487" t="s">
        <v>296</v>
      </c>
      <c r="Z158" s="487" t="s">
        <v>297</v>
      </c>
      <c r="AA158" s="487" t="s">
        <v>298</v>
      </c>
      <c r="AB158" s="487" t="s">
        <v>299</v>
      </c>
      <c r="AC158" s="486" t="s">
        <v>300</v>
      </c>
      <c r="AD158" s="493" t="s">
        <v>301</v>
      </c>
      <c r="AE158" s="493" t="s">
        <v>302</v>
      </c>
      <c r="AF158" s="487" t="s">
        <v>303</v>
      </c>
    </row>
    <row r="159">
      <c r="A159" s="494" t="s">
        <v>336</v>
      </c>
      <c r="B159" s="495" t="s">
        <v>331</v>
      </c>
      <c r="C159" s="495" t="s">
        <v>323</v>
      </c>
      <c r="D159" s="499">
        <v>3157.58</v>
      </c>
      <c r="E159" s="498">
        <v>6</v>
      </c>
      <c r="F159" s="498">
        <v>6</v>
      </c>
      <c r="G159" s="499">
        <v>2706</v>
      </c>
      <c r="H159" s="500">
        <f t="shared" ref="H159:H169" si="12">G159/D159</f>
      </c>
      <c r="I159" s="500">
        <f t="shared" ref="I159:I169" si="75">D159/E159</f>
      </c>
      <c r="J159" s="500">
        <f t="shared" ref="J159:J169" si="138">D159/F159</f>
      </c>
      <c r="K159" s="500">
        <f t="shared" ref="K159:K169" si="201">G159/E159</f>
      </c>
      <c r="L159" s="500">
        <f t="shared" ref="L159:L169" si="33">D159/V159</f>
      </c>
      <c r="M159" s="501">
        <f t="shared" ref="M159:M169" si="96">Q159/U159*1</f>
      </c>
      <c r="N159" s="501">
        <f t="shared" ref="N159:N169" si="159">V159/U159</f>
      </c>
      <c r="O159" s="501">
        <f t="shared" ref="O159:O169" si="222">X159/U159</f>
      </c>
      <c r="P159" s="501">
        <f t="shared" ref="P159:P169" si="54">Y159/X159</f>
      </c>
      <c r="Q159" s="502">
        <f t="shared" ref="Q159:Q169" si="117">W159/R159</f>
      </c>
      <c r="R159" s="503">
        <v>0.0332</v>
      </c>
      <c r="S159" s="504">
        <v>34</v>
      </c>
      <c r="T159" s="500">
        <f t="shared" ref="T159:T169" si="180">(D159/U159)*1000</f>
      </c>
      <c r="U159" s="502">
        <v>18149</v>
      </c>
      <c r="V159" s="502">
        <v>708</v>
      </c>
      <c r="W159" s="502">
        <v>100</v>
      </c>
      <c r="X159" s="502">
        <v>1174</v>
      </c>
      <c r="Y159" s="502">
        <v>45</v>
      </c>
      <c r="Z159" s="502">
        <v>11</v>
      </c>
      <c r="AA159" s="502">
        <v>2</v>
      </c>
      <c r="AB159" s="504">
        <v>18</v>
      </c>
      <c r="AC159" s="500">
        <f t="shared" ref="AC159:AC168" si="243">AF159*1000/D159</f>
      </c>
      <c r="AD159" s="522" t="s">
        <v>307</v>
      </c>
      <c r="AE159" s="522" t="s">
        <v>328</v>
      </c>
      <c r="AF159" s="504">
        <v>33</v>
      </c>
    </row>
    <row r="160">
      <c r="A160" s="494"/>
      <c r="B160" s="495" t="s">
        <v>331</v>
      </c>
      <c r="C160" s="496" t="s">
        <v>309</v>
      </c>
      <c r="D160" s="499">
        <v>2495.71</v>
      </c>
      <c r="E160" s="498">
        <v>4</v>
      </c>
      <c r="F160" s="498">
        <v>3</v>
      </c>
      <c r="G160" s="499">
        <v>2976.6000000000004</v>
      </c>
      <c r="H160" s="500">
        <f t="shared" si="12"/>
      </c>
      <c r="I160" s="500">
        <f t="shared" si="75"/>
      </c>
      <c r="J160" s="500">
        <f t="shared" si="138"/>
      </c>
      <c r="K160" s="500">
        <f t="shared" si="201"/>
      </c>
      <c r="L160" s="500">
        <f t="shared" si="33"/>
      </c>
      <c r="M160" s="501">
        <f t="shared" si="96"/>
      </c>
      <c r="N160" s="501">
        <f t="shared" si="159"/>
      </c>
      <c r="O160" s="501">
        <f t="shared" si="222"/>
      </c>
      <c r="P160" s="501">
        <f t="shared" si="54"/>
      </c>
      <c r="Q160" s="502">
        <f t="shared" si="117"/>
      </c>
      <c r="R160" s="503">
        <v>0.037</v>
      </c>
      <c r="S160" s="504">
        <v>37</v>
      </c>
      <c r="T160" s="500">
        <f t="shared" si="180"/>
      </c>
      <c r="U160" s="502">
        <v>15842</v>
      </c>
      <c r="V160" s="502">
        <v>858</v>
      </c>
      <c r="W160" s="502">
        <v>93</v>
      </c>
      <c r="X160" s="502">
        <v>1167</v>
      </c>
      <c r="Y160" s="502">
        <v>53</v>
      </c>
      <c r="Z160" s="502">
        <v>5</v>
      </c>
      <c r="AA160" s="502">
        <v>2</v>
      </c>
      <c r="AB160" s="502">
        <v>16</v>
      </c>
      <c r="AC160" s="500">
        <f t="shared" si="243"/>
      </c>
      <c r="AD160" s="522" t="s">
        <v>307</v>
      </c>
      <c r="AE160" s="522" t="s">
        <v>328</v>
      </c>
      <c r="AF160" s="504">
        <v>18</v>
      </c>
    </row>
    <row r="161">
      <c r="A161" s="494"/>
      <c r="B161" s="495" t="s">
        <v>331</v>
      </c>
      <c r="C161" s="496" t="s">
        <v>310</v>
      </c>
      <c r="D161" s="499">
        <v>1032.96</v>
      </c>
      <c r="E161" s="498">
        <v>1</v>
      </c>
      <c r="F161" s="498">
        <v>0</v>
      </c>
      <c r="G161" s="497">
        <v>781</v>
      </c>
      <c r="H161" s="500">
        <f t="shared" si="12"/>
      </c>
      <c r="I161" s="500">
        <f t="shared" si="75"/>
      </c>
      <c r="J161" s="500">
        <f t="shared" si="138"/>
      </c>
      <c r="K161" s="500">
        <f t="shared" si="201"/>
      </c>
      <c r="L161" s="500">
        <f t="shared" si="33"/>
      </c>
      <c r="M161" s="501">
        <f t="shared" si="96"/>
      </c>
      <c r="N161" s="501">
        <f t="shared" si="159"/>
      </c>
      <c r="O161" s="501">
        <f t="shared" si="222"/>
      </c>
      <c r="P161" s="501">
        <f t="shared" si="54"/>
      </c>
      <c r="Q161" s="502">
        <f t="shared" si="117"/>
      </c>
      <c r="R161" s="503">
        <v>0.0198</v>
      </c>
      <c r="S161" s="504">
        <v>36</v>
      </c>
      <c r="T161" s="500">
        <f t="shared" si="180"/>
      </c>
      <c r="U161" s="502">
        <v>6573</v>
      </c>
      <c r="V161" s="502">
        <v>492</v>
      </c>
      <c r="W161" s="502">
        <v>35</v>
      </c>
      <c r="X161" s="502">
        <v>683</v>
      </c>
      <c r="Y161" s="502">
        <v>34</v>
      </c>
      <c r="Z161" s="502">
        <v>3</v>
      </c>
      <c r="AA161" s="502">
        <v>0</v>
      </c>
      <c r="AB161" s="502">
        <v>4</v>
      </c>
      <c r="AC161" s="500">
        <f t="shared" si="243"/>
      </c>
      <c r="AD161" s="522" t="s">
        <v>307</v>
      </c>
      <c r="AE161" s="522" t="s">
        <v>328</v>
      </c>
      <c r="AF161" s="504">
        <v>16</v>
      </c>
    </row>
    <row r="162">
      <c r="A162" s="494"/>
      <c r="B162" s="495" t="s">
        <v>331</v>
      </c>
      <c r="C162" s="496" t="s">
        <v>311</v>
      </c>
      <c r="D162" s="499">
        <v>985.11</v>
      </c>
      <c r="E162" s="498">
        <v>3</v>
      </c>
      <c r="F162" s="498">
        <v>2</v>
      </c>
      <c r="G162" s="499">
        <v>2416.699999999999</v>
      </c>
      <c r="H162" s="500">
        <f t="shared" si="12"/>
      </c>
      <c r="I162" s="500">
        <f t="shared" si="75"/>
      </c>
      <c r="J162" s="500">
        <f t="shared" si="138"/>
      </c>
      <c r="K162" s="500">
        <f t="shared" si="201"/>
      </c>
      <c r="L162" s="500">
        <f t="shared" si="33"/>
      </c>
      <c r="M162" s="501">
        <f t="shared" si="96"/>
      </c>
      <c r="N162" s="501">
        <f t="shared" si="159"/>
      </c>
      <c r="O162" s="501">
        <f t="shared" si="222"/>
      </c>
      <c r="P162" s="501">
        <f t="shared" si="54"/>
      </c>
      <c r="Q162" s="502">
        <f t="shared" si="117"/>
      </c>
      <c r="R162" s="503">
        <v>0.0268</v>
      </c>
      <c r="S162" s="504">
        <v>36</v>
      </c>
      <c r="T162" s="500">
        <f t="shared" si="180"/>
      </c>
      <c r="U162" s="502">
        <v>6294</v>
      </c>
      <c r="V162" s="502">
        <v>521</v>
      </c>
      <c r="W162" s="502">
        <v>51</v>
      </c>
      <c r="X162" s="502">
        <v>773</v>
      </c>
      <c r="Y162" s="502">
        <v>33</v>
      </c>
      <c r="Z162" s="502">
        <v>3</v>
      </c>
      <c r="AA162" s="502">
        <v>2</v>
      </c>
      <c r="AB162" s="502">
        <v>4</v>
      </c>
      <c r="AC162" s="500">
        <f t="shared" si="243"/>
      </c>
      <c r="AD162" s="522" t="s">
        <v>307</v>
      </c>
      <c r="AE162" s="522" t="s">
        <v>328</v>
      </c>
      <c r="AF162" s="504">
        <v>17</v>
      </c>
    </row>
    <row r="163">
      <c r="A163" s="494"/>
      <c r="B163" s="507" t="s">
        <v>312</v>
      </c>
      <c r="C163" s="507"/>
      <c r="D163" s="508">
        <f>SUM(D159:D162)</f>
      </c>
      <c r="E163" s="509">
        <f>SUM(E159:E162)</f>
      </c>
      <c r="F163" s="509">
        <f>SUM(F159:F162)</f>
      </c>
      <c r="G163" s="508">
        <f>SUM(G159:G162)</f>
      </c>
      <c r="H163" s="510">
        <f t="shared" si="12"/>
      </c>
      <c r="I163" s="510">
        <f t="shared" si="75"/>
      </c>
      <c r="J163" s="510">
        <f t="shared" si="138"/>
      </c>
      <c r="K163" s="510">
        <f t="shared" si="201"/>
      </c>
      <c r="L163" s="510">
        <f t="shared" si="33"/>
      </c>
      <c r="M163" s="511">
        <f t="shared" si="96"/>
      </c>
      <c r="N163" s="511">
        <f t="shared" si="159"/>
      </c>
      <c r="O163" s="511">
        <f t="shared" si="222"/>
      </c>
      <c r="P163" s="511">
        <f t="shared" si="54"/>
      </c>
      <c r="Q163" s="512">
        <f t="shared" si="117"/>
      </c>
      <c r="R163" s="511">
        <f>AVERAGE(R159:R162)</f>
      </c>
      <c r="S163" s="508">
        <f>AVERAGE(S159:S162)</f>
      </c>
      <c r="T163" s="510">
        <f t="shared" si="180"/>
      </c>
      <c r="U163" s="512">
        <f>SUM(U159:U162)</f>
      </c>
      <c r="V163" s="512">
        <f>SUM(V159:V162)</f>
      </c>
      <c r="W163" s="512">
        <f>SUM(W159:W162)</f>
      </c>
      <c r="X163" s="512">
        <f>SUM(X159:X162)</f>
      </c>
      <c r="Y163" s="512">
        <f>SUM(Y159:Y162)</f>
      </c>
      <c r="Z163" s="512">
        <f>SUM(Z159:Z162)</f>
      </c>
      <c r="AA163" s="512">
        <f>SUM(AA159:AA162)</f>
      </c>
      <c r="AB163" s="512">
        <f>SUM(AB159:AB162)</f>
      </c>
      <c r="AC163" s="513">
        <f t="shared" si="243"/>
      </c>
      <c r="AD163" s="523"/>
      <c r="AE163" s="523"/>
      <c r="AF163" s="515">
        <f>SUM(AF159:AF162)</f>
      </c>
    </row>
    <row r="164">
      <c r="A164" s="494"/>
      <c r="B164" s="495" t="s">
        <v>325</v>
      </c>
      <c r="C164" s="496" t="s">
        <v>314</v>
      </c>
      <c r="D164" s="499">
        <v>2136.62</v>
      </c>
      <c r="E164" s="498">
        <v>6</v>
      </c>
      <c r="F164" s="498">
        <v>6</v>
      </c>
      <c r="G164" s="499">
        <v>2706.000000000002</v>
      </c>
      <c r="H164" s="500">
        <f t="shared" si="12"/>
      </c>
      <c r="I164" s="500">
        <f t="shared" si="75"/>
      </c>
      <c r="J164" s="500">
        <f t="shared" si="138"/>
      </c>
      <c r="K164" s="500">
        <f t="shared" si="201"/>
      </c>
      <c r="L164" s="500">
        <f t="shared" si="33"/>
      </c>
      <c r="M164" s="501">
        <f t="shared" si="96"/>
      </c>
      <c r="N164" s="501">
        <f t="shared" si="159"/>
      </c>
      <c r="O164" s="501">
        <f t="shared" si="222"/>
      </c>
      <c r="P164" s="501">
        <f t="shared" si="54"/>
      </c>
      <c r="Q164" s="502">
        <f t="shared" si="117"/>
      </c>
      <c r="R164" s="503">
        <v>0.0373</v>
      </c>
      <c r="S164" s="504">
        <v>37</v>
      </c>
      <c r="T164" s="500">
        <f t="shared" si="180"/>
      </c>
      <c r="U164" s="502">
        <v>11440</v>
      </c>
      <c r="V164" s="502">
        <v>634</v>
      </c>
      <c r="W164" s="502">
        <v>71</v>
      </c>
      <c r="X164" s="502">
        <v>831</v>
      </c>
      <c r="Y164" s="502">
        <v>51</v>
      </c>
      <c r="Z164" s="502">
        <v>4</v>
      </c>
      <c r="AA164" s="502">
        <v>0</v>
      </c>
      <c r="AB164" s="502">
        <v>13</v>
      </c>
      <c r="AC164" s="500">
        <f t="shared" si="243"/>
      </c>
      <c r="AD164" s="522" t="s">
        <v>307</v>
      </c>
      <c r="AE164" s="522" t="s">
        <v>328</v>
      </c>
      <c r="AF164" s="504">
        <v>24</v>
      </c>
    </row>
    <row r="165">
      <c r="A165" s="494"/>
      <c r="B165" s="495" t="s">
        <v>325</v>
      </c>
      <c r="C165" s="496" t="s">
        <v>315</v>
      </c>
      <c r="D165" s="499">
        <v>3273.57</v>
      </c>
      <c r="E165" s="498">
        <v>9</v>
      </c>
      <c r="F165" s="498">
        <v>9</v>
      </c>
      <c r="G165" s="499">
        <v>6997.650000000003</v>
      </c>
      <c r="H165" s="500">
        <f t="shared" si="12"/>
      </c>
      <c r="I165" s="500">
        <f t="shared" si="75"/>
      </c>
      <c r="J165" s="500">
        <f t="shared" si="138"/>
      </c>
      <c r="K165" s="500">
        <f t="shared" si="201"/>
      </c>
      <c r="L165" s="500">
        <f t="shared" si="33"/>
      </c>
      <c r="M165" s="501">
        <f t="shared" si="96"/>
      </c>
      <c r="N165" s="501">
        <f t="shared" si="159"/>
      </c>
      <c r="O165" s="501">
        <f t="shared" si="222"/>
      </c>
      <c r="P165" s="501">
        <f t="shared" si="54"/>
      </c>
      <c r="Q165" s="502">
        <f t="shared" si="117"/>
      </c>
      <c r="R165" s="503">
        <v>0.0497</v>
      </c>
      <c r="S165" s="504">
        <v>39</v>
      </c>
      <c r="T165" s="500">
        <f t="shared" si="180"/>
      </c>
      <c r="U165" s="502">
        <v>23868</v>
      </c>
      <c r="V165" s="502">
        <v>846</v>
      </c>
      <c r="W165" s="502">
        <v>111</v>
      </c>
      <c r="X165" s="502">
        <v>1099</v>
      </c>
      <c r="Y165" s="502">
        <v>120</v>
      </c>
      <c r="Z165" s="502">
        <v>7</v>
      </c>
      <c r="AA165" s="502">
        <v>1</v>
      </c>
      <c r="AB165" s="502">
        <v>25</v>
      </c>
      <c r="AC165" s="500">
        <f t="shared" si="243"/>
      </c>
      <c r="AD165" s="522" t="s">
        <v>307</v>
      </c>
      <c r="AE165" s="522" t="s">
        <v>328</v>
      </c>
      <c r="AF165" s="504">
        <v>34</v>
      </c>
    </row>
    <row r="166">
      <c r="A166" s="494"/>
      <c r="B166" s="495" t="s">
        <v>325</v>
      </c>
      <c r="C166" s="496" t="s">
        <v>316</v>
      </c>
      <c r="D166" s="499">
        <v>2842</v>
      </c>
      <c r="E166" s="498">
        <v>2</v>
      </c>
      <c r="F166" s="498">
        <v>2</v>
      </c>
      <c r="G166" s="499">
        <v>901.9999999999964</v>
      </c>
      <c r="H166" s="500">
        <f t="shared" si="12"/>
      </c>
      <c r="I166" s="500">
        <f t="shared" si="75"/>
      </c>
      <c r="J166" s="500">
        <f t="shared" si="138"/>
      </c>
      <c r="K166" s="500">
        <f t="shared" si="201"/>
      </c>
      <c r="L166" s="500">
        <f t="shared" si="33"/>
      </c>
      <c r="M166" s="501">
        <f t="shared" si="96"/>
      </c>
      <c r="N166" s="501">
        <f t="shared" si="159"/>
      </c>
      <c r="O166" s="501">
        <f t="shared" si="222"/>
      </c>
      <c r="P166" s="501">
        <f t="shared" si="54"/>
      </c>
      <c r="Q166" s="502">
        <f t="shared" si="117"/>
      </c>
      <c r="R166" s="503">
        <v>0.0394</v>
      </c>
      <c r="S166" s="504">
        <v>38</v>
      </c>
      <c r="T166" s="500">
        <f t="shared" si="180"/>
      </c>
      <c r="U166" s="502">
        <v>17063</v>
      </c>
      <c r="V166" s="502">
        <v>882</v>
      </c>
      <c r="W166" s="502">
        <v>95</v>
      </c>
      <c r="X166" s="502">
        <v>1146</v>
      </c>
      <c r="Y166" s="502">
        <v>59</v>
      </c>
      <c r="Z166" s="502">
        <v>6</v>
      </c>
      <c r="AA166" s="502">
        <v>3</v>
      </c>
      <c r="AB166" s="502">
        <v>17</v>
      </c>
      <c r="AC166" s="500">
        <f t="shared" si="243"/>
      </c>
      <c r="AD166" s="522" t="s">
        <v>307</v>
      </c>
      <c r="AE166" s="522" t="s">
        <v>328</v>
      </c>
      <c r="AF166" s="504">
        <v>26</v>
      </c>
    </row>
    <row r="167">
      <c r="A167" s="494"/>
      <c r="B167" s="495" t="s">
        <v>325</v>
      </c>
      <c r="C167" s="496" t="s">
        <v>317</v>
      </c>
      <c r="D167" s="499">
        <v>941.91</v>
      </c>
      <c r="E167" s="498">
        <v>6</v>
      </c>
      <c r="F167" s="498">
        <v>3</v>
      </c>
      <c r="G167" s="499">
        <v>3788.4000000000015</v>
      </c>
      <c r="H167" s="500">
        <f t="shared" si="12"/>
      </c>
      <c r="I167" s="500">
        <f t="shared" si="75"/>
      </c>
      <c r="J167" s="500">
        <f t="shared" si="138"/>
      </c>
      <c r="K167" s="500">
        <f t="shared" si="201"/>
      </c>
      <c r="L167" s="500">
        <f t="shared" si="33"/>
      </c>
      <c r="M167" s="501">
        <f t="shared" si="96"/>
      </c>
      <c r="N167" s="501">
        <f t="shared" si="159"/>
      </c>
      <c r="O167" s="501">
        <f t="shared" si="222"/>
      </c>
      <c r="P167" s="501">
        <f t="shared" si="54"/>
      </c>
      <c r="Q167" s="502">
        <f t="shared" si="117"/>
      </c>
      <c r="R167" s="503">
        <v>0.0386</v>
      </c>
      <c r="S167" s="504">
        <v>39</v>
      </c>
      <c r="T167" s="500">
        <f t="shared" si="180"/>
      </c>
      <c r="U167" s="502">
        <v>6821</v>
      </c>
      <c r="V167" s="502">
        <v>374</v>
      </c>
      <c r="W167" s="502">
        <v>45</v>
      </c>
      <c r="X167" s="502">
        <v>523</v>
      </c>
      <c r="Y167" s="502">
        <v>46</v>
      </c>
      <c r="Z167" s="502">
        <v>2</v>
      </c>
      <c r="AA167" s="502">
        <v>3</v>
      </c>
      <c r="AB167" s="502">
        <v>4</v>
      </c>
      <c r="AC167" s="500">
        <f t="shared" si="243"/>
      </c>
      <c r="AD167" s="522" t="s">
        <v>307</v>
      </c>
      <c r="AE167" s="522" t="s">
        <v>328</v>
      </c>
      <c r="AF167" s="504">
        <v>14</v>
      </c>
    </row>
    <row r="168">
      <c r="A168" s="494"/>
      <c r="B168" s="507" t="s">
        <v>312</v>
      </c>
      <c r="C168" s="507"/>
      <c r="D168" s="508">
        <f>SUM(D164:D167)</f>
      </c>
      <c r="E168" s="509">
        <f>SUM(E164:E167)</f>
      </c>
      <c r="F168" s="509">
        <f>SUM(F164:F167)</f>
      </c>
      <c r="G168" s="508">
        <f>SUM(G164:G167)</f>
      </c>
      <c r="H168" s="510">
        <f t="shared" si="12"/>
      </c>
      <c r="I168" s="510">
        <f t="shared" si="75"/>
      </c>
      <c r="J168" s="510">
        <f t="shared" si="138"/>
      </c>
      <c r="K168" s="510">
        <f t="shared" si="201"/>
      </c>
      <c r="L168" s="510">
        <f t="shared" si="33"/>
      </c>
      <c r="M168" s="511">
        <f t="shared" si="96"/>
      </c>
      <c r="N168" s="511">
        <f t="shared" si="159"/>
      </c>
      <c r="O168" s="511">
        <f t="shared" si="222"/>
      </c>
      <c r="P168" s="511">
        <f t="shared" si="54"/>
      </c>
      <c r="Q168" s="512">
        <f t="shared" si="117"/>
      </c>
      <c r="R168" s="511">
        <f>AVERAGE(R164:R167)</f>
      </c>
      <c r="S168" s="508">
        <f>AVERAGE(S164:S167)</f>
      </c>
      <c r="T168" s="510">
        <f t="shared" si="180"/>
      </c>
      <c r="U168" s="512">
        <f>SUM(U164:U167)</f>
      </c>
      <c r="V168" s="512">
        <f>SUM(V164:V167)</f>
      </c>
      <c r="W168" s="512">
        <f>SUM(W164:W167)</f>
      </c>
      <c r="X168" s="512">
        <f>SUM(X164:X167)</f>
      </c>
      <c r="Y168" s="512">
        <f>SUM(Y164:Y167)</f>
      </c>
      <c r="Z168" s="512">
        <f>SUM(Z164:Z167)</f>
      </c>
      <c r="AA168" s="512">
        <f>SUM(AA164:AA167)</f>
      </c>
      <c r="AB168" s="512">
        <f>SUM(AB164:AB167)</f>
      </c>
      <c r="AC168" s="513">
        <f t="shared" si="243"/>
      </c>
      <c r="AD168" s="514"/>
      <c r="AE168" s="514"/>
      <c r="AF168" s="512">
        <f>SUM(AF164:AF167)</f>
      </c>
    </row>
    <row r="169">
      <c r="A169" s="494"/>
      <c r="B169" s="516" t="s">
        <v>318</v>
      </c>
      <c r="C169" s="516"/>
      <c r="D169" s="517">
        <f>D163+D168</f>
      </c>
      <c r="E169" s="518">
        <f>E163+E168</f>
      </c>
      <c r="F169" s="518">
        <f>F163+F168</f>
      </c>
      <c r="G169" s="517">
        <f>G163+G168</f>
      </c>
      <c r="H169" s="519">
        <f t="shared" si="12"/>
      </c>
      <c r="I169" s="519">
        <f t="shared" si="75"/>
      </c>
      <c r="J169" s="519">
        <f t="shared" si="138"/>
      </c>
      <c r="K169" s="519">
        <f t="shared" si="201"/>
      </c>
      <c r="L169" s="519">
        <f t="shared" si="33"/>
      </c>
      <c r="M169" s="520">
        <f t="shared" si="96"/>
      </c>
      <c r="N169" s="520">
        <f t="shared" si="159"/>
      </c>
      <c r="O169" s="520">
        <f t="shared" si="222"/>
      </c>
      <c r="P169" s="520">
        <f t="shared" si="54"/>
      </c>
      <c r="Q169" s="521">
        <f t="shared" si="117"/>
      </c>
      <c r="R169" s="520">
        <f>(R163+R168)/2</f>
      </c>
      <c r="S169" s="517">
        <f>(S168+S163)/2</f>
      </c>
      <c r="T169" s="517">
        <f t="shared" si="180"/>
      </c>
      <c r="U169" s="521">
        <f>U163+U168</f>
      </c>
      <c r="V169" s="521">
        <f>V163+V168</f>
      </c>
      <c r="W169" s="521">
        <f>W163+W168</f>
      </c>
      <c r="X169" s="521">
        <f>X163+X168</f>
      </c>
      <c r="Y169" s="521">
        <f>Y163+Y168</f>
      </c>
      <c r="Z169" s="521">
        <f>Z163+Z168</f>
      </c>
      <c r="AA169" s="521">
        <f>AA163+AA168</f>
      </c>
      <c r="AB169" s="521">
        <f>AB163+AB168</f>
      </c>
      <c r="AC169" s="519">
        <f>AC163</f>
      </c>
      <c r="AD169" s="516"/>
      <c r="AE169" s="516"/>
      <c r="AF169" s="521">
        <f>AF163+AF168</f>
      </c>
    </row>
    <row r="170">
      <c r="A170" s="484" t="s">
        <v>319</v>
      </c>
      <c r="B170" s="484" t="s">
        <v>270</v>
      </c>
      <c r="C170" s="484"/>
      <c r="D170" s="485" t="s">
        <v>271</v>
      </c>
      <c r="E170" s="485"/>
      <c r="F170" s="485"/>
      <c r="G170" s="485"/>
      <c r="H170" s="485"/>
      <c r="I170" s="485"/>
      <c r="J170" s="485"/>
      <c r="K170" s="485"/>
      <c r="L170" s="486" t="s">
        <v>272</v>
      </c>
      <c r="M170" s="486"/>
      <c r="N170" s="486"/>
      <c r="O170" s="486"/>
      <c r="P170" s="486"/>
      <c r="Q170" s="486"/>
      <c r="R170" s="486"/>
      <c r="S170" s="486"/>
      <c r="T170" s="486"/>
      <c r="U170" s="486"/>
      <c r="V170" s="486"/>
      <c r="W170" s="486"/>
      <c r="X170" s="486"/>
      <c r="Y170" s="486"/>
      <c r="Z170" s="486"/>
      <c r="AA170" s="486"/>
      <c r="AB170" s="486"/>
      <c r="AC170" s="486"/>
      <c r="AD170" s="486"/>
      <c r="AE170" s="486"/>
      <c r="AF170" s="487"/>
    </row>
    <row r="171">
      <c r="A171" s="484"/>
      <c r="B171" s="484" t="s">
        <v>273</v>
      </c>
      <c r="C171" s="484" t="s">
        <v>274</v>
      </c>
      <c r="D171" s="485" t="s">
        <v>275</v>
      </c>
      <c r="E171" s="488" t="s">
        <v>276</v>
      </c>
      <c r="F171" s="488" t="s">
        <v>277</v>
      </c>
      <c r="G171" s="485" t="s">
        <v>278</v>
      </c>
      <c r="H171" s="489" t="s">
        <v>279</v>
      </c>
      <c r="I171" s="489" t="s">
        <v>280</v>
      </c>
      <c r="J171" s="489" t="s">
        <v>281</v>
      </c>
      <c r="K171" s="489" t="s">
        <v>282</v>
      </c>
      <c r="L171" s="490" t="s">
        <v>283</v>
      </c>
      <c r="M171" s="491" t="s">
        <v>284</v>
      </c>
      <c r="N171" s="491" t="s">
        <v>285</v>
      </c>
      <c r="O171" s="491" t="s">
        <v>286</v>
      </c>
      <c r="P171" s="491" t="s">
        <v>287</v>
      </c>
      <c r="Q171" s="492" t="s">
        <v>288</v>
      </c>
      <c r="R171" s="491" t="s">
        <v>289</v>
      </c>
      <c r="S171" s="492" t="s">
        <v>290</v>
      </c>
      <c r="T171" s="486" t="s">
        <v>291</v>
      </c>
      <c r="U171" s="487" t="s">
        <v>292</v>
      </c>
      <c r="V171" s="487" t="s">
        <v>293</v>
      </c>
      <c r="W171" s="487" t="s">
        <v>294</v>
      </c>
      <c r="X171" s="487" t="s">
        <v>295</v>
      </c>
      <c r="Y171" s="487" t="s">
        <v>296</v>
      </c>
      <c r="Z171" s="487" t="s">
        <v>297</v>
      </c>
      <c r="AA171" s="487" t="s">
        <v>298</v>
      </c>
      <c r="AB171" s="487" t="s">
        <v>299</v>
      </c>
      <c r="AC171" s="486" t="s">
        <v>300</v>
      </c>
      <c r="AD171" s="493" t="s">
        <v>301</v>
      </c>
      <c r="AE171" s="493" t="s">
        <v>302</v>
      </c>
      <c r="AF171" s="487" t="s">
        <v>303</v>
      </c>
    </row>
    <row r="172">
      <c r="A172" s="494" t="s">
        <v>337</v>
      </c>
      <c r="B172" s="495" t="s">
        <v>331</v>
      </c>
      <c r="C172" s="495" t="s">
        <v>323</v>
      </c>
      <c r="D172" s="499">
        <v>2907.53</v>
      </c>
      <c r="E172" s="498">
        <v>2</v>
      </c>
      <c r="F172" s="498">
        <v>2</v>
      </c>
      <c r="G172" s="499">
        <v>1621.4</v>
      </c>
      <c r="H172" s="500">
        <f t="shared" ref="H172:H178" si="13">G172/D172</f>
      </c>
      <c r="I172" s="500">
        <f t="shared" ref="I172:I178" si="76">D172/E172</f>
      </c>
      <c r="J172" s="500">
        <f t="shared" ref="J172:J178" si="139">D172/F172</f>
      </c>
      <c r="K172" s="500">
        <f t="shared" ref="K172:K178" si="202">G172/E172</f>
      </c>
      <c r="L172" s="500">
        <f t="shared" ref="L172:L178" si="34">D172/V172</f>
      </c>
      <c r="M172" s="501">
        <f t="shared" ref="M172:M178" si="97">Q172/U172*1</f>
      </c>
      <c r="N172" s="501">
        <f t="shared" ref="N172:N178" si="160">V172/U172</f>
      </c>
      <c r="O172" s="501">
        <f t="shared" ref="O172:O178" si="223">X172/U172</f>
      </c>
      <c r="P172" s="501">
        <f t="shared" ref="P172:P178" si="55">Y172/X172</f>
      </c>
      <c r="Q172" s="502">
        <f t="shared" ref="Q172:Q178" si="118">W172/R172</f>
      </c>
      <c r="R172" s="503">
        <v>0.0259</v>
      </c>
      <c r="S172" s="504">
        <v>36</v>
      </c>
      <c r="T172" s="500">
        <f t="shared" ref="T172:T178" si="181">(D172/U172)*1000</f>
      </c>
      <c r="U172" s="502">
        <v>17590</v>
      </c>
      <c r="V172" s="502">
        <v>874</v>
      </c>
      <c r="W172" s="502">
        <v>100</v>
      </c>
      <c r="X172" s="502">
        <v>1346</v>
      </c>
      <c r="Y172" s="502">
        <v>60</v>
      </c>
      <c r="Z172" s="502">
        <v>12</v>
      </c>
      <c r="AA172" s="502">
        <v>4</v>
      </c>
      <c r="AB172" s="504">
        <v>16</v>
      </c>
      <c r="AC172" s="500">
        <f t="shared" ref="AC172:AC177" si="244">AF172*1000/D172</f>
      </c>
      <c r="AD172" s="522" t="s">
        <v>307</v>
      </c>
      <c r="AE172" s="522" t="s">
        <v>328</v>
      </c>
      <c r="AF172" s="504">
        <v>30</v>
      </c>
    </row>
    <row r="173">
      <c r="A173" s="494"/>
      <c r="B173" s="495" t="s">
        <v>331</v>
      </c>
      <c r="C173" s="496" t="s">
        <v>309</v>
      </c>
      <c r="D173" s="499">
        <v>2262.37</v>
      </c>
      <c r="E173" s="498">
        <v>7</v>
      </c>
      <c r="F173" s="498">
        <v>6</v>
      </c>
      <c r="G173" s="499">
        <v>6944.300000000001</v>
      </c>
      <c r="H173" s="500">
        <f t="shared" si="13"/>
      </c>
      <c r="I173" s="500">
        <f t="shared" si="76"/>
      </c>
      <c r="J173" s="500">
        <f t="shared" si="139"/>
      </c>
      <c r="K173" s="500">
        <f t="shared" si="202"/>
      </c>
      <c r="L173" s="500">
        <f t="shared" si="34"/>
      </c>
      <c r="M173" s="501">
        <f t="shared" si="97"/>
      </c>
      <c r="N173" s="501">
        <f t="shared" si="160"/>
      </c>
      <c r="O173" s="501">
        <f t="shared" si="223"/>
      </c>
      <c r="P173" s="501">
        <f t="shared" si="55"/>
      </c>
      <c r="Q173" s="502">
        <f t="shared" si="118"/>
      </c>
      <c r="R173" s="503">
        <v>0.0202</v>
      </c>
      <c r="S173" s="504">
        <v>35</v>
      </c>
      <c r="T173" s="500">
        <f t="shared" si="181"/>
      </c>
      <c r="U173" s="502">
        <v>15152</v>
      </c>
      <c r="V173" s="502">
        <v>1050</v>
      </c>
      <c r="W173" s="502">
        <v>79</v>
      </c>
      <c r="X173" s="502">
        <v>1386</v>
      </c>
      <c r="Y173" s="502">
        <v>41</v>
      </c>
      <c r="Z173" s="502">
        <v>3</v>
      </c>
      <c r="AA173" s="502">
        <v>1</v>
      </c>
      <c r="AB173" s="502">
        <v>18</v>
      </c>
      <c r="AC173" s="500">
        <f t="shared" si="244"/>
      </c>
      <c r="AD173" s="522" t="s">
        <v>307</v>
      </c>
      <c r="AE173" s="522" t="s">
        <v>328</v>
      </c>
      <c r="AF173" s="504">
        <v>19</v>
      </c>
    </row>
    <row r="174">
      <c r="A174" s="494"/>
      <c r="B174" s="495" t="s">
        <v>331</v>
      </c>
      <c r="C174" s="496" t="s">
        <v>310</v>
      </c>
      <c r="D174" s="499">
        <v>2488.75</v>
      </c>
      <c r="E174" s="498">
        <v>8</v>
      </c>
      <c r="F174" s="498">
        <v>7</v>
      </c>
      <c r="G174" s="497">
        <v>6768.299999999999</v>
      </c>
      <c r="H174" s="500">
        <f t="shared" si="13"/>
      </c>
      <c r="I174" s="500">
        <f t="shared" si="76"/>
      </c>
      <c r="J174" s="500">
        <f t="shared" si="139"/>
      </c>
      <c r="K174" s="500">
        <f t="shared" si="202"/>
      </c>
      <c r="L174" s="500">
        <f t="shared" si="34"/>
      </c>
      <c r="M174" s="501">
        <f t="shared" si="97"/>
      </c>
      <c r="N174" s="501">
        <f t="shared" si="160"/>
      </c>
      <c r="O174" s="501">
        <f t="shared" si="223"/>
      </c>
      <c r="P174" s="501">
        <f t="shared" si="55"/>
      </c>
      <c r="Q174" s="502">
        <f t="shared" si="118"/>
      </c>
      <c r="R174" s="503">
        <v>0.0239</v>
      </c>
      <c r="S174" s="504">
        <v>34</v>
      </c>
      <c r="T174" s="500">
        <f t="shared" si="181"/>
      </c>
      <c r="U174" s="502">
        <v>15499</v>
      </c>
      <c r="V174" s="502">
        <v>1001</v>
      </c>
      <c r="W174" s="502">
        <v>82</v>
      </c>
      <c r="X174" s="502">
        <v>1409</v>
      </c>
      <c r="Y174" s="502">
        <v>79</v>
      </c>
      <c r="Z174" s="502">
        <v>6</v>
      </c>
      <c r="AA174" s="502">
        <v>1</v>
      </c>
      <c r="AB174" s="502">
        <v>26</v>
      </c>
      <c r="AC174" s="500">
        <f t="shared" si="244"/>
      </c>
      <c r="AD174" s="522" t="s">
        <v>307</v>
      </c>
      <c r="AE174" s="522" t="s">
        <v>328</v>
      </c>
      <c r="AF174" s="504">
        <v>21</v>
      </c>
    </row>
    <row r="175">
      <c r="A175" s="494"/>
      <c r="B175" s="495" t="s">
        <v>331</v>
      </c>
      <c r="C175" s="496" t="s">
        <v>311</v>
      </c>
      <c r="D175" s="499">
        <v>3258.26</v>
      </c>
      <c r="E175" s="498">
        <v>5</v>
      </c>
      <c r="F175" s="498">
        <v>5</v>
      </c>
      <c r="G175" s="499">
        <v>5210.1500000000015</v>
      </c>
      <c r="H175" s="500">
        <f t="shared" si="13"/>
      </c>
      <c r="I175" s="500">
        <f t="shared" si="76"/>
      </c>
      <c r="J175" s="500">
        <f t="shared" si="139"/>
      </c>
      <c r="K175" s="500">
        <f t="shared" si="202"/>
      </c>
      <c r="L175" s="500">
        <f t="shared" si="34"/>
      </c>
      <c r="M175" s="501">
        <f t="shared" si="97"/>
      </c>
      <c r="N175" s="501">
        <f t="shared" si="160"/>
      </c>
      <c r="O175" s="501">
        <f t="shared" si="223"/>
      </c>
      <c r="P175" s="501">
        <f t="shared" si="55"/>
      </c>
      <c r="Q175" s="502">
        <f t="shared" si="118"/>
      </c>
      <c r="R175" s="503">
        <v>0.0249</v>
      </c>
      <c r="S175" s="504">
        <v>34</v>
      </c>
      <c r="T175" s="500">
        <f t="shared" si="181"/>
      </c>
      <c r="U175" s="502">
        <v>18996</v>
      </c>
      <c r="V175" s="502">
        <v>983</v>
      </c>
      <c r="W175" s="502">
        <v>78</v>
      </c>
      <c r="X175" s="502">
        <v>1392</v>
      </c>
      <c r="Y175" s="502">
        <v>96</v>
      </c>
      <c r="Z175" s="502">
        <v>3</v>
      </c>
      <c r="AA175" s="502">
        <v>1</v>
      </c>
      <c r="AB175" s="502">
        <v>21</v>
      </c>
      <c r="AC175" s="500">
        <f t="shared" si="244"/>
      </c>
      <c r="AD175" s="522" t="s">
        <v>307</v>
      </c>
      <c r="AE175" s="522" t="s">
        <v>328</v>
      </c>
      <c r="AF175" s="504">
        <v>40</v>
      </c>
    </row>
    <row customHeight="true" ht="18.452380952380953" r="176">
      <c r="A176" s="494"/>
      <c r="B176" s="495" t="s">
        <v>331</v>
      </c>
      <c r="C176" s="496" t="s">
        <v>314</v>
      </c>
      <c r="D176" s="499">
        <v>2546.76</v>
      </c>
      <c r="E176" s="498">
        <v>10</v>
      </c>
      <c r="F176" s="498">
        <v>10</v>
      </c>
      <c r="G176" s="499">
        <v>7451.399999999998</v>
      </c>
      <c r="H176" s="500">
        <f t="shared" si="13"/>
      </c>
      <c r="I176" s="500">
        <f t="shared" si="76"/>
      </c>
      <c r="J176" s="500">
        <f t="shared" si="139"/>
      </c>
      <c r="K176" s="500">
        <f t="shared" si="202"/>
      </c>
      <c r="L176" s="500">
        <f t="shared" si="34"/>
      </c>
      <c r="M176" s="501">
        <f t="shared" si="97"/>
      </c>
      <c r="N176" s="501">
        <f t="shared" si="160"/>
      </c>
      <c r="O176" s="501">
        <f t="shared" si="223"/>
      </c>
      <c r="P176" s="501">
        <f t="shared" si="55"/>
      </c>
      <c r="Q176" s="502">
        <f t="shared" si="118"/>
      </c>
      <c r="R176" s="503">
        <v>0.0231</v>
      </c>
      <c r="S176" s="504">
        <v>37</v>
      </c>
      <c r="T176" s="500">
        <f t="shared" si="181"/>
      </c>
      <c r="U176" s="502">
        <v>31558</v>
      </c>
      <c r="V176" s="502">
        <v>1540</v>
      </c>
      <c r="W176" s="502">
        <v>156</v>
      </c>
      <c r="X176" s="502">
        <v>1922</v>
      </c>
      <c r="Y176" s="502">
        <v>170</v>
      </c>
      <c r="Z176" s="502">
        <v>20</v>
      </c>
      <c r="AA176" s="502">
        <v>0</v>
      </c>
      <c r="AB176" s="502">
        <v>24</v>
      </c>
      <c r="AC176" s="500">
        <f t="shared" si="244"/>
      </c>
      <c r="AD176" s="522" t="s">
        <v>307</v>
      </c>
      <c r="AE176" s="522" t="s">
        <v>328</v>
      </c>
      <c r="AF176" s="504">
        <v>26</v>
      </c>
    </row>
    <row r="177">
      <c r="A177" s="494"/>
      <c r="B177" s="507" t="s">
        <v>312</v>
      </c>
      <c r="C177" s="507"/>
      <c r="D177" s="508">
        <f>SUM(D172:D176)</f>
      </c>
      <c r="E177" s="508">
        <f>SUM(E172:E176)</f>
      </c>
      <c r="F177" s="508">
        <f>SUM(F172:F176)</f>
      </c>
      <c r="G177" s="508">
        <f>SUM(G172:G176)</f>
      </c>
      <c r="H177" s="510">
        <f t="shared" si="13"/>
      </c>
      <c r="I177" s="510">
        <f t="shared" si="76"/>
      </c>
      <c r="J177" s="510">
        <f t="shared" si="139"/>
      </c>
      <c r="K177" s="510">
        <f t="shared" si="202"/>
      </c>
      <c r="L177" s="510">
        <f t="shared" si="34"/>
      </c>
      <c r="M177" s="511">
        <f t="shared" si="97"/>
      </c>
      <c r="N177" s="511">
        <f t="shared" si="160"/>
      </c>
      <c r="O177" s="511">
        <f t="shared" si="223"/>
      </c>
      <c r="P177" s="511">
        <f t="shared" si="55"/>
      </c>
      <c r="Q177" s="512">
        <f t="shared" si="118"/>
      </c>
      <c r="R177" s="511">
        <f>AVERAGE(R172:R176)</f>
      </c>
      <c r="S177" s="508">
        <f>AVERAGE(S172:S176)</f>
      </c>
      <c r="T177" s="510">
        <f t="shared" si="181"/>
      </c>
      <c r="U177" s="512">
        <f>SUM(U172:U176)</f>
      </c>
      <c r="V177" s="512">
        <f>SUM(V172:V176)</f>
      </c>
      <c r="W177" s="512">
        <f>SUM(W172:W176)</f>
      </c>
      <c r="X177" s="512">
        <f>SUM(X172:X176)</f>
      </c>
      <c r="Y177" s="512">
        <f>SUM(Y172:Y176)</f>
      </c>
      <c r="Z177" s="512">
        <f>SUM(Z172:Z176)</f>
      </c>
      <c r="AA177" s="512">
        <f>SUM(AA172:AA176)</f>
      </c>
      <c r="AB177" s="512">
        <f>SUM(AB172:AB176)</f>
      </c>
      <c r="AC177" s="513">
        <f t="shared" si="244"/>
      </c>
      <c r="AD177" s="523"/>
      <c r="AE177" s="523"/>
      <c r="AF177" s="512">
        <f>SUM(AF172:AF176)</f>
      </c>
    </row>
    <row r="178">
      <c r="A178" s="494"/>
      <c r="B178" s="516" t="s">
        <v>318</v>
      </c>
      <c r="C178" s="516"/>
      <c r="D178" s="517">
        <f>D177</f>
      </c>
      <c r="E178" s="517">
        <f>E177</f>
      </c>
      <c r="F178" s="517">
        <f>F177</f>
      </c>
      <c r="G178" s="517">
        <f>G177</f>
      </c>
      <c r="H178" s="519">
        <f t="shared" si="13"/>
      </c>
      <c r="I178" s="519">
        <f t="shared" si="76"/>
      </c>
      <c r="J178" s="519">
        <f t="shared" si="139"/>
      </c>
      <c r="K178" s="519">
        <f t="shared" si="202"/>
      </c>
      <c r="L178" s="519">
        <f t="shared" si="34"/>
      </c>
      <c r="M178" s="520">
        <f t="shared" si="97"/>
      </c>
      <c r="N178" s="520">
        <f t="shared" si="160"/>
      </c>
      <c r="O178" s="520">
        <f t="shared" si="223"/>
      </c>
      <c r="P178" s="520">
        <f t="shared" si="55"/>
      </c>
      <c r="Q178" s="521">
        <f t="shared" si="118"/>
      </c>
      <c r="R178" s="520">
        <f>R177</f>
      </c>
      <c r="S178" s="517">
        <f>S177</f>
      </c>
      <c r="T178" s="517">
        <f t="shared" si="181"/>
      </c>
      <c r="U178" s="521">
        <f>U177</f>
      </c>
      <c r="V178" s="521">
        <f>V177</f>
      </c>
      <c r="W178" s="521">
        <f>W177</f>
      </c>
      <c r="X178" s="521">
        <f>X177</f>
      </c>
      <c r="Y178" s="521">
        <f>Y177</f>
      </c>
      <c r="Z178" s="521">
        <f>Z177</f>
      </c>
      <c r="AA178" s="521">
        <f>AA177</f>
      </c>
      <c r="AB178" s="521">
        <f>AB177</f>
      </c>
      <c r="AC178" s="521">
        <f>AC177</f>
      </c>
      <c r="AD178" s="521"/>
      <c r="AE178" s="521"/>
      <c r="AF178" s="521">
        <f>AF177</f>
      </c>
    </row>
    <row r="179">
      <c r="A179" s="484" t="s">
        <v>319</v>
      </c>
      <c r="B179" s="484" t="s">
        <v>270</v>
      </c>
      <c r="C179" s="484"/>
      <c r="D179" s="485" t="s">
        <v>271</v>
      </c>
      <c r="E179" s="485"/>
      <c r="F179" s="485"/>
      <c r="G179" s="485"/>
      <c r="H179" s="485"/>
      <c r="I179" s="485"/>
      <c r="J179" s="485"/>
      <c r="K179" s="485"/>
      <c r="L179" s="486" t="s">
        <v>272</v>
      </c>
      <c r="M179" s="486"/>
      <c r="N179" s="486"/>
      <c r="O179" s="486"/>
      <c r="P179" s="486"/>
      <c r="Q179" s="486"/>
      <c r="R179" s="486"/>
      <c r="S179" s="486"/>
      <c r="T179" s="486"/>
      <c r="U179" s="486"/>
      <c r="V179" s="486"/>
      <c r="W179" s="486"/>
      <c r="X179" s="486"/>
      <c r="Y179" s="486"/>
      <c r="Z179" s="486"/>
      <c r="AA179" s="486"/>
      <c r="AB179" s="486"/>
      <c r="AC179" s="486"/>
      <c r="AD179" s="486"/>
      <c r="AE179" s="486"/>
      <c r="AF179" s="487"/>
    </row>
    <row r="180">
      <c r="A180" s="484"/>
      <c r="B180" s="484" t="s">
        <v>273</v>
      </c>
      <c r="C180" s="484" t="s">
        <v>274</v>
      </c>
      <c r="D180" s="485" t="s">
        <v>275</v>
      </c>
      <c r="E180" s="488" t="s">
        <v>276</v>
      </c>
      <c r="F180" s="488" t="s">
        <v>277</v>
      </c>
      <c r="G180" s="485" t="s">
        <v>278</v>
      </c>
      <c r="H180" s="489" t="s">
        <v>279</v>
      </c>
      <c r="I180" s="489" t="s">
        <v>280</v>
      </c>
      <c r="J180" s="489" t="s">
        <v>281</v>
      </c>
      <c r="K180" s="489" t="s">
        <v>282</v>
      </c>
      <c r="L180" s="490" t="s">
        <v>283</v>
      </c>
      <c r="M180" s="491" t="s">
        <v>284</v>
      </c>
      <c r="N180" s="491" t="s">
        <v>285</v>
      </c>
      <c r="O180" s="491" t="s">
        <v>286</v>
      </c>
      <c r="P180" s="491" t="s">
        <v>287</v>
      </c>
      <c r="Q180" s="492" t="s">
        <v>288</v>
      </c>
      <c r="R180" s="491" t="s">
        <v>289</v>
      </c>
      <c r="S180" s="492" t="s">
        <v>290</v>
      </c>
      <c r="T180" s="486" t="s">
        <v>291</v>
      </c>
      <c r="U180" s="487" t="s">
        <v>292</v>
      </c>
      <c r="V180" s="487" t="s">
        <v>293</v>
      </c>
      <c r="W180" s="487" t="s">
        <v>294</v>
      </c>
      <c r="X180" s="487" t="s">
        <v>295</v>
      </c>
      <c r="Y180" s="487" t="s">
        <v>296</v>
      </c>
      <c r="Z180" s="487" t="s">
        <v>297</v>
      </c>
      <c r="AA180" s="487" t="s">
        <v>298</v>
      </c>
      <c r="AB180" s="487" t="s">
        <v>299</v>
      </c>
      <c r="AC180" s="486" t="s">
        <v>300</v>
      </c>
      <c r="AD180" s="493" t="s">
        <v>301</v>
      </c>
      <c r="AE180" s="493" t="s">
        <v>302</v>
      </c>
      <c r="AF180" s="487" t="s">
        <v>303</v>
      </c>
    </row>
    <row r="181">
      <c r="A181" s="494" t="s">
        <v>338</v>
      </c>
      <c r="B181" s="495" t="s">
        <v>331</v>
      </c>
      <c r="C181" s="495" t="s">
        <v>323</v>
      </c>
      <c r="D181" s="499">
        <v>3702.02</v>
      </c>
      <c r="E181" s="498">
        <v>5</v>
      </c>
      <c r="F181" s="498">
        <v>5</v>
      </c>
      <c r="G181" s="499">
        <v>3320.8999999999996</v>
      </c>
      <c r="H181" s="500">
        <f t="shared" ref="H181:H187" si="14">G181/D181</f>
      </c>
      <c r="I181" s="500">
        <f t="shared" ref="I181:I187" si="77">D181/E181</f>
      </c>
      <c r="J181" s="500">
        <f t="shared" ref="J181:J187" si="140">D181/F181</f>
      </c>
      <c r="K181" s="500">
        <f t="shared" ref="K181:K187" si="203">G181/E181</f>
      </c>
      <c r="L181" s="500">
        <f t="shared" ref="L181:L187" si="35">D181/V181</f>
      </c>
      <c r="M181" s="501">
        <f t="shared" ref="M181:M187" si="98">Q181/U181*1</f>
      </c>
      <c r="N181" s="501">
        <f t="shared" ref="N181:N187" si="161">V181/U181</f>
      </c>
      <c r="O181" s="501">
        <f t="shared" ref="O181:O187" si="224">X181/U181</f>
      </c>
      <c r="P181" s="501">
        <f t="shared" ref="P181:P187" si="56">Y181/X181</f>
      </c>
      <c r="Q181" s="502">
        <f t="shared" ref="Q181:Q187" si="119">W181/R181</f>
      </c>
      <c r="R181" s="503">
        <v>0.0348</v>
      </c>
      <c r="S181" s="504">
        <v>36</v>
      </c>
      <c r="T181" s="500">
        <f t="shared" ref="T181:T187" si="182">(D181/U181)*1000</f>
      </c>
      <c r="U181" s="502">
        <v>19292</v>
      </c>
      <c r="V181" s="502">
        <v>954</v>
      </c>
      <c r="W181" s="502">
        <v>108</v>
      </c>
      <c r="X181" s="502">
        <v>1252</v>
      </c>
      <c r="Y181" s="502">
        <v>69</v>
      </c>
      <c r="Z181" s="502">
        <v>7</v>
      </c>
      <c r="AA181" s="502">
        <v>3</v>
      </c>
      <c r="AB181" s="504">
        <v>14</v>
      </c>
      <c r="AC181" s="500">
        <f t="shared" ref="AC181:AC186" si="245">AF181*1000/D181</f>
      </c>
      <c r="AD181" s="522" t="s">
        <v>307</v>
      </c>
      <c r="AE181" s="522" t="s">
        <v>328</v>
      </c>
      <c r="AF181" s="504">
        <v>39</v>
      </c>
    </row>
    <row r="182">
      <c r="A182" s="494"/>
      <c r="B182" s="495" t="s">
        <v>331</v>
      </c>
      <c r="C182" s="496" t="s">
        <v>309</v>
      </c>
      <c r="D182" s="499">
        <v>2188.18</v>
      </c>
      <c r="E182" s="498">
        <v>2</v>
      </c>
      <c r="F182" s="498">
        <v>2</v>
      </c>
      <c r="G182" s="499">
        <v>902</v>
      </c>
      <c r="H182" s="500">
        <f t="shared" si="14"/>
      </c>
      <c r="I182" s="500">
        <f t="shared" si="77"/>
      </c>
      <c r="J182" s="500">
        <f t="shared" si="140"/>
      </c>
      <c r="K182" s="500">
        <f t="shared" si="203"/>
      </c>
      <c r="L182" s="500">
        <f t="shared" si="35"/>
      </c>
      <c r="M182" s="501">
        <f t="shared" si="98"/>
      </c>
      <c r="N182" s="501">
        <f t="shared" si="161"/>
      </c>
      <c r="O182" s="501">
        <f t="shared" si="224"/>
      </c>
      <c r="P182" s="501">
        <f t="shared" si="56"/>
      </c>
      <c r="Q182" s="502">
        <f t="shared" si="119"/>
      </c>
      <c r="R182" s="503">
        <v>0.0296</v>
      </c>
      <c r="S182" s="504">
        <v>32</v>
      </c>
      <c r="T182" s="500">
        <f t="shared" si="182"/>
      </c>
      <c r="U182" s="502">
        <v>12457</v>
      </c>
      <c r="V182" s="502">
        <v>1037</v>
      </c>
      <c r="W182" s="502">
        <v>81</v>
      </c>
      <c r="X182" s="502">
        <v>1311</v>
      </c>
      <c r="Y182" s="502">
        <v>52</v>
      </c>
      <c r="Z182" s="502">
        <v>8</v>
      </c>
      <c r="AA182" s="502">
        <v>1</v>
      </c>
      <c r="AB182" s="502">
        <v>10</v>
      </c>
      <c r="AC182" s="500">
        <f t="shared" si="245"/>
      </c>
      <c r="AD182" s="522" t="s">
        <v>307</v>
      </c>
      <c r="AE182" s="522" t="s">
        <v>328</v>
      </c>
      <c r="AF182" s="504">
        <v>29</v>
      </c>
    </row>
    <row r="183">
      <c r="A183" s="494"/>
      <c r="B183" s="495" t="s">
        <v>331</v>
      </c>
      <c r="C183" s="496" t="s">
        <v>310</v>
      </c>
      <c r="D183" s="499">
        <v>1571.06</v>
      </c>
      <c r="E183" s="498">
        <v>7</v>
      </c>
      <c r="F183" s="498">
        <v>5</v>
      </c>
      <c r="G183" s="497">
        <v>3562.9000000000005</v>
      </c>
      <c r="H183" s="500">
        <f t="shared" si="14"/>
      </c>
      <c r="I183" s="500">
        <f t="shared" si="77"/>
      </c>
      <c r="J183" s="500">
        <f t="shared" si="140"/>
      </c>
      <c r="K183" s="500">
        <f t="shared" si="203"/>
      </c>
      <c r="L183" s="500">
        <f t="shared" si="35"/>
      </c>
      <c r="M183" s="501">
        <f t="shared" si="98"/>
      </c>
      <c r="N183" s="501">
        <f t="shared" si="161"/>
      </c>
      <c r="O183" s="501">
        <f t="shared" si="224"/>
      </c>
      <c r="P183" s="501">
        <f t="shared" si="56"/>
      </c>
      <c r="Q183" s="502">
        <f t="shared" si="119"/>
      </c>
      <c r="R183" s="503">
        <v>0.0324</v>
      </c>
      <c r="S183" s="504">
        <v>33</v>
      </c>
      <c r="T183" s="500">
        <f t="shared" si="182"/>
      </c>
      <c r="U183" s="502">
        <v>8221</v>
      </c>
      <c r="V183" s="502">
        <v>678</v>
      </c>
      <c r="W183" s="502">
        <v>60</v>
      </c>
      <c r="X183" s="502">
        <v>959</v>
      </c>
      <c r="Y183" s="502">
        <v>27</v>
      </c>
      <c r="Z183" s="502">
        <v>2</v>
      </c>
      <c r="AA183" s="502">
        <v>0</v>
      </c>
      <c r="AB183" s="502">
        <v>8</v>
      </c>
      <c r="AC183" s="500">
        <f t="shared" si="245"/>
      </c>
      <c r="AD183" s="522" t="s">
        <v>307</v>
      </c>
      <c r="AE183" s="522" t="s">
        <v>328</v>
      </c>
      <c r="AF183" s="504">
        <v>12</v>
      </c>
    </row>
    <row r="184">
      <c r="A184" s="494"/>
      <c r="B184" s="495" t="s">
        <v>331</v>
      </c>
      <c r="C184" s="496" t="s">
        <v>311</v>
      </c>
      <c r="D184" s="499">
        <v>1645.28</v>
      </c>
      <c r="E184" s="498">
        <v>5</v>
      </c>
      <c r="F184" s="498">
        <v>3</v>
      </c>
      <c r="G184" s="499">
        <v>3617.9000000000005</v>
      </c>
      <c r="H184" s="500">
        <f t="shared" si="14"/>
      </c>
      <c r="I184" s="500">
        <f t="shared" si="77"/>
      </c>
      <c r="J184" s="500">
        <f t="shared" si="140"/>
      </c>
      <c r="K184" s="500">
        <f t="shared" si="203"/>
      </c>
      <c r="L184" s="500">
        <f t="shared" si="35"/>
      </c>
      <c r="M184" s="501">
        <f t="shared" si="98"/>
      </c>
      <c r="N184" s="501">
        <f t="shared" si="161"/>
      </c>
      <c r="O184" s="501">
        <f t="shared" si="224"/>
      </c>
      <c r="P184" s="501">
        <f t="shared" si="56"/>
      </c>
      <c r="Q184" s="502">
        <f t="shared" si="119"/>
      </c>
      <c r="R184" s="503">
        <v>0.0278</v>
      </c>
      <c r="S184" s="504">
        <v>34</v>
      </c>
      <c r="T184" s="500">
        <f t="shared" si="182"/>
      </c>
      <c r="U184" s="502">
        <v>8485</v>
      </c>
      <c r="V184" s="502">
        <v>717</v>
      </c>
      <c r="W184" s="502">
        <v>59</v>
      </c>
      <c r="X184" s="502">
        <v>944</v>
      </c>
      <c r="Y184" s="502">
        <v>34</v>
      </c>
      <c r="Z184" s="502">
        <v>3</v>
      </c>
      <c r="AA184" s="502">
        <v>1</v>
      </c>
      <c r="AB184" s="502">
        <v>6</v>
      </c>
      <c r="AC184" s="500">
        <f t="shared" si="245"/>
      </c>
      <c r="AD184" s="522" t="s">
        <v>307</v>
      </c>
      <c r="AE184" s="522" t="s">
        <v>328</v>
      </c>
      <c r="AF184" s="504">
        <v>20</v>
      </c>
    </row>
    <row r="185">
      <c r="A185" s="494"/>
      <c r="B185" s="495" t="s">
        <v>331</v>
      </c>
      <c r="C185" s="496" t="s">
        <v>314</v>
      </c>
      <c r="D185" s="499">
        <v>985.35</v>
      </c>
      <c r="E185" s="498">
        <v>3</v>
      </c>
      <c r="F185" s="498">
        <v>2</v>
      </c>
      <c r="G185" s="499">
        <v>1758.8999999999978</v>
      </c>
      <c r="H185" s="500">
        <f t="shared" si="14"/>
      </c>
      <c r="I185" s="500">
        <f t="shared" si="77"/>
      </c>
      <c r="J185" s="500">
        <f t="shared" si="140"/>
      </c>
      <c r="K185" s="500">
        <f t="shared" si="203"/>
      </c>
      <c r="L185" s="500">
        <f t="shared" si="35"/>
      </c>
      <c r="M185" s="501">
        <f t="shared" si="98"/>
      </c>
      <c r="N185" s="501">
        <f t="shared" si="161"/>
      </c>
      <c r="O185" s="501">
        <f t="shared" si="224"/>
      </c>
      <c r="P185" s="501">
        <f t="shared" si="56"/>
      </c>
      <c r="Q185" s="502">
        <f t="shared" si="119"/>
      </c>
      <c r="R185" s="503">
        <v>0.0228</v>
      </c>
      <c r="S185" s="504">
        <v>35</v>
      </c>
      <c r="T185" s="500">
        <f t="shared" si="182"/>
      </c>
      <c r="U185" s="502">
        <v>5122</v>
      </c>
      <c r="V185" s="502">
        <v>417</v>
      </c>
      <c r="W185" s="502">
        <v>33</v>
      </c>
      <c r="X185" s="502">
        <v>529</v>
      </c>
      <c r="Y185" s="502">
        <v>13</v>
      </c>
      <c r="Z185" s="502">
        <v>2</v>
      </c>
      <c r="AA185" s="502">
        <v>1</v>
      </c>
      <c r="AB185" s="502">
        <v>4</v>
      </c>
      <c r="AC185" s="500">
        <f t="shared" si="245"/>
      </c>
      <c r="AD185" s="522" t="s">
        <v>307</v>
      </c>
      <c r="AE185" s="522" t="s">
        <v>328</v>
      </c>
      <c r="AF185" s="504">
        <v>13</v>
      </c>
    </row>
    <row r="186">
      <c r="A186" s="494"/>
      <c r="B186" s="507" t="s">
        <v>312</v>
      </c>
      <c r="C186" s="507"/>
      <c r="D186" s="508">
        <f>SUM(D181:D185)</f>
      </c>
      <c r="E186" s="508">
        <f>SUM(E181:E185)</f>
      </c>
      <c r="F186" s="508">
        <f>SUM(F181:F185)</f>
      </c>
      <c r="G186" s="508">
        <f>SUM(G181:G185)</f>
      </c>
      <c r="H186" s="510">
        <f t="shared" si="14"/>
      </c>
      <c r="I186" s="510">
        <f t="shared" si="77"/>
      </c>
      <c r="J186" s="510">
        <f t="shared" si="140"/>
      </c>
      <c r="K186" s="510">
        <f t="shared" si="203"/>
      </c>
      <c r="L186" s="510">
        <f t="shared" si="35"/>
      </c>
      <c r="M186" s="511">
        <f t="shared" si="98"/>
      </c>
      <c r="N186" s="511">
        <f t="shared" si="161"/>
      </c>
      <c r="O186" s="511">
        <f t="shared" si="224"/>
      </c>
      <c r="P186" s="511">
        <f t="shared" si="56"/>
      </c>
      <c r="Q186" s="512">
        <f t="shared" si="119"/>
      </c>
      <c r="R186" s="511">
        <f>AVERAGE(R181:R185)</f>
      </c>
      <c r="S186" s="508">
        <f>AVERAGE(S181:S185)</f>
      </c>
      <c r="T186" s="510">
        <f t="shared" si="182"/>
      </c>
      <c r="U186" s="512">
        <f>SUM(U181:U185)</f>
      </c>
      <c r="V186" s="512">
        <f>SUM(V181:V185)</f>
      </c>
      <c r="W186" s="512">
        <f>SUM(W181:W185)</f>
      </c>
      <c r="X186" s="512">
        <f>SUM(X181:X185)</f>
      </c>
      <c r="Y186" s="512">
        <f>SUM(Y181:Y185)</f>
      </c>
      <c r="Z186" s="512">
        <f>SUM(Z181:Z185)</f>
      </c>
      <c r="AA186" s="512">
        <f>SUM(AA181:AA185)</f>
      </c>
      <c r="AB186" s="512">
        <f>SUM(AB181:AB185)</f>
      </c>
      <c r="AC186" s="513">
        <f t="shared" si="245"/>
      </c>
      <c r="AD186" s="523"/>
      <c r="AE186" s="523"/>
      <c r="AF186" s="512">
        <f>SUM(AF181:AF185)</f>
      </c>
    </row>
    <row r="187">
      <c r="A187" s="494"/>
      <c r="B187" s="516" t="s">
        <v>318</v>
      </c>
      <c r="C187" s="516"/>
      <c r="D187" s="517">
        <f>D186</f>
      </c>
      <c r="E187" s="517">
        <f>E186</f>
      </c>
      <c r="F187" s="517">
        <f>F186</f>
      </c>
      <c r="G187" s="517">
        <f>G186</f>
      </c>
      <c r="H187" s="519">
        <f t="shared" si="14"/>
      </c>
      <c r="I187" s="519">
        <f t="shared" si="77"/>
      </c>
      <c r="J187" s="519">
        <f t="shared" si="140"/>
      </c>
      <c r="K187" s="519">
        <f t="shared" si="203"/>
      </c>
      <c r="L187" s="519">
        <f t="shared" si="35"/>
      </c>
      <c r="M187" s="520">
        <f t="shared" si="98"/>
      </c>
      <c r="N187" s="520">
        <f t="shared" si="161"/>
      </c>
      <c r="O187" s="520">
        <f t="shared" si="224"/>
      </c>
      <c r="P187" s="520">
        <f t="shared" si="56"/>
      </c>
      <c r="Q187" s="521">
        <f t="shared" si="119"/>
      </c>
      <c r="R187" s="520">
        <f>R186</f>
      </c>
      <c r="S187" s="517">
        <f>S186</f>
      </c>
      <c r="T187" s="517">
        <f t="shared" si="182"/>
      </c>
      <c r="U187" s="521">
        <f>U186</f>
      </c>
      <c r="V187" s="521">
        <f>V186</f>
      </c>
      <c r="W187" s="521">
        <f>W186</f>
      </c>
      <c r="X187" s="521">
        <f>X186</f>
      </c>
      <c r="Y187" s="521">
        <f>Y186</f>
      </c>
      <c r="Z187" s="521">
        <f>Z186</f>
      </c>
      <c r="AA187" s="521">
        <f>AA186</f>
      </c>
      <c r="AB187" s="521">
        <f>AB186</f>
      </c>
      <c r="AC187" s="521">
        <f>AC186</f>
      </c>
      <c r="AD187" s="521"/>
      <c r="AE187" s="521"/>
      <c r="AF187" s="521">
        <f>AF186</f>
      </c>
    </row>
    <row r="188">
      <c r="A188" s="484" t="s">
        <v>319</v>
      </c>
      <c r="B188" s="484" t="s">
        <v>270</v>
      </c>
      <c r="C188" s="484"/>
      <c r="D188" s="485" t="s">
        <v>271</v>
      </c>
      <c r="E188" s="485"/>
      <c r="F188" s="485"/>
      <c r="G188" s="485"/>
      <c r="H188" s="485"/>
      <c r="I188" s="485"/>
      <c r="J188" s="485"/>
      <c r="K188" s="485"/>
      <c r="L188" s="486" t="s">
        <v>272</v>
      </c>
      <c r="M188" s="486"/>
      <c r="N188" s="486"/>
      <c r="O188" s="486"/>
      <c r="P188" s="486"/>
      <c r="Q188" s="486"/>
      <c r="R188" s="486"/>
      <c r="S188" s="486"/>
      <c r="T188" s="486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7"/>
    </row>
    <row r="189">
      <c r="A189" s="484"/>
      <c r="B189" s="484" t="s">
        <v>273</v>
      </c>
      <c r="C189" s="484" t="s">
        <v>274</v>
      </c>
      <c r="D189" s="485" t="s">
        <v>275</v>
      </c>
      <c r="E189" s="488" t="s">
        <v>276</v>
      </c>
      <c r="F189" s="488" t="s">
        <v>277</v>
      </c>
      <c r="G189" s="485" t="s">
        <v>278</v>
      </c>
      <c r="H189" s="489" t="s">
        <v>279</v>
      </c>
      <c r="I189" s="489" t="s">
        <v>280</v>
      </c>
      <c r="J189" s="489" t="s">
        <v>281</v>
      </c>
      <c r="K189" s="489" t="s">
        <v>282</v>
      </c>
      <c r="L189" s="490" t="s">
        <v>283</v>
      </c>
      <c r="M189" s="491" t="s">
        <v>284</v>
      </c>
      <c r="N189" s="491" t="s">
        <v>285</v>
      </c>
      <c r="O189" s="491" t="s">
        <v>286</v>
      </c>
      <c r="P189" s="491" t="s">
        <v>287</v>
      </c>
      <c r="Q189" s="492" t="s">
        <v>288</v>
      </c>
      <c r="R189" s="491" t="s">
        <v>289</v>
      </c>
      <c r="S189" s="492" t="s">
        <v>290</v>
      </c>
      <c r="T189" s="486" t="s">
        <v>291</v>
      </c>
      <c r="U189" s="487" t="s">
        <v>292</v>
      </c>
      <c r="V189" s="487" t="s">
        <v>293</v>
      </c>
      <c r="W189" s="487" t="s">
        <v>294</v>
      </c>
      <c r="X189" s="487" t="s">
        <v>295</v>
      </c>
      <c r="Y189" s="487" t="s">
        <v>296</v>
      </c>
      <c r="Z189" s="487" t="s">
        <v>297</v>
      </c>
      <c r="AA189" s="487" t="s">
        <v>298</v>
      </c>
      <c r="AB189" s="487" t="s">
        <v>299</v>
      </c>
      <c r="AC189" s="486" t="s">
        <v>300</v>
      </c>
      <c r="AD189" s="493" t="s">
        <v>301</v>
      </c>
      <c r="AE189" s="493" t="s">
        <v>302</v>
      </c>
      <c r="AF189" s="487" t="s">
        <v>303</v>
      </c>
    </row>
    <row r="190">
      <c r="A190" s="494" t="s">
        <v>339</v>
      </c>
      <c r="B190" s="495" t="s">
        <v>331</v>
      </c>
      <c r="C190" s="495" t="s">
        <v>323</v>
      </c>
      <c r="D190" s="499">
        <v>2763.17</v>
      </c>
      <c r="E190" s="498">
        <v>4</v>
      </c>
      <c r="F190" s="498">
        <v>3</v>
      </c>
      <c r="G190" s="499">
        <v>1804</v>
      </c>
      <c r="H190" s="500">
        <f t="shared" ref="H190:H196" si="15">G190/D190</f>
      </c>
      <c r="I190" s="500">
        <f t="shared" ref="I190:I196" si="78">D190/E190</f>
      </c>
      <c r="J190" s="500">
        <f t="shared" ref="J190:J196" si="141">D190/F190</f>
      </c>
      <c r="K190" s="500">
        <f t="shared" ref="K190:K196" si="204">G190/E190</f>
      </c>
      <c r="L190" s="500">
        <f t="shared" ref="L190:L196" si="36">D190/V190</f>
      </c>
      <c r="M190" s="501">
        <f t="shared" ref="M190:M196" si="99">Q190/U190*1</f>
      </c>
      <c r="N190" s="501">
        <f t="shared" ref="N190:N196" si="162">V190/U190</f>
      </c>
      <c r="O190" s="501">
        <f t="shared" ref="O190:O196" si="225">X190/U190</f>
      </c>
      <c r="P190" s="501">
        <f t="shared" ref="P190:P196" si="57">Y190/X190</f>
      </c>
      <c r="Q190" s="502">
        <f t="shared" ref="Q190:Q196" si="120">W190/R190</f>
      </c>
      <c r="R190" s="503">
        <v>0.0276</v>
      </c>
      <c r="S190" s="504">
        <v>32</v>
      </c>
      <c r="T190" s="500">
        <f t="shared" ref="T190:T196" si="183">(D190/U190)*1000</f>
      </c>
      <c r="U190" s="502">
        <v>14202</v>
      </c>
      <c r="V190" s="502">
        <v>1005</v>
      </c>
      <c r="W190" s="502">
        <v>107</v>
      </c>
      <c r="X190" s="502">
        <v>1414</v>
      </c>
      <c r="Y190" s="502">
        <v>56</v>
      </c>
      <c r="Z190" s="502">
        <v>8</v>
      </c>
      <c r="AA190" s="502">
        <v>2</v>
      </c>
      <c r="AB190" s="504">
        <v>18</v>
      </c>
      <c r="AC190" s="500">
        <f t="shared" ref="AC190:AC195" si="246">AF190*1000/D190</f>
      </c>
      <c r="AD190" s="522" t="s">
        <v>307</v>
      </c>
      <c r="AE190" s="522" t="s">
        <v>324</v>
      </c>
      <c r="AF190" s="504">
        <v>36</v>
      </c>
    </row>
    <row r="191">
      <c r="A191" s="494"/>
      <c r="B191" s="495" t="s">
        <v>331</v>
      </c>
      <c r="C191" s="496" t="s">
        <v>309</v>
      </c>
      <c r="D191" s="499">
        <v>2581.47</v>
      </c>
      <c r="E191" s="498">
        <v>6</v>
      </c>
      <c r="F191" s="498">
        <v>6</v>
      </c>
      <c r="G191" s="499">
        <v>5835.5</v>
      </c>
      <c r="H191" s="500">
        <f t="shared" si="15"/>
      </c>
      <c r="I191" s="500">
        <f t="shared" si="78"/>
      </c>
      <c r="J191" s="500">
        <f t="shared" si="141"/>
      </c>
      <c r="K191" s="500">
        <f t="shared" si="204"/>
      </c>
      <c r="L191" s="500">
        <f t="shared" si="36"/>
      </c>
      <c r="M191" s="501">
        <f t="shared" si="99"/>
      </c>
      <c r="N191" s="501">
        <f t="shared" si="162"/>
      </c>
      <c r="O191" s="501">
        <f t="shared" si="225"/>
      </c>
      <c r="P191" s="501">
        <f t="shared" si="57"/>
      </c>
      <c r="Q191" s="502">
        <f t="shared" si="120"/>
      </c>
      <c r="R191" s="503">
        <v>0.0208</v>
      </c>
      <c r="S191" s="504">
        <v>31</v>
      </c>
      <c r="T191" s="500">
        <f t="shared" si="183"/>
      </c>
      <c r="U191" s="502">
        <v>15519</v>
      </c>
      <c r="V191" s="502">
        <v>1449</v>
      </c>
      <c r="W191" s="502">
        <v>88</v>
      </c>
      <c r="X191" s="502">
        <v>1805</v>
      </c>
      <c r="Y191" s="502">
        <v>53</v>
      </c>
      <c r="Z191" s="502">
        <v>8</v>
      </c>
      <c r="AA191" s="502">
        <v>1</v>
      </c>
      <c r="AB191" s="502">
        <v>10</v>
      </c>
      <c r="AC191" s="500">
        <f t="shared" si="246"/>
      </c>
      <c r="AD191" s="522" t="s">
        <v>307</v>
      </c>
      <c r="AE191" s="522" t="s">
        <v>324</v>
      </c>
      <c r="AF191" s="504">
        <v>22</v>
      </c>
    </row>
    <row r="192">
      <c r="A192" s="494"/>
      <c r="B192" s="495" t="s">
        <v>331</v>
      </c>
      <c r="C192" s="496" t="s">
        <v>310</v>
      </c>
      <c r="D192" s="499">
        <v>2809.16</v>
      </c>
      <c r="E192" s="498">
        <v>8</v>
      </c>
      <c r="F192" s="498">
        <v>5</v>
      </c>
      <c r="G192" s="497">
        <v>6539.5</v>
      </c>
      <c r="H192" s="500">
        <f t="shared" si="15"/>
      </c>
      <c r="I192" s="500">
        <f t="shared" si="78"/>
      </c>
      <c r="J192" s="500">
        <f t="shared" si="141"/>
      </c>
      <c r="K192" s="500">
        <f t="shared" si="204"/>
      </c>
      <c r="L192" s="500">
        <f t="shared" si="36"/>
      </c>
      <c r="M192" s="501">
        <f t="shared" si="99"/>
      </c>
      <c r="N192" s="501">
        <f t="shared" si="162"/>
      </c>
      <c r="O192" s="501">
        <f t="shared" si="225"/>
      </c>
      <c r="P192" s="501">
        <f t="shared" si="57"/>
      </c>
      <c r="Q192" s="502">
        <f t="shared" si="120"/>
      </c>
      <c r="R192" s="503">
        <v>0.0191</v>
      </c>
      <c r="S192" s="504">
        <v>33</v>
      </c>
      <c r="T192" s="500">
        <f t="shared" si="183"/>
      </c>
      <c r="U192" s="502">
        <v>17168</v>
      </c>
      <c r="V192" s="502">
        <v>1346</v>
      </c>
      <c r="W192" s="502">
        <v>70</v>
      </c>
      <c r="X192" s="502">
        <v>1637</v>
      </c>
      <c r="Y192" s="502">
        <v>81</v>
      </c>
      <c r="Z192" s="502">
        <v>8</v>
      </c>
      <c r="AA192" s="502">
        <v>1</v>
      </c>
      <c r="AB192" s="502">
        <v>9</v>
      </c>
      <c r="AC192" s="500">
        <f t="shared" si="246"/>
      </c>
      <c r="AD192" s="522" t="s">
        <v>307</v>
      </c>
      <c r="AE192" s="522" t="s">
        <v>324</v>
      </c>
      <c r="AF192" s="504">
        <v>37</v>
      </c>
    </row>
    <row r="193">
      <c r="A193" s="494"/>
      <c r="B193" s="495" t="s">
        <v>331</v>
      </c>
      <c r="C193" s="496" t="s">
        <v>311</v>
      </c>
      <c r="D193" s="499">
        <v>2027.94</v>
      </c>
      <c r="E193" s="498">
        <v>4</v>
      </c>
      <c r="F193" s="498">
        <v>3</v>
      </c>
      <c r="G193" s="499">
        <v>2824.7999999999993</v>
      </c>
      <c r="H193" s="500">
        <f t="shared" si="15"/>
      </c>
      <c r="I193" s="500">
        <f t="shared" si="78"/>
      </c>
      <c r="J193" s="500">
        <f t="shared" si="141"/>
      </c>
      <c r="K193" s="500">
        <f t="shared" si="204"/>
      </c>
      <c r="L193" s="500">
        <f t="shared" si="36"/>
      </c>
      <c r="M193" s="501">
        <f t="shared" si="99"/>
      </c>
      <c r="N193" s="501">
        <f t="shared" si="162"/>
      </c>
      <c r="O193" s="501">
        <f t="shared" si="225"/>
      </c>
      <c r="P193" s="501">
        <f t="shared" si="57"/>
      </c>
      <c r="Q193" s="502">
        <f t="shared" si="120"/>
      </c>
      <c r="R193" s="503">
        <v>0.0186</v>
      </c>
      <c r="S193" s="504">
        <v>32</v>
      </c>
      <c r="T193" s="500">
        <f t="shared" si="183"/>
      </c>
      <c r="U193" s="502">
        <v>12111</v>
      </c>
      <c r="V193" s="502">
        <v>1073</v>
      </c>
      <c r="W193" s="502">
        <v>54</v>
      </c>
      <c r="X193" s="502">
        <v>1272</v>
      </c>
      <c r="Y193" s="502">
        <v>50</v>
      </c>
      <c r="Z193" s="502">
        <v>2</v>
      </c>
      <c r="AA193" s="502">
        <v>1</v>
      </c>
      <c r="AB193" s="502">
        <v>11</v>
      </c>
      <c r="AC193" s="500">
        <f t="shared" si="246"/>
      </c>
      <c r="AD193" s="522" t="s">
        <v>307</v>
      </c>
      <c r="AE193" s="522" t="s">
        <v>324</v>
      </c>
      <c r="AF193" s="504">
        <v>20</v>
      </c>
    </row>
    <row r="194">
      <c r="A194" s="494"/>
      <c r="B194" s="495" t="s">
        <v>331</v>
      </c>
      <c r="C194" s="496" t="s">
        <v>314</v>
      </c>
      <c r="D194" s="499">
        <v>1460.34</v>
      </c>
      <c r="E194" s="498">
        <v>5</v>
      </c>
      <c r="F194" s="498">
        <v>3</v>
      </c>
      <c r="G194" s="499">
        <v>2660.9000000000015</v>
      </c>
      <c r="H194" s="500">
        <f t="shared" si="15"/>
      </c>
      <c r="I194" s="500">
        <f t="shared" si="78"/>
      </c>
      <c r="J194" s="500">
        <f t="shared" si="141"/>
      </c>
      <c r="K194" s="500">
        <f t="shared" si="204"/>
      </c>
      <c r="L194" s="500">
        <f t="shared" si="36"/>
      </c>
      <c r="M194" s="501">
        <f t="shared" si="99"/>
      </c>
      <c r="N194" s="501">
        <f t="shared" si="162"/>
      </c>
      <c r="O194" s="501">
        <f t="shared" si="225"/>
      </c>
      <c r="P194" s="501">
        <f t="shared" si="57"/>
      </c>
      <c r="Q194" s="502">
        <f t="shared" si="120"/>
      </c>
      <c r="R194" s="503">
        <v>0.0338</v>
      </c>
      <c r="S194" s="504">
        <v>34</v>
      </c>
      <c r="T194" s="500">
        <f t="shared" si="183"/>
      </c>
      <c r="U194" s="502">
        <v>8336</v>
      </c>
      <c r="V194" s="502">
        <v>496</v>
      </c>
      <c r="W194" s="502">
        <v>52</v>
      </c>
      <c r="X194" s="502">
        <v>577</v>
      </c>
      <c r="Y194" s="502">
        <v>52</v>
      </c>
      <c r="Z194" s="502">
        <v>7</v>
      </c>
      <c r="AA194" s="502">
        <v>1</v>
      </c>
      <c r="AB194" s="502">
        <v>7</v>
      </c>
      <c r="AC194" s="500">
        <f t="shared" si="246"/>
      </c>
      <c r="AD194" s="522" t="s">
        <v>307</v>
      </c>
      <c r="AE194" s="522" t="s">
        <v>324</v>
      </c>
      <c r="AF194" s="504">
        <v>12</v>
      </c>
    </row>
    <row r="195">
      <c r="A195" s="494"/>
      <c r="B195" s="507" t="s">
        <v>312</v>
      </c>
      <c r="C195" s="507"/>
      <c r="D195" s="508">
        <f>SUM(D190:D194)</f>
      </c>
      <c r="E195" s="508">
        <f>SUM(E190:E194)</f>
      </c>
      <c r="F195" s="508">
        <f>SUM(F190:F194)</f>
      </c>
      <c r="G195" s="508">
        <f>SUM(G190:G194)</f>
      </c>
      <c r="H195" s="510">
        <f t="shared" si="15"/>
      </c>
      <c r="I195" s="510">
        <f t="shared" si="78"/>
      </c>
      <c r="J195" s="510">
        <f t="shared" si="141"/>
      </c>
      <c r="K195" s="510">
        <f t="shared" si="204"/>
      </c>
      <c r="L195" s="510">
        <f t="shared" si="36"/>
      </c>
      <c r="M195" s="511">
        <f t="shared" si="99"/>
      </c>
      <c r="N195" s="511">
        <f t="shared" si="162"/>
      </c>
      <c r="O195" s="511">
        <f t="shared" si="225"/>
      </c>
      <c r="P195" s="511">
        <f t="shared" si="57"/>
      </c>
      <c r="Q195" s="512">
        <f t="shared" si="120"/>
      </c>
      <c r="R195" s="511">
        <f>AVERAGE(R190:R194)</f>
      </c>
      <c r="S195" s="508">
        <f>AVERAGE(S190:S194)</f>
      </c>
      <c r="T195" s="510">
        <f t="shared" si="183"/>
      </c>
      <c r="U195" s="512">
        <f>SUM(U190:U194)</f>
      </c>
      <c r="V195" s="512">
        <f>SUM(V190:V194)</f>
      </c>
      <c r="W195" s="512">
        <f>SUM(W190:W194)</f>
      </c>
      <c r="X195" s="512">
        <f>SUM(X190:X194)</f>
      </c>
      <c r="Y195" s="512">
        <f>SUM(Y190:Y194)</f>
      </c>
      <c r="Z195" s="512">
        <f>SUM(Z190:Z194)</f>
      </c>
      <c r="AA195" s="512">
        <f>SUM(AA190:AA194)</f>
      </c>
      <c r="AB195" s="512">
        <f>SUM(AB190:AB194)</f>
      </c>
      <c r="AC195" s="513">
        <f t="shared" si="246"/>
      </c>
      <c r="AD195" s="523"/>
      <c r="AE195" s="523"/>
      <c r="AF195" s="512">
        <f>SUM(AF190:AF194)</f>
      </c>
    </row>
    <row r="196">
      <c r="A196" s="494"/>
      <c r="B196" s="516" t="s">
        <v>318</v>
      </c>
      <c r="C196" s="516"/>
      <c r="D196" s="517">
        <f>D195</f>
      </c>
      <c r="E196" s="517">
        <f>E195</f>
      </c>
      <c r="F196" s="517">
        <f>F195</f>
      </c>
      <c r="G196" s="517">
        <f>G195</f>
      </c>
      <c r="H196" s="519">
        <f t="shared" si="15"/>
      </c>
      <c r="I196" s="519">
        <f t="shared" si="78"/>
      </c>
      <c r="J196" s="519">
        <f t="shared" si="141"/>
      </c>
      <c r="K196" s="519">
        <f t="shared" si="204"/>
      </c>
      <c r="L196" s="519">
        <f t="shared" si="36"/>
      </c>
      <c r="M196" s="520">
        <f t="shared" si="99"/>
      </c>
      <c r="N196" s="520">
        <f t="shared" si="162"/>
      </c>
      <c r="O196" s="520">
        <f t="shared" si="225"/>
      </c>
      <c r="P196" s="520">
        <f t="shared" si="57"/>
      </c>
      <c r="Q196" s="521">
        <f t="shared" si="120"/>
      </c>
      <c r="R196" s="520">
        <f>R195</f>
      </c>
      <c r="S196" s="517">
        <f>S195</f>
      </c>
      <c r="T196" s="517">
        <f t="shared" si="183"/>
      </c>
      <c r="U196" s="521">
        <f>U195</f>
      </c>
      <c r="V196" s="521">
        <f>V195</f>
      </c>
      <c r="W196" s="521">
        <f>W195</f>
      </c>
      <c r="X196" s="521">
        <f>X195</f>
      </c>
      <c r="Y196" s="521">
        <f>Y195</f>
      </c>
      <c r="Z196" s="521">
        <f>Z195</f>
      </c>
      <c r="AA196" s="521">
        <f>AA195</f>
      </c>
      <c r="AB196" s="521">
        <f>AB195</f>
      </c>
      <c r="AC196" s="521">
        <f>AC195</f>
      </c>
      <c r="AD196" s="521"/>
      <c r="AE196" s="521"/>
      <c r="AF196" s="521">
        <f>AF195</f>
      </c>
    </row>
    <row r="197">
      <c r="A197" s="484" t="s">
        <v>319</v>
      </c>
      <c r="B197" s="484" t="s">
        <v>270</v>
      </c>
      <c r="C197" s="484"/>
      <c r="D197" s="485" t="s">
        <v>271</v>
      </c>
      <c r="E197" s="485"/>
      <c r="F197" s="485"/>
      <c r="G197" s="485"/>
      <c r="H197" s="485"/>
      <c r="I197" s="485"/>
      <c r="J197" s="485"/>
      <c r="K197" s="485"/>
      <c r="L197" s="486" t="s">
        <v>272</v>
      </c>
      <c r="M197" s="486"/>
      <c r="N197" s="486"/>
      <c r="O197" s="486"/>
      <c r="P197" s="486"/>
      <c r="Q197" s="486"/>
      <c r="R197" s="486"/>
      <c r="S197" s="486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7"/>
    </row>
    <row r="198">
      <c r="A198" s="484"/>
      <c r="B198" s="484" t="s">
        <v>273</v>
      </c>
      <c r="C198" s="484" t="s">
        <v>274</v>
      </c>
      <c r="D198" s="485" t="s">
        <v>275</v>
      </c>
      <c r="E198" s="488" t="s">
        <v>276</v>
      </c>
      <c r="F198" s="488" t="s">
        <v>277</v>
      </c>
      <c r="G198" s="485" t="s">
        <v>278</v>
      </c>
      <c r="H198" s="489" t="s">
        <v>279</v>
      </c>
      <c r="I198" s="489" t="s">
        <v>280</v>
      </c>
      <c r="J198" s="489" t="s">
        <v>281</v>
      </c>
      <c r="K198" s="489" t="s">
        <v>282</v>
      </c>
      <c r="L198" s="490" t="s">
        <v>283</v>
      </c>
      <c r="M198" s="491" t="s">
        <v>284</v>
      </c>
      <c r="N198" s="491" t="s">
        <v>285</v>
      </c>
      <c r="O198" s="491" t="s">
        <v>286</v>
      </c>
      <c r="P198" s="491" t="s">
        <v>287</v>
      </c>
      <c r="Q198" s="492" t="s">
        <v>288</v>
      </c>
      <c r="R198" s="491" t="s">
        <v>289</v>
      </c>
      <c r="S198" s="492" t="s">
        <v>290</v>
      </c>
      <c r="T198" s="486" t="s">
        <v>291</v>
      </c>
      <c r="U198" s="487" t="s">
        <v>292</v>
      </c>
      <c r="V198" s="487" t="s">
        <v>293</v>
      </c>
      <c r="W198" s="487" t="s">
        <v>294</v>
      </c>
      <c r="X198" s="487" t="s">
        <v>295</v>
      </c>
      <c r="Y198" s="487" t="s">
        <v>296</v>
      </c>
      <c r="Z198" s="487" t="s">
        <v>297</v>
      </c>
      <c r="AA198" s="487" t="s">
        <v>298</v>
      </c>
      <c r="AB198" s="487" t="s">
        <v>299</v>
      </c>
      <c r="AC198" s="486" t="s">
        <v>300</v>
      </c>
      <c r="AD198" s="493" t="s">
        <v>301</v>
      </c>
      <c r="AE198" s="493" t="s">
        <v>302</v>
      </c>
      <c r="AF198" s="487" t="s">
        <v>303</v>
      </c>
    </row>
    <row r="199">
      <c r="A199" s="494" t="s">
        <v>340</v>
      </c>
      <c r="B199" s="495" t="s">
        <v>331</v>
      </c>
      <c r="C199" s="495" t="s">
        <v>323</v>
      </c>
      <c r="D199" s="499">
        <v>3979.35</v>
      </c>
      <c r="E199" s="498">
        <v>5</v>
      </c>
      <c r="F199" s="498">
        <v>4</v>
      </c>
      <c r="G199" s="499">
        <v>3898.4</v>
      </c>
      <c r="H199" s="500">
        <f t="shared" ref="H199:H205" si="16">G199/D199</f>
      </c>
      <c r="I199" s="500">
        <f t="shared" ref="I199:I205" si="79">D199/E199</f>
      </c>
      <c r="J199" s="500">
        <f t="shared" ref="J199:J205" si="142">D199/F199</f>
      </c>
      <c r="K199" s="500">
        <f t="shared" ref="K199:K205" si="205">G199/E199</f>
      </c>
      <c r="L199" s="500">
        <f t="shared" ref="L199:L205" si="37">D199/V199</f>
      </c>
      <c r="M199" s="501">
        <f t="shared" ref="M199:M205" si="100">Q199/U199*1</f>
      </c>
      <c r="N199" s="501">
        <f t="shared" ref="N199:N205" si="163">V199/U199</f>
      </c>
      <c r="O199" s="501">
        <f t="shared" ref="O199:O205" si="226">X199/U199</f>
      </c>
      <c r="P199" s="501">
        <f t="shared" ref="P199:P205" si="58">Y199/X199</f>
      </c>
      <c r="Q199" s="502">
        <f t="shared" ref="Q199:Q205" si="121">W199/R199</f>
      </c>
      <c r="R199" s="503">
        <v>0.0284</v>
      </c>
      <c r="S199" s="504">
        <v>32</v>
      </c>
      <c r="T199" s="500">
        <f t="shared" ref="T199:T205" si="184">(D199/U199)*1000</f>
      </c>
      <c r="U199" s="502">
        <v>19117</v>
      </c>
      <c r="V199" s="502">
        <v>1340</v>
      </c>
      <c r="W199" s="502">
        <v>124</v>
      </c>
      <c r="X199" s="502">
        <v>1842</v>
      </c>
      <c r="Y199" s="502">
        <v>71</v>
      </c>
      <c r="Z199" s="502">
        <v>10</v>
      </c>
      <c r="AA199" s="502">
        <v>6</v>
      </c>
      <c r="AB199" s="504">
        <v>21</v>
      </c>
      <c r="AC199" s="500">
        <f t="shared" ref="AC199:AC204" si="247">AF199*1000/D199</f>
      </c>
      <c r="AD199" s="522" t="s">
        <v>307</v>
      </c>
      <c r="AE199" s="522" t="s">
        <v>324</v>
      </c>
      <c r="AF199" s="504">
        <v>40</v>
      </c>
    </row>
    <row r="200">
      <c r="A200" s="494"/>
      <c r="B200" s="495" t="s">
        <v>331</v>
      </c>
      <c r="C200" s="496" t="s">
        <v>309</v>
      </c>
      <c r="D200" s="499">
        <v>3144.63</v>
      </c>
      <c r="E200" s="498">
        <v>7</v>
      </c>
      <c r="F200" s="498">
        <v>5</v>
      </c>
      <c r="G200" s="499">
        <v>5648.5</v>
      </c>
      <c r="H200" s="500">
        <f t="shared" si="16"/>
      </c>
      <c r="I200" s="500">
        <f t="shared" si="79"/>
      </c>
      <c r="J200" s="500">
        <f t="shared" si="142"/>
      </c>
      <c r="K200" s="500">
        <f t="shared" si="205"/>
      </c>
      <c r="L200" s="500">
        <f t="shared" si="37"/>
      </c>
      <c r="M200" s="501">
        <f t="shared" si="100"/>
      </c>
      <c r="N200" s="501">
        <f t="shared" si="163"/>
      </c>
      <c r="O200" s="501">
        <f t="shared" si="226"/>
      </c>
      <c r="P200" s="501">
        <f t="shared" si="58"/>
      </c>
      <c r="Q200" s="502">
        <f t="shared" si="121"/>
      </c>
      <c r="R200" s="503">
        <v>0.017</v>
      </c>
      <c r="S200" s="504">
        <v>32</v>
      </c>
      <c r="T200" s="500">
        <f t="shared" si="184"/>
      </c>
      <c r="U200" s="502">
        <v>16927</v>
      </c>
      <c r="V200" s="502">
        <v>1606</v>
      </c>
      <c r="W200" s="502">
        <v>82</v>
      </c>
      <c r="X200" s="502">
        <v>1986</v>
      </c>
      <c r="Y200" s="502">
        <v>88</v>
      </c>
      <c r="Z200" s="502">
        <v>6</v>
      </c>
      <c r="AA200" s="502">
        <v>1</v>
      </c>
      <c r="AB200" s="502">
        <v>10</v>
      </c>
      <c r="AC200" s="500">
        <f t="shared" si="247"/>
      </c>
      <c r="AD200" s="522" t="s">
        <v>307</v>
      </c>
      <c r="AE200" s="522" t="s">
        <v>341</v>
      </c>
      <c r="AF200" s="504">
        <v>31</v>
      </c>
    </row>
    <row r="201">
      <c r="A201" s="494"/>
      <c r="B201" s="495" t="s">
        <v>331</v>
      </c>
      <c r="C201" s="496" t="s">
        <v>310</v>
      </c>
      <c r="D201" s="499">
        <v>2196.73</v>
      </c>
      <c r="E201" s="498">
        <v>6</v>
      </c>
      <c r="F201" s="498">
        <v>3</v>
      </c>
      <c r="G201" s="499">
        <v>4693.7</v>
      </c>
      <c r="H201" s="500">
        <f t="shared" si="16"/>
      </c>
      <c r="I201" s="500">
        <f t="shared" si="79"/>
      </c>
      <c r="J201" s="500">
        <f t="shared" si="142"/>
      </c>
      <c r="K201" s="500">
        <f t="shared" si="205"/>
      </c>
      <c r="L201" s="500">
        <f t="shared" si="37"/>
      </c>
      <c r="M201" s="501">
        <f t="shared" si="100"/>
      </c>
      <c r="N201" s="501">
        <f t="shared" si="163"/>
      </c>
      <c r="O201" s="501">
        <f t="shared" si="226"/>
      </c>
      <c r="P201" s="501">
        <f t="shared" si="58"/>
      </c>
      <c r="Q201" s="502">
        <f t="shared" si="121"/>
      </c>
      <c r="R201" s="503">
        <v>0.0206</v>
      </c>
      <c r="S201" s="504">
        <v>32</v>
      </c>
      <c r="T201" s="500">
        <f t="shared" si="184"/>
      </c>
      <c r="U201" s="502">
        <v>13497</v>
      </c>
      <c r="V201" s="502">
        <v>1247</v>
      </c>
      <c r="W201" s="502">
        <v>80</v>
      </c>
      <c r="X201" s="502">
        <v>1583</v>
      </c>
      <c r="Y201" s="502">
        <v>41</v>
      </c>
      <c r="Z201" s="502">
        <v>8</v>
      </c>
      <c r="AA201" s="502">
        <v>3</v>
      </c>
      <c r="AB201" s="502">
        <v>21</v>
      </c>
      <c r="AC201" s="500">
        <f t="shared" si="247"/>
      </c>
      <c r="AD201" s="522" t="s">
        <v>307</v>
      </c>
      <c r="AE201" s="522" t="s">
        <v>341</v>
      </c>
      <c r="AF201" s="504">
        <v>18</v>
      </c>
    </row>
    <row r="202">
      <c r="A202" s="494"/>
      <c r="B202" s="495" t="s">
        <v>331</v>
      </c>
      <c r="C202" s="496" t="s">
        <v>311</v>
      </c>
      <c r="D202" s="499">
        <v>1894.39</v>
      </c>
      <c r="E202" s="498">
        <v>5</v>
      </c>
      <c r="F202" s="498">
        <v>5</v>
      </c>
      <c r="G202" s="499">
        <v>4743.2</v>
      </c>
      <c r="H202" s="500">
        <f t="shared" si="16"/>
      </c>
      <c r="I202" s="500">
        <f t="shared" si="79"/>
      </c>
      <c r="J202" s="500">
        <f t="shared" si="142"/>
      </c>
      <c r="K202" s="500">
        <f t="shared" si="205"/>
      </c>
      <c r="L202" s="500">
        <f t="shared" si="37"/>
      </c>
      <c r="M202" s="501">
        <f t="shared" si="100"/>
      </c>
      <c r="N202" s="501">
        <f t="shared" si="163"/>
      </c>
      <c r="O202" s="501">
        <f t="shared" si="226"/>
      </c>
      <c r="P202" s="501">
        <f t="shared" si="58"/>
      </c>
      <c r="Q202" s="502">
        <f t="shared" si="121"/>
      </c>
      <c r="R202" s="503">
        <v>0.0199</v>
      </c>
      <c r="S202" s="504">
        <v>33</v>
      </c>
      <c r="T202" s="500">
        <f t="shared" si="184"/>
      </c>
      <c r="U202" s="502">
        <v>10897</v>
      </c>
      <c r="V202" s="502">
        <v>1221</v>
      </c>
      <c r="W202" s="502">
        <v>70</v>
      </c>
      <c r="X202" s="502">
        <v>1515</v>
      </c>
      <c r="Y202" s="502">
        <v>77</v>
      </c>
      <c r="Z202" s="502">
        <v>16</v>
      </c>
      <c r="AA202" s="502">
        <v>2</v>
      </c>
      <c r="AB202" s="502">
        <v>10</v>
      </c>
      <c r="AC202" s="500">
        <f t="shared" si="247"/>
      </c>
      <c r="AD202" s="522" t="s">
        <v>307</v>
      </c>
      <c r="AE202" s="522" t="s">
        <v>341</v>
      </c>
      <c r="AF202" s="504">
        <v>31</v>
      </c>
    </row>
    <row r="203">
      <c r="A203" s="494"/>
      <c r="B203" s="495" t="s">
        <v>331</v>
      </c>
      <c r="C203" s="496" t="s">
        <v>314</v>
      </c>
      <c r="D203" s="499">
        <v>914.66</v>
      </c>
      <c r="E203" s="498">
        <v>0</v>
      </c>
      <c r="F203" s="498">
        <v>0</v>
      </c>
      <c r="G203" s="499">
        <v>0</v>
      </c>
      <c r="H203" s="500">
        <f t="shared" si="16"/>
      </c>
      <c r="I203" s="500">
        <f t="shared" si="79"/>
      </c>
      <c r="J203" s="500">
        <f t="shared" si="142"/>
      </c>
      <c r="K203" s="500">
        <f t="shared" si="205"/>
      </c>
      <c r="L203" s="500">
        <f t="shared" si="37"/>
      </c>
      <c r="M203" s="501">
        <f t="shared" si="100"/>
      </c>
      <c r="N203" s="501">
        <f t="shared" si="163"/>
      </c>
      <c r="O203" s="501">
        <f t="shared" si="226"/>
      </c>
      <c r="P203" s="501">
        <f t="shared" si="58"/>
      </c>
      <c r="Q203" s="502">
        <f t="shared" si="121"/>
      </c>
      <c r="R203" s="503">
        <v>0.0152</v>
      </c>
      <c r="S203" s="504">
        <v>35</v>
      </c>
      <c r="T203" s="500">
        <f t="shared" si="184"/>
      </c>
      <c r="U203" s="502">
        <v>6571</v>
      </c>
      <c r="V203" s="502">
        <v>654</v>
      </c>
      <c r="W203" s="502">
        <v>38</v>
      </c>
      <c r="X203" s="502">
        <v>811</v>
      </c>
      <c r="Y203" s="502">
        <v>25</v>
      </c>
      <c r="Z203" s="502">
        <v>3</v>
      </c>
      <c r="AA203" s="502">
        <v>0</v>
      </c>
      <c r="AB203" s="502">
        <v>4</v>
      </c>
      <c r="AC203" s="500">
        <f t="shared" si="247"/>
      </c>
      <c r="AD203" s="522" t="s">
        <v>307</v>
      </c>
      <c r="AE203" s="522" t="s">
        <v>341</v>
      </c>
      <c r="AF203" s="504">
        <v>11</v>
      </c>
    </row>
    <row r="204">
      <c r="A204" s="494"/>
      <c r="B204" s="507" t="s">
        <v>312</v>
      </c>
      <c r="C204" s="507"/>
      <c r="D204" s="508">
        <f>SUM(D199:D203)</f>
      </c>
      <c r="E204" s="508">
        <f>SUM(E199:E203)</f>
      </c>
      <c r="F204" s="508">
        <f>SUM(F199:F203)</f>
      </c>
      <c r="G204" s="508">
        <f>SUM(G199:G203)</f>
      </c>
      <c r="H204" s="510">
        <f t="shared" si="16"/>
      </c>
      <c r="I204" s="510">
        <f t="shared" si="79"/>
      </c>
      <c r="J204" s="510">
        <f t="shared" si="142"/>
      </c>
      <c r="K204" s="510">
        <f t="shared" si="205"/>
      </c>
      <c r="L204" s="510">
        <f t="shared" si="37"/>
      </c>
      <c r="M204" s="511">
        <f t="shared" si="100"/>
      </c>
      <c r="N204" s="511">
        <f t="shared" si="163"/>
      </c>
      <c r="O204" s="511">
        <f t="shared" si="226"/>
      </c>
      <c r="P204" s="511">
        <f t="shared" si="58"/>
      </c>
      <c r="Q204" s="512">
        <f t="shared" si="121"/>
      </c>
      <c r="R204" s="511">
        <f>AVERAGE(R199:R203)</f>
      </c>
      <c r="S204" s="508">
        <f>AVERAGE(S199:S203)</f>
      </c>
      <c r="T204" s="510">
        <f t="shared" si="184"/>
      </c>
      <c r="U204" s="512">
        <f>SUM(U199:U203)</f>
      </c>
      <c r="V204" s="512">
        <f>SUM(V199:V203)</f>
      </c>
      <c r="W204" s="512">
        <f>SUM(W199:W203)</f>
      </c>
      <c r="X204" s="512">
        <f>SUM(X199:X203)</f>
      </c>
      <c r="Y204" s="512">
        <f>SUM(Y199:Y203)</f>
      </c>
      <c r="Z204" s="512">
        <f>SUM(Z199:Z203)</f>
      </c>
      <c r="AA204" s="512">
        <f>SUM(AA199:AA203)</f>
      </c>
      <c r="AB204" s="512">
        <f>SUM(AB199:AB203)</f>
      </c>
      <c r="AC204" s="513">
        <f t="shared" si="247"/>
      </c>
      <c r="AD204" s="523"/>
      <c r="AE204" s="523"/>
      <c r="AF204" s="512">
        <f>SUM(AF199:AF203)</f>
      </c>
    </row>
    <row r="205">
      <c r="A205" s="494"/>
      <c r="B205" s="516" t="s">
        <v>318</v>
      </c>
      <c r="C205" s="516"/>
      <c r="D205" s="517">
        <f>D204</f>
      </c>
      <c r="E205" s="517">
        <f>E204</f>
      </c>
      <c r="F205" s="517">
        <f>F204</f>
      </c>
      <c r="G205" s="517">
        <f>G204</f>
      </c>
      <c r="H205" s="519">
        <f t="shared" si="16"/>
      </c>
      <c r="I205" s="519">
        <f t="shared" si="79"/>
      </c>
      <c r="J205" s="519">
        <f t="shared" si="142"/>
      </c>
      <c r="K205" s="519">
        <f t="shared" si="205"/>
      </c>
      <c r="L205" s="519">
        <f t="shared" si="37"/>
      </c>
      <c r="M205" s="520">
        <f t="shared" si="100"/>
      </c>
      <c r="N205" s="520">
        <f t="shared" si="163"/>
      </c>
      <c r="O205" s="520">
        <f t="shared" si="226"/>
      </c>
      <c r="P205" s="520">
        <f t="shared" si="58"/>
      </c>
      <c r="Q205" s="521">
        <f t="shared" si="121"/>
      </c>
      <c r="R205" s="520">
        <f>R204</f>
      </c>
      <c r="S205" s="517">
        <f>S204</f>
      </c>
      <c r="T205" s="517">
        <f t="shared" si="184"/>
      </c>
      <c r="U205" s="521">
        <f>U204</f>
      </c>
      <c r="V205" s="521">
        <f>V204</f>
      </c>
      <c r="W205" s="521">
        <f>W204</f>
      </c>
      <c r="X205" s="521">
        <f>X204</f>
      </c>
      <c r="Y205" s="521">
        <f>Y204</f>
      </c>
      <c r="Z205" s="521">
        <f>Z204</f>
      </c>
      <c r="AA205" s="521">
        <f>AA204</f>
      </c>
      <c r="AB205" s="521">
        <f>AB204</f>
      </c>
      <c r="AC205" s="521">
        <f>AC204</f>
      </c>
      <c r="AD205" s="521"/>
      <c r="AE205" s="521"/>
      <c r="AF205" s="521">
        <f>AF204</f>
      </c>
    </row>
    <row r="206">
      <c r="A206" s="484" t="s">
        <v>319</v>
      </c>
      <c r="B206" s="484" t="s">
        <v>270</v>
      </c>
      <c r="C206" s="484"/>
      <c r="D206" s="485" t="s">
        <v>271</v>
      </c>
      <c r="E206" s="485"/>
      <c r="F206" s="485"/>
      <c r="G206" s="485"/>
      <c r="H206" s="485"/>
      <c r="I206" s="485"/>
      <c r="J206" s="485"/>
      <c r="K206" s="485"/>
      <c r="L206" s="486" t="s">
        <v>272</v>
      </c>
      <c r="M206" s="486"/>
      <c r="N206" s="486"/>
      <c r="O206" s="486"/>
      <c r="P206" s="486"/>
      <c r="Q206" s="486"/>
      <c r="R206" s="486"/>
      <c r="S206" s="486"/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7"/>
    </row>
    <row r="207">
      <c r="A207" s="484"/>
      <c r="B207" s="484" t="s">
        <v>273</v>
      </c>
      <c r="C207" s="484" t="s">
        <v>274</v>
      </c>
      <c r="D207" s="485" t="s">
        <v>275</v>
      </c>
      <c r="E207" s="488" t="s">
        <v>276</v>
      </c>
      <c r="F207" s="488" t="s">
        <v>277</v>
      </c>
      <c r="G207" s="485" t="s">
        <v>278</v>
      </c>
      <c r="H207" s="489" t="s">
        <v>279</v>
      </c>
      <c r="I207" s="489" t="s">
        <v>280</v>
      </c>
      <c r="J207" s="489" t="s">
        <v>281</v>
      </c>
      <c r="K207" s="489" t="s">
        <v>282</v>
      </c>
      <c r="L207" s="490" t="s">
        <v>283</v>
      </c>
      <c r="M207" s="491" t="s">
        <v>284</v>
      </c>
      <c r="N207" s="491" t="s">
        <v>285</v>
      </c>
      <c r="O207" s="491" t="s">
        <v>286</v>
      </c>
      <c r="P207" s="491" t="s">
        <v>287</v>
      </c>
      <c r="Q207" s="492" t="s">
        <v>288</v>
      </c>
      <c r="R207" s="491" t="s">
        <v>289</v>
      </c>
      <c r="S207" s="492" t="s">
        <v>290</v>
      </c>
      <c r="T207" s="486" t="s">
        <v>291</v>
      </c>
      <c r="U207" s="487" t="s">
        <v>292</v>
      </c>
      <c r="V207" s="487" t="s">
        <v>293</v>
      </c>
      <c r="W207" s="487" t="s">
        <v>294</v>
      </c>
      <c r="X207" s="487" t="s">
        <v>295</v>
      </c>
      <c r="Y207" s="487" t="s">
        <v>296</v>
      </c>
      <c r="Z207" s="487" t="s">
        <v>297</v>
      </c>
      <c r="AA207" s="487" t="s">
        <v>298</v>
      </c>
      <c r="AB207" s="487" t="s">
        <v>299</v>
      </c>
      <c r="AC207" s="486" t="s">
        <v>300</v>
      </c>
      <c r="AD207" s="493" t="s">
        <v>301</v>
      </c>
      <c r="AE207" s="493" t="s">
        <v>302</v>
      </c>
      <c r="AF207" s="487" t="s">
        <v>303</v>
      </c>
    </row>
    <row r="208">
      <c r="A208" s="494" t="s">
        <v>342</v>
      </c>
      <c r="B208" s="495" t="s">
        <v>331</v>
      </c>
      <c r="C208" s="495" t="s">
        <v>323</v>
      </c>
      <c r="D208" s="499">
        <v>3091.08</v>
      </c>
      <c r="E208" s="498">
        <v>4</v>
      </c>
      <c r="F208" s="498">
        <v>4</v>
      </c>
      <c r="G208" s="499">
        <v>2464</v>
      </c>
      <c r="H208" s="500">
        <f t="shared" ref="H208:H214" si="17">G208/D208</f>
      </c>
      <c r="I208" s="500">
        <f t="shared" ref="I208:I214" si="80">D208/E208</f>
      </c>
      <c r="J208" s="500">
        <f t="shared" ref="J208:J214" si="143">D208/F208</f>
      </c>
      <c r="K208" s="500">
        <f t="shared" ref="K208:K214" si="206">G208/E208</f>
      </c>
      <c r="L208" s="500">
        <f t="shared" ref="L208:L214" si="38">D208/V208</f>
      </c>
      <c r="M208" s="501">
        <f t="shared" ref="M208:M214" si="101">Q208/U208*1</f>
      </c>
      <c r="N208" s="501">
        <f t="shared" ref="N208:N214" si="164">V208/U208</f>
      </c>
      <c r="O208" s="501">
        <f t="shared" ref="O208:O214" si="227">X208/U208</f>
      </c>
      <c r="P208" s="501">
        <f t="shared" ref="P208:P214" si="59">Y208/X208</f>
      </c>
      <c r="Q208" s="502">
        <f t="shared" ref="Q208:Q214" si="122">W208/R208</f>
      </c>
      <c r="R208" s="503">
        <v>0.0162</v>
      </c>
      <c r="S208" s="504">
        <v>30</v>
      </c>
      <c r="T208" s="500">
        <f t="shared" ref="T208:T214" si="185">(D208/U208)*1000</f>
      </c>
      <c r="U208" s="502">
        <v>19022</v>
      </c>
      <c r="V208" s="502">
        <v>1313</v>
      </c>
      <c r="W208" s="502">
        <v>104</v>
      </c>
      <c r="X208" s="502">
        <v>1746</v>
      </c>
      <c r="Y208" s="502">
        <v>71</v>
      </c>
      <c r="Z208" s="502">
        <v>12</v>
      </c>
      <c r="AA208" s="502">
        <v>1</v>
      </c>
      <c r="AB208" s="504">
        <v>18</v>
      </c>
      <c r="AC208" s="500">
        <f t="shared" ref="AC208:AC213" si="248">AF208*1000/D208</f>
      </c>
      <c r="AD208" s="522" t="s">
        <v>307</v>
      </c>
      <c r="AE208" s="522" t="s">
        <v>324</v>
      </c>
      <c r="AF208" s="504">
        <v>34</v>
      </c>
    </row>
    <row r="209">
      <c r="A209" s="494"/>
      <c r="B209" s="495" t="s">
        <v>331</v>
      </c>
      <c r="C209" s="496" t="s">
        <v>309</v>
      </c>
      <c r="D209" s="499">
        <v>2646.3</v>
      </c>
      <c r="E209" s="498">
        <v>6</v>
      </c>
      <c r="F209" s="498">
        <v>6</v>
      </c>
      <c r="G209" s="499">
        <v>4919.65</v>
      </c>
      <c r="H209" s="500">
        <f t="shared" si="17"/>
      </c>
      <c r="I209" s="500">
        <f t="shared" si="80"/>
      </c>
      <c r="J209" s="500">
        <f t="shared" si="143"/>
      </c>
      <c r="K209" s="500">
        <f t="shared" si="206"/>
      </c>
      <c r="L209" s="500">
        <f t="shared" si="38"/>
      </c>
      <c r="M209" s="501">
        <f t="shared" si="101"/>
      </c>
      <c r="N209" s="501">
        <f t="shared" si="164"/>
      </c>
      <c r="O209" s="501">
        <f t="shared" si="227"/>
      </c>
      <c r="P209" s="501">
        <f t="shared" si="59"/>
      </c>
      <c r="Q209" s="502">
        <f t="shared" si="122"/>
      </c>
      <c r="R209" s="503">
        <v>0.0191</v>
      </c>
      <c r="S209" s="504">
        <v>33</v>
      </c>
      <c r="T209" s="500">
        <f t="shared" si="185"/>
      </c>
      <c r="U209" s="502">
        <v>16431</v>
      </c>
      <c r="V209" s="502">
        <v>1149</v>
      </c>
      <c r="W209" s="502">
        <v>80</v>
      </c>
      <c r="X209" s="502">
        <v>1464</v>
      </c>
      <c r="Y209" s="502">
        <v>76</v>
      </c>
      <c r="Z209" s="502">
        <v>10</v>
      </c>
      <c r="AA209" s="502">
        <v>1</v>
      </c>
      <c r="AB209" s="502">
        <v>17</v>
      </c>
      <c r="AC209" s="500">
        <f t="shared" si="248"/>
      </c>
      <c r="AD209" s="522" t="s">
        <v>307</v>
      </c>
      <c r="AE209" s="522" t="s">
        <v>324</v>
      </c>
      <c r="AF209" s="504">
        <v>33</v>
      </c>
    </row>
    <row r="210">
      <c r="A210" s="494"/>
      <c r="B210" s="495" t="s">
        <v>331</v>
      </c>
      <c r="C210" s="496" t="s">
        <v>310</v>
      </c>
      <c r="D210" s="499">
        <v>2838.37</v>
      </c>
      <c r="E210" s="498">
        <v>4</v>
      </c>
      <c r="F210" s="498">
        <v>4</v>
      </c>
      <c r="G210" s="499">
        <v>2523.3999999999996</v>
      </c>
      <c r="H210" s="500">
        <f t="shared" si="17"/>
      </c>
      <c r="I210" s="500">
        <f t="shared" si="80"/>
      </c>
      <c r="J210" s="500">
        <f t="shared" si="143"/>
      </c>
      <c r="K210" s="500">
        <f t="shared" si="206"/>
      </c>
      <c r="L210" s="500">
        <f t="shared" si="38"/>
      </c>
      <c r="M210" s="501">
        <f t="shared" si="101"/>
      </c>
      <c r="N210" s="501">
        <f t="shared" si="164"/>
      </c>
      <c r="O210" s="501">
        <f t="shared" si="227"/>
      </c>
      <c r="P210" s="501">
        <f t="shared" si="59"/>
      </c>
      <c r="Q210" s="502">
        <f t="shared" si="122"/>
      </c>
      <c r="R210" s="503">
        <v>0.0227</v>
      </c>
      <c r="S210" s="504">
        <v>33</v>
      </c>
      <c r="T210" s="500">
        <f t="shared" si="185"/>
      </c>
      <c r="U210" s="502">
        <v>16056</v>
      </c>
      <c r="V210" s="502">
        <v>881</v>
      </c>
      <c r="W210" s="502">
        <v>61</v>
      </c>
      <c r="X210" s="502">
        <v>1184</v>
      </c>
      <c r="Y210" s="502">
        <v>57</v>
      </c>
      <c r="Z210" s="502">
        <v>7</v>
      </c>
      <c r="AA210" s="502">
        <v>1</v>
      </c>
      <c r="AB210" s="502">
        <v>9</v>
      </c>
      <c r="AC210" s="500">
        <f t="shared" si="248"/>
      </c>
      <c r="AD210" s="522" t="s">
        <v>307</v>
      </c>
      <c r="AE210" s="522" t="s">
        <v>324</v>
      </c>
      <c r="AF210" s="504">
        <v>24</v>
      </c>
    </row>
    <row r="211">
      <c r="A211" s="494"/>
      <c r="B211" s="495" t="s">
        <v>331</v>
      </c>
      <c r="C211" s="496" t="s">
        <v>311</v>
      </c>
      <c r="D211" s="499">
        <v>2519.04</v>
      </c>
      <c r="E211" s="498">
        <v>2</v>
      </c>
      <c r="F211" s="498">
        <v>1</v>
      </c>
      <c r="G211" s="499">
        <v>1984.4000000000015</v>
      </c>
      <c r="H211" s="500">
        <f t="shared" si="17"/>
      </c>
      <c r="I211" s="500">
        <f t="shared" si="80"/>
      </c>
      <c r="J211" s="500">
        <f t="shared" si="143"/>
      </c>
      <c r="K211" s="500">
        <f t="shared" si="206"/>
      </c>
      <c r="L211" s="500">
        <f t="shared" si="38"/>
      </c>
      <c r="M211" s="501">
        <f t="shared" si="101"/>
      </c>
      <c r="N211" s="501">
        <f t="shared" si="164"/>
      </c>
      <c r="O211" s="501">
        <f t="shared" si="227"/>
      </c>
      <c r="P211" s="501">
        <f t="shared" si="59"/>
      </c>
      <c r="Q211" s="502">
        <f t="shared" si="122"/>
      </c>
      <c r="R211" s="503">
        <v>0.0357</v>
      </c>
      <c r="S211" s="504">
        <v>34</v>
      </c>
      <c r="T211" s="500">
        <f t="shared" si="185"/>
      </c>
      <c r="U211" s="502">
        <v>14768</v>
      </c>
      <c r="V211" s="502">
        <v>867</v>
      </c>
      <c r="W211" s="502">
        <v>85</v>
      </c>
      <c r="X211" s="502">
        <v>1057</v>
      </c>
      <c r="Y211" s="502">
        <v>64</v>
      </c>
      <c r="Z211" s="502">
        <v>6</v>
      </c>
      <c r="AA211" s="502">
        <v>1</v>
      </c>
      <c r="AB211" s="502">
        <v>13</v>
      </c>
      <c r="AC211" s="500">
        <f t="shared" si="248"/>
      </c>
      <c r="AD211" s="522" t="s">
        <v>307</v>
      </c>
      <c r="AE211" s="522" t="s">
        <v>324</v>
      </c>
      <c r="AF211" s="504">
        <v>25</v>
      </c>
    </row>
    <row r="212">
      <c r="A212" s="494"/>
      <c r="B212" s="495" t="s">
        <v>331</v>
      </c>
      <c r="C212" s="496" t="s">
        <v>314</v>
      </c>
      <c r="D212" s="499">
        <v>1010.37</v>
      </c>
      <c r="E212" s="498">
        <v>4</v>
      </c>
      <c r="F212" s="498">
        <v>4</v>
      </c>
      <c r="G212" s="499">
        <v>3685</v>
      </c>
      <c r="H212" s="500">
        <f t="shared" si="17"/>
      </c>
      <c r="I212" s="500">
        <f t="shared" si="80"/>
      </c>
      <c r="J212" s="500">
        <f t="shared" si="143"/>
      </c>
      <c r="K212" s="500">
        <f t="shared" si="206"/>
      </c>
      <c r="L212" s="500">
        <f t="shared" si="38"/>
      </c>
      <c r="M212" s="501">
        <f t="shared" si="101"/>
      </c>
      <c r="N212" s="501">
        <f t="shared" si="164"/>
      </c>
      <c r="O212" s="501">
        <f t="shared" si="227"/>
      </c>
      <c r="P212" s="501">
        <f t="shared" si="59"/>
      </c>
      <c r="Q212" s="502">
        <f t="shared" si="122"/>
      </c>
      <c r="R212" s="503">
        <v>0.0313</v>
      </c>
      <c r="S212" s="504">
        <v>35</v>
      </c>
      <c r="T212" s="500">
        <f t="shared" si="185"/>
      </c>
      <c r="U212" s="502">
        <v>6267</v>
      </c>
      <c r="V212" s="502">
        <v>469</v>
      </c>
      <c r="W212" s="502">
        <v>47</v>
      </c>
      <c r="X212" s="502">
        <v>584</v>
      </c>
      <c r="Y212" s="502">
        <v>37</v>
      </c>
      <c r="Z212" s="502">
        <v>2</v>
      </c>
      <c r="AA212" s="502">
        <v>1</v>
      </c>
      <c r="AB212" s="502">
        <v>2</v>
      </c>
      <c r="AC212" s="500">
        <f t="shared" si="248"/>
      </c>
      <c r="AD212" s="522" t="s">
        <v>307</v>
      </c>
      <c r="AE212" s="522" t="s">
        <v>324</v>
      </c>
      <c r="AF212" s="504">
        <v>19</v>
      </c>
    </row>
    <row r="213">
      <c r="A213" s="494"/>
      <c r="B213" s="507" t="s">
        <v>312</v>
      </c>
      <c r="C213" s="507"/>
      <c r="D213" s="508">
        <f>SUM(D208:D212)</f>
      </c>
      <c r="E213" s="508">
        <f>SUM(E208:E212)</f>
      </c>
      <c r="F213" s="508">
        <f>SUM(F208:F212)</f>
      </c>
      <c r="G213" s="508">
        <f>SUM(G208:G212)</f>
      </c>
      <c r="H213" s="510">
        <f t="shared" si="17"/>
      </c>
      <c r="I213" s="510">
        <f t="shared" si="80"/>
      </c>
      <c r="J213" s="510">
        <f t="shared" si="143"/>
      </c>
      <c r="K213" s="510">
        <f t="shared" si="206"/>
      </c>
      <c r="L213" s="510">
        <f t="shared" si="38"/>
      </c>
      <c r="M213" s="511">
        <f t="shared" si="101"/>
      </c>
      <c r="N213" s="511">
        <f t="shared" si="164"/>
      </c>
      <c r="O213" s="511">
        <f t="shared" si="227"/>
      </c>
      <c r="P213" s="511">
        <f t="shared" si="59"/>
      </c>
      <c r="Q213" s="512">
        <f t="shared" si="122"/>
      </c>
      <c r="R213" s="511">
        <f>AVERAGE(R208:R212)</f>
      </c>
      <c r="S213" s="508">
        <f>AVERAGE(S208:S212)</f>
      </c>
      <c r="T213" s="510">
        <f t="shared" si="185"/>
      </c>
      <c r="U213" s="512">
        <f>SUM(U208:U212)</f>
      </c>
      <c r="V213" s="512">
        <f>SUM(V208:V212)</f>
      </c>
      <c r="W213" s="512">
        <f>SUM(W208:W212)</f>
      </c>
      <c r="X213" s="512">
        <f>SUM(X208:X212)</f>
      </c>
      <c r="Y213" s="512">
        <f>SUM(Y208:Y212)</f>
      </c>
      <c r="Z213" s="512">
        <f>SUM(Z208:Z212)</f>
      </c>
      <c r="AA213" s="512">
        <f>SUM(AA208:AA212)</f>
      </c>
      <c r="AB213" s="512">
        <f>SUM(AB208:AB212)</f>
      </c>
      <c r="AC213" s="513">
        <f t="shared" si="248"/>
      </c>
      <c r="AD213" s="523"/>
      <c r="AE213" s="523"/>
      <c r="AF213" s="512">
        <f>SUM(AF208:AF212)</f>
      </c>
    </row>
    <row r="214">
      <c r="A214" s="494"/>
      <c r="B214" s="516" t="s">
        <v>318</v>
      </c>
      <c r="C214" s="516"/>
      <c r="D214" s="517">
        <f>D213</f>
      </c>
      <c r="E214" s="517">
        <f>E213</f>
      </c>
      <c r="F214" s="517">
        <f>F213</f>
      </c>
      <c r="G214" s="517">
        <f>G213</f>
      </c>
      <c r="H214" s="519">
        <f t="shared" si="17"/>
      </c>
      <c r="I214" s="519">
        <f t="shared" si="80"/>
      </c>
      <c r="J214" s="519">
        <f t="shared" si="143"/>
      </c>
      <c r="K214" s="519">
        <f t="shared" si="206"/>
      </c>
      <c r="L214" s="519">
        <f t="shared" si="38"/>
      </c>
      <c r="M214" s="520">
        <f t="shared" si="101"/>
      </c>
      <c r="N214" s="520">
        <f t="shared" si="164"/>
      </c>
      <c r="O214" s="520">
        <f t="shared" si="227"/>
      </c>
      <c r="P214" s="520">
        <f t="shared" si="59"/>
      </c>
      <c r="Q214" s="521">
        <f t="shared" si="122"/>
      </c>
      <c r="R214" s="520">
        <f>R213</f>
      </c>
      <c r="S214" s="517">
        <f>S213</f>
      </c>
      <c r="T214" s="517">
        <f t="shared" si="185"/>
      </c>
      <c r="U214" s="521">
        <f>U213</f>
      </c>
      <c r="V214" s="521">
        <f>V213</f>
      </c>
      <c r="W214" s="521">
        <f>W213</f>
      </c>
      <c r="X214" s="521">
        <f>X213</f>
      </c>
      <c r="Y214" s="521">
        <f>Y213</f>
      </c>
      <c r="Z214" s="521">
        <f>Z213</f>
      </c>
      <c r="AA214" s="521">
        <f>AA213</f>
      </c>
      <c r="AB214" s="521">
        <f>AB213</f>
      </c>
      <c r="AC214" s="521">
        <f>AC213</f>
      </c>
      <c r="AD214" s="521"/>
      <c r="AE214" s="521"/>
      <c r="AF214" s="521">
        <f>AF213</f>
      </c>
    </row>
    <row r="215">
      <c r="A215" s="484" t="s">
        <v>319</v>
      </c>
      <c r="B215" s="484" t="s">
        <v>270</v>
      </c>
      <c r="C215" s="484"/>
      <c r="D215" s="485" t="s">
        <v>271</v>
      </c>
      <c r="E215" s="485"/>
      <c r="F215" s="485"/>
      <c r="G215" s="485"/>
      <c r="H215" s="485"/>
      <c r="I215" s="485"/>
      <c r="J215" s="485"/>
      <c r="K215" s="485"/>
      <c r="L215" s="486" t="s">
        <v>272</v>
      </c>
      <c r="M215" s="486"/>
      <c r="N215" s="486"/>
      <c r="O215" s="486"/>
      <c r="P215" s="486"/>
      <c r="Q215" s="486"/>
      <c r="R215" s="486"/>
      <c r="S215" s="486"/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7"/>
    </row>
    <row r="216">
      <c r="A216" s="484"/>
      <c r="B216" s="484" t="s">
        <v>273</v>
      </c>
      <c r="C216" s="484" t="s">
        <v>274</v>
      </c>
      <c r="D216" s="485" t="s">
        <v>275</v>
      </c>
      <c r="E216" s="524" t="s">
        <v>276</v>
      </c>
      <c r="F216" s="524" t="s">
        <v>277</v>
      </c>
      <c r="G216" s="485" t="s">
        <v>278</v>
      </c>
      <c r="H216" s="489" t="s">
        <v>279</v>
      </c>
      <c r="I216" s="489" t="s">
        <v>280</v>
      </c>
      <c r="J216" s="489" t="s">
        <v>281</v>
      </c>
      <c r="K216" s="489" t="s">
        <v>282</v>
      </c>
      <c r="L216" s="490" t="s">
        <v>283</v>
      </c>
      <c r="M216" s="491" t="s">
        <v>284</v>
      </c>
      <c r="N216" s="491" t="s">
        <v>285</v>
      </c>
      <c r="O216" s="491" t="s">
        <v>286</v>
      </c>
      <c r="P216" s="491" t="s">
        <v>287</v>
      </c>
      <c r="Q216" s="492" t="s">
        <v>288</v>
      </c>
      <c r="R216" s="491" t="s">
        <v>289</v>
      </c>
      <c r="S216" s="492" t="s">
        <v>290</v>
      </c>
      <c r="T216" s="486" t="s">
        <v>291</v>
      </c>
      <c r="U216" s="487" t="s">
        <v>292</v>
      </c>
      <c r="V216" s="487" t="s">
        <v>293</v>
      </c>
      <c r="W216" s="487" t="s">
        <v>294</v>
      </c>
      <c r="X216" s="487" t="s">
        <v>295</v>
      </c>
      <c r="Y216" s="487" t="s">
        <v>296</v>
      </c>
      <c r="Z216" s="487" t="s">
        <v>297</v>
      </c>
      <c r="AA216" s="487" t="s">
        <v>298</v>
      </c>
      <c r="AB216" s="487" t="s">
        <v>299</v>
      </c>
      <c r="AC216" s="486" t="s">
        <v>300</v>
      </c>
      <c r="AD216" s="493" t="s">
        <v>301</v>
      </c>
      <c r="AE216" s="493" t="s">
        <v>302</v>
      </c>
      <c r="AF216" s="487" t="s">
        <v>303</v>
      </c>
    </row>
    <row r="217">
      <c r="A217" s="494" t="s">
        <v>343</v>
      </c>
      <c r="B217" s="495" t="s">
        <v>331</v>
      </c>
      <c r="C217" s="495" t="s">
        <v>323</v>
      </c>
      <c r="D217" s="525">
        <v>4036.31</v>
      </c>
      <c r="E217" s="498">
        <v>6</v>
      </c>
      <c r="F217" s="498">
        <v>5</v>
      </c>
      <c r="G217" s="526">
        <v>4693.7</v>
      </c>
      <c r="H217" s="500">
        <f t="shared" ref="H217:H223" si="18">G217/D217</f>
      </c>
      <c r="I217" s="500">
        <f t="shared" ref="I217:I223" si="81">D217/E217</f>
      </c>
      <c r="J217" s="500">
        <f t="shared" ref="J217:J223" si="144">D217/F217</f>
      </c>
      <c r="K217" s="500">
        <f t="shared" ref="K217:K223" si="207">G217/E217</f>
      </c>
      <c r="L217" s="500">
        <f t="shared" ref="L217:L223" si="39">D217/V217</f>
      </c>
      <c r="M217" s="501">
        <f t="shared" ref="M217:M223" si="102">Q217/U217*1</f>
      </c>
      <c r="N217" s="501">
        <f t="shared" ref="N217:N223" si="165">V217/U217</f>
      </c>
      <c r="O217" s="501">
        <f t="shared" ref="O217:O223" si="228">X217/U217</f>
      </c>
      <c r="P217" s="501">
        <f t="shared" ref="P217:P223" si="60">Y217/X217</f>
      </c>
      <c r="Q217" s="502">
        <f t="shared" ref="Q217:Q223" si="123">W217/R217</f>
      </c>
      <c r="R217" s="503">
        <v>0.0196</v>
      </c>
      <c r="S217" s="504">
        <v>38</v>
      </c>
      <c r="T217" s="500">
        <f t="shared" ref="T217:T223" si="186">(D217/U217)*1000</f>
      </c>
      <c r="U217" s="502">
        <v>22962</v>
      </c>
      <c r="V217" s="502">
        <v>1205</v>
      </c>
      <c r="W217" s="502">
        <v>117</v>
      </c>
      <c r="X217" s="502">
        <v>1480</v>
      </c>
      <c r="Y217" s="502">
        <v>128</v>
      </c>
      <c r="Z217" s="502">
        <v>11</v>
      </c>
      <c r="AA217" s="502">
        <v>4</v>
      </c>
      <c r="AB217" s="504">
        <v>16</v>
      </c>
      <c r="AC217" s="500">
        <f t="shared" ref="AC217:AC222" si="249">AF217*1000/D217</f>
      </c>
      <c r="AD217" s="522" t="s">
        <v>307</v>
      </c>
      <c r="AE217" s="522" t="s">
        <v>328</v>
      </c>
      <c r="AF217" s="504">
        <v>55</v>
      </c>
    </row>
    <row r="218">
      <c r="A218" s="494"/>
      <c r="B218" s="495" t="s">
        <v>331</v>
      </c>
      <c r="C218" s="496" t="s">
        <v>309</v>
      </c>
      <c r="D218" s="499">
        <v>3935.16</v>
      </c>
      <c r="E218" s="527">
        <v>9</v>
      </c>
      <c r="F218" s="527">
        <v>9</v>
      </c>
      <c r="G218" s="499">
        <v>4442.349999999999</v>
      </c>
      <c r="H218" s="500">
        <f t="shared" si="18"/>
      </c>
      <c r="I218" s="500">
        <f t="shared" si="81"/>
      </c>
      <c r="J218" s="500">
        <f t="shared" si="144"/>
      </c>
      <c r="K218" s="500">
        <f t="shared" si="207"/>
      </c>
      <c r="L218" s="500">
        <f t="shared" si="39"/>
      </c>
      <c r="M218" s="501">
        <f t="shared" si="102"/>
      </c>
      <c r="N218" s="501">
        <f t="shared" si="165"/>
      </c>
      <c r="O218" s="501">
        <f t="shared" si="228"/>
      </c>
      <c r="P218" s="501">
        <f t="shared" si="60"/>
      </c>
      <c r="Q218" s="502">
        <f t="shared" si="123"/>
      </c>
      <c r="R218" s="503">
        <v>0.0214</v>
      </c>
      <c r="S218" s="504">
        <v>38</v>
      </c>
      <c r="T218" s="500">
        <f t="shared" si="186"/>
      </c>
      <c r="U218" s="502">
        <v>20732</v>
      </c>
      <c r="V218" s="502">
        <v>1522</v>
      </c>
      <c r="W218" s="502">
        <v>128</v>
      </c>
      <c r="X218" s="502">
        <v>1771</v>
      </c>
      <c r="Y218" s="502">
        <v>118</v>
      </c>
      <c r="Z218" s="502">
        <v>13</v>
      </c>
      <c r="AA218" s="502">
        <v>1</v>
      </c>
      <c r="AB218" s="502">
        <v>17</v>
      </c>
      <c r="AC218" s="500">
        <f t="shared" si="249"/>
      </c>
      <c r="AD218" s="522" t="s">
        <v>307</v>
      </c>
      <c r="AE218" s="522" t="s">
        <v>328</v>
      </c>
      <c r="AF218" s="504">
        <v>46</v>
      </c>
    </row>
    <row r="219">
      <c r="A219" s="494"/>
      <c r="B219" s="495" t="s">
        <v>331</v>
      </c>
      <c r="C219" s="496" t="s">
        <v>310</v>
      </c>
      <c r="D219" s="499">
        <v>2174.04</v>
      </c>
      <c r="E219" s="498">
        <v>5</v>
      </c>
      <c r="F219" s="498">
        <v>2</v>
      </c>
      <c r="G219" s="499">
        <v>2892.4500000000007</v>
      </c>
      <c r="H219" s="500">
        <f t="shared" si="18"/>
      </c>
      <c r="I219" s="500">
        <f t="shared" si="81"/>
      </c>
      <c r="J219" s="500">
        <f t="shared" si="144"/>
      </c>
      <c r="K219" s="500">
        <f t="shared" si="207"/>
      </c>
      <c r="L219" s="500">
        <f t="shared" si="39"/>
      </c>
      <c r="M219" s="501">
        <f t="shared" si="102"/>
      </c>
      <c r="N219" s="501">
        <f t="shared" si="165"/>
      </c>
      <c r="O219" s="501">
        <f t="shared" si="228"/>
      </c>
      <c r="P219" s="501">
        <f t="shared" si="60"/>
      </c>
      <c r="Q219" s="502">
        <f t="shared" si="123"/>
      </c>
      <c r="R219" s="503">
        <v>0.0155</v>
      </c>
      <c r="S219" s="504">
        <v>40</v>
      </c>
      <c r="T219" s="500">
        <f t="shared" si="186"/>
      </c>
      <c r="U219" s="502">
        <v>15727</v>
      </c>
      <c r="V219" s="502">
        <v>1172</v>
      </c>
      <c r="W219" s="502">
        <v>87</v>
      </c>
      <c r="X219" s="502">
        <v>1372</v>
      </c>
      <c r="Y219" s="502">
        <v>84</v>
      </c>
      <c r="Z219" s="502">
        <v>7</v>
      </c>
      <c r="AA219" s="502">
        <v>2</v>
      </c>
      <c r="AB219" s="502">
        <v>13</v>
      </c>
      <c r="AC219" s="500">
        <f t="shared" si="249"/>
      </c>
      <c r="AD219" s="522" t="s">
        <v>307</v>
      </c>
      <c r="AE219" s="522" t="s">
        <v>328</v>
      </c>
      <c r="AF219" s="504">
        <v>35</v>
      </c>
    </row>
    <row r="220">
      <c r="A220" s="494"/>
      <c r="B220" s="495" t="s">
        <v>331</v>
      </c>
      <c r="C220" s="496" t="s">
        <v>311</v>
      </c>
      <c r="D220" s="499">
        <v>1706.87</v>
      </c>
      <c r="E220" s="498">
        <v>7</v>
      </c>
      <c r="F220" s="498">
        <v>6</v>
      </c>
      <c r="G220" s="499">
        <v>6421.799999999999</v>
      </c>
      <c r="H220" s="500">
        <f t="shared" si="18"/>
      </c>
      <c r="I220" s="500">
        <f t="shared" si="81"/>
      </c>
      <c r="J220" s="500">
        <f t="shared" si="144"/>
      </c>
      <c r="K220" s="500">
        <f t="shared" si="207"/>
      </c>
      <c r="L220" s="500">
        <f t="shared" si="39"/>
      </c>
      <c r="M220" s="501">
        <f t="shared" si="102"/>
      </c>
      <c r="N220" s="501">
        <f t="shared" si="165"/>
      </c>
      <c r="O220" s="501">
        <f t="shared" si="228"/>
      </c>
      <c r="P220" s="501">
        <f t="shared" si="60"/>
      </c>
      <c r="Q220" s="502">
        <f t="shared" si="123"/>
      </c>
      <c r="R220" s="503">
        <v>0.0137</v>
      </c>
      <c r="S220" s="504">
        <v>41</v>
      </c>
      <c r="T220" s="500">
        <f t="shared" si="186"/>
      </c>
      <c r="U220" s="502">
        <v>10795</v>
      </c>
      <c r="V220" s="502">
        <v>961</v>
      </c>
      <c r="W220" s="502">
        <v>66</v>
      </c>
      <c r="X220" s="502">
        <v>1141</v>
      </c>
      <c r="Y220" s="502">
        <v>100</v>
      </c>
      <c r="Z220" s="502">
        <v>4</v>
      </c>
      <c r="AA220" s="502">
        <v>0</v>
      </c>
      <c r="AB220" s="502">
        <v>3</v>
      </c>
      <c r="AC220" s="500">
        <f t="shared" si="249"/>
      </c>
      <c r="AD220" s="522" t="s">
        <v>307</v>
      </c>
      <c r="AE220" s="522" t="s">
        <v>328</v>
      </c>
      <c r="AF220" s="504">
        <v>33</v>
      </c>
    </row>
    <row r="221">
      <c r="A221" s="494"/>
      <c r="B221" s="495" t="s">
        <v>331</v>
      </c>
      <c r="C221" s="496" t="s">
        <v>314</v>
      </c>
      <c r="D221" s="499">
        <v>1155.17</v>
      </c>
      <c r="E221" s="498">
        <v>6</v>
      </c>
      <c r="F221" s="498">
        <v>5</v>
      </c>
      <c r="G221" s="499">
        <v>5321.250000000004</v>
      </c>
      <c r="H221" s="500">
        <f t="shared" si="18"/>
      </c>
      <c r="I221" s="500">
        <f t="shared" si="81"/>
      </c>
      <c r="J221" s="500">
        <f t="shared" si="144"/>
      </c>
      <c r="K221" s="500">
        <f t="shared" si="207"/>
      </c>
      <c r="L221" s="500">
        <f t="shared" si="39"/>
      </c>
      <c r="M221" s="501">
        <f t="shared" si="102"/>
      </c>
      <c r="N221" s="501">
        <f t="shared" si="165"/>
      </c>
      <c r="O221" s="501">
        <f t="shared" si="228"/>
      </c>
      <c r="P221" s="501">
        <f t="shared" si="60"/>
      </c>
      <c r="Q221" s="502">
        <f t="shared" si="123"/>
      </c>
      <c r="R221" s="503">
        <v>0.0149</v>
      </c>
      <c r="S221" s="504">
        <v>43</v>
      </c>
      <c r="T221" s="500">
        <f t="shared" si="186"/>
      </c>
      <c r="U221" s="502">
        <v>7589</v>
      </c>
      <c r="V221" s="502">
        <v>612</v>
      </c>
      <c r="W221" s="502">
        <v>51</v>
      </c>
      <c r="X221" s="502">
        <v>713</v>
      </c>
      <c r="Y221" s="502">
        <v>49</v>
      </c>
      <c r="Z221" s="502">
        <v>1</v>
      </c>
      <c r="AA221" s="502">
        <v>0</v>
      </c>
      <c r="AB221" s="502">
        <v>2</v>
      </c>
      <c r="AC221" s="500">
        <f t="shared" si="249"/>
      </c>
      <c r="AD221" s="522" t="s">
        <v>307</v>
      </c>
      <c r="AE221" s="522" t="s">
        <v>328</v>
      </c>
      <c r="AF221" s="504">
        <v>10</v>
      </c>
    </row>
    <row r="222">
      <c r="A222" s="494"/>
      <c r="B222" s="507" t="s">
        <v>312</v>
      </c>
      <c r="C222" s="507"/>
      <c r="D222" s="508">
        <f>SUM(D217:D221)</f>
      </c>
      <c r="E222" s="508">
        <f>SUM(E217:E221)</f>
      </c>
      <c r="F222" s="508">
        <f>SUM(F217:F221)</f>
      </c>
      <c r="G222" s="508">
        <f>SUM(G217:G221)</f>
      </c>
      <c r="H222" s="510">
        <f t="shared" si="18"/>
      </c>
      <c r="I222" s="510">
        <f t="shared" si="81"/>
      </c>
      <c r="J222" s="510">
        <f t="shared" si="144"/>
      </c>
      <c r="K222" s="510">
        <f t="shared" si="207"/>
      </c>
      <c r="L222" s="510">
        <f t="shared" si="39"/>
      </c>
      <c r="M222" s="511">
        <f t="shared" si="102"/>
      </c>
      <c r="N222" s="511">
        <f t="shared" si="165"/>
      </c>
      <c r="O222" s="511">
        <f t="shared" si="228"/>
      </c>
      <c r="P222" s="511">
        <f t="shared" si="60"/>
      </c>
      <c r="Q222" s="512">
        <f t="shared" si="123"/>
      </c>
      <c r="R222" s="511">
        <f>AVERAGE(R217:R221)</f>
      </c>
      <c r="S222" s="508">
        <f>AVERAGE(S217:S221)</f>
      </c>
      <c r="T222" s="510">
        <f t="shared" si="186"/>
      </c>
      <c r="U222" s="512">
        <f>SUM(U217:U221)</f>
      </c>
      <c r="V222" s="512">
        <f>SUM(V217:V221)</f>
      </c>
      <c r="W222" s="512">
        <f>SUM(W217:W221)</f>
      </c>
      <c r="X222" s="512">
        <f>SUM(X217:X221)</f>
      </c>
      <c r="Y222" s="512">
        <f>SUM(Y217:Y221)</f>
      </c>
      <c r="Z222" s="512">
        <f>SUM(Z217:Z221)</f>
      </c>
      <c r="AA222" s="512">
        <f>SUM(AA217:AA221)</f>
      </c>
      <c r="AB222" s="512">
        <f>SUM(AB217:AB221)</f>
      </c>
      <c r="AC222" s="513">
        <f t="shared" si="249"/>
      </c>
      <c r="AD222" s="523"/>
      <c r="AE222" s="523"/>
      <c r="AF222" s="512">
        <f>SUM(AF217:AF221)</f>
      </c>
    </row>
    <row r="223">
      <c r="A223" s="494"/>
      <c r="B223" s="516" t="s">
        <v>318</v>
      </c>
      <c r="C223" s="516"/>
      <c r="D223" s="517">
        <f>D222</f>
      </c>
      <c r="E223" s="517">
        <f>E222</f>
      </c>
      <c r="F223" s="517">
        <f>F222</f>
      </c>
      <c r="G223" s="517">
        <f>G222</f>
      </c>
      <c r="H223" s="519">
        <f t="shared" si="18"/>
      </c>
      <c r="I223" s="519">
        <f t="shared" si="81"/>
      </c>
      <c r="J223" s="519">
        <f t="shared" si="144"/>
      </c>
      <c r="K223" s="519">
        <f t="shared" si="207"/>
      </c>
      <c r="L223" s="519">
        <f t="shared" si="39"/>
      </c>
      <c r="M223" s="520">
        <f t="shared" si="102"/>
      </c>
      <c r="N223" s="520">
        <f t="shared" si="165"/>
      </c>
      <c r="O223" s="520">
        <f t="shared" si="228"/>
      </c>
      <c r="P223" s="520">
        <f t="shared" si="60"/>
      </c>
      <c r="Q223" s="521">
        <f t="shared" si="123"/>
      </c>
      <c r="R223" s="520">
        <f>R222</f>
      </c>
      <c r="S223" s="517">
        <f>S222</f>
      </c>
      <c r="T223" s="517">
        <f t="shared" si="186"/>
      </c>
      <c r="U223" s="521">
        <f>U222</f>
      </c>
      <c r="V223" s="521">
        <f>V222</f>
      </c>
      <c r="W223" s="521">
        <f>W222</f>
      </c>
      <c r="X223" s="521">
        <f>X222</f>
      </c>
      <c r="Y223" s="521">
        <f>Y222</f>
      </c>
      <c r="Z223" s="521">
        <f>Z222</f>
      </c>
      <c r="AA223" s="521">
        <f>AA222</f>
      </c>
      <c r="AB223" s="521">
        <f>AB222</f>
      </c>
      <c r="AC223" s="521">
        <f>AC222</f>
      </c>
      <c r="AD223" s="521"/>
      <c r="AE223" s="521"/>
      <c r="AF223" s="521">
        <f>AF222</f>
      </c>
    </row>
    <row r="224">
      <c r="A224" s="484" t="s">
        <v>319</v>
      </c>
      <c r="B224" s="484" t="s">
        <v>270</v>
      </c>
      <c r="C224" s="484"/>
      <c r="D224" s="485" t="s">
        <v>271</v>
      </c>
      <c r="E224" s="485"/>
      <c r="F224" s="485"/>
      <c r="G224" s="485"/>
      <c r="H224" s="485"/>
      <c r="I224" s="485"/>
      <c r="J224" s="485"/>
      <c r="K224" s="485"/>
      <c r="L224" s="486" t="s">
        <v>272</v>
      </c>
      <c r="M224" s="486"/>
      <c r="N224" s="486"/>
      <c r="O224" s="486"/>
      <c r="P224" s="486"/>
      <c r="Q224" s="486"/>
      <c r="R224" s="486"/>
      <c r="S224" s="486"/>
      <c r="T224" s="486"/>
      <c r="U224" s="486"/>
      <c r="V224" s="486"/>
      <c r="W224" s="486"/>
      <c r="X224" s="486"/>
      <c r="Y224" s="486"/>
      <c r="Z224" s="486"/>
      <c r="AA224" s="486"/>
      <c r="AB224" s="486"/>
      <c r="AC224" s="486"/>
      <c r="AD224" s="486"/>
      <c r="AE224" s="486"/>
      <c r="AF224" s="487"/>
    </row>
    <row r="225">
      <c r="A225" s="484"/>
      <c r="B225" s="484" t="s">
        <v>273</v>
      </c>
      <c r="C225" s="484" t="s">
        <v>274</v>
      </c>
      <c r="D225" s="485" t="s">
        <v>275</v>
      </c>
      <c r="E225" s="524" t="s">
        <v>276</v>
      </c>
      <c r="F225" s="524" t="s">
        <v>277</v>
      </c>
      <c r="G225" s="485" t="s">
        <v>278</v>
      </c>
      <c r="H225" s="489" t="s">
        <v>279</v>
      </c>
      <c r="I225" s="489" t="s">
        <v>280</v>
      </c>
      <c r="J225" s="489" t="s">
        <v>281</v>
      </c>
      <c r="K225" s="489" t="s">
        <v>282</v>
      </c>
      <c r="L225" s="490" t="s">
        <v>283</v>
      </c>
      <c r="M225" s="491" t="s">
        <v>284</v>
      </c>
      <c r="N225" s="491" t="s">
        <v>285</v>
      </c>
      <c r="O225" s="491" t="s">
        <v>286</v>
      </c>
      <c r="P225" s="491" t="s">
        <v>287</v>
      </c>
      <c r="Q225" s="492" t="s">
        <v>288</v>
      </c>
      <c r="R225" s="491" t="s">
        <v>289</v>
      </c>
      <c r="S225" s="492" t="s">
        <v>290</v>
      </c>
      <c r="T225" s="486" t="s">
        <v>291</v>
      </c>
      <c r="U225" s="487" t="s">
        <v>292</v>
      </c>
      <c r="V225" s="487" t="s">
        <v>293</v>
      </c>
      <c r="W225" s="487" t="s">
        <v>294</v>
      </c>
      <c r="X225" s="487" t="s">
        <v>295</v>
      </c>
      <c r="Y225" s="487" t="s">
        <v>296</v>
      </c>
      <c r="Z225" s="487" t="s">
        <v>297</v>
      </c>
      <c r="AA225" s="487" t="s">
        <v>298</v>
      </c>
      <c r="AB225" s="487" t="s">
        <v>299</v>
      </c>
      <c r="AC225" s="486" t="s">
        <v>300</v>
      </c>
      <c r="AD225" s="493" t="s">
        <v>301</v>
      </c>
      <c r="AE225" s="493" t="s">
        <v>302</v>
      </c>
      <c r="AF225" s="487" t="s">
        <v>303</v>
      </c>
    </row>
    <row r="226">
      <c r="A226" s="494" t="s">
        <v>344</v>
      </c>
      <c r="B226" s="495" t="s">
        <v>331</v>
      </c>
      <c r="C226" s="495" t="s">
        <v>323</v>
      </c>
      <c r="D226" s="525">
        <v>2613.35</v>
      </c>
      <c r="E226" s="498">
        <v>5</v>
      </c>
      <c r="F226" s="498">
        <v>5</v>
      </c>
      <c r="G226" s="526">
        <v>2914</v>
      </c>
      <c r="H226" s="500">
        <f t="shared" ref="H226:H232" si="19">G226/D226</f>
      </c>
      <c r="I226" s="500">
        <f t="shared" ref="I226:I232" si="82">D226/E226</f>
      </c>
      <c r="J226" s="500">
        <f t="shared" ref="J226:J232" si="145">D226/F226</f>
      </c>
      <c r="K226" s="500">
        <f t="shared" ref="K226:K232" si="208">G226/E226</f>
      </c>
      <c r="L226" s="500">
        <f t="shared" ref="L226:L232" si="40">D226/V226</f>
      </c>
      <c r="M226" s="501">
        <f t="shared" ref="M226:M232" si="103">Q226/U226*1</f>
      </c>
      <c r="N226" s="501">
        <f t="shared" ref="N226:N232" si="166">V226/U226</f>
      </c>
      <c r="O226" s="501">
        <f t="shared" ref="O226:O232" si="229">X226/U226</f>
      </c>
      <c r="P226" s="501">
        <f t="shared" ref="P226:P232" si="61">Y226/X226</f>
      </c>
      <c r="Q226" s="502">
        <f t="shared" ref="Q226:Q232" si="124">W226/R226</f>
      </c>
      <c r="R226" s="503">
        <v>0.0192</v>
      </c>
      <c r="S226" s="504">
        <v>46</v>
      </c>
      <c r="T226" s="500">
        <f t="shared" ref="T226:T232" si="187">(D226/U226)*1000</f>
      </c>
      <c r="U226" s="502">
        <v>16236</v>
      </c>
      <c r="V226" s="502">
        <v>858</v>
      </c>
      <c r="W226" s="502">
        <v>104</v>
      </c>
      <c r="X226" s="502">
        <v>1083</v>
      </c>
      <c r="Y226" s="502">
        <v>49</v>
      </c>
      <c r="Z226" s="502">
        <v>11</v>
      </c>
      <c r="AA226" s="502">
        <v>1</v>
      </c>
      <c r="AB226" s="504">
        <v>9</v>
      </c>
      <c r="AC226" s="500">
        <f t="shared" ref="AC226:AC231" si="250">AF226*1000/D226</f>
      </c>
      <c r="AD226" s="522" t="s">
        <v>307</v>
      </c>
      <c r="AE226" s="522" t="s">
        <v>328</v>
      </c>
      <c r="AF226" s="504">
        <v>26</v>
      </c>
    </row>
    <row r="227">
      <c r="A227" s="494"/>
      <c r="B227" s="495" t="s">
        <v>331</v>
      </c>
      <c r="C227" s="496" t="s">
        <v>309</v>
      </c>
      <c r="D227" s="499">
        <v>1805.73</v>
      </c>
      <c r="E227" s="527">
        <v>4</v>
      </c>
      <c r="F227" s="527">
        <v>1</v>
      </c>
      <c r="G227" s="499">
        <v>2540.8999999999996</v>
      </c>
      <c r="H227" s="500">
        <f t="shared" si="19"/>
      </c>
      <c r="I227" s="500">
        <f t="shared" si="82"/>
      </c>
      <c r="J227" s="500">
        <f t="shared" si="145"/>
      </c>
      <c r="K227" s="500">
        <f t="shared" si="208"/>
      </c>
      <c r="L227" s="500">
        <f t="shared" si="40"/>
      </c>
      <c r="M227" s="501">
        <f t="shared" si="103"/>
      </c>
      <c r="N227" s="501">
        <f t="shared" si="166"/>
      </c>
      <c r="O227" s="501">
        <f t="shared" si="229"/>
      </c>
      <c r="P227" s="501">
        <f t="shared" si="61"/>
      </c>
      <c r="Q227" s="502">
        <f t="shared" si="124"/>
      </c>
      <c r="R227" s="503">
        <v>0.0132</v>
      </c>
      <c r="S227" s="504">
        <v>43</v>
      </c>
      <c r="T227" s="500">
        <f t="shared" si="187"/>
      </c>
      <c r="U227" s="502">
        <v>12029</v>
      </c>
      <c r="V227" s="502">
        <v>612</v>
      </c>
      <c r="W227" s="502">
        <v>50</v>
      </c>
      <c r="X227" s="502">
        <v>757</v>
      </c>
      <c r="Y227" s="502">
        <v>47</v>
      </c>
      <c r="Z227" s="502">
        <v>5</v>
      </c>
      <c r="AA227" s="502">
        <v>1</v>
      </c>
      <c r="AB227" s="502">
        <v>4</v>
      </c>
      <c r="AC227" s="500">
        <f t="shared" si="250"/>
      </c>
      <c r="AD227" s="522" t="s">
        <v>307</v>
      </c>
      <c r="AE227" s="522" t="s">
        <v>328</v>
      </c>
      <c r="AF227" s="504">
        <v>26</v>
      </c>
    </row>
    <row r="228">
      <c r="A228" s="494"/>
      <c r="B228" s="495" t="s">
        <v>331</v>
      </c>
      <c r="C228" s="496" t="s">
        <v>310</v>
      </c>
      <c r="D228" s="499">
        <v>1620.05</v>
      </c>
      <c r="E228" s="498">
        <v>3</v>
      </c>
      <c r="F228" s="498">
        <v>2</v>
      </c>
      <c r="G228" s="499">
        <v>1660.4499999999998</v>
      </c>
      <c r="H228" s="500">
        <f t="shared" si="19"/>
      </c>
      <c r="I228" s="500">
        <f t="shared" si="82"/>
      </c>
      <c r="J228" s="500">
        <f t="shared" si="145"/>
      </c>
      <c r="K228" s="500">
        <f t="shared" si="208"/>
      </c>
      <c r="L228" s="500">
        <f t="shared" si="40"/>
      </c>
      <c r="M228" s="501">
        <f t="shared" si="103"/>
      </c>
      <c r="N228" s="501">
        <f t="shared" si="166"/>
      </c>
      <c r="O228" s="501">
        <f t="shared" si="229"/>
      </c>
      <c r="P228" s="501">
        <f t="shared" si="61"/>
      </c>
      <c r="Q228" s="502">
        <f t="shared" si="124"/>
      </c>
      <c r="R228" s="503">
        <v>0.0125</v>
      </c>
      <c r="S228" s="504">
        <v>42</v>
      </c>
      <c r="T228" s="500">
        <f t="shared" si="187"/>
      </c>
      <c r="U228" s="502">
        <v>10759</v>
      </c>
      <c r="V228" s="502">
        <v>1012</v>
      </c>
      <c r="W228" s="502">
        <v>69</v>
      </c>
      <c r="X228" s="502">
        <v>1221</v>
      </c>
      <c r="Y228" s="502">
        <v>64</v>
      </c>
      <c r="Z228" s="502">
        <v>3</v>
      </c>
      <c r="AA228" s="502">
        <v>1</v>
      </c>
      <c r="AB228" s="502">
        <v>2</v>
      </c>
      <c r="AC228" s="500">
        <f t="shared" si="250"/>
      </c>
      <c r="AD228" s="522" t="s">
        <v>307</v>
      </c>
      <c r="AE228" s="522" t="s">
        <v>328</v>
      </c>
      <c r="AF228" s="504">
        <v>23</v>
      </c>
    </row>
    <row r="229">
      <c r="A229" s="494"/>
      <c r="B229" s="495" t="s">
        <v>331</v>
      </c>
      <c r="C229" s="496" t="s">
        <v>311</v>
      </c>
      <c r="D229" s="499">
        <v>1506.84</v>
      </c>
      <c r="E229" s="498">
        <v>7</v>
      </c>
      <c r="F229" s="498">
        <v>6</v>
      </c>
      <c r="G229" s="499">
        <v>3792.250000000001</v>
      </c>
      <c r="H229" s="500">
        <f t="shared" si="19"/>
      </c>
      <c r="I229" s="500">
        <f t="shared" si="82"/>
      </c>
      <c r="J229" s="500">
        <f t="shared" si="145"/>
      </c>
      <c r="K229" s="500">
        <f t="shared" si="208"/>
      </c>
      <c r="L229" s="500">
        <f t="shared" si="40"/>
      </c>
      <c r="M229" s="501">
        <f t="shared" si="103"/>
      </c>
      <c r="N229" s="501">
        <f t="shared" si="166"/>
      </c>
      <c r="O229" s="501">
        <f t="shared" si="229"/>
      </c>
      <c r="P229" s="501">
        <f t="shared" si="61"/>
      </c>
      <c r="Q229" s="502">
        <f t="shared" si="124"/>
      </c>
      <c r="R229" s="503">
        <v>0.013</v>
      </c>
      <c r="S229" s="504">
        <v>45</v>
      </c>
      <c r="T229" s="500">
        <f t="shared" si="187"/>
      </c>
      <c r="U229" s="502">
        <v>8203</v>
      </c>
      <c r="V229" s="502">
        <v>662</v>
      </c>
      <c r="W229" s="502">
        <v>46</v>
      </c>
      <c r="X229" s="502">
        <v>903</v>
      </c>
      <c r="Y229" s="502">
        <v>47</v>
      </c>
      <c r="Z229" s="502">
        <v>4</v>
      </c>
      <c r="AA229" s="502">
        <v>0</v>
      </c>
      <c r="AB229" s="502">
        <v>3</v>
      </c>
      <c r="AC229" s="500">
        <f t="shared" si="250"/>
      </c>
      <c r="AD229" s="522" t="s">
        <v>307</v>
      </c>
      <c r="AE229" s="522" t="s">
        <v>328</v>
      </c>
      <c r="AF229" s="504">
        <v>23</v>
      </c>
    </row>
    <row r="230">
      <c r="A230" s="494"/>
      <c r="B230" s="495" t="s">
        <v>331</v>
      </c>
      <c r="C230" s="496" t="s">
        <v>314</v>
      </c>
      <c r="D230" s="499">
        <v>1336.37</v>
      </c>
      <c r="E230" s="498">
        <v>6</v>
      </c>
      <c r="F230" s="498">
        <v>3</v>
      </c>
      <c r="G230" s="499">
        <v>4964.85</v>
      </c>
      <c r="H230" s="500">
        <f t="shared" si="19"/>
      </c>
      <c r="I230" s="500">
        <f t="shared" si="82"/>
      </c>
      <c r="J230" s="500">
        <f t="shared" si="145"/>
      </c>
      <c r="K230" s="500">
        <f t="shared" si="208"/>
      </c>
      <c r="L230" s="500">
        <f t="shared" si="40"/>
      </c>
      <c r="M230" s="501">
        <f t="shared" si="103"/>
      </c>
      <c r="N230" s="501">
        <f t="shared" si="166"/>
      </c>
      <c r="O230" s="501">
        <f t="shared" si="229"/>
      </c>
      <c r="P230" s="501">
        <f t="shared" si="61"/>
      </c>
      <c r="Q230" s="502">
        <f t="shared" si="124"/>
      </c>
      <c r="R230" s="503">
        <v>0.0176</v>
      </c>
      <c r="S230" s="504">
        <v>47</v>
      </c>
      <c r="T230" s="500">
        <f t="shared" si="187"/>
      </c>
      <c r="U230" s="502">
        <v>6970</v>
      </c>
      <c r="V230" s="502">
        <v>402</v>
      </c>
      <c r="W230" s="502">
        <v>42</v>
      </c>
      <c r="X230" s="502">
        <v>501</v>
      </c>
      <c r="Y230" s="502">
        <v>31</v>
      </c>
      <c r="Z230" s="502">
        <v>1</v>
      </c>
      <c r="AA230" s="502">
        <v>1</v>
      </c>
      <c r="AB230" s="502">
        <v>4</v>
      </c>
      <c r="AC230" s="500">
        <f t="shared" si="250"/>
      </c>
      <c r="AD230" s="522" t="s">
        <v>307</v>
      </c>
      <c r="AE230" s="522" t="s">
        <v>328</v>
      </c>
      <c r="AF230" s="504">
        <v>8</v>
      </c>
    </row>
    <row r="231">
      <c r="A231" s="494"/>
      <c r="B231" s="507" t="s">
        <v>312</v>
      </c>
      <c r="C231" s="507"/>
      <c r="D231" s="508">
        <f>SUM(D226:D230)</f>
      </c>
      <c r="E231" s="508">
        <f>SUM(E226:E230)</f>
      </c>
      <c r="F231" s="508">
        <f>SUM(F226:F230)</f>
      </c>
      <c r="G231" s="508">
        <f>SUM(G226:G230)</f>
      </c>
      <c r="H231" s="510">
        <f t="shared" si="19"/>
      </c>
      <c r="I231" s="510">
        <f t="shared" si="82"/>
      </c>
      <c r="J231" s="510">
        <f t="shared" si="145"/>
      </c>
      <c r="K231" s="510">
        <f t="shared" si="208"/>
      </c>
      <c r="L231" s="510">
        <f t="shared" si="40"/>
      </c>
      <c r="M231" s="511">
        <f t="shared" si="103"/>
      </c>
      <c r="N231" s="511">
        <f t="shared" si="166"/>
      </c>
      <c r="O231" s="511">
        <f t="shared" si="229"/>
      </c>
      <c r="P231" s="511">
        <f t="shared" si="61"/>
      </c>
      <c r="Q231" s="512">
        <f t="shared" si="124"/>
      </c>
      <c r="R231" s="511">
        <f>AVERAGE(R226:R230)</f>
      </c>
      <c r="S231" s="508">
        <f>AVERAGE(S226:S230)</f>
      </c>
      <c r="T231" s="510">
        <f t="shared" si="187"/>
      </c>
      <c r="U231" s="512">
        <f>SUM(U226:U230)</f>
      </c>
      <c r="V231" s="512">
        <f>SUM(V226:V230)</f>
      </c>
      <c r="W231" s="512">
        <f>SUM(W226:W230)</f>
      </c>
      <c r="X231" s="512">
        <f>SUM(X226:X230)</f>
      </c>
      <c r="Y231" s="512">
        <f>SUM(Y226:Y230)</f>
      </c>
      <c r="Z231" s="512">
        <f>SUM(Z226:Z230)</f>
      </c>
      <c r="AA231" s="512">
        <f>SUM(AA226:AA230)</f>
      </c>
      <c r="AB231" s="512">
        <f>SUM(AB226:AB230)</f>
      </c>
      <c r="AC231" s="513">
        <f t="shared" si="250"/>
      </c>
      <c r="AD231" s="523"/>
      <c r="AE231" s="523"/>
      <c r="AF231" s="512">
        <f>SUM(AF226:AF230)</f>
      </c>
    </row>
    <row r="232">
      <c r="A232" s="494"/>
      <c r="B232" s="516" t="s">
        <v>318</v>
      </c>
      <c r="C232" s="516"/>
      <c r="D232" s="517">
        <f>D231</f>
      </c>
      <c r="E232" s="517">
        <f>E231</f>
      </c>
      <c r="F232" s="517">
        <f>F231</f>
      </c>
      <c r="G232" s="517">
        <f>G231</f>
      </c>
      <c r="H232" s="519">
        <f t="shared" si="19"/>
      </c>
      <c r="I232" s="519">
        <f t="shared" si="82"/>
      </c>
      <c r="J232" s="519">
        <f t="shared" si="145"/>
      </c>
      <c r="K232" s="519">
        <f t="shared" si="208"/>
      </c>
      <c r="L232" s="519">
        <f t="shared" si="40"/>
      </c>
      <c r="M232" s="520">
        <f t="shared" si="103"/>
      </c>
      <c r="N232" s="520">
        <f t="shared" si="166"/>
      </c>
      <c r="O232" s="520">
        <f t="shared" si="229"/>
      </c>
      <c r="P232" s="520">
        <f t="shared" si="61"/>
      </c>
      <c r="Q232" s="521">
        <f t="shared" si="124"/>
      </c>
      <c r="R232" s="520">
        <f>R231</f>
      </c>
      <c r="S232" s="517">
        <f>S231</f>
      </c>
      <c r="T232" s="517">
        <f t="shared" si="187"/>
      </c>
      <c r="U232" s="521">
        <f>U231</f>
      </c>
      <c r="V232" s="521">
        <f>V231</f>
      </c>
      <c r="W232" s="521">
        <f>W231</f>
      </c>
      <c r="X232" s="521">
        <f>X231</f>
      </c>
      <c r="Y232" s="521">
        <f>Y231</f>
      </c>
      <c r="Z232" s="521">
        <f>Z231</f>
      </c>
      <c r="AA232" s="521">
        <f>AA231</f>
      </c>
      <c r="AB232" s="521">
        <f>AB231</f>
      </c>
      <c r="AC232" s="521">
        <f>AC231</f>
      </c>
      <c r="AD232" s="521"/>
      <c r="AE232" s="521"/>
      <c r="AF232" s="521">
        <f>AF231</f>
      </c>
    </row>
    <row r="233">
      <c r="A233" s="484" t="s">
        <v>319</v>
      </c>
      <c r="B233" s="484" t="s">
        <v>270</v>
      </c>
      <c r="C233" s="484"/>
      <c r="D233" s="485" t="s">
        <v>271</v>
      </c>
      <c r="E233" s="485"/>
      <c r="F233" s="485"/>
      <c r="G233" s="485"/>
      <c r="H233" s="485"/>
      <c r="I233" s="485"/>
      <c r="J233" s="485"/>
      <c r="K233" s="485"/>
      <c r="L233" s="486" t="s">
        <v>272</v>
      </c>
      <c r="M233" s="486"/>
      <c r="N233" s="486"/>
      <c r="O233" s="486"/>
      <c r="P233" s="486"/>
      <c r="Q233" s="486"/>
      <c r="R233" s="486"/>
      <c r="S233" s="486"/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7"/>
    </row>
    <row r="234">
      <c r="A234" s="484"/>
      <c r="B234" s="484" t="s">
        <v>273</v>
      </c>
      <c r="C234" s="484" t="s">
        <v>274</v>
      </c>
      <c r="D234" s="485" t="s">
        <v>275</v>
      </c>
      <c r="E234" s="524" t="s">
        <v>276</v>
      </c>
      <c r="F234" s="524" t="s">
        <v>277</v>
      </c>
      <c r="G234" s="485" t="s">
        <v>278</v>
      </c>
      <c r="H234" s="489" t="s">
        <v>279</v>
      </c>
      <c r="I234" s="489" t="s">
        <v>280</v>
      </c>
      <c r="J234" s="489" t="s">
        <v>281</v>
      </c>
      <c r="K234" s="489" t="s">
        <v>282</v>
      </c>
      <c r="L234" s="490" t="s">
        <v>283</v>
      </c>
      <c r="M234" s="491" t="s">
        <v>284</v>
      </c>
      <c r="N234" s="491" t="s">
        <v>285</v>
      </c>
      <c r="O234" s="491" t="s">
        <v>286</v>
      </c>
      <c r="P234" s="491" t="s">
        <v>287</v>
      </c>
      <c r="Q234" s="492" t="s">
        <v>288</v>
      </c>
      <c r="R234" s="491" t="s">
        <v>289</v>
      </c>
      <c r="S234" s="492" t="s">
        <v>290</v>
      </c>
      <c r="T234" s="486" t="s">
        <v>291</v>
      </c>
      <c r="U234" s="487" t="s">
        <v>292</v>
      </c>
      <c r="V234" s="487" t="s">
        <v>293</v>
      </c>
      <c r="W234" s="487" t="s">
        <v>294</v>
      </c>
      <c r="X234" s="487" t="s">
        <v>295</v>
      </c>
      <c r="Y234" s="487" t="s">
        <v>296</v>
      </c>
      <c r="Z234" s="487" t="s">
        <v>297</v>
      </c>
      <c r="AA234" s="487" t="s">
        <v>298</v>
      </c>
      <c r="AB234" s="487" t="s">
        <v>299</v>
      </c>
      <c r="AC234" s="486" t="s">
        <v>300</v>
      </c>
      <c r="AD234" s="493" t="s">
        <v>301</v>
      </c>
      <c r="AE234" s="493" t="s">
        <v>302</v>
      </c>
      <c r="AF234" s="487" t="s">
        <v>303</v>
      </c>
    </row>
    <row r="235">
      <c r="A235" s="494" t="s">
        <v>345</v>
      </c>
      <c r="B235" s="495" t="s">
        <v>331</v>
      </c>
      <c r="C235" s="495" t="s">
        <v>323</v>
      </c>
      <c r="D235" s="525">
        <v>3000</v>
      </c>
      <c r="E235" s="498">
        <v>3</v>
      </c>
      <c r="F235" s="498">
        <v>3</v>
      </c>
      <c r="G235" s="526">
        <v>1683</v>
      </c>
      <c r="H235" s="500">
        <f t="shared" ref="H235:H241" si="20">G235/D235</f>
      </c>
      <c r="I235" s="500">
        <f t="shared" ref="I235:I241" si="83">D235/E235</f>
      </c>
      <c r="J235" s="500">
        <f t="shared" ref="J235:J241" si="146">D235/F235</f>
      </c>
      <c r="K235" s="500">
        <f t="shared" ref="K235:K241" si="209">G235/E235</f>
      </c>
      <c r="L235" s="500">
        <f t="shared" ref="L235:L241" si="41">D235/V235</f>
      </c>
      <c r="M235" s="501">
        <f t="shared" ref="M235:M241" si="104">Q235/U235*1</f>
      </c>
      <c r="N235" s="501">
        <f t="shared" ref="N235:N241" si="167">V235/U235</f>
      </c>
      <c r="O235" s="501">
        <f t="shared" ref="O235:O241" si="230">X235/U235</f>
      </c>
      <c r="P235" s="501">
        <f t="shared" ref="P235:P241" si="62">Y235/X235</f>
      </c>
      <c r="Q235" s="502">
        <f t="shared" ref="Q235:Q241" si="125">W235/R235</f>
      </c>
      <c r="R235" s="503">
        <v>0.0199</v>
      </c>
      <c r="S235" s="504">
        <v>43</v>
      </c>
      <c r="T235" s="500">
        <f t="shared" ref="T235:T241" si="188">(D235/U235)*1000</f>
      </c>
      <c r="U235" s="502">
        <v>20334</v>
      </c>
      <c r="V235" s="502">
        <v>1067</v>
      </c>
      <c r="W235" s="502">
        <v>105</v>
      </c>
      <c r="X235" s="502">
        <v>1394</v>
      </c>
      <c r="Y235" s="502">
        <v>105</v>
      </c>
      <c r="Z235" s="502">
        <v>12</v>
      </c>
      <c r="AA235" s="502">
        <v>2</v>
      </c>
      <c r="AB235" s="504">
        <v>22</v>
      </c>
      <c r="AC235" s="500">
        <f t="shared" ref="AC235:AC240" si="251">AF235*1000/D235</f>
      </c>
      <c r="AD235" s="522" t="s">
        <v>307</v>
      </c>
      <c r="AE235" s="522" t="s">
        <v>328</v>
      </c>
      <c r="AF235" s="504">
        <v>41</v>
      </c>
    </row>
    <row r="236">
      <c r="A236" s="494"/>
      <c r="B236" s="495" t="s">
        <v>331</v>
      </c>
      <c r="C236" s="496" t="s">
        <v>309</v>
      </c>
      <c r="D236" s="499">
        <v>1264.28</v>
      </c>
      <c r="E236" s="527">
        <v>2</v>
      </c>
      <c r="F236" s="527">
        <v>2</v>
      </c>
      <c r="G236" s="499">
        <v>902</v>
      </c>
      <c r="H236" s="500">
        <f t="shared" si="20"/>
      </c>
      <c r="I236" s="500">
        <f t="shared" si="83"/>
      </c>
      <c r="J236" s="500">
        <f t="shared" si="146"/>
      </c>
      <c r="K236" s="500">
        <f t="shared" si="209"/>
      </c>
      <c r="L236" s="500">
        <f t="shared" si="41"/>
      </c>
      <c r="M236" s="501">
        <f t="shared" si="104"/>
      </c>
      <c r="N236" s="501">
        <f t="shared" si="167"/>
      </c>
      <c r="O236" s="501">
        <f t="shared" si="230"/>
      </c>
      <c r="P236" s="501">
        <f t="shared" si="62"/>
      </c>
      <c r="Q236" s="502">
        <f t="shared" si="125"/>
      </c>
      <c r="R236" s="503">
        <v>0.0109</v>
      </c>
      <c r="S236" s="504">
        <v>43</v>
      </c>
      <c r="T236" s="500">
        <f t="shared" si="188"/>
      </c>
      <c r="U236" s="502">
        <v>9183</v>
      </c>
      <c r="V236" s="502">
        <v>400</v>
      </c>
      <c r="W236" s="502">
        <v>41</v>
      </c>
      <c r="X236" s="502">
        <v>459</v>
      </c>
      <c r="Y236" s="502">
        <v>25</v>
      </c>
      <c r="Z236" s="502">
        <v>2</v>
      </c>
      <c r="AA236" s="502">
        <v>1</v>
      </c>
      <c r="AB236" s="502">
        <v>3</v>
      </c>
      <c r="AC236" s="500">
        <f t="shared" si="251"/>
      </c>
      <c r="AD236" s="522" t="s">
        <v>307</v>
      </c>
      <c r="AE236" s="522" t="s">
        <v>328</v>
      </c>
      <c r="AF236" s="504">
        <v>15</v>
      </c>
    </row>
    <row r="237">
      <c r="A237" s="494"/>
      <c r="B237" s="495" t="s">
        <v>331</v>
      </c>
      <c r="C237" s="496" t="s">
        <v>310</v>
      </c>
      <c r="D237" s="499">
        <v>1704.58</v>
      </c>
      <c r="E237" s="498">
        <v>2</v>
      </c>
      <c r="F237" s="498">
        <v>2</v>
      </c>
      <c r="G237" s="499">
        <v>1621.3999999999996</v>
      </c>
      <c r="H237" s="500">
        <f t="shared" si="20"/>
      </c>
      <c r="I237" s="500">
        <f t="shared" si="83"/>
      </c>
      <c r="J237" s="500">
        <f t="shared" si="146"/>
      </c>
      <c r="K237" s="500">
        <f t="shared" si="209"/>
      </c>
      <c r="L237" s="500">
        <f t="shared" si="41"/>
      </c>
      <c r="M237" s="501">
        <f t="shared" si="104"/>
      </c>
      <c r="N237" s="501">
        <f t="shared" si="167"/>
      </c>
      <c r="O237" s="501">
        <f t="shared" si="230"/>
      </c>
      <c r="P237" s="501">
        <f t="shared" si="62"/>
      </c>
      <c r="Q237" s="502">
        <f t="shared" si="125"/>
      </c>
      <c r="R237" s="503">
        <v>0.018</v>
      </c>
      <c r="S237" s="504">
        <v>40</v>
      </c>
      <c r="T237" s="500">
        <f t="shared" si="188"/>
      </c>
      <c r="U237" s="502">
        <v>10373</v>
      </c>
      <c r="V237" s="502">
        <v>872</v>
      </c>
      <c r="W237" s="502">
        <v>67</v>
      </c>
      <c r="X237" s="502">
        <v>1165</v>
      </c>
      <c r="Y237" s="502">
        <v>57</v>
      </c>
      <c r="Z237" s="502">
        <v>5</v>
      </c>
      <c r="AA237" s="502">
        <v>0</v>
      </c>
      <c r="AB237" s="502">
        <v>9</v>
      </c>
      <c r="AC237" s="500">
        <f t="shared" si="251"/>
      </c>
      <c r="AD237" s="522" t="s">
        <v>307</v>
      </c>
      <c r="AE237" s="522" t="s">
        <v>328</v>
      </c>
      <c r="AF237" s="504">
        <v>34</v>
      </c>
    </row>
    <row r="238">
      <c r="A238" s="494"/>
      <c r="B238" s="495" t="s">
        <v>331</v>
      </c>
      <c r="C238" s="496" t="s">
        <v>311</v>
      </c>
      <c r="D238" s="499">
        <v>1412.83</v>
      </c>
      <c r="E238" s="498">
        <v>1</v>
      </c>
      <c r="F238" s="498">
        <v>1</v>
      </c>
      <c r="G238" s="499">
        <v>451</v>
      </c>
      <c r="H238" s="500">
        <f t="shared" si="20"/>
      </c>
      <c r="I238" s="500">
        <f t="shared" si="83"/>
      </c>
      <c r="J238" s="500">
        <f t="shared" si="146"/>
      </c>
      <c r="K238" s="500">
        <f t="shared" si="209"/>
      </c>
      <c r="L238" s="500">
        <f t="shared" si="41"/>
      </c>
      <c r="M238" s="501">
        <f t="shared" si="104"/>
      </c>
      <c r="N238" s="501">
        <f t="shared" si="167"/>
      </c>
      <c r="O238" s="501">
        <f t="shared" si="230"/>
      </c>
      <c r="P238" s="501">
        <f t="shared" si="62"/>
      </c>
      <c r="Q238" s="502">
        <f t="shared" si="125"/>
      </c>
      <c r="R238" s="503">
        <v>0.0136</v>
      </c>
      <c r="S238" s="504">
        <v>40</v>
      </c>
      <c r="T238" s="500">
        <f t="shared" si="188"/>
      </c>
      <c r="U238" s="502">
        <v>9057</v>
      </c>
      <c r="V238" s="502">
        <v>855</v>
      </c>
      <c r="W238" s="502">
        <v>57</v>
      </c>
      <c r="X238" s="502">
        <v>1160</v>
      </c>
      <c r="Y238" s="502">
        <v>60</v>
      </c>
      <c r="Z238" s="502">
        <v>6</v>
      </c>
      <c r="AA238" s="502">
        <v>1</v>
      </c>
      <c r="AB238" s="502">
        <v>1</v>
      </c>
      <c r="AC238" s="500">
        <f t="shared" si="251"/>
      </c>
      <c r="AD238" s="522" t="s">
        <v>307</v>
      </c>
      <c r="AE238" s="522" t="s">
        <v>328</v>
      </c>
      <c r="AF238" s="504">
        <v>19</v>
      </c>
    </row>
    <row r="239">
      <c r="A239" s="494"/>
      <c r="B239" s="495" t="s">
        <v>331</v>
      </c>
      <c r="C239" s="496" t="s">
        <v>314</v>
      </c>
      <c r="D239" s="499">
        <v>562.75</v>
      </c>
      <c r="E239" s="528">
        <v>3</v>
      </c>
      <c r="F239" s="528">
        <v>3</v>
      </c>
      <c r="G239" s="499">
        <v>4555.1</v>
      </c>
      <c r="H239" s="500">
        <f t="shared" si="20"/>
      </c>
      <c r="I239" s="500">
        <f t="shared" si="83"/>
      </c>
      <c r="J239" s="500">
        <f t="shared" si="146"/>
      </c>
      <c r="K239" s="500">
        <f t="shared" si="209"/>
      </c>
      <c r="L239" s="500">
        <f t="shared" si="41"/>
      </c>
      <c r="M239" s="501">
        <f t="shared" si="104"/>
      </c>
      <c r="N239" s="501">
        <f t="shared" si="167"/>
      </c>
      <c r="O239" s="501">
        <f t="shared" si="230"/>
      </c>
      <c r="P239" s="501">
        <f t="shared" si="62"/>
      </c>
      <c r="Q239" s="502">
        <f t="shared" si="125"/>
      </c>
      <c r="R239" s="529">
        <v>0.0176</v>
      </c>
      <c r="S239" s="530">
        <v>42</v>
      </c>
      <c r="T239" s="500">
        <f t="shared" si="188"/>
      </c>
      <c r="U239" s="502">
        <v>4676</v>
      </c>
      <c r="V239" s="502">
        <v>386</v>
      </c>
      <c r="W239" s="502">
        <v>36</v>
      </c>
      <c r="X239" s="502">
        <v>505</v>
      </c>
      <c r="Y239" s="502">
        <v>32</v>
      </c>
      <c r="Z239" s="502">
        <v>2</v>
      </c>
      <c r="AA239" s="502">
        <v>1</v>
      </c>
      <c r="AB239" s="502">
        <v>0</v>
      </c>
      <c r="AC239" s="500">
        <f t="shared" si="251"/>
      </c>
      <c r="AD239" s="522" t="s">
        <v>307</v>
      </c>
      <c r="AE239" s="522" t="s">
        <v>328</v>
      </c>
      <c r="AF239" s="530">
        <v>11</v>
      </c>
    </row>
    <row r="240">
      <c r="A240" s="494"/>
      <c r="B240" s="507" t="s">
        <v>312</v>
      </c>
      <c r="C240" s="507"/>
      <c r="D240" s="508">
        <f>SUM(D235:D239)</f>
      </c>
      <c r="E240" s="508">
        <f>SUM(E235:E239)</f>
      </c>
      <c r="F240" s="508">
        <f>SUM(F235:F239)</f>
      </c>
      <c r="G240" s="508">
        <f>SUM(G235:G239)</f>
      </c>
      <c r="H240" s="510">
        <f t="shared" si="20"/>
      </c>
      <c r="I240" s="510">
        <f t="shared" si="83"/>
      </c>
      <c r="J240" s="510">
        <f t="shared" si="146"/>
      </c>
      <c r="K240" s="510">
        <f t="shared" si="209"/>
      </c>
      <c r="L240" s="510">
        <f t="shared" si="41"/>
      </c>
      <c r="M240" s="511">
        <f t="shared" si="104"/>
      </c>
      <c r="N240" s="511">
        <f t="shared" si="167"/>
      </c>
      <c r="O240" s="511">
        <f t="shared" si="230"/>
      </c>
      <c r="P240" s="511">
        <f t="shared" si="62"/>
      </c>
      <c r="Q240" s="512">
        <f t="shared" si="125"/>
      </c>
      <c r="R240" s="511">
        <f>AVERAGE(R235:R239)</f>
      </c>
      <c r="S240" s="508">
        <f>AVERAGE(S235:S239)</f>
      </c>
      <c r="T240" s="510">
        <f t="shared" si="188"/>
      </c>
      <c r="U240" s="512">
        <f>SUM(U235:U239)</f>
      </c>
      <c r="V240" s="512">
        <f>SUM(V235:V239)</f>
      </c>
      <c r="W240" s="512">
        <f>SUM(W235:W239)</f>
      </c>
      <c r="X240" s="512">
        <f>SUM(X235:X239)</f>
      </c>
      <c r="Y240" s="512">
        <f>SUM(Y235:Y239)</f>
      </c>
      <c r="Z240" s="512">
        <f>SUM(Z235:Z239)</f>
      </c>
      <c r="AA240" s="512">
        <f>SUM(AA235:AA239)</f>
      </c>
      <c r="AB240" s="512">
        <f>SUM(AB235:AB239)</f>
      </c>
      <c r="AC240" s="513">
        <f t="shared" si="251"/>
      </c>
      <c r="AD240" s="523"/>
      <c r="AE240" s="523"/>
      <c r="AF240" s="512">
        <f>SUM(AF235:AF239)</f>
      </c>
    </row>
    <row r="241">
      <c r="A241" s="494"/>
      <c r="B241" s="516" t="s">
        <v>318</v>
      </c>
      <c r="C241" s="516"/>
      <c r="D241" s="517">
        <f>D240</f>
      </c>
      <c r="E241" s="517">
        <f>E240</f>
      </c>
      <c r="F241" s="517">
        <f>F240</f>
      </c>
      <c r="G241" s="517">
        <f>G240</f>
      </c>
      <c r="H241" s="519">
        <f t="shared" si="20"/>
      </c>
      <c r="I241" s="519">
        <f t="shared" si="83"/>
      </c>
      <c r="J241" s="519">
        <f t="shared" si="146"/>
      </c>
      <c r="K241" s="519">
        <f t="shared" si="209"/>
      </c>
      <c r="L241" s="519">
        <f t="shared" si="41"/>
      </c>
      <c r="M241" s="520">
        <f t="shared" si="104"/>
      </c>
      <c r="N241" s="520">
        <f t="shared" si="167"/>
      </c>
      <c r="O241" s="520">
        <f t="shared" si="230"/>
      </c>
      <c r="P241" s="520">
        <f t="shared" si="62"/>
      </c>
      <c r="Q241" s="521">
        <f t="shared" si="125"/>
      </c>
      <c r="R241" s="520">
        <f>R240</f>
      </c>
      <c r="S241" s="517">
        <f>S240</f>
      </c>
      <c r="T241" s="517">
        <f t="shared" si="188"/>
      </c>
      <c r="U241" s="521">
        <f>U240</f>
      </c>
      <c r="V241" s="521">
        <f>V240</f>
      </c>
      <c r="W241" s="521">
        <f>W240</f>
      </c>
      <c r="X241" s="521">
        <f>X240</f>
      </c>
      <c r="Y241" s="521">
        <f>Y240</f>
      </c>
      <c r="Z241" s="521">
        <f>Z240</f>
      </c>
      <c r="AA241" s="521">
        <f>AA240</f>
      </c>
      <c r="AB241" s="521">
        <f>AB240</f>
      </c>
      <c r="AC241" s="521">
        <f>AC240</f>
      </c>
      <c r="AD241" s="521"/>
      <c r="AE241" s="521"/>
      <c r="AF241" s="521">
        <f>AF240</f>
      </c>
    </row>
    <row r="242">
      <c r="E242" s="531">
        <f>E243-E241</f>
      </c>
      <c r="F242" s="531"/>
      <c r="G242" s="531">
        <f>G243-G241</f>
      </c>
      <c r="AF242" s="531">
        <f>AF243-AF241</f>
      </c>
    </row>
    <row r="243">
      <c r="E243" s="532">
        <v>33</v>
      </c>
      <c r="F243" s="531"/>
      <c r="G243" s="532">
        <v>9212.5</v>
      </c>
      <c r="AF243" s="533">
        <v>120</v>
      </c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>
      <c r="A553" s="534"/>
      <c r="B553" s="534"/>
      <c r="C553" s="534"/>
      <c r="D553" s="534">
        <f>D554-D552</f>
      </c>
      <c r="E553" s="534">
        <f>E554-E552</f>
      </c>
      <c r="F553" s="534">
        <f>F554-F552</f>
      </c>
      <c r="G553" s="535">
        <f>G554-G552</f>
      </c>
      <c r="H553" s="534"/>
      <c r="I553" s="534"/>
      <c r="J553" s="534"/>
      <c r="K553" s="534"/>
      <c r="L553" s="534"/>
      <c r="M553" s="534"/>
      <c r="N553" s="534"/>
      <c r="O553" s="534"/>
      <c r="P553" s="534"/>
      <c r="Q553" s="534"/>
      <c r="R553" s="536"/>
      <c r="S553" s="536"/>
      <c r="T553" s="534"/>
      <c r="U553" s="534">
        <f>U554-U552</f>
      </c>
      <c r="V553" s="534">
        <f>V554-V552</f>
      </c>
      <c r="W553" s="534">
        <f>W554-W552</f>
      </c>
      <c r="X553" s="534">
        <f>X554-X552</f>
      </c>
      <c r="Y553" s="534">
        <f>Y554-Y552</f>
      </c>
      <c r="Z553" s="534">
        <f>Z554-Z552</f>
      </c>
      <c r="AA553" s="534">
        <f>AA554-AA552</f>
      </c>
      <c r="AB553" s="534">
        <f>AB554-AB552</f>
      </c>
      <c r="AC553" s="534"/>
      <c r="AD553" s="534"/>
      <c r="AE553" s="534"/>
      <c r="AF553" s="534">
        <f>AF554-AF552</f>
      </c>
    </row>
    <row r="554">
      <c r="D554" s="537">
        <v>12718.57</v>
      </c>
      <c r="E554" s="538" cm="1">
        <f t="array" ref="E554:E554">IMPORTRANGE("https://meimeiwangluo.feishu.cn/sheets/DSGGs5hDFh8xbCtNsYIcYefhnve","'Sheet3'!C1")</f>
      </c>
      <c r="F554" s="539">
        <v>19</v>
      </c>
      <c r="G554" s="540" cm="1">
        <f t="array" ref="G554:G554">IMPORTRANGE("https://meimeiwangluo.feishu.cn/sheets/DSGGs5hDFh8xbCtNsYIcYefhnve","'Sheet3'!D1")</f>
      </c>
      <c r="R554" s="541"/>
      <c r="U554" s="542">
        <v>153294</v>
      </c>
      <c r="V554" s="542">
        <v>3293</v>
      </c>
      <c r="W554">
        <v>393</v>
      </c>
      <c r="X554" s="542">
        <v>3543</v>
      </c>
      <c r="Y554">
        <v>401</v>
      </c>
      <c r="Z554">
        <v>55</v>
      </c>
      <c r="AA554">
        <v>7</v>
      </c>
      <c r="AB554">
        <v>175</v>
      </c>
      <c r="AF554" s="539">
        <v>147</v>
      </c>
    </row>
  </sheetData>
  <mergeCells>
    <mergeCell ref="B65:C65"/>
    <mergeCell ref="B64:C64"/>
    <mergeCell ref="B59:C59"/>
    <mergeCell ref="A55:A65"/>
    <mergeCell ref="L53:AE53"/>
    <mergeCell ref="D53:K53"/>
    <mergeCell ref="B53:C53"/>
    <mergeCell ref="A53:A54"/>
    <mergeCell ref="B39:C39"/>
    <mergeCell ref="B38:C38"/>
    <mergeCell ref="B33:C33"/>
    <mergeCell ref="A29:A39"/>
    <mergeCell ref="L27:AE27"/>
    <mergeCell ref="D27:K27"/>
    <mergeCell ref="B27:C27"/>
    <mergeCell ref="A27:A28"/>
    <mergeCell ref="L1:AE1"/>
    <mergeCell ref="D1:K1"/>
    <mergeCell ref="B1:C1"/>
    <mergeCell ref="A1:A2"/>
    <mergeCell ref="A3:A13"/>
    <mergeCell ref="B7:C7"/>
    <mergeCell ref="B12:C12"/>
    <mergeCell ref="B13:C13"/>
    <mergeCell ref="L14:AE14"/>
    <mergeCell ref="D14:K14"/>
    <mergeCell ref="B14:C14"/>
    <mergeCell ref="A14:A15"/>
    <mergeCell ref="A16:A26"/>
    <mergeCell ref="B20:C20"/>
    <mergeCell ref="B25:C25"/>
    <mergeCell ref="B26:C26"/>
    <mergeCell ref="L40:AE40"/>
    <mergeCell ref="D40:K40"/>
    <mergeCell ref="B40:C40"/>
    <mergeCell ref="A40:A41"/>
    <mergeCell ref="A42:A52"/>
    <mergeCell ref="B46:C46"/>
    <mergeCell ref="B51:C51"/>
    <mergeCell ref="B52:C52"/>
    <mergeCell ref="L66:AE66"/>
    <mergeCell ref="D66:K66"/>
    <mergeCell ref="B66:C66"/>
    <mergeCell ref="A66:A67"/>
    <mergeCell ref="A68:A78"/>
    <mergeCell ref="B72:C72"/>
    <mergeCell ref="B77:C77"/>
    <mergeCell ref="B78:C78"/>
    <mergeCell ref="L79:AE79"/>
    <mergeCell ref="D79:K79"/>
    <mergeCell ref="B79:C79"/>
    <mergeCell ref="A79:A80"/>
    <mergeCell ref="A81:A91"/>
    <mergeCell ref="B85:C85"/>
    <mergeCell ref="B90:C90"/>
    <mergeCell ref="B91:C91"/>
    <mergeCell ref="L92:AE92"/>
    <mergeCell ref="D92:K92"/>
    <mergeCell ref="B92:C92"/>
    <mergeCell ref="A92:A93"/>
    <mergeCell ref="A94:A104"/>
    <mergeCell ref="B98:C98"/>
    <mergeCell ref="B103:C103"/>
    <mergeCell ref="B104:C104"/>
    <mergeCell ref="L105:AE105"/>
    <mergeCell ref="D105:K105"/>
    <mergeCell ref="B105:C105"/>
    <mergeCell ref="A105:A106"/>
    <mergeCell ref="A107:A117"/>
    <mergeCell ref="B111:C111"/>
    <mergeCell ref="B116:C116"/>
    <mergeCell ref="B117:C117"/>
    <mergeCell ref="L118:AE118"/>
    <mergeCell ref="D118:K118"/>
    <mergeCell ref="B118:C118"/>
    <mergeCell ref="A118:A119"/>
    <mergeCell ref="A120:A130"/>
    <mergeCell ref="B124:C124"/>
    <mergeCell ref="B129:C129"/>
    <mergeCell ref="B130:C130"/>
    <mergeCell ref="L131:AE131"/>
    <mergeCell ref="D131:K131"/>
    <mergeCell ref="B131:C131"/>
    <mergeCell ref="A131:A132"/>
    <mergeCell ref="A133:A143"/>
    <mergeCell ref="B137:C137"/>
    <mergeCell ref="B142:C142"/>
    <mergeCell ref="B143:C143"/>
    <mergeCell ref="L144:AE144"/>
    <mergeCell ref="D144:K144"/>
    <mergeCell ref="B144:C144"/>
    <mergeCell ref="A144:A145"/>
    <mergeCell ref="A146:A156"/>
    <mergeCell ref="B150:C150"/>
    <mergeCell ref="B155:C155"/>
    <mergeCell ref="B156:C156"/>
    <mergeCell ref="L157:AE157"/>
    <mergeCell ref="D157:K157"/>
    <mergeCell ref="B157:C157"/>
    <mergeCell ref="A157:A158"/>
    <mergeCell ref="A159:A169"/>
    <mergeCell ref="B163:C163"/>
    <mergeCell ref="B168:C168"/>
    <mergeCell ref="B169:C169"/>
    <mergeCell ref="L170:AE170"/>
    <mergeCell ref="D170:K170"/>
    <mergeCell ref="B170:C170"/>
    <mergeCell ref="A170:A171"/>
    <mergeCell ref="A172:A178"/>
    <mergeCell ref="B177:C177"/>
    <mergeCell ref="B178:C178"/>
    <mergeCell ref="L179:AE179"/>
    <mergeCell ref="D179:K179"/>
    <mergeCell ref="B179:C179"/>
    <mergeCell ref="A179:A180"/>
    <mergeCell ref="A181:A187"/>
    <mergeCell ref="B186:C186"/>
    <mergeCell ref="B187:C187"/>
    <mergeCell ref="L188:AE188"/>
    <mergeCell ref="D188:K188"/>
    <mergeCell ref="B188:C188"/>
    <mergeCell ref="A188:A189"/>
    <mergeCell ref="A190:A196"/>
    <mergeCell ref="B195:C195"/>
    <mergeCell ref="B196:C196"/>
    <mergeCell ref="L197:AE197"/>
    <mergeCell ref="D197:K197"/>
    <mergeCell ref="B197:C197"/>
    <mergeCell ref="A197:A198"/>
    <mergeCell ref="A199:A205"/>
    <mergeCell ref="B204:C204"/>
    <mergeCell ref="B205:C205"/>
    <mergeCell ref="L206:AE206"/>
    <mergeCell ref="D206:K206"/>
    <mergeCell ref="B206:C206"/>
    <mergeCell ref="A206:A207"/>
    <mergeCell ref="A208:A214"/>
    <mergeCell ref="B213:C213"/>
    <mergeCell ref="B214:C214"/>
    <mergeCell ref="L215:AE215"/>
    <mergeCell ref="D215:K215"/>
    <mergeCell ref="B215:C215"/>
    <mergeCell ref="A215:A216"/>
    <mergeCell ref="A217:A223"/>
    <mergeCell ref="B222:C222"/>
    <mergeCell ref="B223:C223"/>
    <mergeCell ref="L224:AE224"/>
    <mergeCell ref="D224:K224"/>
    <mergeCell ref="B224:C224"/>
    <mergeCell ref="A224:A225"/>
    <mergeCell ref="A226:A232"/>
    <mergeCell ref="B231:C231"/>
    <mergeCell ref="B232:C232"/>
    <mergeCell ref="L233:AE233"/>
    <mergeCell ref="D233:K233"/>
    <mergeCell ref="B233:C233"/>
    <mergeCell ref="A233:A234"/>
    <mergeCell ref="A235:A241"/>
    <mergeCell ref="B240:C240"/>
    <mergeCell ref="B241:C24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543">
        <v>8969.4</v>
      </c>
      <c r="B1" s="543" t="s">
        <v>346</v>
      </c>
      <c r="C1" s="543"/>
      <c r="D1" s="544" t="s">
        <v>347</v>
      </c>
      <c r="E1" s="544"/>
      <c r="F1" s="544"/>
      <c r="G1" s="544"/>
      <c r="H1" s="544"/>
      <c r="I1" s="544"/>
      <c r="J1" s="544"/>
      <c r="K1" s="544"/>
      <c r="L1" s="545" t="s">
        <v>348</v>
      </c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5"/>
      <c r="AF1" s="546"/>
    </row>
    <row r="2">
      <c r="A2" s="543"/>
      <c r="B2" s="547" t="s">
        <v>349</v>
      </c>
      <c r="C2" s="547" t="s">
        <v>350</v>
      </c>
      <c r="D2" s="548" t="s">
        <v>351</v>
      </c>
      <c r="E2" s="549" t="s">
        <v>352</v>
      </c>
      <c r="F2" s="550" t="s">
        <v>353</v>
      </c>
      <c r="G2" s="548" t="s">
        <v>354</v>
      </c>
      <c r="H2" s="551" t="s">
        <v>355</v>
      </c>
      <c r="I2" s="551" t="s">
        <v>356</v>
      </c>
      <c r="J2" s="552" t="s">
        <v>357</v>
      </c>
      <c r="K2" s="551" t="s">
        <v>358</v>
      </c>
      <c r="L2" s="553" t="s">
        <v>359</v>
      </c>
      <c r="M2" s="554" t="s">
        <v>360</v>
      </c>
      <c r="N2" s="554" t="s">
        <v>361</v>
      </c>
      <c r="O2" s="554" t="s">
        <v>362</v>
      </c>
      <c r="P2" s="554" t="s">
        <v>363</v>
      </c>
      <c r="Q2" s="555" t="s">
        <v>364</v>
      </c>
      <c r="R2" s="554" t="s">
        <v>365</v>
      </c>
      <c r="S2" s="555" t="s">
        <v>366</v>
      </c>
      <c r="T2" s="556" t="s">
        <v>367</v>
      </c>
      <c r="U2" s="557" t="s">
        <v>368</v>
      </c>
      <c r="V2" s="557" t="s">
        <v>369</v>
      </c>
      <c r="W2" s="557" t="s">
        <v>370</v>
      </c>
      <c r="X2" s="557" t="s">
        <v>371</v>
      </c>
      <c r="Y2" s="557" t="s">
        <v>372</v>
      </c>
      <c r="Z2" s="557" t="s">
        <v>373</v>
      </c>
      <c r="AA2" s="557" t="s">
        <v>374</v>
      </c>
      <c r="AB2" s="557" t="s">
        <v>375</v>
      </c>
      <c r="AC2" s="545" t="s">
        <v>376</v>
      </c>
      <c r="AD2" s="558" t="s">
        <v>377</v>
      </c>
      <c r="AE2" s="558" t="s">
        <v>378</v>
      </c>
      <c r="AF2" s="546" t="s">
        <v>379</v>
      </c>
    </row>
    <row r="3">
      <c r="A3" s="559" t="s">
        <v>380</v>
      </c>
      <c r="B3" s="560" t="s">
        <v>381</v>
      </c>
      <c r="C3" s="561" t="s">
        <v>382</v>
      </c>
      <c r="D3" s="562">
        <v>3000</v>
      </c>
      <c r="E3" s="563">
        <v>10</v>
      </c>
      <c r="F3" s="563">
        <v>9</v>
      </c>
      <c r="G3" s="564">
        <v>5651.8</v>
      </c>
      <c r="H3" s="565">
        <f t="shared" ref="H3:H13" si="126">G3/D3</f>
      </c>
      <c r="I3" s="565">
        <f t="shared" ref="I3:I13" si="63">D3/E3</f>
      </c>
      <c r="J3" s="565">
        <f t="shared" ref="J3:J12" si="244">D3/F3</f>
      </c>
      <c r="K3" s="565">
        <f t="shared" ref="K3:K13" si="181">G3/E3</f>
      </c>
      <c r="L3" s="565">
        <f t="shared" ref="L3:L13" si="309">D3/V3</f>
      </c>
      <c r="M3" s="566">
        <f t="shared" ref="M3:M13" si="276">Q3/U3*1</f>
      </c>
      <c r="N3" s="566">
        <f t="shared" ref="N3:N13" si="0">V3/U3</f>
      </c>
      <c r="O3" s="567">
        <f t="shared" ref="O3:O13" si="342">X3/U3</f>
      </c>
      <c r="P3" s="567">
        <f t="shared" ref="P3:P13" si="96">Y3/X3</f>
      </c>
      <c r="Q3" s="568">
        <f t="shared" ref="Q3:Q13" si="33">W3/R3</f>
      </c>
      <c r="R3" s="569">
        <v>0.0228</v>
      </c>
      <c r="S3" s="570">
        <v>44</v>
      </c>
      <c r="T3" s="571">
        <f t="shared" ref="T3:T13" si="214">(D3/U3)*1000</f>
      </c>
      <c r="U3" s="568">
        <v>20149</v>
      </c>
      <c r="V3" s="568">
        <v>1315</v>
      </c>
      <c r="W3" s="568">
        <v>163</v>
      </c>
      <c r="X3" s="568">
        <v>1798</v>
      </c>
      <c r="Y3" s="568">
        <v>124</v>
      </c>
      <c r="Z3" s="568">
        <v>14</v>
      </c>
      <c r="AA3" s="568">
        <v>4</v>
      </c>
      <c r="AB3" s="568">
        <v>16</v>
      </c>
      <c r="AC3" s="572">
        <f t="shared" ref="AC3:AC12" si="157">AF3*1000/D3</f>
      </c>
      <c r="AD3" s="573" t="s">
        <v>383</v>
      </c>
      <c r="AE3" s="573" t="s">
        <v>384</v>
      </c>
      <c r="AF3" s="574">
        <v>69</v>
      </c>
    </row>
    <row r="4">
      <c r="A4" s="559"/>
      <c r="B4" s="560" t="s">
        <v>381</v>
      </c>
      <c r="C4" s="561" t="s">
        <v>385</v>
      </c>
      <c r="D4" s="564">
        <v>2997.57</v>
      </c>
      <c r="E4" s="563">
        <v>6</v>
      </c>
      <c r="F4" s="563">
        <v>5</v>
      </c>
      <c r="G4" s="564">
        <v>4550.699999999998</v>
      </c>
      <c r="H4" s="565">
        <f t="shared" si="126"/>
      </c>
      <c r="I4" s="565">
        <f t="shared" si="63"/>
      </c>
      <c r="J4" s="565">
        <f t="shared" si="244"/>
      </c>
      <c r="K4" s="565">
        <f t="shared" si="181"/>
      </c>
      <c r="L4" s="565">
        <f t="shared" si="309"/>
      </c>
      <c r="M4" s="566">
        <f t="shared" si="276"/>
      </c>
      <c r="N4" s="566">
        <f t="shared" si="0"/>
      </c>
      <c r="O4" s="567">
        <f t="shared" si="342"/>
      </c>
      <c r="P4" s="567">
        <f t="shared" si="96"/>
      </c>
      <c r="Q4" s="568">
        <f t="shared" si="33"/>
      </c>
      <c r="R4" s="569">
        <v>0.0216</v>
      </c>
      <c r="S4" s="570">
        <v>49</v>
      </c>
      <c r="T4" s="571">
        <f t="shared" si="214"/>
      </c>
      <c r="U4" s="568">
        <v>23800</v>
      </c>
      <c r="V4" s="568">
        <v>889</v>
      </c>
      <c r="W4" s="568">
        <v>124</v>
      </c>
      <c r="X4" s="568">
        <v>1179</v>
      </c>
      <c r="Y4" s="568">
        <v>111</v>
      </c>
      <c r="Z4" s="568">
        <v>18</v>
      </c>
      <c r="AA4" s="568">
        <v>1</v>
      </c>
      <c r="AB4" s="568">
        <v>17</v>
      </c>
      <c r="AC4" s="572">
        <f t="shared" si="157"/>
      </c>
      <c r="AD4" s="573" t="s">
        <v>383</v>
      </c>
      <c r="AE4" s="573" t="s">
        <v>384</v>
      </c>
      <c r="AF4" s="574">
        <v>45</v>
      </c>
    </row>
    <row r="5">
      <c r="A5" s="559"/>
      <c r="B5" s="560" t="s">
        <v>381</v>
      </c>
      <c r="C5" s="561" t="s">
        <v>386</v>
      </c>
      <c r="D5" s="562">
        <v>3000.72</v>
      </c>
      <c r="E5" s="563">
        <v>4</v>
      </c>
      <c r="F5" s="563">
        <v>2</v>
      </c>
      <c r="G5" s="564">
        <v>1804</v>
      </c>
      <c r="H5" s="565">
        <f t="shared" si="126"/>
      </c>
      <c r="I5" s="565">
        <f t="shared" si="63"/>
      </c>
      <c r="J5" s="565">
        <f t="shared" si="244"/>
      </c>
      <c r="K5" s="565">
        <f t="shared" si="181"/>
      </c>
      <c r="L5" s="565">
        <f t="shared" si="309"/>
      </c>
      <c r="M5" s="566">
        <f t="shared" si="276"/>
      </c>
      <c r="N5" s="566">
        <f t="shared" si="0"/>
      </c>
      <c r="O5" s="567">
        <f t="shared" si="342"/>
      </c>
      <c r="P5" s="567">
        <f t="shared" si="96"/>
      </c>
      <c r="Q5" s="568">
        <f t="shared" si="33"/>
      </c>
      <c r="R5" s="569">
        <v>0.0399</v>
      </c>
      <c r="S5" s="570">
        <v>54</v>
      </c>
      <c r="T5" s="571">
        <f t="shared" si="214"/>
      </c>
      <c r="U5" s="568">
        <v>24086</v>
      </c>
      <c r="V5" s="568">
        <v>499</v>
      </c>
      <c r="W5" s="568">
        <v>127</v>
      </c>
      <c r="X5" s="568">
        <v>514</v>
      </c>
      <c r="Y5" s="568">
        <v>97</v>
      </c>
      <c r="Z5" s="568">
        <v>11</v>
      </c>
      <c r="AA5" s="568">
        <v>1</v>
      </c>
      <c r="AB5" s="568">
        <v>32</v>
      </c>
      <c r="AC5" s="572">
        <f t="shared" si="157"/>
      </c>
      <c r="AD5" s="573" t="s">
        <v>383</v>
      </c>
      <c r="AE5" s="573" t="s">
        <v>384</v>
      </c>
      <c r="AF5" s="574">
        <v>42</v>
      </c>
    </row>
    <row r="6">
      <c r="A6" s="559"/>
      <c r="B6" s="560" t="s">
        <v>381</v>
      </c>
      <c r="C6" s="561" t="s">
        <v>387</v>
      </c>
      <c r="D6" s="564">
        <v>3013.4</v>
      </c>
      <c r="E6" s="563">
        <v>5</v>
      </c>
      <c r="F6" s="563">
        <v>4</v>
      </c>
      <c r="G6" s="564">
        <v>2660.8999999999996</v>
      </c>
      <c r="H6" s="565">
        <f t="shared" si="126"/>
      </c>
      <c r="I6" s="565">
        <f t="shared" si="63"/>
      </c>
      <c r="J6" s="565">
        <f t="shared" si="244"/>
      </c>
      <c r="K6" s="565">
        <f t="shared" si="181"/>
      </c>
      <c r="L6" s="565">
        <f t="shared" si="309"/>
      </c>
      <c r="M6" s="566">
        <f t="shared" si="276"/>
      </c>
      <c r="N6" s="566">
        <f t="shared" si="0"/>
      </c>
      <c r="O6" s="567">
        <f t="shared" si="342"/>
      </c>
      <c r="P6" s="567">
        <f t="shared" si="96"/>
      </c>
      <c r="Q6" s="568">
        <f t="shared" si="33"/>
      </c>
      <c r="R6" s="569">
        <v>0.0414</v>
      </c>
      <c r="S6" s="570">
        <v>59</v>
      </c>
      <c r="T6" s="571">
        <f t="shared" si="214"/>
      </c>
      <c r="U6" s="568">
        <v>27395</v>
      </c>
      <c r="V6" s="570">
        <v>544</v>
      </c>
      <c r="W6" s="570">
        <v>145</v>
      </c>
      <c r="X6" s="568">
        <v>621</v>
      </c>
      <c r="Y6" s="570">
        <v>102</v>
      </c>
      <c r="Z6" s="570">
        <v>13</v>
      </c>
      <c r="AA6" s="570">
        <v>1</v>
      </c>
      <c r="AB6" s="570">
        <v>18</v>
      </c>
      <c r="AC6" s="572">
        <f t="shared" si="157"/>
      </c>
      <c r="AD6" s="573" t="s">
        <v>383</v>
      </c>
      <c r="AE6" s="573" t="s">
        <v>384</v>
      </c>
      <c r="AF6" s="574">
        <v>40</v>
      </c>
    </row>
    <row r="7">
      <c r="A7" s="559"/>
      <c r="B7" s="575" t="s">
        <v>388</v>
      </c>
      <c r="C7" s="575"/>
      <c r="D7" s="576">
        <f>SUM(D3:D6)</f>
      </c>
      <c r="E7" s="577">
        <f>SUM(E3:E6)</f>
      </c>
      <c r="F7" s="577">
        <f>SUM(F3:F6)</f>
      </c>
      <c r="G7" s="576">
        <f>SUM(G3:G6)</f>
      </c>
      <c r="H7" s="578">
        <f t="shared" si="126"/>
      </c>
      <c r="I7" s="578">
        <f t="shared" si="63"/>
      </c>
      <c r="J7" s="578">
        <f t="shared" si="244"/>
      </c>
      <c r="K7" s="578">
        <f t="shared" si="181"/>
      </c>
      <c r="L7" s="578">
        <f t="shared" si="309"/>
      </c>
      <c r="M7" s="579">
        <f t="shared" si="276"/>
      </c>
      <c r="N7" s="579">
        <f t="shared" si="0"/>
      </c>
      <c r="O7" s="579">
        <f t="shared" si="342"/>
      </c>
      <c r="P7" s="579">
        <f t="shared" si="96"/>
      </c>
      <c r="Q7" s="580">
        <f t="shared" si="33"/>
      </c>
      <c r="R7" s="579">
        <f>AVERAGE(R3:R6)</f>
      </c>
      <c r="S7" s="576">
        <f>AVERAGE(S3:S6)</f>
      </c>
      <c r="T7" s="578">
        <f t="shared" si="214"/>
      </c>
      <c r="U7" s="580">
        <f>SUM(U3:U6)</f>
      </c>
      <c r="V7" s="580">
        <f>SUM(V3:V6)</f>
      </c>
      <c r="W7" s="580">
        <f>SUM(W3:W6)</f>
      </c>
      <c r="X7" s="580">
        <f>SUM(X3:X6)</f>
      </c>
      <c r="Y7" s="580">
        <f>SUM(Y3:Y6)</f>
      </c>
      <c r="Z7" s="580">
        <f>SUM(Z3:Z6)</f>
      </c>
      <c r="AA7" s="580">
        <f>SUM(AA3:AA6)</f>
      </c>
      <c r="AB7" s="580">
        <f>SUM(AB3:AB6)</f>
      </c>
      <c r="AC7" s="581">
        <f t="shared" si="157"/>
      </c>
      <c r="AD7" s="582"/>
      <c r="AE7" s="582"/>
      <c r="AF7" s="583">
        <f>SUM(AF3:AF6)</f>
      </c>
    </row>
    <row r="8">
      <c r="A8" s="559"/>
      <c r="B8" s="561" t="s">
        <v>389</v>
      </c>
      <c r="C8" s="560" t="s">
        <v>390</v>
      </c>
      <c r="D8" s="562">
        <v>2952.38</v>
      </c>
      <c r="E8" s="563">
        <v>5</v>
      </c>
      <c r="F8" s="563">
        <v>4</v>
      </c>
      <c r="G8" s="562">
        <v>4710.200000000001</v>
      </c>
      <c r="H8" s="565">
        <f t="shared" si="126"/>
      </c>
      <c r="I8" s="565">
        <f t="shared" si="63"/>
      </c>
      <c r="J8" s="565">
        <f t="shared" si="244"/>
      </c>
      <c r="K8" s="565">
        <f t="shared" si="181"/>
      </c>
      <c r="L8" s="565">
        <f t="shared" si="309"/>
      </c>
      <c r="M8" s="566">
        <f t="shared" si="276"/>
      </c>
      <c r="N8" s="566">
        <f t="shared" si="0"/>
      </c>
      <c r="O8" s="567">
        <f t="shared" si="342"/>
      </c>
      <c r="P8" s="567">
        <f t="shared" si="96"/>
      </c>
      <c r="Q8" s="568">
        <f t="shared" si="33"/>
      </c>
      <c r="R8" s="569">
        <v>0.0269</v>
      </c>
      <c r="S8" s="570">
        <v>59</v>
      </c>
      <c r="T8" s="571">
        <f t="shared" si="214"/>
      </c>
      <c r="U8" s="568">
        <v>25125</v>
      </c>
      <c r="V8" s="568">
        <v>566</v>
      </c>
      <c r="W8" s="568">
        <v>96</v>
      </c>
      <c r="X8" s="568">
        <v>687</v>
      </c>
      <c r="Y8" s="568">
        <v>95</v>
      </c>
      <c r="Z8" s="568">
        <v>9</v>
      </c>
      <c r="AA8" s="568">
        <v>3</v>
      </c>
      <c r="AB8" s="568">
        <v>19</v>
      </c>
      <c r="AC8" s="572">
        <f t="shared" si="157"/>
      </c>
      <c r="AD8" s="584" t="s">
        <v>383</v>
      </c>
      <c r="AE8" s="573" t="s">
        <v>384</v>
      </c>
      <c r="AF8" s="574">
        <v>37</v>
      </c>
    </row>
    <row r="9">
      <c r="A9" s="559"/>
      <c r="B9" s="561" t="s">
        <v>389</v>
      </c>
      <c r="C9" s="560" t="s">
        <v>391</v>
      </c>
      <c r="D9" s="562">
        <v>2502.64</v>
      </c>
      <c r="E9" s="563">
        <v>3</v>
      </c>
      <c r="F9" s="563">
        <v>3</v>
      </c>
      <c r="G9" s="562">
        <v>2088.9000000000015</v>
      </c>
      <c r="H9" s="565">
        <f t="shared" si="126"/>
      </c>
      <c r="I9" s="565">
        <f t="shared" si="63"/>
      </c>
      <c r="J9" s="565">
        <f t="shared" si="244"/>
      </c>
      <c r="K9" s="565">
        <f t="shared" si="181"/>
      </c>
      <c r="L9" s="565">
        <f t="shared" si="309"/>
      </c>
      <c r="M9" s="566">
        <f t="shared" si="276"/>
      </c>
      <c r="N9" s="566">
        <f t="shared" si="0"/>
      </c>
      <c r="O9" s="567">
        <f t="shared" si="342"/>
      </c>
      <c r="P9" s="567">
        <f t="shared" si="96"/>
      </c>
      <c r="Q9" s="568">
        <f t="shared" si="33"/>
      </c>
      <c r="R9" s="569">
        <v>0.0199</v>
      </c>
      <c r="S9" s="570">
        <v>58</v>
      </c>
      <c r="T9" s="571">
        <f t="shared" si="214"/>
      </c>
      <c r="U9" s="568">
        <v>20453</v>
      </c>
      <c r="V9" s="568">
        <v>672</v>
      </c>
      <c r="W9" s="568">
        <v>96</v>
      </c>
      <c r="X9" s="568">
        <v>824</v>
      </c>
      <c r="Y9" s="568">
        <v>92</v>
      </c>
      <c r="Z9" s="568">
        <v>10</v>
      </c>
      <c r="AA9" s="568">
        <v>1</v>
      </c>
      <c r="AB9" s="570">
        <v>17</v>
      </c>
      <c r="AC9" s="572">
        <f t="shared" si="157"/>
      </c>
      <c r="AD9" s="584" t="s">
        <v>383</v>
      </c>
      <c r="AE9" s="573" t="s">
        <v>384</v>
      </c>
      <c r="AF9" s="574">
        <v>35</v>
      </c>
    </row>
    <row r="10">
      <c r="A10" s="559"/>
      <c r="B10" s="561" t="s">
        <v>389</v>
      </c>
      <c r="C10" s="561" t="s">
        <v>392</v>
      </c>
      <c r="D10" s="562">
        <v>2072.33</v>
      </c>
      <c r="E10" s="563">
        <v>4</v>
      </c>
      <c r="F10" s="563">
        <v>2</v>
      </c>
      <c r="G10" s="562">
        <v>3230.699999999997</v>
      </c>
      <c r="H10" s="565">
        <f t="shared" si="126"/>
      </c>
      <c r="I10" s="565">
        <f t="shared" si="63"/>
      </c>
      <c r="J10" s="565">
        <f t="shared" si="244"/>
      </c>
      <c r="K10" s="565">
        <f t="shared" si="181"/>
      </c>
      <c r="L10" s="565">
        <f t="shared" si="309"/>
      </c>
      <c r="M10" s="566">
        <f t="shared" si="276"/>
      </c>
      <c r="N10" s="566">
        <f t="shared" si="0"/>
      </c>
      <c r="O10" s="567">
        <f t="shared" si="342"/>
      </c>
      <c r="P10" s="567">
        <f t="shared" si="96"/>
      </c>
      <c r="Q10" s="568">
        <f t="shared" si="33"/>
      </c>
      <c r="R10" s="569">
        <v>0.0277</v>
      </c>
      <c r="S10" s="570">
        <v>55</v>
      </c>
      <c r="T10" s="571">
        <f t="shared" si="214"/>
      </c>
      <c r="U10" s="568">
        <v>16585</v>
      </c>
      <c r="V10" s="568">
        <v>1003</v>
      </c>
      <c r="W10" s="568">
        <v>110</v>
      </c>
      <c r="X10" s="568">
        <v>1241</v>
      </c>
      <c r="Y10" s="568">
        <v>73</v>
      </c>
      <c r="Z10" s="568">
        <v>13</v>
      </c>
      <c r="AA10" s="568">
        <v>3</v>
      </c>
      <c r="AB10" s="568">
        <v>10</v>
      </c>
      <c r="AC10" s="572">
        <f t="shared" si="157"/>
      </c>
      <c r="AD10" s="584" t="s">
        <v>383</v>
      </c>
      <c r="AE10" s="573" t="s">
        <v>384</v>
      </c>
      <c r="AF10" s="574">
        <v>36</v>
      </c>
    </row>
    <row r="11">
      <c r="A11" s="559"/>
      <c r="B11" s="561" t="s">
        <v>389</v>
      </c>
      <c r="C11" s="561" t="s">
        <v>393</v>
      </c>
      <c r="D11" s="562">
        <v>1443.31</v>
      </c>
      <c r="E11" s="563">
        <v>10</v>
      </c>
      <c r="F11" s="563">
        <v>6</v>
      </c>
      <c r="G11" s="562">
        <v>5530.800000000003</v>
      </c>
      <c r="H11" s="565">
        <f t="shared" si="126"/>
      </c>
      <c r="I11" s="565">
        <f t="shared" si="63"/>
      </c>
      <c r="J11" s="565">
        <f t="shared" si="244"/>
      </c>
      <c r="K11" s="565">
        <f t="shared" si="181"/>
      </c>
      <c r="L11" s="565">
        <f t="shared" si="309"/>
      </c>
      <c r="M11" s="566">
        <f t="shared" si="276"/>
      </c>
      <c r="N11" s="566">
        <f t="shared" si="0"/>
      </c>
      <c r="O11" s="567">
        <f t="shared" si="342"/>
      </c>
      <c r="P11" s="567">
        <f t="shared" si="96"/>
      </c>
      <c r="Q11" s="568">
        <f t="shared" si="33"/>
      </c>
      <c r="R11" s="569">
        <v>0.0261</v>
      </c>
      <c r="S11" s="570">
        <v>56</v>
      </c>
      <c r="T11" s="571">
        <f t="shared" si="214"/>
      </c>
      <c r="U11" s="568">
        <v>13670</v>
      </c>
      <c r="V11" s="568">
        <v>890</v>
      </c>
      <c r="W11" s="568">
        <v>93</v>
      </c>
      <c r="X11" s="568">
        <v>1134</v>
      </c>
      <c r="Y11" s="568">
        <v>61</v>
      </c>
      <c r="Z11" s="568">
        <v>11</v>
      </c>
      <c r="AA11" s="568">
        <v>3</v>
      </c>
      <c r="AB11" s="568">
        <v>11</v>
      </c>
      <c r="AC11" s="572">
        <f t="shared" si="157"/>
      </c>
      <c r="AD11" s="584" t="s">
        <v>383</v>
      </c>
      <c r="AE11" s="573" t="s">
        <v>384</v>
      </c>
      <c r="AF11" s="574">
        <v>28</v>
      </c>
    </row>
    <row r="12">
      <c r="A12" s="559"/>
      <c r="B12" s="575" t="s">
        <v>388</v>
      </c>
      <c r="C12" s="575"/>
      <c r="D12" s="576">
        <f>SUM(D8:D11)</f>
      </c>
      <c r="E12" s="576">
        <f>SUM(E8:E11)</f>
      </c>
      <c r="F12" s="577">
        <f>SUM(F8:F11)</f>
      </c>
      <c r="G12" s="576">
        <f>SUM(G8:G11)</f>
      </c>
      <c r="H12" s="578">
        <f t="shared" si="126"/>
      </c>
      <c r="I12" s="578">
        <f t="shared" si="63"/>
      </c>
      <c r="J12" s="578">
        <f t="shared" si="244"/>
      </c>
      <c r="K12" s="578">
        <f t="shared" si="181"/>
      </c>
      <c r="L12" s="578">
        <f t="shared" si="309"/>
      </c>
      <c r="M12" s="579">
        <f t="shared" si="276"/>
      </c>
      <c r="N12" s="579">
        <f t="shared" si="0"/>
      </c>
      <c r="O12" s="579">
        <f t="shared" si="342"/>
      </c>
      <c r="P12" s="579">
        <f t="shared" si="96"/>
      </c>
      <c r="Q12" s="580">
        <f t="shared" si="33"/>
      </c>
      <c r="R12" s="579">
        <f>AVERAGE(R8:R11)</f>
      </c>
      <c r="S12" s="576">
        <f>AVERAGE(S8:S11)</f>
      </c>
      <c r="T12" s="578">
        <f t="shared" si="214"/>
      </c>
      <c r="U12" s="580">
        <f>SUM(U8:U11)</f>
      </c>
      <c r="V12" s="580">
        <f>SUM(V8:V11)</f>
      </c>
      <c r="W12" s="580">
        <f>SUM(W8:W11)</f>
      </c>
      <c r="X12" s="580">
        <f>SUM(X8:X11)</f>
      </c>
      <c r="Y12" s="580">
        <f>SUM(Y8:Y11)</f>
      </c>
      <c r="Z12" s="580">
        <f>SUM(Z8:Z11)</f>
      </c>
      <c r="AA12" s="580">
        <f>SUM(AA8:AA11)</f>
      </c>
      <c r="AB12" s="580">
        <f>SUM(AB8:AB11)</f>
      </c>
      <c r="AC12" s="581">
        <f t="shared" si="157"/>
      </c>
      <c r="AD12" s="582"/>
      <c r="AE12" s="582"/>
      <c r="AF12" s="580">
        <f>SUM(AF8:AF11)</f>
      </c>
    </row>
    <row r="13">
      <c r="A13" s="559"/>
      <c r="B13" s="585" t="s">
        <v>394</v>
      </c>
      <c r="C13" s="585"/>
      <c r="D13" s="586">
        <f>D7+D12</f>
      </c>
      <c r="E13" s="586">
        <f>E7+E12</f>
      </c>
      <c r="F13" s="587">
        <f>F7+F12</f>
      </c>
      <c r="G13" s="586">
        <f>G7+G12</f>
      </c>
      <c r="H13" s="588">
        <f t="shared" si="126"/>
      </c>
      <c r="I13" s="588">
        <f t="shared" si="63"/>
      </c>
      <c r="J13" s="588">
        <v>745.3765</v>
      </c>
      <c r="K13" s="588">
        <f t="shared" si="181"/>
      </c>
      <c r="L13" s="588">
        <f t="shared" si="309"/>
      </c>
      <c r="M13" s="589">
        <f t="shared" si="276"/>
      </c>
      <c r="N13" s="589">
        <f t="shared" si="0"/>
      </c>
      <c r="O13" s="589">
        <f t="shared" si="342"/>
      </c>
      <c r="P13" s="589">
        <f t="shared" si="96"/>
      </c>
      <c r="Q13" s="590">
        <f t="shared" si="33"/>
      </c>
      <c r="R13" s="591">
        <f>(R7+R12)/2</f>
      </c>
      <c r="S13" s="592">
        <f>(S12+S7)/2</f>
      </c>
      <c r="T13" s="592">
        <f t="shared" si="214"/>
      </c>
      <c r="U13" s="590">
        <f>U7+U12</f>
      </c>
      <c r="V13" s="590">
        <f>V7+V12</f>
      </c>
      <c r="W13" s="590">
        <f>W7+W12</f>
      </c>
      <c r="X13" s="590">
        <f>X7+X12</f>
      </c>
      <c r="Y13" s="590">
        <f>Y7+Y12</f>
      </c>
      <c r="Z13" s="590">
        <f>Z7+Z12</f>
      </c>
      <c r="AA13" s="590">
        <f>AA7+AA12</f>
      </c>
      <c r="AB13" s="590">
        <f>AB7+AB12</f>
      </c>
      <c r="AC13" s="593">
        <f>AC7</f>
      </c>
      <c r="AD13" s="594"/>
      <c r="AE13" s="594"/>
      <c r="AF13" s="590">
        <f>AF7+AF12</f>
      </c>
    </row>
    <row customHeight="true" ht="19.642857142857142" r="14">
      <c r="A14" s="543" t="s">
        <v>395</v>
      </c>
      <c r="B14" s="543" t="s">
        <v>346</v>
      </c>
      <c r="C14" s="543"/>
      <c r="D14" s="544" t="s">
        <v>347</v>
      </c>
      <c r="E14" s="544"/>
      <c r="F14" s="544"/>
      <c r="G14" s="544"/>
      <c r="H14" s="544"/>
      <c r="I14" s="544"/>
      <c r="J14" s="544"/>
      <c r="K14" s="544"/>
      <c r="L14" s="545" t="s">
        <v>348</v>
      </c>
      <c r="M14" s="545"/>
      <c r="N14" s="545"/>
      <c r="O14" s="545"/>
      <c r="P14" s="545"/>
      <c r="Q14" s="545"/>
      <c r="R14" s="545"/>
      <c r="S14" s="545"/>
      <c r="T14" s="545"/>
      <c r="U14" s="545"/>
      <c r="V14" s="545"/>
      <c r="W14" s="545"/>
      <c r="X14" s="545"/>
      <c r="Y14" s="545"/>
      <c r="Z14" s="545"/>
      <c r="AA14" s="545"/>
      <c r="AB14" s="545"/>
      <c r="AC14" s="545"/>
      <c r="AD14" s="545"/>
      <c r="AE14" s="545"/>
      <c r="AF14" s="546"/>
    </row>
    <row r="15">
      <c r="A15" s="543"/>
      <c r="B15" s="547" t="s">
        <v>349</v>
      </c>
      <c r="C15" s="547" t="s">
        <v>350</v>
      </c>
      <c r="D15" s="548" t="s">
        <v>351</v>
      </c>
      <c r="E15" s="549" t="s">
        <v>352</v>
      </c>
      <c r="F15" s="550" t="s">
        <v>353</v>
      </c>
      <c r="G15" s="548" t="s">
        <v>354</v>
      </c>
      <c r="H15" s="551" t="s">
        <v>355</v>
      </c>
      <c r="I15" s="551" t="s">
        <v>356</v>
      </c>
      <c r="J15" s="552" t="s">
        <v>357</v>
      </c>
      <c r="K15" s="551" t="s">
        <v>358</v>
      </c>
      <c r="L15" s="553" t="s">
        <v>359</v>
      </c>
      <c r="M15" s="554" t="s">
        <v>360</v>
      </c>
      <c r="N15" s="554" t="s">
        <v>361</v>
      </c>
      <c r="O15" s="554" t="s">
        <v>362</v>
      </c>
      <c r="P15" s="554" t="s">
        <v>363</v>
      </c>
      <c r="Q15" s="555" t="s">
        <v>364</v>
      </c>
      <c r="R15" s="554" t="s">
        <v>365</v>
      </c>
      <c r="S15" s="555" t="s">
        <v>366</v>
      </c>
      <c r="T15" s="556" t="s">
        <v>367</v>
      </c>
      <c r="U15" s="557" t="s">
        <v>368</v>
      </c>
      <c r="V15" s="557" t="s">
        <v>369</v>
      </c>
      <c r="W15" s="557" t="s">
        <v>370</v>
      </c>
      <c r="X15" s="557" t="s">
        <v>371</v>
      </c>
      <c r="Y15" s="557" t="s">
        <v>372</v>
      </c>
      <c r="Z15" s="557" t="s">
        <v>373</v>
      </c>
      <c r="AA15" s="557" t="s">
        <v>374</v>
      </c>
      <c r="AB15" s="557" t="s">
        <v>375</v>
      </c>
      <c r="AC15" s="545" t="s">
        <v>376</v>
      </c>
      <c r="AD15" s="558" t="s">
        <v>377</v>
      </c>
      <c r="AE15" s="558" t="s">
        <v>378</v>
      </c>
      <c r="AF15" s="546" t="s">
        <v>379</v>
      </c>
    </row>
    <row r="16">
      <c r="A16" s="559" t="s">
        <v>396</v>
      </c>
      <c r="B16" s="560" t="s">
        <v>381</v>
      </c>
      <c r="C16" s="561" t="s">
        <v>382</v>
      </c>
      <c r="D16" s="562">
        <v>3000</v>
      </c>
      <c r="E16" s="563">
        <v>5</v>
      </c>
      <c r="F16" s="563">
        <v>4</v>
      </c>
      <c r="G16" s="564">
        <v>2255</v>
      </c>
      <c r="H16" s="565">
        <f t="shared" ref="H16:H26" si="127">G16/D16</f>
      </c>
      <c r="I16" s="565">
        <f t="shared" ref="I16:I26" si="64">D16/E16</f>
      </c>
      <c r="J16" s="565">
        <f t="shared" ref="J16:J25" si="245">D16/F16</f>
      </c>
      <c r="K16" s="565">
        <f t="shared" ref="K16:K26" si="182">G16/E16</f>
      </c>
      <c r="L16" s="565">
        <f t="shared" ref="L16:L26" si="310">D16/V16</f>
      </c>
      <c r="M16" s="566">
        <f t="shared" ref="M16:M26" si="277">Q16/U16*1</f>
      </c>
      <c r="N16" s="566">
        <f t="shared" ref="N16:N26" si="1">V16/U16</f>
      </c>
      <c r="O16" s="567">
        <f t="shared" ref="O16:O26" si="343">X16/U16</f>
      </c>
      <c r="P16" s="567">
        <f t="shared" ref="P16:P26" si="97">Y16/X16</f>
      </c>
      <c r="Q16" s="568">
        <f t="shared" ref="Q16:Q26" si="34">W16/R16</f>
      </c>
      <c r="R16" s="569">
        <v>0.0198</v>
      </c>
      <c r="S16" s="570">
        <v>37</v>
      </c>
      <c r="T16" s="571">
        <f t="shared" ref="T16:T26" si="215">(D16/U16)*1000</f>
      </c>
      <c r="U16" s="568">
        <v>22341</v>
      </c>
      <c r="V16" s="568">
        <v>1793</v>
      </c>
      <c r="W16" s="568">
        <v>132</v>
      </c>
      <c r="X16" s="568">
        <v>2340</v>
      </c>
      <c r="Y16" s="568">
        <v>82</v>
      </c>
      <c r="Z16" s="568">
        <v>15</v>
      </c>
      <c r="AA16" s="568">
        <v>6</v>
      </c>
      <c r="AB16" s="568">
        <v>26</v>
      </c>
      <c r="AC16" s="572">
        <f t="shared" ref="AC16:AC25" si="158">AF16*1000/D16</f>
      </c>
      <c r="AD16" s="573" t="s">
        <v>383</v>
      </c>
      <c r="AE16" s="573" t="s">
        <v>384</v>
      </c>
      <c r="AF16" s="574">
        <v>45</v>
      </c>
    </row>
    <row r="17">
      <c r="A17" s="559"/>
      <c r="B17" s="560" t="s">
        <v>381</v>
      </c>
      <c r="C17" s="561" t="s">
        <v>385</v>
      </c>
      <c r="D17" s="564">
        <v>2075.83</v>
      </c>
      <c r="E17" s="563">
        <v>5</v>
      </c>
      <c r="F17" s="563">
        <v>4</v>
      </c>
      <c r="G17" s="564">
        <v>2990.8999999999996</v>
      </c>
      <c r="H17" s="565">
        <f t="shared" si="127"/>
      </c>
      <c r="I17" s="565">
        <f t="shared" si="64"/>
      </c>
      <c r="J17" s="565">
        <f t="shared" si="245"/>
      </c>
      <c r="K17" s="565">
        <f t="shared" si="182"/>
      </c>
      <c r="L17" s="565">
        <f t="shared" si="310"/>
      </c>
      <c r="M17" s="566">
        <f t="shared" si="277"/>
      </c>
      <c r="N17" s="566">
        <f t="shared" si="1"/>
      </c>
      <c r="O17" s="567">
        <f t="shared" si="343"/>
      </c>
      <c r="P17" s="567">
        <f t="shared" si="97"/>
      </c>
      <c r="Q17" s="568">
        <f t="shared" si="34"/>
      </c>
      <c r="R17" s="569">
        <v>0.0358</v>
      </c>
      <c r="S17" s="570">
        <v>41</v>
      </c>
      <c r="T17" s="571">
        <f t="shared" si="215"/>
      </c>
      <c r="U17" s="568">
        <v>13947</v>
      </c>
      <c r="V17" s="568">
        <v>625</v>
      </c>
      <c r="W17" s="568">
        <v>78</v>
      </c>
      <c r="X17" s="568">
        <v>795</v>
      </c>
      <c r="Y17" s="568">
        <v>60</v>
      </c>
      <c r="Z17" s="568">
        <v>8</v>
      </c>
      <c r="AA17" s="568">
        <v>1</v>
      </c>
      <c r="AB17" s="568">
        <v>23</v>
      </c>
      <c r="AC17" s="572">
        <f t="shared" si="158"/>
      </c>
      <c r="AD17" s="573" t="s">
        <v>383</v>
      </c>
      <c r="AE17" s="573" t="s">
        <v>384</v>
      </c>
      <c r="AF17" s="574">
        <v>31</v>
      </c>
    </row>
    <row r="18">
      <c r="A18" s="559"/>
      <c r="B18" s="560" t="s">
        <v>381</v>
      </c>
      <c r="C18" s="561" t="s">
        <v>386</v>
      </c>
      <c r="D18" s="562">
        <v>2005.33</v>
      </c>
      <c r="E18" s="563">
        <v>3</v>
      </c>
      <c r="F18" s="563">
        <v>3</v>
      </c>
      <c r="G18" s="564">
        <v>2494.7999999999993</v>
      </c>
      <c r="H18" s="565">
        <f t="shared" si="127"/>
      </c>
      <c r="I18" s="565">
        <f t="shared" si="64"/>
      </c>
      <c r="J18" s="565">
        <f t="shared" si="245"/>
      </c>
      <c r="K18" s="565">
        <f t="shared" si="182"/>
      </c>
      <c r="L18" s="565">
        <f t="shared" si="310"/>
      </c>
      <c r="M18" s="566">
        <f t="shared" si="277"/>
      </c>
      <c r="N18" s="566">
        <f t="shared" si="1"/>
      </c>
      <c r="O18" s="567">
        <f t="shared" si="343"/>
      </c>
      <c r="P18" s="567">
        <f t="shared" si="97"/>
      </c>
      <c r="Q18" s="568">
        <f t="shared" si="34"/>
      </c>
      <c r="R18" s="569">
        <v>0.0148</v>
      </c>
      <c r="S18" s="570">
        <v>37</v>
      </c>
      <c r="T18" s="571">
        <f t="shared" si="215"/>
      </c>
      <c r="U18" s="568">
        <v>12197</v>
      </c>
      <c r="V18" s="568">
        <v>1050</v>
      </c>
      <c r="W18" s="568">
        <v>76</v>
      </c>
      <c r="X18" s="568">
        <v>1269</v>
      </c>
      <c r="Y18" s="568">
        <v>97</v>
      </c>
      <c r="Z18" s="568">
        <v>9</v>
      </c>
      <c r="AA18" s="568">
        <v>1</v>
      </c>
      <c r="AB18" s="568">
        <v>4</v>
      </c>
      <c r="AC18" s="572">
        <f t="shared" si="158"/>
      </c>
      <c r="AD18" s="573" t="s">
        <v>383</v>
      </c>
      <c r="AE18" s="573" t="s">
        <v>384</v>
      </c>
      <c r="AF18" s="574">
        <v>41</v>
      </c>
    </row>
    <row r="19">
      <c r="A19" s="559"/>
      <c r="B19" s="560" t="s">
        <v>381</v>
      </c>
      <c r="C19" s="561" t="s">
        <v>387</v>
      </c>
      <c r="D19" s="564">
        <v>2233.68</v>
      </c>
      <c r="E19" s="563">
        <v>6</v>
      </c>
      <c r="F19" s="563">
        <v>3</v>
      </c>
      <c r="G19" s="564">
        <v>3366</v>
      </c>
      <c r="H19" s="565">
        <f t="shared" si="127"/>
      </c>
      <c r="I19" s="565">
        <f t="shared" si="64"/>
      </c>
      <c r="J19" s="565">
        <f t="shared" si="245"/>
      </c>
      <c r="K19" s="565">
        <f t="shared" si="182"/>
      </c>
      <c r="L19" s="565">
        <f t="shared" si="310"/>
      </c>
      <c r="M19" s="566">
        <f t="shared" si="277"/>
      </c>
      <c r="N19" s="566">
        <f t="shared" si="1"/>
      </c>
      <c r="O19" s="567">
        <f t="shared" si="343"/>
      </c>
      <c r="P19" s="567">
        <f t="shared" si="97"/>
      </c>
      <c r="Q19" s="568">
        <f t="shared" si="34"/>
      </c>
      <c r="R19" s="569">
        <v>0.0165</v>
      </c>
      <c r="S19" s="570">
        <v>37</v>
      </c>
      <c r="T19" s="571">
        <f t="shared" si="215"/>
      </c>
      <c r="U19" s="568">
        <v>14691</v>
      </c>
      <c r="V19" s="570">
        <v>1240</v>
      </c>
      <c r="W19" s="570">
        <v>94</v>
      </c>
      <c r="X19" s="568">
        <v>1504</v>
      </c>
      <c r="Y19" s="570">
        <v>60</v>
      </c>
      <c r="Z19" s="570">
        <v>19</v>
      </c>
      <c r="AA19" s="570">
        <v>4</v>
      </c>
      <c r="AB19" s="570">
        <v>6</v>
      </c>
      <c r="AC19" s="572">
        <f t="shared" si="158"/>
      </c>
      <c r="AD19" s="573" t="s">
        <v>383</v>
      </c>
      <c r="AE19" s="573" t="s">
        <v>384</v>
      </c>
      <c r="AF19" s="574">
        <v>23</v>
      </c>
    </row>
    <row r="20">
      <c r="A20" s="559"/>
      <c r="B20" s="575" t="s">
        <v>388</v>
      </c>
      <c r="C20" s="575"/>
      <c r="D20" s="576">
        <f>SUM(D16:D19)</f>
      </c>
      <c r="E20" s="577">
        <f>SUM(E16:E19)</f>
      </c>
      <c r="F20" s="577">
        <f>SUM(F16:F19)</f>
      </c>
      <c r="G20" s="576">
        <f>SUM(G16:G19)</f>
      </c>
      <c r="H20" s="578">
        <f t="shared" si="127"/>
      </c>
      <c r="I20" s="578">
        <f t="shared" si="64"/>
      </c>
      <c r="J20" s="578">
        <f t="shared" si="245"/>
      </c>
      <c r="K20" s="578">
        <f t="shared" si="182"/>
      </c>
      <c r="L20" s="578">
        <f t="shared" si="310"/>
      </c>
      <c r="M20" s="579">
        <f t="shared" si="277"/>
      </c>
      <c r="N20" s="579">
        <f t="shared" si="1"/>
      </c>
      <c r="O20" s="579">
        <f t="shared" si="343"/>
      </c>
      <c r="P20" s="579">
        <f t="shared" si="97"/>
      </c>
      <c r="Q20" s="580">
        <f t="shared" si="34"/>
      </c>
      <c r="R20" s="579">
        <f>AVERAGE(R16:R19)</f>
      </c>
      <c r="S20" s="576">
        <f>AVERAGE(S16:S19)</f>
      </c>
      <c r="T20" s="578">
        <f t="shared" si="215"/>
      </c>
      <c r="U20" s="580">
        <f>SUM(U16:U19)</f>
      </c>
      <c r="V20" s="580">
        <f>SUM(V16:V19)</f>
      </c>
      <c r="W20" s="580">
        <f>SUM(W16:W19)</f>
      </c>
      <c r="X20" s="580">
        <f>SUM(X16:X19)</f>
      </c>
      <c r="Y20" s="580">
        <f>SUM(Y16:Y19)</f>
      </c>
      <c r="Z20" s="580">
        <f>SUM(Z16:Z19)</f>
      </c>
      <c r="AA20" s="580">
        <f>SUM(AA16:AA19)</f>
      </c>
      <c r="AB20" s="580">
        <f>SUM(AB16:AB19)</f>
      </c>
      <c r="AC20" s="581">
        <f t="shared" si="158"/>
      </c>
      <c r="AD20" s="582"/>
      <c r="AE20" s="582"/>
      <c r="AF20" s="583">
        <f>SUM(AF16:AF19)</f>
      </c>
    </row>
    <row r="21">
      <c r="A21" s="559"/>
      <c r="B21" s="561" t="s">
        <v>389</v>
      </c>
      <c r="C21" s="560" t="s">
        <v>390</v>
      </c>
      <c r="D21" s="562">
        <v>2328.53</v>
      </c>
      <c r="E21" s="563">
        <v>3</v>
      </c>
      <c r="F21" s="563">
        <v>3</v>
      </c>
      <c r="G21" s="562">
        <v>3276.8999999999996</v>
      </c>
      <c r="H21" s="565">
        <f t="shared" si="127"/>
      </c>
      <c r="I21" s="565">
        <f t="shared" si="64"/>
      </c>
      <c r="J21" s="565">
        <f t="shared" si="245"/>
      </c>
      <c r="K21" s="565">
        <f t="shared" si="182"/>
      </c>
      <c r="L21" s="565">
        <f t="shared" si="310"/>
      </c>
      <c r="M21" s="566">
        <f t="shared" si="277"/>
      </c>
      <c r="N21" s="566">
        <f t="shared" si="1"/>
      </c>
      <c r="O21" s="567">
        <f t="shared" si="343"/>
      </c>
      <c r="P21" s="567">
        <f t="shared" si="97"/>
      </c>
      <c r="Q21" s="568">
        <f t="shared" si="34"/>
      </c>
      <c r="R21" s="569">
        <v>0.0209</v>
      </c>
      <c r="S21" s="570">
        <v>37</v>
      </c>
      <c r="T21" s="571">
        <f t="shared" si="215"/>
      </c>
      <c r="U21" s="568">
        <v>14983</v>
      </c>
      <c r="V21" s="568">
        <v>1286</v>
      </c>
      <c r="W21" s="568">
        <v>121</v>
      </c>
      <c r="X21" s="568">
        <v>1541</v>
      </c>
      <c r="Y21" s="568">
        <v>86</v>
      </c>
      <c r="Z21" s="568">
        <v>13</v>
      </c>
      <c r="AA21" s="568">
        <v>2</v>
      </c>
      <c r="AB21" s="570">
        <v>8</v>
      </c>
      <c r="AC21" s="572">
        <f t="shared" si="158"/>
      </c>
      <c r="AD21" s="584" t="s">
        <v>383</v>
      </c>
      <c r="AE21" s="573" t="s">
        <v>384</v>
      </c>
      <c r="AF21" s="574">
        <v>42</v>
      </c>
    </row>
    <row r="22">
      <c r="A22" s="559"/>
      <c r="B22" s="561" t="s">
        <v>389</v>
      </c>
      <c r="C22" s="560" t="s">
        <v>391</v>
      </c>
      <c r="D22" s="562">
        <v>2189.99</v>
      </c>
      <c r="E22" s="563">
        <v>5</v>
      </c>
      <c r="F22" s="563">
        <v>3</v>
      </c>
      <c r="G22" s="562">
        <v>4673.9000000000015</v>
      </c>
      <c r="H22" s="565">
        <f t="shared" si="127"/>
      </c>
      <c r="I22" s="565">
        <f t="shared" si="64"/>
      </c>
      <c r="J22" s="565">
        <f t="shared" si="245"/>
      </c>
      <c r="K22" s="565">
        <f t="shared" si="182"/>
      </c>
      <c r="L22" s="565">
        <f t="shared" si="310"/>
      </c>
      <c r="M22" s="566">
        <f t="shared" si="277"/>
      </c>
      <c r="N22" s="566">
        <f t="shared" si="1"/>
      </c>
      <c r="O22" s="567">
        <f t="shared" si="343"/>
      </c>
      <c r="P22" s="567">
        <f t="shared" si="97"/>
      </c>
      <c r="Q22" s="568">
        <f t="shared" si="34"/>
      </c>
      <c r="R22" s="569">
        <v>0.0143</v>
      </c>
      <c r="S22" s="570">
        <v>35</v>
      </c>
      <c r="T22" s="571">
        <f t="shared" si="215"/>
      </c>
      <c r="U22" s="568">
        <v>17478</v>
      </c>
      <c r="V22" s="568">
        <v>1705</v>
      </c>
      <c r="W22" s="568">
        <v>106</v>
      </c>
      <c r="X22" s="568">
        <v>1950</v>
      </c>
      <c r="Y22" s="568">
        <v>53</v>
      </c>
      <c r="Z22" s="568">
        <v>11</v>
      </c>
      <c r="AA22" s="568">
        <v>1</v>
      </c>
      <c r="AB22" s="570">
        <v>10</v>
      </c>
      <c r="AC22" s="572">
        <f t="shared" si="158"/>
      </c>
      <c r="AD22" s="584" t="s">
        <v>383</v>
      </c>
      <c r="AE22" s="573" t="s">
        <v>384</v>
      </c>
      <c r="AF22" s="574">
        <v>24</v>
      </c>
    </row>
    <row r="23">
      <c r="A23" s="559"/>
      <c r="B23" s="561" t="s">
        <v>389</v>
      </c>
      <c r="C23" s="561" t="s">
        <v>392</v>
      </c>
      <c r="D23" s="562">
        <v>1756.45</v>
      </c>
      <c r="E23" s="563">
        <v>3</v>
      </c>
      <c r="F23" s="563">
        <v>1</v>
      </c>
      <c r="G23" s="562">
        <v>1353</v>
      </c>
      <c r="H23" s="565">
        <f t="shared" si="127"/>
      </c>
      <c r="I23" s="565">
        <f t="shared" si="64"/>
      </c>
      <c r="J23" s="565">
        <f t="shared" si="245"/>
      </c>
      <c r="K23" s="565">
        <f t="shared" si="182"/>
      </c>
      <c r="L23" s="565">
        <f t="shared" si="310"/>
      </c>
      <c r="M23" s="566">
        <f t="shared" si="277"/>
      </c>
      <c r="N23" s="566">
        <f t="shared" si="1"/>
      </c>
      <c r="O23" s="567">
        <f t="shared" si="343"/>
      </c>
      <c r="P23" s="567">
        <f t="shared" si="97"/>
      </c>
      <c r="Q23" s="568">
        <f t="shared" si="34"/>
      </c>
      <c r="R23" s="569">
        <v>0.0198</v>
      </c>
      <c r="S23" s="570">
        <v>35</v>
      </c>
      <c r="T23" s="571">
        <f t="shared" si="215"/>
      </c>
      <c r="U23" s="568">
        <v>12074</v>
      </c>
      <c r="V23" s="568">
        <v>1228</v>
      </c>
      <c r="W23" s="568">
        <v>75</v>
      </c>
      <c r="X23" s="568">
        <v>1471</v>
      </c>
      <c r="Y23" s="568">
        <v>45</v>
      </c>
      <c r="Z23" s="568">
        <v>10</v>
      </c>
      <c r="AA23" s="568">
        <v>1</v>
      </c>
      <c r="AB23" s="568">
        <v>7</v>
      </c>
      <c r="AC23" s="572">
        <f t="shared" si="158"/>
      </c>
      <c r="AD23" s="584" t="s">
        <v>383</v>
      </c>
      <c r="AE23" s="573" t="s">
        <v>384</v>
      </c>
      <c r="AF23" s="574">
        <v>21</v>
      </c>
    </row>
    <row r="24">
      <c r="A24" s="559"/>
      <c r="B24" s="561" t="s">
        <v>389</v>
      </c>
      <c r="C24" s="561" t="s">
        <v>393</v>
      </c>
      <c r="D24" s="564">
        <v>675.65</v>
      </c>
      <c r="E24" s="563">
        <v>2</v>
      </c>
      <c r="F24" s="563">
        <v>2</v>
      </c>
      <c r="G24" s="562">
        <v>902</v>
      </c>
      <c r="H24" s="565">
        <f t="shared" si="127"/>
      </c>
      <c r="I24" s="565">
        <f t="shared" si="64"/>
      </c>
      <c r="J24" s="565">
        <f t="shared" si="245"/>
      </c>
      <c r="K24" s="565">
        <f t="shared" si="182"/>
      </c>
      <c r="L24" s="565">
        <f t="shared" si="310"/>
      </c>
      <c r="M24" s="566">
        <f t="shared" si="277"/>
      </c>
      <c r="N24" s="566">
        <f t="shared" si="1"/>
      </c>
      <c r="O24" s="567">
        <f t="shared" si="343"/>
      </c>
      <c r="P24" s="567">
        <f t="shared" si="97"/>
      </c>
      <c r="Q24" s="568">
        <f t="shared" si="34"/>
      </c>
      <c r="R24" s="569">
        <v>0.0255</v>
      </c>
      <c r="S24" s="570">
        <v>36</v>
      </c>
      <c r="T24" s="571">
        <f t="shared" si="215"/>
      </c>
      <c r="U24" s="568">
        <v>4990</v>
      </c>
      <c r="V24" s="568">
        <v>563</v>
      </c>
      <c r="W24" s="568">
        <v>42</v>
      </c>
      <c r="X24" s="568">
        <v>681</v>
      </c>
      <c r="Y24" s="568">
        <v>78</v>
      </c>
      <c r="Z24" s="568">
        <v>10</v>
      </c>
      <c r="AA24" s="568">
        <v>0</v>
      </c>
      <c r="AB24" s="568">
        <v>4</v>
      </c>
      <c r="AC24" s="572">
        <f t="shared" si="158"/>
      </c>
      <c r="AD24" s="584" t="s">
        <v>383</v>
      </c>
      <c r="AE24" s="573" t="s">
        <v>384</v>
      </c>
      <c r="AF24" s="574">
        <v>20</v>
      </c>
    </row>
    <row r="25">
      <c r="A25" s="559"/>
      <c r="B25" s="575" t="s">
        <v>388</v>
      </c>
      <c r="C25" s="575"/>
      <c r="D25" s="576">
        <f>SUM(D21:D24)</f>
      </c>
      <c r="E25" s="576">
        <f>SUM(E21:E24)</f>
      </c>
      <c r="F25" s="577">
        <f>SUM(F21:F24)</f>
      </c>
      <c r="G25" s="576">
        <f>SUM(G21:G24)</f>
      </c>
      <c r="H25" s="578">
        <f t="shared" si="127"/>
      </c>
      <c r="I25" s="578">
        <f t="shared" si="64"/>
      </c>
      <c r="J25" s="578">
        <f t="shared" si="245"/>
      </c>
      <c r="K25" s="578">
        <f t="shared" si="182"/>
      </c>
      <c r="L25" s="578">
        <f t="shared" si="310"/>
      </c>
      <c r="M25" s="579">
        <f t="shared" si="277"/>
      </c>
      <c r="N25" s="579">
        <f t="shared" si="1"/>
      </c>
      <c r="O25" s="579">
        <f t="shared" si="343"/>
      </c>
      <c r="P25" s="579">
        <f t="shared" si="97"/>
      </c>
      <c r="Q25" s="580">
        <f t="shared" si="34"/>
      </c>
      <c r="R25" s="579">
        <f>AVERAGE(R21:R24)</f>
      </c>
      <c r="S25" s="576">
        <f>AVERAGE(S21:S24)</f>
      </c>
      <c r="T25" s="578">
        <f t="shared" si="215"/>
      </c>
      <c r="U25" s="580">
        <f>SUM(U21:U24)</f>
      </c>
      <c r="V25" s="580">
        <f>SUM(V21:V24)</f>
      </c>
      <c r="W25" s="580">
        <f>SUM(W21:W24)</f>
      </c>
      <c r="X25" s="580">
        <f>SUM(X21:X24)</f>
      </c>
      <c r="Y25" s="580">
        <f>SUM(Y21:Y24)</f>
      </c>
      <c r="Z25" s="580">
        <f>SUM(Z21:Z24)</f>
      </c>
      <c r="AA25" s="580">
        <f>SUM(AA21:AA24)</f>
      </c>
      <c r="AB25" s="580">
        <f>SUM(AB21:AB24)</f>
      </c>
      <c r="AC25" s="581">
        <f t="shared" si="158"/>
      </c>
      <c r="AD25" s="582"/>
      <c r="AE25" s="582"/>
      <c r="AF25" s="580">
        <f>SUM(AF21:AF24)</f>
      </c>
    </row>
    <row r="26">
      <c r="A26" s="559"/>
      <c r="B26" s="585" t="s">
        <v>394</v>
      </c>
      <c r="C26" s="585"/>
      <c r="D26" s="586">
        <f>D20+D25</f>
      </c>
      <c r="E26" s="586">
        <f>E20+E25</f>
      </c>
      <c r="F26" s="587">
        <f>F20+F25</f>
      </c>
      <c r="G26" s="586">
        <f>G20+G25</f>
      </c>
      <c r="H26" s="588">
        <f t="shared" si="127"/>
      </c>
      <c r="I26" s="588">
        <f t="shared" si="64"/>
      </c>
      <c r="J26" s="588">
        <v>745.3765</v>
      </c>
      <c r="K26" s="588">
        <f t="shared" si="182"/>
      </c>
      <c r="L26" s="588">
        <f t="shared" si="310"/>
      </c>
      <c r="M26" s="589">
        <f t="shared" si="277"/>
      </c>
      <c r="N26" s="589">
        <f t="shared" si="1"/>
      </c>
      <c r="O26" s="589">
        <f t="shared" si="343"/>
      </c>
      <c r="P26" s="589">
        <f t="shared" si="97"/>
      </c>
      <c r="Q26" s="590">
        <f t="shared" si="34"/>
      </c>
      <c r="R26" s="591">
        <f>(R20+R25)/2</f>
      </c>
      <c r="S26" s="592">
        <f>(S25+S20)/2</f>
      </c>
      <c r="T26" s="592">
        <f t="shared" si="215"/>
      </c>
      <c r="U26" s="590">
        <f>U20+U25</f>
      </c>
      <c r="V26" s="590">
        <f>V20+V25</f>
      </c>
      <c r="W26" s="590">
        <f>W20+W25</f>
      </c>
      <c r="X26" s="590">
        <f>X20+X25</f>
      </c>
      <c r="Y26" s="590">
        <f>Y20+Y25</f>
      </c>
      <c r="Z26" s="590">
        <f>Z20+Z25</f>
      </c>
      <c r="AA26" s="590">
        <f>AA20+AA25</f>
      </c>
      <c r="AB26" s="590">
        <f>AB20+AB25</f>
      </c>
      <c r="AC26" s="593">
        <f>AC20</f>
      </c>
      <c r="AD26" s="594"/>
      <c r="AE26" s="594"/>
      <c r="AF26" s="590">
        <f>AF20+AF25</f>
      </c>
    </row>
    <row r="27">
      <c r="A27" s="543" t="s">
        <v>395</v>
      </c>
      <c r="B27" s="543" t="s">
        <v>346</v>
      </c>
      <c r="C27" s="543"/>
      <c r="D27" s="544" t="s">
        <v>347</v>
      </c>
      <c r="E27" s="544"/>
      <c r="F27" s="544"/>
      <c r="G27" s="544"/>
      <c r="H27" s="544"/>
      <c r="I27" s="544"/>
      <c r="J27" s="544"/>
      <c r="K27" s="544"/>
      <c r="L27" s="545" t="s">
        <v>348</v>
      </c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5"/>
      <c r="X27" s="545"/>
      <c r="Y27" s="545"/>
      <c r="Z27" s="545"/>
      <c r="AA27" s="545"/>
      <c r="AB27" s="545"/>
      <c r="AC27" s="545"/>
      <c r="AD27" s="545"/>
      <c r="AE27" s="545"/>
      <c r="AF27" s="546"/>
    </row>
    <row r="28">
      <c r="A28" s="543"/>
      <c r="B28" s="547" t="s">
        <v>349</v>
      </c>
      <c r="C28" s="547" t="s">
        <v>350</v>
      </c>
      <c r="D28" s="548" t="s">
        <v>351</v>
      </c>
      <c r="E28" s="549" t="s">
        <v>352</v>
      </c>
      <c r="F28" s="550" t="s">
        <v>353</v>
      </c>
      <c r="G28" s="548" t="s">
        <v>354</v>
      </c>
      <c r="H28" s="551" t="s">
        <v>355</v>
      </c>
      <c r="I28" s="551" t="s">
        <v>356</v>
      </c>
      <c r="J28" s="552" t="s">
        <v>357</v>
      </c>
      <c r="K28" s="551" t="s">
        <v>358</v>
      </c>
      <c r="L28" s="553" t="s">
        <v>359</v>
      </c>
      <c r="M28" s="554" t="s">
        <v>360</v>
      </c>
      <c r="N28" s="554" t="s">
        <v>361</v>
      </c>
      <c r="O28" s="554" t="s">
        <v>362</v>
      </c>
      <c r="P28" s="554" t="s">
        <v>363</v>
      </c>
      <c r="Q28" s="555" t="s">
        <v>364</v>
      </c>
      <c r="R28" s="554" t="s">
        <v>365</v>
      </c>
      <c r="S28" s="555" t="s">
        <v>366</v>
      </c>
      <c r="T28" s="556" t="s">
        <v>367</v>
      </c>
      <c r="U28" s="557" t="s">
        <v>368</v>
      </c>
      <c r="V28" s="557" t="s">
        <v>369</v>
      </c>
      <c r="W28" s="557" t="s">
        <v>370</v>
      </c>
      <c r="X28" s="557" t="s">
        <v>371</v>
      </c>
      <c r="Y28" s="557" t="s">
        <v>372</v>
      </c>
      <c r="Z28" s="557" t="s">
        <v>373</v>
      </c>
      <c r="AA28" s="557" t="s">
        <v>374</v>
      </c>
      <c r="AB28" s="557" t="s">
        <v>375</v>
      </c>
      <c r="AC28" s="545" t="s">
        <v>376</v>
      </c>
      <c r="AD28" s="558" t="s">
        <v>377</v>
      </c>
      <c r="AE28" s="558" t="s">
        <v>378</v>
      </c>
      <c r="AF28" s="546" t="s">
        <v>379</v>
      </c>
    </row>
    <row r="29">
      <c r="A29" s="559" t="s">
        <v>397</v>
      </c>
      <c r="B29" s="560" t="s">
        <v>381</v>
      </c>
      <c r="C29" s="561" t="s">
        <v>382</v>
      </c>
      <c r="D29" s="562">
        <v>2994.57</v>
      </c>
      <c r="E29" s="563">
        <v>5</v>
      </c>
      <c r="F29" s="563">
        <v>5</v>
      </c>
      <c r="G29" s="564">
        <v>3947.9</v>
      </c>
      <c r="H29" s="565">
        <f t="shared" ref="H29:H39" si="128">G29/D29</f>
      </c>
      <c r="I29" s="565">
        <f t="shared" ref="I29:I39" si="65">D29/E29</f>
      </c>
      <c r="J29" s="565">
        <f t="shared" ref="J29:J38" si="246">D29/F29</f>
      </c>
      <c r="K29" s="565">
        <f t="shared" ref="K29:K39" si="183">G29/E29</f>
      </c>
      <c r="L29" s="565">
        <f t="shared" ref="L29:L39" si="311">D29/V29</f>
      </c>
      <c r="M29" s="566">
        <f t="shared" ref="M29:M39" si="278">Q29/U29*1</f>
      </c>
      <c r="N29" s="566">
        <f t="shared" ref="N29:N39" si="2">V29/U29</f>
      </c>
      <c r="O29" s="567">
        <f t="shared" ref="O29:O39" si="344">X29/U29</f>
      </c>
      <c r="P29" s="567">
        <f t="shared" ref="P29:P39" si="98">Y29/X29</f>
      </c>
      <c r="Q29" s="568">
        <f t="shared" ref="Q29:Q39" si="35">W29/R29</f>
      </c>
      <c r="R29" s="569">
        <v>0.0198</v>
      </c>
      <c r="S29" s="570">
        <v>43</v>
      </c>
      <c r="T29" s="571">
        <f t="shared" ref="T29:T39" si="216">(D29/U29)*1000</f>
      </c>
      <c r="U29" s="568">
        <v>19728</v>
      </c>
      <c r="V29" s="568">
        <v>1291</v>
      </c>
      <c r="W29" s="568">
        <v>146</v>
      </c>
      <c r="X29" s="568">
        <v>1626</v>
      </c>
      <c r="Y29" s="568">
        <v>82</v>
      </c>
      <c r="Z29" s="568">
        <v>26</v>
      </c>
      <c r="AA29" s="568">
        <v>1</v>
      </c>
      <c r="AB29" s="568">
        <v>16</v>
      </c>
      <c r="AC29" s="572">
        <f t="shared" ref="AC29:AC38" si="159">AF29*1000/D29</f>
      </c>
      <c r="AD29" s="573" t="s">
        <v>383</v>
      </c>
      <c r="AE29" s="573" t="s">
        <v>384</v>
      </c>
      <c r="AF29" s="574">
        <v>44</v>
      </c>
    </row>
    <row r="30">
      <c r="A30" s="559"/>
      <c r="B30" s="560" t="s">
        <v>381</v>
      </c>
      <c r="C30" s="561" t="s">
        <v>385</v>
      </c>
      <c r="D30" s="564">
        <v>2349.61</v>
      </c>
      <c r="E30" s="563">
        <v>5</v>
      </c>
      <c r="F30" s="563">
        <v>5</v>
      </c>
      <c r="G30" s="564">
        <v>4980.800000000001</v>
      </c>
      <c r="H30" s="565">
        <f t="shared" si="128"/>
      </c>
      <c r="I30" s="565">
        <f t="shared" si="65"/>
      </c>
      <c r="J30" s="565">
        <f t="shared" si="246"/>
      </c>
      <c r="K30" s="565">
        <f t="shared" si="183"/>
      </c>
      <c r="L30" s="565">
        <f t="shared" si="311"/>
      </c>
      <c r="M30" s="566">
        <f t="shared" si="278"/>
      </c>
      <c r="N30" s="566">
        <f t="shared" si="2"/>
      </c>
      <c r="O30" s="567">
        <f t="shared" si="344"/>
      </c>
      <c r="P30" s="567">
        <f t="shared" si="98"/>
      </c>
      <c r="Q30" s="568">
        <f t="shared" si="35"/>
      </c>
      <c r="R30" s="569">
        <v>0.0358</v>
      </c>
      <c r="S30" s="570">
        <v>51</v>
      </c>
      <c r="T30" s="571">
        <f t="shared" si="216"/>
      </c>
      <c r="U30" s="568">
        <v>16363</v>
      </c>
      <c r="V30" s="568">
        <v>616</v>
      </c>
      <c r="W30" s="568">
        <v>87</v>
      </c>
      <c r="X30" s="568">
        <v>698</v>
      </c>
      <c r="Y30" s="568">
        <v>91</v>
      </c>
      <c r="Z30" s="568">
        <v>13</v>
      </c>
      <c r="AA30" s="568">
        <v>2</v>
      </c>
      <c r="AB30" s="568">
        <v>27</v>
      </c>
      <c r="AC30" s="572">
        <f t="shared" si="159"/>
      </c>
      <c r="AD30" s="573" t="s">
        <v>383</v>
      </c>
      <c r="AE30" s="573" t="s">
        <v>384</v>
      </c>
      <c r="AF30" s="574">
        <v>40</v>
      </c>
    </row>
    <row r="31">
      <c r="A31" s="559"/>
      <c r="B31" s="560" t="s">
        <v>381</v>
      </c>
      <c r="C31" s="561" t="s">
        <v>386</v>
      </c>
      <c r="D31" s="562">
        <v>2965.12</v>
      </c>
      <c r="E31" s="563">
        <v>2</v>
      </c>
      <c r="F31" s="563">
        <v>2</v>
      </c>
      <c r="G31" s="564">
        <v>1232</v>
      </c>
      <c r="H31" s="565">
        <f t="shared" si="128"/>
      </c>
      <c r="I31" s="565">
        <f t="shared" si="65"/>
      </c>
      <c r="J31" s="565">
        <f t="shared" si="246"/>
      </c>
      <c r="K31" s="565">
        <f t="shared" si="183"/>
      </c>
      <c r="L31" s="565">
        <f t="shared" si="311"/>
      </c>
      <c r="M31" s="566">
        <f t="shared" si="278"/>
      </c>
      <c r="N31" s="566">
        <f t="shared" si="2"/>
      </c>
      <c r="O31" s="567">
        <f t="shared" si="344"/>
      </c>
      <c r="P31" s="567">
        <f t="shared" si="98"/>
      </c>
      <c r="Q31" s="568">
        <f t="shared" si="35"/>
      </c>
      <c r="R31" s="569">
        <v>0.0148</v>
      </c>
      <c r="S31" s="570">
        <v>48</v>
      </c>
      <c r="T31" s="571">
        <f t="shared" si="216"/>
      </c>
      <c r="U31" s="568">
        <v>19335</v>
      </c>
      <c r="V31" s="568">
        <v>849</v>
      </c>
      <c r="W31" s="568">
        <v>96</v>
      </c>
      <c r="X31" s="568">
        <v>1064</v>
      </c>
      <c r="Y31" s="568">
        <v>73</v>
      </c>
      <c r="Z31" s="568">
        <v>10</v>
      </c>
      <c r="AA31" s="568">
        <v>4</v>
      </c>
      <c r="AB31" s="568">
        <v>20</v>
      </c>
      <c r="AC31" s="572">
        <f t="shared" si="159"/>
      </c>
      <c r="AD31" s="573" t="s">
        <v>383</v>
      </c>
      <c r="AE31" s="573" t="s">
        <v>384</v>
      </c>
      <c r="AF31" s="574">
        <v>35</v>
      </c>
    </row>
    <row r="32">
      <c r="A32" s="559"/>
      <c r="B32" s="560" t="s">
        <v>381</v>
      </c>
      <c r="C32" s="561" t="s">
        <v>387</v>
      </c>
      <c r="D32" s="564">
        <v>2169.26</v>
      </c>
      <c r="E32" s="563">
        <v>4</v>
      </c>
      <c r="F32" s="563">
        <v>3</v>
      </c>
      <c r="G32" s="564">
        <v>2134</v>
      </c>
      <c r="H32" s="565">
        <f t="shared" si="128"/>
      </c>
      <c r="I32" s="565">
        <f t="shared" si="65"/>
      </c>
      <c r="J32" s="565">
        <f t="shared" si="246"/>
      </c>
      <c r="K32" s="565">
        <f t="shared" si="183"/>
      </c>
      <c r="L32" s="565">
        <f t="shared" si="311"/>
      </c>
      <c r="M32" s="566">
        <f t="shared" si="278"/>
      </c>
      <c r="N32" s="566">
        <f t="shared" si="2"/>
      </c>
      <c r="O32" s="567">
        <f t="shared" si="344"/>
      </c>
      <c r="P32" s="567">
        <f t="shared" si="98"/>
      </c>
      <c r="Q32" s="568">
        <f t="shared" si="35"/>
      </c>
      <c r="R32" s="569">
        <v>0.0165</v>
      </c>
      <c r="S32" s="570">
        <v>48</v>
      </c>
      <c r="T32" s="571">
        <f t="shared" si="216"/>
      </c>
      <c r="U32" s="568">
        <v>12047</v>
      </c>
      <c r="V32" s="570">
        <v>743</v>
      </c>
      <c r="W32" s="570">
        <v>96</v>
      </c>
      <c r="X32" s="568">
        <v>952</v>
      </c>
      <c r="Y32" s="570">
        <v>63</v>
      </c>
      <c r="Z32" s="570">
        <v>9</v>
      </c>
      <c r="AA32" s="570">
        <v>0</v>
      </c>
      <c r="AB32" s="570">
        <v>17</v>
      </c>
      <c r="AC32" s="572">
        <f t="shared" si="159"/>
      </c>
      <c r="AD32" s="573" t="s">
        <v>383</v>
      </c>
      <c r="AE32" s="573" t="s">
        <v>384</v>
      </c>
      <c r="AF32" s="574">
        <v>30</v>
      </c>
    </row>
    <row r="33">
      <c r="A33" s="559"/>
      <c r="B33" s="575" t="s">
        <v>388</v>
      </c>
      <c r="C33" s="575"/>
      <c r="D33" s="576">
        <f>SUM(D29:D32)</f>
      </c>
      <c r="E33" s="577">
        <f>SUM(E29:E32)</f>
      </c>
      <c r="F33" s="577">
        <f>SUM(F29:F32)</f>
      </c>
      <c r="G33" s="576">
        <f>SUM(G29:G32)</f>
      </c>
      <c r="H33" s="578">
        <f t="shared" si="128"/>
      </c>
      <c r="I33" s="578">
        <f t="shared" si="65"/>
      </c>
      <c r="J33" s="578">
        <f t="shared" si="246"/>
      </c>
      <c r="K33" s="578">
        <f t="shared" si="183"/>
      </c>
      <c r="L33" s="578">
        <f t="shared" si="311"/>
      </c>
      <c r="M33" s="579">
        <f t="shared" si="278"/>
      </c>
      <c r="N33" s="579">
        <f t="shared" si="2"/>
      </c>
      <c r="O33" s="579">
        <f t="shared" si="344"/>
      </c>
      <c r="P33" s="579">
        <f t="shared" si="98"/>
      </c>
      <c r="Q33" s="580">
        <f t="shared" si="35"/>
      </c>
      <c r="R33" s="579">
        <f>AVERAGE(R29:R32)</f>
      </c>
      <c r="S33" s="576">
        <f>AVERAGE(S29:S32)</f>
      </c>
      <c r="T33" s="578">
        <f t="shared" si="216"/>
      </c>
      <c r="U33" s="580">
        <f>SUM(U29:U32)</f>
      </c>
      <c r="V33" s="580">
        <f>SUM(V29:V32)</f>
      </c>
      <c r="W33" s="580">
        <f>SUM(W29:W32)</f>
      </c>
      <c r="X33" s="580">
        <f>SUM(X29:X32)</f>
      </c>
      <c r="Y33" s="580">
        <f>SUM(Y29:Y32)</f>
      </c>
      <c r="Z33" s="580">
        <f>SUM(Z29:Z32)</f>
      </c>
      <c r="AA33" s="580">
        <f>SUM(AA29:AA32)</f>
      </c>
      <c r="AB33" s="580">
        <f>SUM(AB29:AB32)</f>
      </c>
      <c r="AC33" s="581">
        <f t="shared" si="159"/>
      </c>
      <c r="AD33" s="582"/>
      <c r="AE33" s="582"/>
      <c r="AF33" s="583">
        <f>SUM(AF29:AF32)</f>
      </c>
    </row>
    <row r="34">
      <c r="A34" s="559"/>
      <c r="B34" s="561" t="s">
        <v>389</v>
      </c>
      <c r="C34" s="560" t="s">
        <v>390</v>
      </c>
      <c r="D34" s="562">
        <v>1769.62</v>
      </c>
      <c r="E34" s="563">
        <v>4</v>
      </c>
      <c r="F34" s="563">
        <v>4</v>
      </c>
      <c r="G34" s="562">
        <v>3685</v>
      </c>
      <c r="H34" s="565">
        <f t="shared" si="128"/>
      </c>
      <c r="I34" s="565">
        <f t="shared" si="65"/>
      </c>
      <c r="J34" s="565">
        <f t="shared" si="246"/>
      </c>
      <c r="K34" s="565">
        <f t="shared" si="183"/>
      </c>
      <c r="L34" s="565">
        <f t="shared" si="311"/>
      </c>
      <c r="M34" s="566">
        <f t="shared" si="278"/>
      </c>
      <c r="N34" s="566">
        <f t="shared" si="2"/>
      </c>
      <c r="O34" s="567">
        <f t="shared" si="344"/>
      </c>
      <c r="P34" s="567">
        <f t="shared" si="98"/>
      </c>
      <c r="Q34" s="568">
        <f t="shared" si="35"/>
      </c>
      <c r="R34" s="569">
        <v>0.0209</v>
      </c>
      <c r="S34" s="570">
        <v>46</v>
      </c>
      <c r="T34" s="571">
        <f t="shared" si="216"/>
      </c>
      <c r="U34" s="568">
        <v>12126</v>
      </c>
      <c r="V34" s="568">
        <v>694</v>
      </c>
      <c r="W34" s="568">
        <v>75</v>
      </c>
      <c r="X34" s="568">
        <v>875</v>
      </c>
      <c r="Y34" s="568">
        <v>59</v>
      </c>
      <c r="Z34" s="568">
        <v>11</v>
      </c>
      <c r="AA34" s="568">
        <v>0</v>
      </c>
      <c r="AB34" s="570">
        <v>19</v>
      </c>
      <c r="AC34" s="572">
        <f t="shared" si="159"/>
      </c>
      <c r="AD34" s="584" t="s">
        <v>383</v>
      </c>
      <c r="AE34" s="573" t="s">
        <v>384</v>
      </c>
      <c r="AF34" s="574">
        <v>24</v>
      </c>
    </row>
    <row r="35">
      <c r="A35" s="559"/>
      <c r="B35" s="561" t="s">
        <v>389</v>
      </c>
      <c r="C35" s="560" t="s">
        <v>391</v>
      </c>
      <c r="D35" s="562">
        <v>2278.72</v>
      </c>
      <c r="E35" s="563">
        <v>3</v>
      </c>
      <c r="F35" s="563">
        <v>3</v>
      </c>
      <c r="G35" s="562">
        <v>1683</v>
      </c>
      <c r="H35" s="565">
        <f t="shared" si="128"/>
      </c>
      <c r="I35" s="565">
        <f t="shared" si="65"/>
      </c>
      <c r="J35" s="565">
        <f t="shared" si="246"/>
      </c>
      <c r="K35" s="565">
        <f t="shared" si="183"/>
      </c>
      <c r="L35" s="565">
        <f t="shared" si="311"/>
      </c>
      <c r="M35" s="566">
        <f t="shared" si="278"/>
      </c>
      <c r="N35" s="566">
        <f t="shared" si="2"/>
      </c>
      <c r="O35" s="567">
        <f t="shared" si="344"/>
      </c>
      <c r="P35" s="567">
        <f t="shared" si="98"/>
      </c>
      <c r="Q35" s="568">
        <f t="shared" si="35"/>
      </c>
      <c r="R35" s="569">
        <v>0.0143</v>
      </c>
      <c r="S35" s="570">
        <v>43</v>
      </c>
      <c r="T35" s="571">
        <f t="shared" si="216"/>
      </c>
      <c r="U35" s="568">
        <v>16227</v>
      </c>
      <c r="V35" s="568">
        <v>1017</v>
      </c>
      <c r="W35" s="568">
        <v>94</v>
      </c>
      <c r="X35" s="568">
        <v>1292</v>
      </c>
      <c r="Y35" s="568">
        <v>74</v>
      </c>
      <c r="Z35" s="568">
        <v>8</v>
      </c>
      <c r="AA35" s="568">
        <v>1</v>
      </c>
      <c r="AB35" s="570">
        <v>20</v>
      </c>
      <c r="AC35" s="572">
        <f t="shared" si="159"/>
      </c>
      <c r="AD35" s="584" t="s">
        <v>383</v>
      </c>
      <c r="AE35" s="573" t="s">
        <v>384</v>
      </c>
      <c r="AF35" s="574">
        <v>33</v>
      </c>
    </row>
    <row r="36">
      <c r="A36" s="559"/>
      <c r="B36" s="561" t="s">
        <v>389</v>
      </c>
      <c r="C36" s="561" t="s">
        <v>392</v>
      </c>
      <c r="D36" s="562">
        <v>2245.43</v>
      </c>
      <c r="E36" s="563">
        <v>5</v>
      </c>
      <c r="F36" s="563">
        <v>3</v>
      </c>
      <c r="G36" s="562">
        <v>2660.899999999998</v>
      </c>
      <c r="H36" s="565">
        <f t="shared" si="128"/>
      </c>
      <c r="I36" s="565">
        <f t="shared" si="65"/>
      </c>
      <c r="J36" s="565">
        <f t="shared" si="246"/>
      </c>
      <c r="K36" s="565">
        <f t="shared" si="183"/>
      </c>
      <c r="L36" s="565">
        <f t="shared" si="311"/>
      </c>
      <c r="M36" s="566">
        <f t="shared" si="278"/>
      </c>
      <c r="N36" s="566">
        <f t="shared" si="2"/>
      </c>
      <c r="O36" s="567">
        <f t="shared" si="344"/>
      </c>
      <c r="P36" s="567">
        <f t="shared" si="98"/>
      </c>
      <c r="Q36" s="568">
        <f t="shared" si="35"/>
      </c>
      <c r="R36" s="569">
        <v>0.0198</v>
      </c>
      <c r="S36" s="570">
        <v>42</v>
      </c>
      <c r="T36" s="571">
        <f t="shared" si="216"/>
      </c>
      <c r="U36" s="568">
        <v>14288</v>
      </c>
      <c r="V36" s="568">
        <v>1148</v>
      </c>
      <c r="W36" s="568">
        <v>93</v>
      </c>
      <c r="X36" s="568">
        <v>1525</v>
      </c>
      <c r="Y36" s="568">
        <v>95</v>
      </c>
      <c r="Z36" s="568">
        <v>12</v>
      </c>
      <c r="AA36" s="568">
        <v>0</v>
      </c>
      <c r="AB36" s="568">
        <v>22</v>
      </c>
      <c r="AC36" s="572">
        <f t="shared" si="159"/>
      </c>
      <c r="AD36" s="584" t="s">
        <v>383</v>
      </c>
      <c r="AE36" s="573" t="s">
        <v>384</v>
      </c>
      <c r="AF36" s="574">
        <v>37</v>
      </c>
    </row>
    <row r="37">
      <c r="A37" s="559"/>
      <c r="B37" s="561" t="s">
        <v>389</v>
      </c>
      <c r="C37" s="561" t="s">
        <v>393</v>
      </c>
      <c r="D37" s="564">
        <v>1000.07</v>
      </c>
      <c r="E37" s="563">
        <v>2</v>
      </c>
      <c r="F37" s="563">
        <v>1</v>
      </c>
      <c r="G37" s="562">
        <v>1307.9000000000015</v>
      </c>
      <c r="H37" s="565">
        <f t="shared" si="128"/>
      </c>
      <c r="I37" s="565">
        <f t="shared" si="65"/>
      </c>
      <c r="J37" s="565">
        <f t="shared" si="246"/>
      </c>
      <c r="K37" s="565">
        <f t="shared" si="183"/>
      </c>
      <c r="L37" s="565">
        <f t="shared" si="311"/>
      </c>
      <c r="M37" s="566">
        <f t="shared" si="278"/>
      </c>
      <c r="N37" s="566">
        <f t="shared" si="2"/>
      </c>
      <c r="O37" s="567">
        <f t="shared" si="344"/>
      </c>
      <c r="P37" s="567">
        <f t="shared" si="98"/>
      </c>
      <c r="Q37" s="568">
        <f t="shared" si="35"/>
      </c>
      <c r="R37" s="569">
        <v>0.0255</v>
      </c>
      <c r="S37" s="570">
        <v>43</v>
      </c>
      <c r="T37" s="571">
        <f t="shared" si="216"/>
      </c>
      <c r="U37" s="568">
        <v>8291</v>
      </c>
      <c r="V37" s="568">
        <v>661</v>
      </c>
      <c r="W37" s="568">
        <v>44</v>
      </c>
      <c r="X37" s="568">
        <v>890</v>
      </c>
      <c r="Y37" s="568">
        <v>43</v>
      </c>
      <c r="Z37" s="568">
        <v>3</v>
      </c>
      <c r="AA37" s="568">
        <v>0</v>
      </c>
      <c r="AB37" s="568">
        <v>8</v>
      </c>
      <c r="AC37" s="572">
        <f t="shared" si="159"/>
      </c>
      <c r="AD37" s="584" t="s">
        <v>383</v>
      </c>
      <c r="AE37" s="573" t="s">
        <v>384</v>
      </c>
      <c r="AF37" s="574">
        <v>18</v>
      </c>
    </row>
    <row r="38">
      <c r="A38" s="559"/>
      <c r="B38" s="575" t="s">
        <v>388</v>
      </c>
      <c r="C38" s="575"/>
      <c r="D38" s="576">
        <f>SUM(D34:D37)</f>
      </c>
      <c r="E38" s="577">
        <f>SUM(E34:E37)</f>
      </c>
      <c r="F38" s="577">
        <f>SUM(F34:F37)</f>
      </c>
      <c r="G38" s="576">
        <f>SUM(G34:G37)</f>
      </c>
      <c r="H38" s="578">
        <f t="shared" si="128"/>
      </c>
      <c r="I38" s="578">
        <f t="shared" si="65"/>
      </c>
      <c r="J38" s="578">
        <f t="shared" si="246"/>
      </c>
      <c r="K38" s="578">
        <f t="shared" si="183"/>
      </c>
      <c r="L38" s="578">
        <f t="shared" si="311"/>
      </c>
      <c r="M38" s="579">
        <f t="shared" si="278"/>
      </c>
      <c r="N38" s="579">
        <f t="shared" si="2"/>
      </c>
      <c r="O38" s="579">
        <f t="shared" si="344"/>
      </c>
      <c r="P38" s="579">
        <f t="shared" si="98"/>
      </c>
      <c r="Q38" s="580">
        <f t="shared" si="35"/>
      </c>
      <c r="R38" s="579">
        <f>AVERAGE(R34:R37)</f>
      </c>
      <c r="S38" s="576">
        <f>AVERAGE(S34:S37)</f>
      </c>
      <c r="T38" s="578">
        <f t="shared" si="216"/>
      </c>
      <c r="U38" s="580">
        <f>SUM(U34:U37)</f>
      </c>
      <c r="V38" s="580">
        <f>SUM(V34:V37)</f>
      </c>
      <c r="W38" s="580">
        <f>SUM(W34:W37)</f>
      </c>
      <c r="X38" s="580">
        <f>SUM(X34:X37)</f>
      </c>
      <c r="Y38" s="580">
        <f>SUM(Y34:Y37)</f>
      </c>
      <c r="Z38" s="580">
        <f>SUM(Z34:Z37)</f>
      </c>
      <c r="AA38" s="580">
        <f>SUM(AA34:AA37)</f>
      </c>
      <c r="AB38" s="580">
        <f>SUM(AB34:AB37)</f>
      </c>
      <c r="AC38" s="581">
        <f t="shared" si="159"/>
      </c>
      <c r="AD38" s="582"/>
      <c r="AE38" s="582"/>
      <c r="AF38" s="580">
        <f>SUM(AF34:AF37)</f>
      </c>
    </row>
    <row r="39">
      <c r="A39" s="559"/>
      <c r="B39" s="585" t="s">
        <v>394</v>
      </c>
      <c r="C39" s="585"/>
      <c r="D39" s="586">
        <f>D33+D38</f>
      </c>
      <c r="E39" s="587">
        <f>E33+E38</f>
      </c>
      <c r="F39" s="587">
        <f>F33+F38</f>
      </c>
      <c r="G39" s="586">
        <f>G33+G38</f>
      </c>
      <c r="H39" s="588">
        <f t="shared" si="128"/>
      </c>
      <c r="I39" s="588">
        <f t="shared" si="65"/>
      </c>
      <c r="J39" s="588">
        <v>745.3765</v>
      </c>
      <c r="K39" s="588">
        <f t="shared" si="183"/>
      </c>
      <c r="L39" s="588">
        <f t="shared" si="311"/>
      </c>
      <c r="M39" s="589">
        <f t="shared" si="278"/>
      </c>
      <c r="N39" s="589">
        <f t="shared" si="2"/>
      </c>
      <c r="O39" s="589">
        <f t="shared" si="344"/>
      </c>
      <c r="P39" s="589">
        <f t="shared" si="98"/>
      </c>
      <c r="Q39" s="590">
        <f t="shared" si="35"/>
      </c>
      <c r="R39" s="591">
        <f>(R33+R38)/2</f>
      </c>
      <c r="S39" s="592">
        <f>(S38+S33)/2</f>
      </c>
      <c r="T39" s="592">
        <f t="shared" si="216"/>
      </c>
      <c r="U39" s="590">
        <f>U33+U38</f>
      </c>
      <c r="V39" s="590">
        <f>V33+V38</f>
      </c>
      <c r="W39" s="590">
        <f>W33+W38</f>
      </c>
      <c r="X39" s="590">
        <f>X33+X38</f>
      </c>
      <c r="Y39" s="590">
        <f>Y33+Y38</f>
      </c>
      <c r="Z39" s="590">
        <f>Z33+Z38</f>
      </c>
      <c r="AA39" s="590">
        <f>AA33+AA38</f>
      </c>
      <c r="AB39" s="590">
        <f>AB33+AB38</f>
      </c>
      <c r="AC39" s="593">
        <f>AC33</f>
      </c>
      <c r="AD39" s="594"/>
      <c r="AE39" s="594"/>
      <c r="AF39" s="590">
        <f>AF33+AF38</f>
      </c>
    </row>
    <row r="40">
      <c r="A40" s="543" t="s">
        <v>395</v>
      </c>
      <c r="B40" s="543" t="s">
        <v>346</v>
      </c>
      <c r="C40" s="543"/>
      <c r="D40" s="544" t="s">
        <v>347</v>
      </c>
      <c r="E40" s="544"/>
      <c r="F40" s="544"/>
      <c r="G40" s="544"/>
      <c r="H40" s="544"/>
      <c r="I40" s="544"/>
      <c r="J40" s="544"/>
      <c r="K40" s="544"/>
      <c r="L40" s="545" t="s">
        <v>348</v>
      </c>
      <c r="M40" s="545"/>
      <c r="N40" s="545"/>
      <c r="O40" s="545"/>
      <c r="P40" s="545"/>
      <c r="Q40" s="545"/>
      <c r="R40" s="545"/>
      <c r="S40" s="545"/>
      <c r="T40" s="545"/>
      <c r="U40" s="545"/>
      <c r="V40" s="545"/>
      <c r="W40" s="545"/>
      <c r="X40" s="545"/>
      <c r="Y40" s="545"/>
      <c r="Z40" s="545"/>
      <c r="AA40" s="545"/>
      <c r="AB40" s="545"/>
      <c r="AC40" s="545"/>
      <c r="AD40" s="545"/>
      <c r="AE40" s="545"/>
      <c r="AF40" s="546"/>
    </row>
    <row r="41">
      <c r="A41" s="543"/>
      <c r="B41" s="547" t="s">
        <v>349</v>
      </c>
      <c r="C41" s="547" t="s">
        <v>350</v>
      </c>
      <c r="D41" s="548" t="s">
        <v>351</v>
      </c>
      <c r="E41" s="549" t="s">
        <v>352</v>
      </c>
      <c r="F41" s="550" t="s">
        <v>353</v>
      </c>
      <c r="G41" s="548" t="s">
        <v>354</v>
      </c>
      <c r="H41" s="551" t="s">
        <v>355</v>
      </c>
      <c r="I41" s="551" t="s">
        <v>356</v>
      </c>
      <c r="J41" s="552" t="s">
        <v>357</v>
      </c>
      <c r="K41" s="551" t="s">
        <v>358</v>
      </c>
      <c r="L41" s="553" t="s">
        <v>359</v>
      </c>
      <c r="M41" s="554" t="s">
        <v>360</v>
      </c>
      <c r="N41" s="554" t="s">
        <v>361</v>
      </c>
      <c r="O41" s="554" t="s">
        <v>362</v>
      </c>
      <c r="P41" s="554" t="s">
        <v>363</v>
      </c>
      <c r="Q41" s="555" t="s">
        <v>364</v>
      </c>
      <c r="R41" s="554" t="s">
        <v>365</v>
      </c>
      <c r="S41" s="555" t="s">
        <v>366</v>
      </c>
      <c r="T41" s="556" t="s">
        <v>367</v>
      </c>
      <c r="U41" s="557" t="s">
        <v>368</v>
      </c>
      <c r="V41" s="557" t="s">
        <v>369</v>
      </c>
      <c r="W41" s="557" t="s">
        <v>370</v>
      </c>
      <c r="X41" s="557" t="s">
        <v>371</v>
      </c>
      <c r="Y41" s="557" t="s">
        <v>372</v>
      </c>
      <c r="Z41" s="557" t="s">
        <v>373</v>
      </c>
      <c r="AA41" s="557" t="s">
        <v>374</v>
      </c>
      <c r="AB41" s="557" t="s">
        <v>375</v>
      </c>
      <c r="AC41" s="545" t="s">
        <v>376</v>
      </c>
      <c r="AD41" s="558" t="s">
        <v>377</v>
      </c>
      <c r="AE41" s="558" t="s">
        <v>378</v>
      </c>
      <c r="AF41" s="546" t="s">
        <v>379</v>
      </c>
    </row>
    <row r="42">
      <c r="A42" s="559" t="s">
        <v>398</v>
      </c>
      <c r="B42" s="560" t="s">
        <v>381</v>
      </c>
      <c r="C42" s="561" t="s">
        <v>382</v>
      </c>
      <c r="D42" s="562">
        <v>3000</v>
      </c>
      <c r="E42" s="563">
        <v>1</v>
      </c>
      <c r="F42" s="563">
        <v>1</v>
      </c>
      <c r="G42" s="564">
        <v>451</v>
      </c>
      <c r="H42" s="565">
        <f t="shared" ref="H42:H52" si="129">G42/D42</f>
      </c>
      <c r="I42" s="565">
        <f t="shared" ref="I42:I52" si="66">D42/E42</f>
      </c>
      <c r="J42" s="565">
        <f t="shared" ref="J42:J51" si="247">D42/F42</f>
      </c>
      <c r="K42" s="565">
        <f t="shared" ref="K42:K52" si="184">G42/E42</f>
      </c>
      <c r="L42" s="565">
        <f t="shared" ref="L42:L52" si="312">D42/V42</f>
      </c>
      <c r="M42" s="566">
        <f t="shared" ref="M42:M52" si="279">Q42/U42*1</f>
      </c>
      <c r="N42" s="566">
        <f t="shared" ref="N42:N52" si="3">V42/U42</f>
      </c>
      <c r="O42" s="567">
        <f t="shared" ref="O42:O52" si="345">X42/U42</f>
      </c>
      <c r="P42" s="567">
        <f t="shared" ref="P42:P52" si="99">Y42/X42</f>
      </c>
      <c r="Q42" s="568">
        <f t="shared" ref="Q42:Q52" si="36">W42/R42</f>
      </c>
      <c r="R42" s="569">
        <v>0.0198</v>
      </c>
      <c r="S42" s="570">
        <v>41</v>
      </c>
      <c r="T42" s="571">
        <f t="shared" ref="T42:T52" si="217">(D42/U42)*1000</f>
      </c>
      <c r="U42" s="595">
        <v>16342</v>
      </c>
      <c r="V42" s="595">
        <v>1382</v>
      </c>
      <c r="W42" s="595">
        <v>138</v>
      </c>
      <c r="X42" s="595">
        <v>1801</v>
      </c>
      <c r="Y42" s="595">
        <v>99</v>
      </c>
      <c r="Z42" s="595">
        <v>15</v>
      </c>
      <c r="AA42" s="595">
        <v>2</v>
      </c>
      <c r="AB42" s="595">
        <v>17</v>
      </c>
      <c r="AC42" s="572">
        <v>0</v>
      </c>
      <c r="AD42" s="596" t="s">
        <v>399</v>
      </c>
      <c r="AE42" s="596" t="s">
        <v>400</v>
      </c>
      <c r="AF42" s="574">
        <v>45</v>
      </c>
    </row>
    <row r="43">
      <c r="A43" s="559"/>
      <c r="B43" s="560" t="s">
        <v>381</v>
      </c>
      <c r="C43" s="561" t="s">
        <v>385</v>
      </c>
      <c r="D43" s="564">
        <v>0</v>
      </c>
      <c r="E43" s="563">
        <v>2</v>
      </c>
      <c r="F43" s="563">
        <v>2</v>
      </c>
      <c r="G43" s="564">
        <v>902</v>
      </c>
      <c r="H43" s="565">
        <f t="shared" si="129"/>
      </c>
      <c r="I43" s="565">
        <f t="shared" si="66"/>
      </c>
      <c r="J43" s="565">
        <f t="shared" si="247"/>
      </c>
      <c r="K43" s="565">
        <f t="shared" si="184"/>
      </c>
      <c r="L43" s="565">
        <f t="shared" si="312"/>
      </c>
      <c r="M43" s="566">
        <f t="shared" si="279"/>
      </c>
      <c r="N43" s="566">
        <f t="shared" si="3"/>
      </c>
      <c r="O43" s="567">
        <f t="shared" si="345"/>
      </c>
      <c r="P43" s="567">
        <f t="shared" si="99"/>
      </c>
      <c r="Q43" s="568">
        <f t="shared" si="36"/>
      </c>
      <c r="R43" s="569">
        <v>0.0358</v>
      </c>
      <c r="S43" s="570">
        <v>46</v>
      </c>
      <c r="T43" s="571">
        <f t="shared" si="217"/>
      </c>
      <c r="U43" s="595">
        <v>476</v>
      </c>
      <c r="V43" s="595">
        <v>29</v>
      </c>
      <c r="W43" s="595">
        <v>6</v>
      </c>
      <c r="X43" s="595">
        <v>33</v>
      </c>
      <c r="Y43" s="595">
        <v>25</v>
      </c>
      <c r="Z43" s="595">
        <v>1</v>
      </c>
      <c r="AA43" s="595">
        <v>1</v>
      </c>
      <c r="AB43" s="595">
        <v>0</v>
      </c>
      <c r="AC43" s="572">
        <v>0</v>
      </c>
      <c r="AD43" s="596" t="s">
        <v>399</v>
      </c>
      <c r="AE43" s="596" t="s">
        <v>400</v>
      </c>
      <c r="AF43" s="574">
        <v>1</v>
      </c>
    </row>
    <row r="44">
      <c r="A44" s="559"/>
      <c r="B44" s="560" t="s">
        <v>381</v>
      </c>
      <c r="C44" s="561" t="s">
        <v>386</v>
      </c>
      <c r="D44" s="562">
        <v>1831.04</v>
      </c>
      <c r="E44" s="563">
        <v>4</v>
      </c>
      <c r="F44" s="563">
        <v>1</v>
      </c>
      <c r="G44" s="564">
        <v>2134</v>
      </c>
      <c r="H44" s="565">
        <f t="shared" si="129"/>
      </c>
      <c r="I44" s="565">
        <f t="shared" si="66"/>
      </c>
      <c r="J44" s="565">
        <f t="shared" si="247"/>
      </c>
      <c r="K44" s="565">
        <f t="shared" si="184"/>
      </c>
      <c r="L44" s="565">
        <f t="shared" si="312"/>
      </c>
      <c r="M44" s="566">
        <f t="shared" si="279"/>
      </c>
      <c r="N44" s="566">
        <f t="shared" si="3"/>
      </c>
      <c r="O44" s="567">
        <f t="shared" si="345"/>
      </c>
      <c r="P44" s="567">
        <f t="shared" si="99"/>
      </c>
      <c r="Q44" s="568">
        <f t="shared" si="36"/>
      </c>
      <c r="R44" s="569">
        <v>0.0148</v>
      </c>
      <c r="S44" s="570">
        <v>49</v>
      </c>
      <c r="T44" s="571">
        <f t="shared" si="217"/>
      </c>
      <c r="U44" s="595">
        <v>8863</v>
      </c>
      <c r="V44" s="595">
        <v>684</v>
      </c>
      <c r="W44" s="595">
        <v>73</v>
      </c>
      <c r="X44" s="595">
        <v>851</v>
      </c>
      <c r="Y44" s="595">
        <v>50</v>
      </c>
      <c r="Z44" s="595">
        <v>8</v>
      </c>
      <c r="AA44" s="595">
        <v>0</v>
      </c>
      <c r="AB44" s="595">
        <v>10</v>
      </c>
      <c r="AC44" s="572">
        <v>10</v>
      </c>
      <c r="AD44" s="596" t="s">
        <v>399</v>
      </c>
      <c r="AE44" s="596" t="s">
        <v>400</v>
      </c>
      <c r="AF44" s="574">
        <v>26</v>
      </c>
    </row>
    <row r="45">
      <c r="A45" s="559"/>
      <c r="B45" s="560" t="s">
        <v>381</v>
      </c>
      <c r="C45" s="561" t="s">
        <v>387</v>
      </c>
      <c r="D45" s="564">
        <v>2948.1</v>
      </c>
      <c r="E45" s="563">
        <v>8</v>
      </c>
      <c r="F45" s="563">
        <v>8</v>
      </c>
      <c r="G45" s="564">
        <v>5704.6</v>
      </c>
      <c r="H45" s="565">
        <f t="shared" si="129"/>
      </c>
      <c r="I45" s="565">
        <f t="shared" si="66"/>
      </c>
      <c r="J45" s="565">
        <f t="shared" si="247"/>
      </c>
      <c r="K45" s="565">
        <f t="shared" si="184"/>
      </c>
      <c r="L45" s="565">
        <f t="shared" si="312"/>
      </c>
      <c r="M45" s="566">
        <f t="shared" si="279"/>
      </c>
      <c r="N45" s="566">
        <f t="shared" si="3"/>
      </c>
      <c r="O45" s="567">
        <f t="shared" si="345"/>
      </c>
      <c r="P45" s="567">
        <f t="shared" si="99"/>
      </c>
      <c r="Q45" s="568">
        <f t="shared" si="36"/>
      </c>
      <c r="R45" s="569">
        <v>0.0165</v>
      </c>
      <c r="S45" s="570">
        <v>48</v>
      </c>
      <c r="T45" s="571">
        <f t="shared" si="217"/>
      </c>
      <c r="U45" s="595">
        <v>14214</v>
      </c>
      <c r="V45" s="595">
        <v>1064</v>
      </c>
      <c r="W45" s="595">
        <v>129</v>
      </c>
      <c r="X45" s="595">
        <v>1287</v>
      </c>
      <c r="Y45" s="595">
        <v>112</v>
      </c>
      <c r="Z45" s="595">
        <v>15</v>
      </c>
      <c r="AA45" s="595">
        <v>5</v>
      </c>
      <c r="AB45" s="595">
        <v>22</v>
      </c>
      <c r="AC45" s="572">
        <v>22</v>
      </c>
      <c r="AD45" s="596" t="s">
        <v>399</v>
      </c>
      <c r="AE45" s="596" t="s">
        <v>400</v>
      </c>
      <c r="AF45" s="574">
        <v>37</v>
      </c>
    </row>
    <row r="46">
      <c r="A46" s="559"/>
      <c r="B46" s="575" t="s">
        <v>388</v>
      </c>
      <c r="C46" s="575"/>
      <c r="D46" s="576">
        <f>SUM(D42:D45)</f>
      </c>
      <c r="E46" s="577">
        <f>SUM(E42:E45)</f>
      </c>
      <c r="F46" s="577">
        <f>SUM(F42:F45)</f>
      </c>
      <c r="G46" s="576">
        <f>SUM(G42:G45)</f>
      </c>
      <c r="H46" s="578">
        <f t="shared" si="129"/>
      </c>
      <c r="I46" s="578">
        <f t="shared" si="66"/>
      </c>
      <c r="J46" s="578">
        <f t="shared" si="247"/>
      </c>
      <c r="K46" s="578">
        <f t="shared" si="184"/>
      </c>
      <c r="L46" s="578">
        <f t="shared" si="312"/>
      </c>
      <c r="M46" s="579">
        <f t="shared" si="279"/>
      </c>
      <c r="N46" s="579">
        <f t="shared" si="3"/>
      </c>
      <c r="O46" s="579">
        <f t="shared" si="345"/>
      </c>
      <c r="P46" s="579">
        <f t="shared" si="99"/>
      </c>
      <c r="Q46" s="580">
        <f t="shared" si="36"/>
      </c>
      <c r="R46" s="579">
        <f>AVERAGE(R42:R45)</f>
      </c>
      <c r="S46" s="576">
        <f>AVERAGE(S42:S45)</f>
      </c>
      <c r="T46" s="578">
        <f t="shared" si="217"/>
      </c>
      <c r="U46" s="597">
        <f>SUM(U42:U45)</f>
      </c>
      <c r="V46" s="597">
        <f>SUM(V42:V45)</f>
      </c>
      <c r="W46" s="597">
        <f>SUM(W42:W45)</f>
      </c>
      <c r="X46" s="597">
        <f>SUM(X42:X45)</f>
      </c>
      <c r="Y46" s="597">
        <f>SUM(Y42:Y45)</f>
      </c>
      <c r="Z46" s="597">
        <f>SUM(Z42:Z45)</f>
      </c>
      <c r="AA46" s="597">
        <f>SUM(AA42:AA45)</f>
      </c>
      <c r="AB46" s="597">
        <f>SUM(AB42:AB45)</f>
      </c>
      <c r="AC46" s="581">
        <f>AF46*1000/D46</f>
      </c>
      <c r="AD46" s="598"/>
      <c r="AE46" s="598"/>
      <c r="AF46" s="583">
        <f>SUM(AF42:AF45)</f>
      </c>
    </row>
    <row r="47">
      <c r="A47" s="559"/>
      <c r="B47" s="561" t="s">
        <v>389</v>
      </c>
      <c r="C47" s="560" t="s">
        <v>390</v>
      </c>
      <c r="D47" s="562">
        <v>2216.89</v>
      </c>
      <c r="E47" s="563">
        <v>2</v>
      </c>
      <c r="F47" s="563">
        <v>1</v>
      </c>
      <c r="G47" s="562">
        <v>1307.8999999999996</v>
      </c>
      <c r="H47" s="565">
        <f t="shared" si="129"/>
      </c>
      <c r="I47" s="565">
        <f t="shared" si="66"/>
      </c>
      <c r="J47" s="565">
        <f t="shared" si="247"/>
      </c>
      <c r="K47" s="565">
        <f t="shared" si="184"/>
      </c>
      <c r="L47" s="565">
        <f t="shared" si="312"/>
      </c>
      <c r="M47" s="566">
        <f t="shared" si="279"/>
      </c>
      <c r="N47" s="566">
        <f t="shared" si="3"/>
      </c>
      <c r="O47" s="567">
        <f t="shared" si="345"/>
      </c>
      <c r="P47" s="567">
        <f t="shared" si="99"/>
      </c>
      <c r="Q47" s="568">
        <f t="shared" si="36"/>
      </c>
      <c r="R47" s="569">
        <v>0.0209</v>
      </c>
      <c r="S47" s="570">
        <v>48</v>
      </c>
      <c r="T47" s="571">
        <f t="shared" si="217"/>
      </c>
      <c r="U47" s="595">
        <v>12898</v>
      </c>
      <c r="V47" s="595">
        <v>718</v>
      </c>
      <c r="W47" s="595">
        <v>66</v>
      </c>
      <c r="X47" s="595">
        <v>905</v>
      </c>
      <c r="Y47" s="595">
        <v>61</v>
      </c>
      <c r="Z47" s="595">
        <v>3</v>
      </c>
      <c r="AA47" s="595">
        <v>2</v>
      </c>
      <c r="AB47" s="595">
        <v>21</v>
      </c>
      <c r="AC47" s="572">
        <v>21</v>
      </c>
      <c r="AD47" s="596" t="s">
        <v>399</v>
      </c>
      <c r="AE47" s="596" t="s">
        <v>400</v>
      </c>
      <c r="AF47" s="574">
        <v>31</v>
      </c>
    </row>
    <row r="48">
      <c r="A48" s="559"/>
      <c r="B48" s="561" t="s">
        <v>389</v>
      </c>
      <c r="C48" s="560" t="s">
        <v>391</v>
      </c>
      <c r="D48" s="562">
        <v>1747.6</v>
      </c>
      <c r="E48" s="563">
        <v>2</v>
      </c>
      <c r="F48" s="563">
        <v>2</v>
      </c>
      <c r="G48" s="562">
        <v>902</v>
      </c>
      <c r="H48" s="565">
        <f t="shared" si="129"/>
      </c>
      <c r="I48" s="565">
        <f t="shared" si="66"/>
      </c>
      <c r="J48" s="565">
        <f t="shared" si="247"/>
      </c>
      <c r="K48" s="565">
        <f t="shared" si="184"/>
      </c>
      <c r="L48" s="565">
        <f t="shared" si="312"/>
      </c>
      <c r="M48" s="566">
        <f t="shared" si="279"/>
      </c>
      <c r="N48" s="566">
        <f t="shared" si="3"/>
      </c>
      <c r="O48" s="567">
        <f t="shared" si="345"/>
      </c>
      <c r="P48" s="567">
        <f t="shared" si="99"/>
      </c>
      <c r="Q48" s="568">
        <f t="shared" si="36"/>
      </c>
      <c r="R48" s="569">
        <v>0.0143</v>
      </c>
      <c r="S48" s="570">
        <v>48</v>
      </c>
      <c r="T48" s="571">
        <f t="shared" si="217"/>
      </c>
      <c r="U48" s="595">
        <v>11196</v>
      </c>
      <c r="V48" s="595">
        <v>814</v>
      </c>
      <c r="W48" s="595">
        <v>76</v>
      </c>
      <c r="X48" s="595">
        <v>1023</v>
      </c>
      <c r="Y48" s="595">
        <v>78</v>
      </c>
      <c r="Z48" s="595">
        <v>11</v>
      </c>
      <c r="AA48" s="595">
        <v>1</v>
      </c>
      <c r="AB48" s="595">
        <v>11</v>
      </c>
      <c r="AC48" s="572">
        <v>11</v>
      </c>
      <c r="AD48" s="596" t="s">
        <v>399</v>
      </c>
      <c r="AE48" s="596" t="s">
        <v>400</v>
      </c>
      <c r="AF48" s="574">
        <v>37</v>
      </c>
    </row>
    <row r="49">
      <c r="A49" s="559"/>
      <c r="B49" s="561" t="s">
        <v>389</v>
      </c>
      <c r="C49" s="561" t="s">
        <v>392</v>
      </c>
      <c r="D49" s="562">
        <v>1447.72</v>
      </c>
      <c r="E49" s="563">
        <v>1</v>
      </c>
      <c r="F49" s="563">
        <v>0</v>
      </c>
      <c r="G49" s="562">
        <v>781</v>
      </c>
      <c r="H49" s="565">
        <f t="shared" si="129"/>
      </c>
      <c r="I49" s="565">
        <f t="shared" si="66"/>
      </c>
      <c r="J49" s="565">
        <f t="shared" si="247"/>
      </c>
      <c r="K49" s="565">
        <f t="shared" si="184"/>
      </c>
      <c r="L49" s="565">
        <f t="shared" si="312"/>
      </c>
      <c r="M49" s="566">
        <f t="shared" si="279"/>
      </c>
      <c r="N49" s="566">
        <f t="shared" si="3"/>
      </c>
      <c r="O49" s="567">
        <f t="shared" si="345"/>
      </c>
      <c r="P49" s="567">
        <f t="shared" si="99"/>
      </c>
      <c r="Q49" s="568">
        <f t="shared" si="36"/>
      </c>
      <c r="R49" s="569">
        <v>0.0198</v>
      </c>
      <c r="S49" s="570">
        <v>48</v>
      </c>
      <c r="T49" s="571">
        <f t="shared" si="217"/>
      </c>
      <c r="U49" s="595">
        <v>8634</v>
      </c>
      <c r="V49" s="595">
        <v>609</v>
      </c>
      <c r="W49" s="595">
        <v>68</v>
      </c>
      <c r="X49" s="595">
        <v>792</v>
      </c>
      <c r="Y49" s="595">
        <v>45</v>
      </c>
      <c r="Z49" s="595">
        <v>3</v>
      </c>
      <c r="AA49" s="595">
        <v>1</v>
      </c>
      <c r="AB49" s="595">
        <v>11</v>
      </c>
      <c r="AC49" s="572">
        <v>11</v>
      </c>
      <c r="AD49" s="596" t="s">
        <v>399</v>
      </c>
      <c r="AE49" s="596" t="s">
        <v>400</v>
      </c>
      <c r="AF49" s="574">
        <v>17</v>
      </c>
    </row>
    <row r="50">
      <c r="A50" s="559"/>
      <c r="B50" s="561" t="s">
        <v>389</v>
      </c>
      <c r="C50" s="561" t="s">
        <v>393</v>
      </c>
      <c r="D50" s="564">
        <v>721.18</v>
      </c>
      <c r="E50" s="563">
        <v>2</v>
      </c>
      <c r="F50" s="563">
        <v>1</v>
      </c>
      <c r="G50" s="562">
        <v>1232</v>
      </c>
      <c r="H50" s="565">
        <f t="shared" si="129"/>
      </c>
      <c r="I50" s="565">
        <f t="shared" si="66"/>
      </c>
      <c r="J50" s="565">
        <f t="shared" si="247"/>
      </c>
      <c r="K50" s="565">
        <f t="shared" si="184"/>
      </c>
      <c r="L50" s="565">
        <f t="shared" si="312"/>
      </c>
      <c r="M50" s="566">
        <f t="shared" si="279"/>
      </c>
      <c r="N50" s="566">
        <f t="shared" si="3"/>
      </c>
      <c r="O50" s="567">
        <f t="shared" si="345"/>
      </c>
      <c r="P50" s="567">
        <f t="shared" si="99"/>
      </c>
      <c r="Q50" s="568">
        <f t="shared" si="36"/>
      </c>
      <c r="R50" s="569">
        <v>0.0255</v>
      </c>
      <c r="S50" s="570">
        <v>48</v>
      </c>
      <c r="T50" s="571">
        <f t="shared" si="217"/>
      </c>
      <c r="U50" s="595">
        <v>5421</v>
      </c>
      <c r="V50" s="595">
        <v>426</v>
      </c>
      <c r="W50" s="595">
        <v>32</v>
      </c>
      <c r="X50" s="595">
        <v>577</v>
      </c>
      <c r="Y50" s="595">
        <v>24</v>
      </c>
      <c r="Z50" s="595">
        <v>6</v>
      </c>
      <c r="AA50" s="595">
        <v>0</v>
      </c>
      <c r="AB50" s="595">
        <v>6</v>
      </c>
      <c r="AC50" s="572">
        <v>6</v>
      </c>
      <c r="AD50" s="596" t="s">
        <v>399</v>
      </c>
      <c r="AE50" s="596" t="s">
        <v>400</v>
      </c>
      <c r="AF50" s="574">
        <v>14</v>
      </c>
    </row>
    <row r="51">
      <c r="A51" s="559"/>
      <c r="B51" s="575" t="s">
        <v>388</v>
      </c>
      <c r="C51" s="575"/>
      <c r="D51" s="576">
        <f>SUM(D47:D50)</f>
      </c>
      <c r="E51" s="577">
        <f>SUM(E47:E50)</f>
      </c>
      <c r="F51" s="577">
        <f>SUM(F47:F50)</f>
      </c>
      <c r="G51" s="576">
        <f>SUM(G47:G50)</f>
      </c>
      <c r="H51" s="578">
        <f t="shared" si="129"/>
      </c>
      <c r="I51" s="578">
        <f t="shared" si="66"/>
      </c>
      <c r="J51" s="578">
        <f t="shared" si="247"/>
      </c>
      <c r="K51" s="578">
        <f t="shared" si="184"/>
      </c>
      <c r="L51" s="578">
        <f t="shared" si="312"/>
      </c>
      <c r="M51" s="579">
        <f t="shared" si="279"/>
      </c>
      <c r="N51" s="579">
        <f t="shared" si="3"/>
      </c>
      <c r="O51" s="579">
        <f t="shared" si="345"/>
      </c>
      <c r="P51" s="579">
        <f t="shared" si="99"/>
      </c>
      <c r="Q51" s="580">
        <f t="shared" si="36"/>
      </c>
      <c r="R51" s="579">
        <f>AVERAGE(R47:R50)</f>
      </c>
      <c r="S51" s="576">
        <f>AVERAGE(S47:S50)</f>
      </c>
      <c r="T51" s="578">
        <f t="shared" si="217"/>
      </c>
      <c r="U51" s="580">
        <f>SUM(U47:U50)</f>
      </c>
      <c r="V51" s="580">
        <f>SUM(V47:V50)</f>
      </c>
      <c r="W51" s="580">
        <f>SUM(W47:W50)</f>
      </c>
      <c r="X51" s="580">
        <f>SUM(X47:X50)</f>
      </c>
      <c r="Y51" s="580">
        <f>SUM(Y47:Y50)</f>
      </c>
      <c r="Z51" s="580">
        <f>SUM(Z47:Z50)</f>
      </c>
      <c r="AA51" s="580">
        <f>SUM(AA47:AA50)</f>
      </c>
      <c r="AB51" s="580">
        <f>SUM(AB47:AB50)</f>
      </c>
      <c r="AC51" s="581">
        <f>AF51*1000/D51</f>
      </c>
      <c r="AD51" s="582"/>
      <c r="AE51" s="582"/>
      <c r="AF51" s="580">
        <f>SUM(AF47:AF50)</f>
      </c>
    </row>
    <row r="52">
      <c r="A52" s="559"/>
      <c r="B52" s="585" t="s">
        <v>394</v>
      </c>
      <c r="C52" s="585"/>
      <c r="D52" s="586">
        <f>D46+D51</f>
      </c>
      <c r="E52" s="587">
        <f>E46+E51</f>
      </c>
      <c r="F52" s="587">
        <f>F46+F51</f>
      </c>
      <c r="G52" s="586">
        <f>G46+G51</f>
      </c>
      <c r="H52" s="588">
        <f t="shared" si="129"/>
      </c>
      <c r="I52" s="588">
        <f t="shared" si="66"/>
      </c>
      <c r="J52" s="588">
        <v>745.3765</v>
      </c>
      <c r="K52" s="588">
        <f t="shared" si="184"/>
      </c>
      <c r="L52" s="588">
        <f t="shared" si="312"/>
      </c>
      <c r="M52" s="589">
        <f t="shared" si="279"/>
      </c>
      <c r="N52" s="589">
        <f t="shared" si="3"/>
      </c>
      <c r="O52" s="589">
        <f t="shared" si="345"/>
      </c>
      <c r="P52" s="589">
        <f t="shared" si="99"/>
      </c>
      <c r="Q52" s="590">
        <f t="shared" si="36"/>
      </c>
      <c r="R52" s="591">
        <f>(R46+R51)/2</f>
      </c>
      <c r="S52" s="592">
        <f>(S51+S46)/2</f>
      </c>
      <c r="T52" s="592">
        <f t="shared" si="217"/>
      </c>
      <c r="U52" s="590">
        <f>U46+U51</f>
      </c>
      <c r="V52" s="590">
        <f>V46+V51</f>
      </c>
      <c r="W52" s="590">
        <f>W46+W51</f>
      </c>
      <c r="X52" s="590">
        <f>X46+X51</f>
      </c>
      <c r="Y52" s="590">
        <f>Y46+Y51</f>
      </c>
      <c r="Z52" s="590">
        <f>Z46+Z51</f>
      </c>
      <c r="AA52" s="590">
        <f>AA46+AA51</f>
      </c>
      <c r="AB52" s="590">
        <f>AB46+AB51</f>
      </c>
      <c r="AC52" s="593">
        <f>AC46</f>
      </c>
      <c r="AD52" s="594"/>
      <c r="AE52" s="594"/>
      <c r="AF52" s="590">
        <f>AF46+AF51</f>
      </c>
    </row>
    <row r="53">
      <c r="A53" s="543" t="s">
        <v>395</v>
      </c>
      <c r="B53" s="543" t="s">
        <v>346</v>
      </c>
      <c r="C53" s="543"/>
      <c r="D53" s="544" t="s">
        <v>347</v>
      </c>
      <c r="E53" s="544"/>
      <c r="F53" s="544"/>
      <c r="G53" s="544"/>
      <c r="H53" s="544"/>
      <c r="I53" s="544"/>
      <c r="J53" s="544"/>
      <c r="K53" s="544"/>
      <c r="L53" s="545" t="s">
        <v>348</v>
      </c>
      <c r="M53" s="545"/>
      <c r="N53" s="545"/>
      <c r="O53" s="545"/>
      <c r="P53" s="545"/>
      <c r="Q53" s="545"/>
      <c r="R53" s="545"/>
      <c r="S53" s="545"/>
      <c r="T53" s="545"/>
      <c r="U53" s="545"/>
      <c r="V53" s="545"/>
      <c r="W53" s="545"/>
      <c r="X53" s="545"/>
      <c r="Y53" s="545"/>
      <c r="Z53" s="545"/>
      <c r="AA53" s="545"/>
      <c r="AB53" s="545"/>
      <c r="AC53" s="545"/>
      <c r="AD53" s="545"/>
      <c r="AE53" s="545"/>
      <c r="AF53" s="546"/>
    </row>
    <row r="54">
      <c r="A54" s="543"/>
      <c r="B54" s="547" t="s">
        <v>349</v>
      </c>
      <c r="C54" s="547" t="s">
        <v>350</v>
      </c>
      <c r="D54" s="548" t="s">
        <v>351</v>
      </c>
      <c r="E54" s="549" t="s">
        <v>352</v>
      </c>
      <c r="F54" s="550" t="s">
        <v>353</v>
      </c>
      <c r="G54" s="548" t="s">
        <v>354</v>
      </c>
      <c r="H54" s="551" t="s">
        <v>355</v>
      </c>
      <c r="I54" s="551" t="s">
        <v>356</v>
      </c>
      <c r="J54" s="552" t="s">
        <v>357</v>
      </c>
      <c r="K54" s="551" t="s">
        <v>358</v>
      </c>
      <c r="L54" s="553" t="s">
        <v>359</v>
      </c>
      <c r="M54" s="554" t="s">
        <v>360</v>
      </c>
      <c r="N54" s="554" t="s">
        <v>361</v>
      </c>
      <c r="O54" s="554" t="s">
        <v>362</v>
      </c>
      <c r="P54" s="554" t="s">
        <v>363</v>
      </c>
      <c r="Q54" s="555" t="s">
        <v>364</v>
      </c>
      <c r="R54" s="554" t="s">
        <v>365</v>
      </c>
      <c r="S54" s="555" t="s">
        <v>366</v>
      </c>
      <c r="T54" s="556" t="s">
        <v>367</v>
      </c>
      <c r="U54" s="557" t="s">
        <v>368</v>
      </c>
      <c r="V54" s="557" t="s">
        <v>369</v>
      </c>
      <c r="W54" s="557" t="s">
        <v>370</v>
      </c>
      <c r="X54" s="557" t="s">
        <v>371</v>
      </c>
      <c r="Y54" s="557" t="s">
        <v>372</v>
      </c>
      <c r="Z54" s="557" t="s">
        <v>373</v>
      </c>
      <c r="AA54" s="557" t="s">
        <v>374</v>
      </c>
      <c r="AB54" s="557" t="s">
        <v>375</v>
      </c>
      <c r="AC54" s="545" t="s">
        <v>376</v>
      </c>
      <c r="AD54" s="558" t="s">
        <v>377</v>
      </c>
      <c r="AE54" s="558" t="s">
        <v>378</v>
      </c>
      <c r="AF54" s="546" t="s">
        <v>379</v>
      </c>
    </row>
    <row r="55">
      <c r="A55" s="559" t="s">
        <v>401</v>
      </c>
      <c r="B55" s="560" t="s">
        <v>381</v>
      </c>
      <c r="C55" s="561" t="s">
        <v>382</v>
      </c>
      <c r="D55" s="562">
        <v>2590.95</v>
      </c>
      <c r="E55" s="563">
        <v>4</v>
      </c>
      <c r="F55" s="563">
        <v>4</v>
      </c>
      <c r="G55" s="564">
        <v>2900.7</v>
      </c>
      <c r="H55" s="565">
        <f t="shared" ref="H55:H65" si="130">G55/D55</f>
      </c>
      <c r="I55" s="565">
        <f t="shared" ref="I55:I65" si="67">D55/E55</f>
      </c>
      <c r="J55" s="565">
        <f t="shared" ref="J55:J64" si="248">D55/F55</f>
      </c>
      <c r="K55" s="565">
        <f t="shared" ref="K55:K65" si="185">G55/E55</f>
      </c>
      <c r="L55" s="565">
        <f t="shared" ref="L55:L65" si="313">D55/V55</f>
      </c>
      <c r="M55" s="566">
        <f t="shared" ref="M55:M65" si="280">Q55/U55*1</f>
      </c>
      <c r="N55" s="566">
        <f t="shared" ref="N55:N65" si="4">V55/U55</f>
      </c>
      <c r="O55" s="567">
        <f t="shared" ref="O55:O65" si="346">X55/U55</f>
      </c>
      <c r="P55" s="567">
        <f t="shared" ref="P55:P65" si="100">Y55/X55</f>
      </c>
      <c r="Q55" s="568">
        <f t="shared" ref="Q55:Q65" si="37">W55/R55</f>
      </c>
      <c r="R55" s="569">
        <v>0.0198</v>
      </c>
      <c r="S55" s="570">
        <v>34</v>
      </c>
      <c r="T55" s="571">
        <f t="shared" ref="T55:T65" si="218">(D55/U55)*1000</f>
      </c>
      <c r="U55" s="595">
        <v>13931</v>
      </c>
      <c r="V55" s="595">
        <v>1147</v>
      </c>
      <c r="W55" s="595">
        <v>107</v>
      </c>
      <c r="X55" s="595">
        <v>1510</v>
      </c>
      <c r="Y55" s="595">
        <v>74</v>
      </c>
      <c r="Z55" s="595">
        <v>16</v>
      </c>
      <c r="AA55" s="595">
        <v>1</v>
      </c>
      <c r="AB55" s="595">
        <v>11</v>
      </c>
      <c r="AC55" s="572">
        <v>11</v>
      </c>
      <c r="AD55" s="573" t="s">
        <v>399</v>
      </c>
      <c r="AE55" s="573" t="s">
        <v>400</v>
      </c>
      <c r="AF55" s="574">
        <v>45</v>
      </c>
    </row>
    <row r="56">
      <c r="A56" s="559"/>
      <c r="B56" s="560" t="s">
        <v>381</v>
      </c>
      <c r="C56" s="561" t="s">
        <v>385</v>
      </c>
      <c r="D56" s="564">
        <v>1567.81</v>
      </c>
      <c r="E56" s="563">
        <v>5</v>
      </c>
      <c r="F56" s="563">
        <v>3</v>
      </c>
      <c r="G56" s="564">
        <v>3710.3</v>
      </c>
      <c r="H56" s="565">
        <f t="shared" si="130"/>
      </c>
      <c r="I56" s="565">
        <f t="shared" si="67"/>
      </c>
      <c r="J56" s="565">
        <f t="shared" si="248"/>
      </c>
      <c r="K56" s="565">
        <f t="shared" si="185"/>
      </c>
      <c r="L56" s="565">
        <f t="shared" si="313"/>
      </c>
      <c r="M56" s="566">
        <f t="shared" si="280"/>
      </c>
      <c r="N56" s="566">
        <f t="shared" si="4"/>
      </c>
      <c r="O56" s="567">
        <f t="shared" si="346"/>
      </c>
      <c r="P56" s="567">
        <f t="shared" si="100"/>
      </c>
      <c r="Q56" s="568">
        <f t="shared" si="37"/>
      </c>
      <c r="R56" s="569">
        <v>0.0358</v>
      </c>
      <c r="S56" s="570">
        <v>42</v>
      </c>
      <c r="T56" s="571">
        <f t="shared" si="218"/>
      </c>
      <c r="U56" s="595">
        <v>8478</v>
      </c>
      <c r="V56" s="595">
        <v>864</v>
      </c>
      <c r="W56" s="595">
        <v>80</v>
      </c>
      <c r="X56" s="595">
        <v>1113</v>
      </c>
      <c r="Y56" s="595">
        <v>91</v>
      </c>
      <c r="Z56" s="595">
        <v>13</v>
      </c>
      <c r="AA56" s="595">
        <v>2</v>
      </c>
      <c r="AB56" s="595">
        <v>3</v>
      </c>
      <c r="AC56" s="572">
        <v>3</v>
      </c>
      <c r="AD56" s="573" t="s">
        <v>399</v>
      </c>
      <c r="AE56" s="573" t="s">
        <v>400</v>
      </c>
      <c r="AF56" s="574">
        <v>27</v>
      </c>
    </row>
    <row r="57">
      <c r="A57" s="559"/>
      <c r="B57" s="560" t="s">
        <v>381</v>
      </c>
      <c r="C57" s="561" t="s">
        <v>386</v>
      </c>
      <c r="D57" s="562">
        <v>1207.89</v>
      </c>
      <c r="E57" s="563">
        <v>6</v>
      </c>
      <c r="F57" s="563">
        <v>5</v>
      </c>
      <c r="G57" s="564">
        <v>4961</v>
      </c>
      <c r="H57" s="565">
        <f t="shared" si="130"/>
      </c>
      <c r="I57" s="565">
        <f t="shared" si="67"/>
      </c>
      <c r="J57" s="565">
        <f t="shared" si="248"/>
      </c>
      <c r="K57" s="565">
        <f t="shared" si="185"/>
      </c>
      <c r="L57" s="565">
        <f t="shared" si="313"/>
      </c>
      <c r="M57" s="566">
        <f t="shared" si="280"/>
      </c>
      <c r="N57" s="566">
        <f t="shared" si="4"/>
      </c>
      <c r="O57" s="567">
        <f t="shared" si="346"/>
      </c>
      <c r="P57" s="567">
        <f t="shared" si="100"/>
      </c>
      <c r="Q57" s="568">
        <f t="shared" si="37"/>
      </c>
      <c r="R57" s="569">
        <v>0.0148</v>
      </c>
      <c r="S57" s="570">
        <v>40</v>
      </c>
      <c r="T57" s="571">
        <f t="shared" si="218"/>
      </c>
      <c r="U57" s="595">
        <v>7743</v>
      </c>
      <c r="V57" s="595">
        <v>864</v>
      </c>
      <c r="W57" s="595">
        <v>74</v>
      </c>
      <c r="X57" s="595">
        <v>1213</v>
      </c>
      <c r="Y57" s="595">
        <v>87</v>
      </c>
      <c r="Z57" s="595">
        <v>11</v>
      </c>
      <c r="AA57" s="595">
        <v>0</v>
      </c>
      <c r="AB57" s="595">
        <v>5</v>
      </c>
      <c r="AC57" s="572">
        <v>5</v>
      </c>
      <c r="AD57" s="573" t="s">
        <v>399</v>
      </c>
      <c r="AE57" s="573" t="s">
        <v>400</v>
      </c>
      <c r="AF57" s="574">
        <v>25</v>
      </c>
    </row>
    <row r="58">
      <c r="A58" s="559"/>
      <c r="B58" s="560" t="s">
        <v>381</v>
      </c>
      <c r="C58" s="561" t="s">
        <v>387</v>
      </c>
      <c r="D58" s="564">
        <v>1065.57</v>
      </c>
      <c r="E58" s="563">
        <v>3</v>
      </c>
      <c r="F58" s="563">
        <v>3</v>
      </c>
      <c r="G58" s="564">
        <v>2715.8999999999996</v>
      </c>
      <c r="H58" s="565">
        <f t="shared" si="130"/>
      </c>
      <c r="I58" s="565">
        <f t="shared" si="67"/>
      </c>
      <c r="J58" s="565">
        <f t="shared" si="248"/>
      </c>
      <c r="K58" s="565">
        <f t="shared" si="185"/>
      </c>
      <c r="L58" s="565">
        <f t="shared" si="313"/>
      </c>
      <c r="M58" s="566">
        <f t="shared" si="280"/>
      </c>
      <c r="N58" s="566">
        <f t="shared" si="4"/>
      </c>
      <c r="O58" s="567">
        <f t="shared" si="346"/>
      </c>
      <c r="P58" s="567">
        <f t="shared" si="100"/>
      </c>
      <c r="Q58" s="568">
        <f t="shared" si="37"/>
      </c>
      <c r="R58" s="569">
        <v>0.0165</v>
      </c>
      <c r="S58" s="570">
        <v>39</v>
      </c>
      <c r="T58" s="571">
        <f t="shared" si="218"/>
      </c>
      <c r="U58" s="595">
        <v>6036</v>
      </c>
      <c r="V58" s="595">
        <v>711</v>
      </c>
      <c r="W58" s="595">
        <v>38</v>
      </c>
      <c r="X58" s="595">
        <v>985</v>
      </c>
      <c r="Y58" s="595">
        <v>41</v>
      </c>
      <c r="Z58" s="595">
        <v>2</v>
      </c>
      <c r="AA58" s="595">
        <v>1</v>
      </c>
      <c r="AB58" s="595">
        <v>1</v>
      </c>
      <c r="AC58" s="572">
        <v>1</v>
      </c>
      <c r="AD58" s="573" t="s">
        <v>399</v>
      </c>
      <c r="AE58" s="573" t="s">
        <v>400</v>
      </c>
      <c r="AF58" s="574">
        <v>19</v>
      </c>
    </row>
    <row r="59">
      <c r="A59" s="559"/>
      <c r="B59" s="575" t="s">
        <v>388</v>
      </c>
      <c r="C59" s="575"/>
      <c r="D59" s="576">
        <f>SUM(D55:D58)</f>
      </c>
      <c r="E59" s="577">
        <f>SUM(E55:E58)</f>
      </c>
      <c r="F59" s="577">
        <f>SUM(F55:F58)</f>
      </c>
      <c r="G59" s="576">
        <f>SUM(G55:G58)</f>
      </c>
      <c r="H59" s="578">
        <f t="shared" si="130"/>
      </c>
      <c r="I59" s="578">
        <f t="shared" si="67"/>
      </c>
      <c r="J59" s="578">
        <f t="shared" si="248"/>
      </c>
      <c r="K59" s="578">
        <f t="shared" si="185"/>
      </c>
      <c r="L59" s="578">
        <f t="shared" si="313"/>
      </c>
      <c r="M59" s="579">
        <f t="shared" si="280"/>
      </c>
      <c r="N59" s="579">
        <f t="shared" si="4"/>
      </c>
      <c r="O59" s="579">
        <f t="shared" si="346"/>
      </c>
      <c r="P59" s="579">
        <f t="shared" si="100"/>
      </c>
      <c r="Q59" s="580">
        <f t="shared" si="37"/>
      </c>
      <c r="R59" s="579">
        <f>AVERAGE(R55:R58)</f>
      </c>
      <c r="S59" s="576">
        <f>AVERAGE(S55:S58)</f>
      </c>
      <c r="T59" s="578">
        <f t="shared" si="218"/>
      </c>
      <c r="U59" s="597">
        <f>SUM(U55:U58)</f>
      </c>
      <c r="V59" s="597">
        <f>SUM(V55:V58)</f>
      </c>
      <c r="W59" s="597">
        <f>SUM(W55:W58)</f>
      </c>
      <c r="X59" s="597">
        <f>SUM(X55:X58)</f>
      </c>
      <c r="Y59" s="597">
        <f>SUM(Y55:Y58)</f>
      </c>
      <c r="Z59" s="597">
        <f>SUM(Z55:Z58)</f>
      </c>
      <c r="AA59" s="597">
        <f>SUM(AA55:AA58)</f>
      </c>
      <c r="AB59" s="597">
        <f>SUM(AB55:AB58)</f>
      </c>
      <c r="AC59" s="581">
        <f>AF59*1000/D59</f>
      </c>
      <c r="AD59" s="582"/>
      <c r="AE59" s="582"/>
      <c r="AF59" s="583">
        <f>SUM(AF55:AF58)</f>
      </c>
    </row>
    <row r="60">
      <c r="A60" s="559"/>
      <c r="B60" s="561" t="s">
        <v>389</v>
      </c>
      <c r="C60" s="560" t="s">
        <v>390</v>
      </c>
      <c r="D60" s="562">
        <v>1383.64</v>
      </c>
      <c r="E60" s="563">
        <v>4</v>
      </c>
      <c r="F60" s="563">
        <v>3</v>
      </c>
      <c r="G60" s="562">
        <v>2134.000000000002</v>
      </c>
      <c r="H60" s="565">
        <f t="shared" si="130"/>
      </c>
      <c r="I60" s="565">
        <f t="shared" si="67"/>
      </c>
      <c r="J60" s="565">
        <f t="shared" si="248"/>
      </c>
      <c r="K60" s="565">
        <f t="shared" si="185"/>
      </c>
      <c r="L60" s="565">
        <f t="shared" si="313"/>
      </c>
      <c r="M60" s="566">
        <f t="shared" si="280"/>
      </c>
      <c r="N60" s="566">
        <f t="shared" si="4"/>
      </c>
      <c r="O60" s="567">
        <f t="shared" si="346"/>
      </c>
      <c r="P60" s="567">
        <f t="shared" si="100"/>
      </c>
      <c r="Q60" s="568">
        <f t="shared" si="37"/>
      </c>
      <c r="R60" s="569">
        <v>0.0209</v>
      </c>
      <c r="S60" s="570">
        <v>38</v>
      </c>
      <c r="T60" s="571">
        <f t="shared" si="218"/>
      </c>
      <c r="U60" s="595">
        <v>7772</v>
      </c>
      <c r="V60" s="595">
        <v>814</v>
      </c>
      <c r="W60" s="595">
        <v>57</v>
      </c>
      <c r="X60" s="595">
        <v>1128</v>
      </c>
      <c r="Y60" s="595">
        <v>86</v>
      </c>
      <c r="Z60" s="595">
        <v>9</v>
      </c>
      <c r="AA60" s="595">
        <v>1</v>
      </c>
      <c r="AB60" s="595">
        <v>2</v>
      </c>
      <c r="AC60" s="572">
        <v>2</v>
      </c>
      <c r="AD60" s="573" t="s">
        <v>399</v>
      </c>
      <c r="AE60" s="573" t="s">
        <v>400</v>
      </c>
      <c r="AF60" s="574">
        <v>21</v>
      </c>
    </row>
    <row r="61">
      <c r="A61" s="559"/>
      <c r="B61" s="561" t="s">
        <v>389</v>
      </c>
      <c r="C61" s="560" t="s">
        <v>391</v>
      </c>
      <c r="D61" s="562">
        <v>1229.6</v>
      </c>
      <c r="E61" s="563">
        <v>4</v>
      </c>
      <c r="F61" s="563">
        <v>2</v>
      </c>
      <c r="G61" s="562">
        <v>3517.7999999999993</v>
      </c>
      <c r="H61" s="565">
        <f t="shared" si="130"/>
      </c>
      <c r="I61" s="565">
        <f t="shared" si="67"/>
      </c>
      <c r="J61" s="565">
        <f t="shared" si="248"/>
      </c>
      <c r="K61" s="565">
        <f t="shared" si="185"/>
      </c>
      <c r="L61" s="565">
        <f t="shared" si="313"/>
      </c>
      <c r="M61" s="566">
        <f t="shared" si="280"/>
      </c>
      <c r="N61" s="566">
        <f t="shared" si="4"/>
      </c>
      <c r="O61" s="567">
        <f t="shared" si="346"/>
      </c>
      <c r="P61" s="567">
        <f t="shared" si="100"/>
      </c>
      <c r="Q61" s="568">
        <f t="shared" si="37"/>
      </c>
      <c r="R61" s="569">
        <v>0.0143</v>
      </c>
      <c r="S61" s="570">
        <v>36</v>
      </c>
      <c r="T61" s="571">
        <f t="shared" si="218"/>
      </c>
      <c r="U61" s="595">
        <v>8029</v>
      </c>
      <c r="V61" s="595">
        <v>864</v>
      </c>
      <c r="W61" s="595">
        <v>57</v>
      </c>
      <c r="X61" s="595">
        <v>1252</v>
      </c>
      <c r="Y61" s="595">
        <v>64</v>
      </c>
      <c r="Z61" s="595">
        <v>11</v>
      </c>
      <c r="AA61" s="595">
        <v>0</v>
      </c>
      <c r="AB61" s="595">
        <v>1</v>
      </c>
      <c r="AC61" s="572">
        <v>1</v>
      </c>
      <c r="AD61" s="573" t="s">
        <v>399</v>
      </c>
      <c r="AE61" s="573" t="s">
        <v>400</v>
      </c>
      <c r="AF61" s="574">
        <v>13</v>
      </c>
    </row>
    <row r="62">
      <c r="A62" s="559"/>
      <c r="B62" s="561" t="s">
        <v>389</v>
      </c>
      <c r="C62" s="561" t="s">
        <v>392</v>
      </c>
      <c r="D62" s="562">
        <v>1771.76</v>
      </c>
      <c r="E62" s="563">
        <v>6</v>
      </c>
      <c r="F62" s="563">
        <v>3</v>
      </c>
      <c r="G62" s="562">
        <v>5227.200000000001</v>
      </c>
      <c r="H62" s="565">
        <f t="shared" si="130"/>
      </c>
      <c r="I62" s="565">
        <f t="shared" si="67"/>
      </c>
      <c r="J62" s="565">
        <f t="shared" si="248"/>
      </c>
      <c r="K62" s="565">
        <f t="shared" si="185"/>
      </c>
      <c r="L62" s="565">
        <f t="shared" si="313"/>
      </c>
      <c r="M62" s="566">
        <f t="shared" si="280"/>
      </c>
      <c r="N62" s="566">
        <f t="shared" si="4"/>
      </c>
      <c r="O62" s="567">
        <f t="shared" si="346"/>
      </c>
      <c r="P62" s="567">
        <f t="shared" si="100"/>
      </c>
      <c r="Q62" s="568">
        <f t="shared" si="37"/>
      </c>
      <c r="R62" s="569">
        <v>0.0198</v>
      </c>
      <c r="S62" s="570">
        <v>36</v>
      </c>
      <c r="T62" s="571">
        <f t="shared" si="218"/>
      </c>
      <c r="U62" s="595">
        <v>9487</v>
      </c>
      <c r="V62" s="595">
        <v>1194</v>
      </c>
      <c r="W62" s="595">
        <v>84</v>
      </c>
      <c r="X62" s="595">
        <v>1580</v>
      </c>
      <c r="Y62" s="595">
        <v>106</v>
      </c>
      <c r="Z62" s="595">
        <v>5</v>
      </c>
      <c r="AA62" s="595">
        <v>4</v>
      </c>
      <c r="AB62" s="595">
        <v>5</v>
      </c>
      <c r="AC62" s="572">
        <v>5</v>
      </c>
      <c r="AD62" s="573" t="s">
        <v>399</v>
      </c>
      <c r="AE62" s="573" t="s">
        <v>400</v>
      </c>
      <c r="AF62" s="574">
        <v>37</v>
      </c>
    </row>
    <row r="63">
      <c r="A63" s="559"/>
      <c r="B63" s="561" t="s">
        <v>389</v>
      </c>
      <c r="C63" s="561" t="s">
        <v>393</v>
      </c>
      <c r="D63" s="564">
        <v>799.44</v>
      </c>
      <c r="E63" s="563">
        <v>0</v>
      </c>
      <c r="F63" s="563">
        <v>1</v>
      </c>
      <c r="G63" s="564">
        <v>0</v>
      </c>
      <c r="H63" s="565">
        <f t="shared" si="130"/>
      </c>
      <c r="I63" s="565">
        <f t="shared" si="67"/>
      </c>
      <c r="J63" s="565">
        <f t="shared" si="248"/>
      </c>
      <c r="K63" s="565">
        <f t="shared" si="185"/>
      </c>
      <c r="L63" s="565">
        <f t="shared" si="313"/>
      </c>
      <c r="M63" s="566">
        <f t="shared" si="280"/>
      </c>
      <c r="N63" s="566">
        <f t="shared" si="4"/>
      </c>
      <c r="O63" s="567">
        <f t="shared" si="346"/>
      </c>
      <c r="P63" s="567">
        <f t="shared" si="100"/>
      </c>
      <c r="Q63" s="568">
        <f t="shared" si="37"/>
      </c>
      <c r="R63" s="569">
        <v>0.0255</v>
      </c>
      <c r="S63" s="570">
        <v>36</v>
      </c>
      <c r="T63" s="571">
        <f t="shared" si="218"/>
      </c>
      <c r="U63" s="595">
        <v>5895</v>
      </c>
      <c r="V63" s="595">
        <v>729</v>
      </c>
      <c r="W63" s="595">
        <v>43</v>
      </c>
      <c r="X63" s="595">
        <v>912</v>
      </c>
      <c r="Y63" s="595">
        <v>41</v>
      </c>
      <c r="Z63" s="595">
        <v>4</v>
      </c>
      <c r="AA63" s="595">
        <v>0</v>
      </c>
      <c r="AB63" s="595">
        <v>3</v>
      </c>
      <c r="AC63" s="572">
        <v>3</v>
      </c>
      <c r="AD63" s="573" t="s">
        <v>399</v>
      </c>
      <c r="AE63" s="573" t="s">
        <v>400</v>
      </c>
      <c r="AF63" s="574">
        <v>14</v>
      </c>
    </row>
    <row r="64">
      <c r="A64" s="559"/>
      <c r="B64" s="575" t="s">
        <v>388</v>
      </c>
      <c r="C64" s="575"/>
      <c r="D64" s="576">
        <f>SUM(D60:D63)</f>
      </c>
      <c r="E64" s="577">
        <f>SUM(E60:E63)</f>
      </c>
      <c r="F64" s="577">
        <f>SUM(F60:F63)</f>
      </c>
      <c r="G64" s="576">
        <f>SUM(G60:G63)</f>
      </c>
      <c r="H64" s="578">
        <f t="shared" si="130"/>
      </c>
      <c r="I64" s="578">
        <f t="shared" si="67"/>
      </c>
      <c r="J64" s="578">
        <f t="shared" si="248"/>
      </c>
      <c r="K64" s="578">
        <f t="shared" si="185"/>
      </c>
      <c r="L64" s="578">
        <f t="shared" si="313"/>
      </c>
      <c r="M64" s="579">
        <f t="shared" si="280"/>
      </c>
      <c r="N64" s="579">
        <f t="shared" si="4"/>
      </c>
      <c r="O64" s="579">
        <f t="shared" si="346"/>
      </c>
      <c r="P64" s="579">
        <f t="shared" si="100"/>
      </c>
      <c r="Q64" s="580">
        <f t="shared" si="37"/>
      </c>
      <c r="R64" s="579">
        <f>AVERAGE(R60:R63)</f>
      </c>
      <c r="S64" s="576">
        <f>AVERAGE(S60:S63)</f>
      </c>
      <c r="T64" s="578">
        <f t="shared" si="218"/>
      </c>
      <c r="U64" s="580">
        <f>SUM(U60:U63)</f>
      </c>
      <c r="V64" s="580">
        <f>SUM(V60:V63)</f>
      </c>
      <c r="W64" s="580">
        <f>SUM(W60:W63)</f>
      </c>
      <c r="X64" s="580">
        <f>SUM(X60:X63)</f>
      </c>
      <c r="Y64" s="580">
        <f>SUM(Y60:Y63)</f>
      </c>
      <c r="Z64" s="580">
        <f>SUM(Z60:Z63)</f>
      </c>
      <c r="AA64" s="580">
        <f>SUM(AA60:AA63)</f>
      </c>
      <c r="AB64" s="580">
        <f>SUM(AB60:AB63)</f>
      </c>
      <c r="AC64" s="581">
        <f>AF64*1000/D64</f>
      </c>
      <c r="AD64" s="582"/>
      <c r="AE64" s="582"/>
      <c r="AF64" s="580">
        <f>SUM(AF60:AF63)</f>
      </c>
    </row>
    <row r="65">
      <c r="A65" s="559"/>
      <c r="B65" s="585" t="s">
        <v>394</v>
      </c>
      <c r="C65" s="585"/>
      <c r="D65" s="586">
        <f>D59+D64</f>
      </c>
      <c r="E65" s="587">
        <f>E59+E64</f>
      </c>
      <c r="F65" s="587">
        <f>F59+F64</f>
      </c>
      <c r="G65" s="586">
        <f>G59+G64</f>
      </c>
      <c r="H65" s="588">
        <f t="shared" si="130"/>
      </c>
      <c r="I65" s="588">
        <f t="shared" si="67"/>
      </c>
      <c r="J65" s="588">
        <v>745.3765</v>
      </c>
      <c r="K65" s="588">
        <f t="shared" si="185"/>
      </c>
      <c r="L65" s="588">
        <f t="shared" si="313"/>
      </c>
      <c r="M65" s="589">
        <f t="shared" si="280"/>
      </c>
      <c r="N65" s="589">
        <f t="shared" si="4"/>
      </c>
      <c r="O65" s="589">
        <f t="shared" si="346"/>
      </c>
      <c r="P65" s="589">
        <f t="shared" si="100"/>
      </c>
      <c r="Q65" s="590">
        <f t="shared" si="37"/>
      </c>
      <c r="R65" s="591">
        <f>(R59+R64)/2</f>
      </c>
      <c r="S65" s="592">
        <f>(S64+S59)/2</f>
      </c>
      <c r="T65" s="592">
        <f t="shared" si="218"/>
      </c>
      <c r="U65" s="590">
        <f>U59+U64</f>
      </c>
      <c r="V65" s="590">
        <f>V59+V64</f>
      </c>
      <c r="W65" s="590">
        <f>W59+W64</f>
      </c>
      <c r="X65" s="590">
        <f>X59+X64</f>
      </c>
      <c r="Y65" s="590">
        <f>Y59+Y64</f>
      </c>
      <c r="Z65" s="590">
        <f>Z59+Z64</f>
      </c>
      <c r="AA65" s="590">
        <f>AA59+AA64</f>
      </c>
      <c r="AB65" s="590">
        <f>AB59+AB64</f>
      </c>
      <c r="AC65" s="593">
        <f>AC59</f>
      </c>
      <c r="AD65" s="594"/>
      <c r="AE65" s="594"/>
      <c r="AF65" s="590">
        <f>AF59+AF64</f>
      </c>
    </row>
    <row r="66">
      <c r="A66" s="543" t="s">
        <v>395</v>
      </c>
      <c r="B66" s="543" t="s">
        <v>346</v>
      </c>
      <c r="C66" s="543"/>
      <c r="D66" s="544" t="s">
        <v>347</v>
      </c>
      <c r="E66" s="544"/>
      <c r="F66" s="544"/>
      <c r="G66" s="544"/>
      <c r="H66" s="544"/>
      <c r="I66" s="544"/>
      <c r="J66" s="544"/>
      <c r="K66" s="544"/>
      <c r="L66" s="545" t="s">
        <v>348</v>
      </c>
      <c r="M66" s="545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Y66" s="545"/>
      <c r="Z66" s="545"/>
      <c r="AA66" s="545"/>
      <c r="AB66" s="545"/>
      <c r="AC66" s="545"/>
      <c r="AD66" s="545"/>
      <c r="AE66" s="545"/>
      <c r="AF66" s="546"/>
    </row>
    <row r="67">
      <c r="A67" s="543"/>
      <c r="B67" s="547" t="s">
        <v>349</v>
      </c>
      <c r="C67" s="547" t="s">
        <v>350</v>
      </c>
      <c r="D67" s="548" t="s">
        <v>351</v>
      </c>
      <c r="E67" s="549" t="s">
        <v>352</v>
      </c>
      <c r="F67" s="550" t="s">
        <v>353</v>
      </c>
      <c r="G67" s="548" t="s">
        <v>354</v>
      </c>
      <c r="H67" s="551" t="s">
        <v>355</v>
      </c>
      <c r="I67" s="551" t="s">
        <v>356</v>
      </c>
      <c r="J67" s="552" t="s">
        <v>357</v>
      </c>
      <c r="K67" s="551" t="s">
        <v>358</v>
      </c>
      <c r="L67" s="553" t="s">
        <v>359</v>
      </c>
      <c r="M67" s="554" t="s">
        <v>360</v>
      </c>
      <c r="N67" s="554" t="s">
        <v>361</v>
      </c>
      <c r="O67" s="554" t="s">
        <v>362</v>
      </c>
      <c r="P67" s="554" t="s">
        <v>363</v>
      </c>
      <c r="Q67" s="555" t="s">
        <v>364</v>
      </c>
      <c r="R67" s="554" t="s">
        <v>365</v>
      </c>
      <c r="S67" s="555" t="s">
        <v>366</v>
      </c>
      <c r="T67" s="556" t="s">
        <v>367</v>
      </c>
      <c r="U67" s="557" t="s">
        <v>368</v>
      </c>
      <c r="V67" s="557" t="s">
        <v>369</v>
      </c>
      <c r="W67" s="557" t="s">
        <v>370</v>
      </c>
      <c r="X67" s="557" t="s">
        <v>371</v>
      </c>
      <c r="Y67" s="557" t="s">
        <v>372</v>
      </c>
      <c r="Z67" s="557" t="s">
        <v>373</v>
      </c>
      <c r="AA67" s="557" t="s">
        <v>374</v>
      </c>
      <c r="AB67" s="557" t="s">
        <v>375</v>
      </c>
      <c r="AC67" s="545" t="s">
        <v>376</v>
      </c>
      <c r="AD67" s="558" t="s">
        <v>377</v>
      </c>
      <c r="AE67" s="558" t="s">
        <v>378</v>
      </c>
      <c r="AF67" s="546" t="s">
        <v>379</v>
      </c>
    </row>
    <row r="68">
      <c r="A68" s="559" t="s">
        <v>402</v>
      </c>
      <c r="B68" s="560" t="s">
        <v>381</v>
      </c>
      <c r="C68" s="561" t="s">
        <v>382</v>
      </c>
      <c r="D68" s="562">
        <v>2644.4</v>
      </c>
      <c r="E68" s="563">
        <v>7</v>
      </c>
      <c r="F68" s="563">
        <v>3</v>
      </c>
      <c r="G68" s="564">
        <v>5542.9</v>
      </c>
      <c r="H68" s="565">
        <f t="shared" ref="H68:H72" si="131">G68/D68</f>
      </c>
      <c r="I68" s="565">
        <f t="shared" ref="I68:I72" si="68">D68/E68</f>
      </c>
      <c r="J68" s="565">
        <f t="shared" ref="J68:J72" si="249">D68/F68</f>
      </c>
      <c r="K68" s="565">
        <f t="shared" ref="K68:K72" si="186">G68/E68</f>
      </c>
      <c r="L68" s="565">
        <f t="shared" ref="L68:L72" si="314">D68/V68</f>
      </c>
      <c r="M68" s="566">
        <f t="shared" ref="M68:M72" si="281">Q68/U68*1</f>
      </c>
      <c r="N68" s="566">
        <f t="shared" ref="N68:N72" si="5">V68/U68</f>
      </c>
      <c r="O68" s="567">
        <f t="shared" ref="O68:O78" si="347">X68/U68</f>
      </c>
      <c r="P68" s="567">
        <f t="shared" ref="P68:P78" si="101">Y68/X68</f>
      </c>
      <c r="Q68" s="568">
        <f t="shared" ref="Q68:Q78" si="38">W68/R68</f>
      </c>
      <c r="R68" s="569">
        <v>0.0206</v>
      </c>
      <c r="S68" s="570">
        <v>39</v>
      </c>
      <c r="T68" s="571">
        <f t="shared" ref="T68:T78" si="219">(D68/U68)*1000</f>
      </c>
      <c r="U68" s="595">
        <v>15783</v>
      </c>
      <c r="V68" s="595">
        <v>1303</v>
      </c>
      <c r="W68" s="595">
        <v>130</v>
      </c>
      <c r="X68" s="595">
        <v>1692</v>
      </c>
      <c r="Y68" s="595">
        <v>83</v>
      </c>
      <c r="Z68" s="595">
        <v>9</v>
      </c>
      <c r="AA68" s="595">
        <v>6</v>
      </c>
      <c r="AB68" s="595">
        <v>10</v>
      </c>
      <c r="AC68" s="572">
        <v>0</v>
      </c>
      <c r="AD68" s="573" t="s">
        <v>399</v>
      </c>
      <c r="AE68" s="573" t="s">
        <v>400</v>
      </c>
      <c r="AF68" s="574">
        <v>36</v>
      </c>
    </row>
    <row r="69">
      <c r="A69" s="559"/>
      <c r="B69" s="560" t="s">
        <v>381</v>
      </c>
      <c r="C69" s="561" t="s">
        <v>385</v>
      </c>
      <c r="D69" s="564">
        <v>3361.93</v>
      </c>
      <c r="E69" s="563">
        <v>5</v>
      </c>
      <c r="F69" s="563">
        <v>8</v>
      </c>
      <c r="G69" s="564">
        <v>2915</v>
      </c>
      <c r="H69" s="565">
        <f t="shared" si="131"/>
      </c>
      <c r="I69" s="565">
        <f t="shared" si="68"/>
      </c>
      <c r="J69" s="565">
        <f t="shared" si="249"/>
      </c>
      <c r="K69" s="565">
        <f t="shared" si="186"/>
      </c>
      <c r="L69" s="565">
        <f t="shared" si="314"/>
      </c>
      <c r="M69" s="566">
        <f t="shared" si="281"/>
      </c>
      <c r="N69" s="566">
        <f t="shared" si="5"/>
      </c>
      <c r="O69" s="567">
        <f t="shared" si="347"/>
      </c>
      <c r="P69" s="567">
        <f t="shared" si="101"/>
      </c>
      <c r="Q69" s="568">
        <f t="shared" si="38"/>
      </c>
      <c r="R69" s="569">
        <v>0.0201</v>
      </c>
      <c r="S69" s="570">
        <v>38</v>
      </c>
      <c r="T69" s="571">
        <f t="shared" si="219"/>
      </c>
      <c r="U69" s="595">
        <v>21299</v>
      </c>
      <c r="V69" s="595">
        <v>1584</v>
      </c>
      <c r="W69" s="595">
        <v>135</v>
      </c>
      <c r="X69" s="595">
        <v>1944</v>
      </c>
      <c r="Y69" s="595">
        <v>121</v>
      </c>
      <c r="Z69" s="595">
        <v>17</v>
      </c>
      <c r="AA69" s="595">
        <v>2</v>
      </c>
      <c r="AB69" s="595">
        <v>23</v>
      </c>
      <c r="AC69" s="572">
        <v>0</v>
      </c>
      <c r="AD69" s="573" t="s">
        <v>399</v>
      </c>
      <c r="AE69" s="573" t="s">
        <v>400</v>
      </c>
      <c r="AF69" s="574">
        <v>39</v>
      </c>
    </row>
    <row r="70">
      <c r="A70" s="559"/>
      <c r="B70" s="560" t="s">
        <v>381</v>
      </c>
      <c r="C70" s="561" t="s">
        <v>386</v>
      </c>
      <c r="D70" s="562">
        <v>3085.89</v>
      </c>
      <c r="E70" s="563">
        <v>9</v>
      </c>
      <c r="F70" s="563">
        <v>8</v>
      </c>
      <c r="G70" s="564">
        <v>5200.800000000001</v>
      </c>
      <c r="H70" s="565">
        <f t="shared" si="131"/>
      </c>
      <c r="I70" s="565">
        <f t="shared" si="68"/>
      </c>
      <c r="J70" s="565">
        <f t="shared" si="249"/>
      </c>
      <c r="K70" s="565">
        <f t="shared" si="186"/>
      </c>
      <c r="L70" s="565">
        <f t="shared" si="314"/>
      </c>
      <c r="M70" s="566">
        <f t="shared" si="281"/>
      </c>
      <c r="N70" s="566">
        <f t="shared" si="5"/>
      </c>
      <c r="O70" s="567">
        <f t="shared" si="347"/>
      </c>
      <c r="P70" s="567">
        <f t="shared" si="101"/>
      </c>
      <c r="Q70" s="568">
        <f t="shared" si="38"/>
      </c>
      <c r="R70" s="569">
        <v>0.0198</v>
      </c>
      <c r="S70" s="570">
        <v>44</v>
      </c>
      <c r="T70" s="571">
        <f t="shared" si="219"/>
      </c>
      <c r="U70" s="595">
        <v>19625</v>
      </c>
      <c r="V70" s="595">
        <v>1342</v>
      </c>
      <c r="W70" s="595">
        <v>120</v>
      </c>
      <c r="X70" s="595">
        <v>1648</v>
      </c>
      <c r="Y70" s="595">
        <v>139</v>
      </c>
      <c r="Z70" s="595">
        <v>17</v>
      </c>
      <c r="AA70" s="595">
        <v>5</v>
      </c>
      <c r="AB70" s="595">
        <v>14</v>
      </c>
      <c r="AC70" s="572">
        <v>10</v>
      </c>
      <c r="AD70" s="573" t="s">
        <v>399</v>
      </c>
      <c r="AE70" s="573" t="s">
        <v>400</v>
      </c>
      <c r="AF70" s="574">
        <v>35</v>
      </c>
    </row>
    <row r="71">
      <c r="A71" s="559"/>
      <c r="B71" s="560" t="s">
        <v>381</v>
      </c>
      <c r="C71" s="561" t="s">
        <v>387</v>
      </c>
      <c r="D71" s="564">
        <v>2839.96</v>
      </c>
      <c r="E71" s="563">
        <v>3</v>
      </c>
      <c r="F71" s="563">
        <v>1</v>
      </c>
      <c r="G71" s="564">
        <v>1353</v>
      </c>
      <c r="H71" s="565">
        <f t="shared" si="131"/>
      </c>
      <c r="I71" s="565">
        <f t="shared" si="68"/>
      </c>
      <c r="J71" s="565">
        <f t="shared" si="249"/>
      </c>
      <c r="K71" s="565">
        <f t="shared" si="186"/>
      </c>
      <c r="L71" s="565">
        <f t="shared" si="314"/>
      </c>
      <c r="M71" s="566">
        <f t="shared" si="281"/>
      </c>
      <c r="N71" s="566">
        <f t="shared" si="5"/>
      </c>
      <c r="O71" s="567">
        <f t="shared" si="347"/>
      </c>
      <c r="P71" s="567">
        <f t="shared" si="101"/>
      </c>
      <c r="Q71" s="568">
        <f t="shared" si="38"/>
      </c>
      <c r="R71" s="569">
        <v>0.0235</v>
      </c>
      <c r="S71" s="570">
        <v>43</v>
      </c>
      <c r="T71" s="571">
        <f t="shared" si="219"/>
      </c>
      <c r="U71" s="595">
        <v>16450</v>
      </c>
      <c r="V71" s="595">
        <v>1123</v>
      </c>
      <c r="W71" s="595">
        <v>108</v>
      </c>
      <c r="X71" s="595">
        <v>1412</v>
      </c>
      <c r="Y71" s="595">
        <v>94</v>
      </c>
      <c r="Z71" s="595">
        <v>16</v>
      </c>
      <c r="AA71" s="595">
        <v>2</v>
      </c>
      <c r="AB71" s="595">
        <v>19</v>
      </c>
      <c r="AC71" s="572">
        <v>22</v>
      </c>
      <c r="AD71" s="573" t="s">
        <v>399</v>
      </c>
      <c r="AE71" s="573" t="s">
        <v>400</v>
      </c>
      <c r="AF71" s="574">
        <v>43</v>
      </c>
    </row>
    <row r="72">
      <c r="A72" s="559"/>
      <c r="B72" s="575" t="s">
        <v>388</v>
      </c>
      <c r="C72" s="575"/>
      <c r="D72" s="576">
        <f>SUM(D68:D71)</f>
      </c>
      <c r="E72" s="577">
        <f>SUM(E68:E71)</f>
      </c>
      <c r="F72" s="577">
        <f>SUM(F68:F71)</f>
      </c>
      <c r="G72" s="576">
        <f>SUM(G68:G71)</f>
      </c>
      <c r="H72" s="578">
        <f t="shared" si="131"/>
      </c>
      <c r="I72" s="578">
        <f t="shared" si="68"/>
      </c>
      <c r="J72" s="578">
        <f t="shared" si="249"/>
      </c>
      <c r="K72" s="578">
        <f t="shared" si="186"/>
      </c>
      <c r="L72" s="578">
        <f t="shared" si="314"/>
      </c>
      <c r="M72" s="579">
        <f t="shared" si="281"/>
      </c>
      <c r="N72" s="579">
        <f t="shared" si="5"/>
      </c>
      <c r="O72" s="579">
        <f t="shared" si="347"/>
      </c>
      <c r="P72" s="579">
        <f t="shared" si="101"/>
      </c>
      <c r="Q72" s="580">
        <f t="shared" si="38"/>
      </c>
      <c r="R72" s="579">
        <f>AVERAGE(R68:R71)</f>
      </c>
      <c r="S72" s="576">
        <f>AVERAGE(S68:S71)</f>
      </c>
      <c r="T72" s="578">
        <f t="shared" si="219"/>
      </c>
      <c r="U72" s="597">
        <f>SUM(U68:U71)</f>
      </c>
      <c r="V72" s="597">
        <f>SUM(V68:V71)</f>
      </c>
      <c r="W72" s="597">
        <f>SUM(W68:W71)</f>
      </c>
      <c r="X72" s="597">
        <f>SUM(X68:X71)</f>
      </c>
      <c r="Y72" s="597">
        <f>SUM(Y68:Y71)</f>
      </c>
      <c r="Z72" s="597">
        <f>SUM(Z68:Z71)</f>
      </c>
      <c r="AA72" s="597">
        <f>SUM(AA68:AA71)</f>
      </c>
      <c r="AB72" s="597">
        <f>SUM(AB68:AB71)</f>
      </c>
      <c r="AC72" s="581">
        <f>AF72*1000/D72</f>
      </c>
      <c r="AD72" s="582"/>
      <c r="AE72" s="582"/>
      <c r="AF72" s="583">
        <f>SUM(AF68:AF71)</f>
      </c>
    </row>
    <row r="73">
      <c r="A73" s="559"/>
      <c r="B73" s="561" t="s">
        <v>389</v>
      </c>
      <c r="C73" s="560" t="s">
        <v>390</v>
      </c>
      <c r="D73" s="562">
        <v>2713.04</v>
      </c>
      <c r="E73" s="563">
        <v>4</v>
      </c>
      <c r="F73" s="563">
        <v>3</v>
      </c>
      <c r="G73" s="562">
        <v>1803.9999999999964</v>
      </c>
      <c r="H73" s="565">
        <v>1849</v>
      </c>
      <c r="I73" s="565">
        <v>169</v>
      </c>
      <c r="J73" s="565">
        <v>119</v>
      </c>
      <c r="K73" s="565">
        <v>98</v>
      </c>
      <c r="L73" s="565">
        <v>15</v>
      </c>
      <c r="M73" s="566">
        <v>2</v>
      </c>
      <c r="N73" s="566">
        <v>17</v>
      </c>
      <c r="O73" s="567">
        <f t="shared" si="347"/>
      </c>
      <c r="P73" s="567">
        <f t="shared" si="101"/>
      </c>
      <c r="Q73" s="568">
        <f t="shared" si="38"/>
      </c>
      <c r="R73" s="569">
        <v>0.0205</v>
      </c>
      <c r="S73" s="570">
        <v>41</v>
      </c>
      <c r="T73" s="571">
        <f t="shared" si="219"/>
      </c>
      <c r="U73" s="595">
        <v>17755</v>
      </c>
      <c r="V73" s="595">
        <v>1501</v>
      </c>
      <c r="W73" s="595">
        <v>119</v>
      </c>
      <c r="X73" s="595">
        <v>1849</v>
      </c>
      <c r="Y73" s="595">
        <v>98</v>
      </c>
      <c r="Z73" s="595">
        <v>15</v>
      </c>
      <c r="AA73" s="595">
        <v>2</v>
      </c>
      <c r="AB73" s="595">
        <v>17</v>
      </c>
      <c r="AC73" s="572">
        <v>21</v>
      </c>
      <c r="AD73" s="573" t="s">
        <v>399</v>
      </c>
      <c r="AE73" s="573" t="s">
        <v>400</v>
      </c>
      <c r="AF73" s="574">
        <v>32</v>
      </c>
    </row>
    <row r="74">
      <c r="A74" s="559"/>
      <c r="B74" s="561" t="s">
        <v>389</v>
      </c>
      <c r="C74" s="560" t="s">
        <v>391</v>
      </c>
      <c r="D74" s="562">
        <v>1393.6</v>
      </c>
      <c r="E74" s="563">
        <v>3</v>
      </c>
      <c r="F74" s="563">
        <v>1</v>
      </c>
      <c r="G74" s="562">
        <v>1683</v>
      </c>
      <c r="H74" s="565">
        <f t="shared" ref="H74:H78" si="132">G74/D74</f>
      </c>
      <c r="I74" s="565">
        <f t="shared" ref="I74:I78" si="69">D74/E74</f>
      </c>
      <c r="J74" s="565">
        <f t="shared" ref="J74:J77" si="250">D74/F74</f>
      </c>
      <c r="K74" s="565">
        <f t="shared" ref="K74:K78" si="187">G74/E74</f>
      </c>
      <c r="L74" s="565">
        <f t="shared" ref="L74:L78" si="315">D74/V74</f>
      </c>
      <c r="M74" s="566">
        <f t="shared" ref="M74:M78" si="282">Q74/U74*1</f>
      </c>
      <c r="N74" s="566">
        <f t="shared" ref="N74:N78" si="6">V74/U74</f>
      </c>
      <c r="O74" s="567">
        <f t="shared" si="347"/>
      </c>
      <c r="P74" s="567">
        <f t="shared" si="101"/>
      </c>
      <c r="Q74" s="568">
        <f t="shared" si="38"/>
      </c>
      <c r="R74" s="569">
        <v>0.0182</v>
      </c>
      <c r="S74" s="570">
        <v>40</v>
      </c>
      <c r="T74" s="571">
        <f t="shared" si="219"/>
      </c>
      <c r="U74" s="595">
        <v>10486</v>
      </c>
      <c r="V74" s="595">
        <v>935</v>
      </c>
      <c r="W74" s="595">
        <v>66</v>
      </c>
      <c r="X74" s="595">
        <v>1203</v>
      </c>
      <c r="Y74" s="595">
        <v>55</v>
      </c>
      <c r="Z74" s="595">
        <v>6</v>
      </c>
      <c r="AA74" s="595">
        <v>4</v>
      </c>
      <c r="AB74" s="595">
        <v>9</v>
      </c>
      <c r="AC74" s="572">
        <v>11</v>
      </c>
      <c r="AD74" s="573" t="s">
        <v>399</v>
      </c>
      <c r="AE74" s="573" t="s">
        <v>400</v>
      </c>
      <c r="AF74" s="574">
        <v>22</v>
      </c>
    </row>
    <row r="75">
      <c r="A75" s="559"/>
      <c r="B75" s="561" t="s">
        <v>389</v>
      </c>
      <c r="C75" s="561" t="s">
        <v>392</v>
      </c>
      <c r="D75" s="562">
        <v>980.51</v>
      </c>
      <c r="E75" s="563">
        <v>1</v>
      </c>
      <c r="F75" s="563">
        <v>0</v>
      </c>
      <c r="G75" s="562">
        <v>1483.9000000000015</v>
      </c>
      <c r="H75" s="565">
        <f t="shared" si="132"/>
      </c>
      <c r="I75" s="565">
        <f t="shared" si="69"/>
      </c>
      <c r="J75" s="565">
        <f t="shared" si="250"/>
      </c>
      <c r="K75" s="565">
        <f t="shared" si="187"/>
      </c>
      <c r="L75" s="565">
        <f t="shared" si="315"/>
      </c>
      <c r="M75" s="566">
        <f t="shared" si="282"/>
      </c>
      <c r="N75" s="566">
        <f t="shared" si="6"/>
      </c>
      <c r="O75" s="567">
        <f t="shared" si="347"/>
      </c>
      <c r="P75" s="567">
        <f t="shared" si="101"/>
      </c>
      <c r="Q75" s="568">
        <f t="shared" si="38"/>
      </c>
      <c r="R75" s="569">
        <v>0.0172</v>
      </c>
      <c r="S75" s="570">
        <v>40</v>
      </c>
      <c r="T75" s="571">
        <f t="shared" si="219"/>
      </c>
      <c r="U75" s="595">
        <v>7722</v>
      </c>
      <c r="V75" s="595">
        <v>957</v>
      </c>
      <c r="W75" s="595">
        <v>54</v>
      </c>
      <c r="X75" s="595">
        <v>1240</v>
      </c>
      <c r="Y75" s="595">
        <v>31</v>
      </c>
      <c r="Z75" s="595">
        <v>5</v>
      </c>
      <c r="AA75" s="595">
        <v>1</v>
      </c>
      <c r="AB75" s="595">
        <v>0</v>
      </c>
      <c r="AC75" s="572">
        <v>11</v>
      </c>
      <c r="AD75" s="573" t="s">
        <v>399</v>
      </c>
      <c r="AE75" s="573" t="s">
        <v>400</v>
      </c>
      <c r="AF75" s="574">
        <v>15</v>
      </c>
    </row>
    <row r="76">
      <c r="A76" s="559"/>
      <c r="B76" s="561" t="s">
        <v>389</v>
      </c>
      <c r="C76" s="561" t="s">
        <v>393</v>
      </c>
      <c r="D76" s="564">
        <v>431.45</v>
      </c>
      <c r="E76" s="563">
        <v>6</v>
      </c>
      <c r="F76" s="563">
        <v>5</v>
      </c>
      <c r="G76" s="564">
        <v>5827.799999999999</v>
      </c>
      <c r="H76" s="565">
        <f t="shared" si="132"/>
      </c>
      <c r="I76" s="565">
        <f t="shared" si="69"/>
      </c>
      <c r="J76" s="565">
        <f t="shared" si="250"/>
      </c>
      <c r="K76" s="565">
        <f t="shared" si="187"/>
      </c>
      <c r="L76" s="565">
        <f t="shared" si="315"/>
      </c>
      <c r="M76" s="566">
        <f t="shared" si="282"/>
      </c>
      <c r="N76" s="566">
        <f t="shared" si="6"/>
      </c>
      <c r="O76" s="567">
        <f t="shared" si="347"/>
      </c>
      <c r="P76" s="567">
        <f t="shared" si="101"/>
      </c>
      <c r="Q76" s="568">
        <f t="shared" si="38"/>
      </c>
      <c r="R76" s="569">
        <v>0.0179</v>
      </c>
      <c r="S76" s="570">
        <v>41</v>
      </c>
      <c r="T76" s="571">
        <f t="shared" si="219"/>
      </c>
      <c r="U76" s="595">
        <v>3933</v>
      </c>
      <c r="V76" s="595">
        <v>442</v>
      </c>
      <c r="W76" s="595">
        <v>28</v>
      </c>
      <c r="X76" s="595">
        <v>613</v>
      </c>
      <c r="Y76" s="595">
        <v>42</v>
      </c>
      <c r="Z76" s="595">
        <v>4</v>
      </c>
      <c r="AA76" s="595">
        <v>0</v>
      </c>
      <c r="AB76" s="595">
        <v>0</v>
      </c>
      <c r="AC76" s="572">
        <v>6</v>
      </c>
      <c r="AD76" s="573" t="s">
        <v>399</v>
      </c>
      <c r="AE76" s="573" t="s">
        <v>400</v>
      </c>
      <c r="AF76" s="574">
        <v>17</v>
      </c>
    </row>
    <row r="77">
      <c r="A77" s="559"/>
      <c r="B77" s="575" t="s">
        <v>388</v>
      </c>
      <c r="C77" s="575"/>
      <c r="D77" s="576">
        <f>SUM(D73:D76)</f>
      </c>
      <c r="E77" s="577">
        <f>SUM(E73:E76)</f>
      </c>
      <c r="F77" s="577">
        <f>SUM(F73:F76)</f>
      </c>
      <c r="G77" s="576">
        <f>SUM(G73:G76)</f>
      </c>
      <c r="H77" s="578">
        <f t="shared" si="132"/>
      </c>
      <c r="I77" s="578">
        <f t="shared" si="69"/>
      </c>
      <c r="J77" s="578">
        <f t="shared" si="250"/>
      </c>
      <c r="K77" s="578">
        <f t="shared" si="187"/>
      </c>
      <c r="L77" s="578">
        <f t="shared" si="315"/>
      </c>
      <c r="M77" s="579">
        <f t="shared" si="282"/>
      </c>
      <c r="N77" s="579">
        <f t="shared" si="6"/>
      </c>
      <c r="O77" s="579">
        <f t="shared" si="347"/>
      </c>
      <c r="P77" s="579">
        <f t="shared" si="101"/>
      </c>
      <c r="Q77" s="580">
        <f t="shared" si="38"/>
      </c>
      <c r="R77" s="579">
        <f>AVERAGE(R73:R76)</f>
      </c>
      <c r="S77" s="576">
        <f>AVERAGE(S73:S76)</f>
      </c>
      <c r="T77" s="578">
        <f t="shared" si="219"/>
      </c>
      <c r="U77" s="580">
        <f>SUM(U73:U76)</f>
      </c>
      <c r="V77" s="580">
        <f>SUM(V73:V76)</f>
      </c>
      <c r="W77" s="580">
        <f>SUM(W73:W76)</f>
      </c>
      <c r="X77" s="580">
        <f>SUM(X73:X76)</f>
      </c>
      <c r="Y77" s="580">
        <f>SUM(Y73:Y76)</f>
      </c>
      <c r="Z77" s="580">
        <f>SUM(Z73:Z76)</f>
      </c>
      <c r="AA77" s="580">
        <f>SUM(AA73:AA76)</f>
      </c>
      <c r="AB77" s="580">
        <f>SUM(AB73:AB76)</f>
      </c>
      <c r="AC77" s="581">
        <f>AF77*1000/D77</f>
      </c>
      <c r="AD77" s="582"/>
      <c r="AE77" s="582"/>
      <c r="AF77" s="580">
        <f>SUM(AF73:AF76)</f>
      </c>
    </row>
    <row r="78">
      <c r="A78" s="559"/>
      <c r="B78" s="585" t="s">
        <v>394</v>
      </c>
      <c r="C78" s="585"/>
      <c r="D78" s="586">
        <f>D72+D77</f>
      </c>
      <c r="E78" s="587">
        <f>E72+E77</f>
      </c>
      <c r="F78" s="587">
        <f>F72+F77</f>
      </c>
      <c r="G78" s="586">
        <f>G72+G77</f>
      </c>
      <c r="H78" s="588">
        <f t="shared" si="132"/>
      </c>
      <c r="I78" s="588">
        <f t="shared" si="69"/>
      </c>
      <c r="J78" s="588">
        <v>745.3765</v>
      </c>
      <c r="K78" s="588">
        <f t="shared" si="187"/>
      </c>
      <c r="L78" s="588">
        <f t="shared" si="315"/>
      </c>
      <c r="M78" s="589">
        <f t="shared" si="282"/>
      </c>
      <c r="N78" s="589">
        <f t="shared" si="6"/>
      </c>
      <c r="O78" s="589">
        <f t="shared" si="347"/>
      </c>
      <c r="P78" s="589">
        <f t="shared" si="101"/>
      </c>
      <c r="Q78" s="590">
        <f t="shared" si="38"/>
      </c>
      <c r="R78" s="591">
        <f>(R72+R77)/2</f>
      </c>
      <c r="S78" s="592">
        <f>(S77+S72)/2</f>
      </c>
      <c r="T78" s="592">
        <f t="shared" si="219"/>
      </c>
      <c r="U78" s="590">
        <f>U72+U77</f>
      </c>
      <c r="V78" s="590">
        <f>V72+V77</f>
      </c>
      <c r="W78" s="590">
        <f>W72+W77</f>
      </c>
      <c r="X78" s="590">
        <f>X72+X77</f>
      </c>
      <c r="Y78" s="590">
        <f>Y72+Y77</f>
      </c>
      <c r="Z78" s="590">
        <f>Z72+Z77</f>
      </c>
      <c r="AA78" s="590">
        <f>AA72+AA77</f>
      </c>
      <c r="AB78" s="590">
        <f>AB72+AB77</f>
      </c>
      <c r="AC78" s="593">
        <f>AC72</f>
      </c>
      <c r="AD78" s="594"/>
      <c r="AE78" s="594"/>
      <c r="AF78" s="590">
        <f>AF72+AF77</f>
      </c>
    </row>
    <row r="79">
      <c r="A79" s="599" t="s">
        <v>395</v>
      </c>
      <c r="B79" s="599" t="s">
        <v>346</v>
      </c>
      <c r="C79" s="599"/>
      <c r="D79" s="600" t="s">
        <v>347</v>
      </c>
      <c r="E79" s="600"/>
      <c r="F79" s="600"/>
      <c r="G79" s="600"/>
      <c r="H79" s="600"/>
      <c r="I79" s="600"/>
      <c r="J79" s="600"/>
      <c r="K79" s="600"/>
      <c r="L79" s="601" t="s">
        <v>348</v>
      </c>
      <c r="M79" s="601"/>
      <c r="N79" s="601"/>
      <c r="O79" s="601"/>
      <c r="P79" s="601"/>
      <c r="Q79" s="601"/>
      <c r="R79" s="601"/>
      <c r="S79" s="601"/>
      <c r="T79" s="601"/>
      <c r="U79" s="601"/>
      <c r="V79" s="601"/>
      <c r="W79" s="601"/>
      <c r="X79" s="601"/>
      <c r="Y79" s="601"/>
      <c r="Z79" s="601"/>
      <c r="AA79" s="601"/>
      <c r="AB79" s="601"/>
      <c r="AC79" s="601"/>
      <c r="AD79" s="601"/>
      <c r="AE79" s="601"/>
      <c r="AF79" s="602"/>
    </row>
    <row r="80">
      <c r="A80" s="599"/>
      <c r="B80" s="603" t="s">
        <v>349</v>
      </c>
      <c r="C80" s="603" t="s">
        <v>350</v>
      </c>
      <c r="D80" s="604" t="s">
        <v>351</v>
      </c>
      <c r="E80" s="605" t="s">
        <v>352</v>
      </c>
      <c r="F80" s="605" t="s">
        <v>353</v>
      </c>
      <c r="G80" s="604" t="s">
        <v>354</v>
      </c>
      <c r="H80" s="606" t="s">
        <v>355</v>
      </c>
      <c r="I80" s="606" t="s">
        <v>356</v>
      </c>
      <c r="J80" s="606" t="s">
        <v>357</v>
      </c>
      <c r="K80" s="606" t="s">
        <v>358</v>
      </c>
      <c r="L80" s="607" t="s">
        <v>359</v>
      </c>
      <c r="M80" s="608" t="s">
        <v>360</v>
      </c>
      <c r="N80" s="608" t="s">
        <v>361</v>
      </c>
      <c r="O80" s="608" t="s">
        <v>362</v>
      </c>
      <c r="P80" s="608" t="s">
        <v>363</v>
      </c>
      <c r="Q80" s="609" t="s">
        <v>364</v>
      </c>
      <c r="R80" s="608" t="s">
        <v>365</v>
      </c>
      <c r="S80" s="609" t="s">
        <v>366</v>
      </c>
      <c r="T80" s="610" t="s">
        <v>367</v>
      </c>
      <c r="U80" s="611" t="s">
        <v>368</v>
      </c>
      <c r="V80" s="611" t="s">
        <v>369</v>
      </c>
      <c r="W80" s="611" t="s">
        <v>370</v>
      </c>
      <c r="X80" s="611" t="s">
        <v>371</v>
      </c>
      <c r="Y80" s="611" t="s">
        <v>372</v>
      </c>
      <c r="Z80" s="611" t="s">
        <v>373</v>
      </c>
      <c r="AA80" s="611" t="s">
        <v>374</v>
      </c>
      <c r="AB80" s="611" t="s">
        <v>375</v>
      </c>
      <c r="AC80" s="601" t="s">
        <v>376</v>
      </c>
      <c r="AD80" s="612" t="s">
        <v>377</v>
      </c>
      <c r="AE80" s="612" t="s">
        <v>378</v>
      </c>
      <c r="AF80" s="602" t="s">
        <v>379</v>
      </c>
    </row>
    <row r="81">
      <c r="A81" s="613" t="s">
        <v>403</v>
      </c>
      <c r="B81" s="614" t="s">
        <v>381</v>
      </c>
      <c r="C81" s="614" t="s">
        <v>382</v>
      </c>
      <c r="D81" s="615">
        <v>3000</v>
      </c>
      <c r="E81" s="616">
        <v>6</v>
      </c>
      <c r="F81" s="616">
        <v>5</v>
      </c>
      <c r="G81" s="615">
        <v>3755.4</v>
      </c>
      <c r="H81" s="617">
        <f t="shared" ref="H81:H91" si="133">G81/D81</f>
      </c>
      <c r="I81" s="617">
        <f t="shared" ref="I81:I85" si="70">D81/E81</f>
      </c>
      <c r="J81" s="617">
        <f t="shared" ref="J81:J85" si="251">D81/F81</f>
      </c>
      <c r="K81" s="617">
        <f t="shared" ref="K81:K85" si="188">G81/E81</f>
      </c>
      <c r="L81" s="617">
        <f t="shared" ref="L81:L85" si="316">D81/V81</f>
      </c>
      <c r="M81" s="618">
        <f t="shared" ref="M81:M85" si="283">Q81/U81*1</f>
      </c>
      <c r="N81" s="618">
        <f t="shared" ref="N81:N85" si="7">V81/U81</f>
      </c>
      <c r="O81" s="619">
        <f t="shared" ref="O81:O91" si="348">X81/U81</f>
      </c>
      <c r="P81" s="619">
        <f t="shared" ref="P81:P91" si="102">Y81/X81</f>
      </c>
      <c r="Q81" s="595">
        <f t="shared" ref="Q81:Q91" si="39">W81/R81</f>
      </c>
      <c r="R81" s="620">
        <v>0.0221</v>
      </c>
      <c r="S81" s="621">
        <v>44</v>
      </c>
      <c r="T81" s="622">
        <f t="shared" ref="T81:T91" si="220">(D81/U81)*1000</f>
      </c>
      <c r="U81" s="595">
        <v>22639</v>
      </c>
      <c r="V81" s="595">
        <v>1404</v>
      </c>
      <c r="W81" s="595">
        <v>137</v>
      </c>
      <c r="X81" s="595">
        <v>1929</v>
      </c>
      <c r="Y81" s="595">
        <v>86</v>
      </c>
      <c r="Z81" s="595">
        <v>25</v>
      </c>
      <c r="AA81" s="595">
        <v>4</v>
      </c>
      <c r="AB81" s="595">
        <v>28</v>
      </c>
      <c r="AC81" s="572">
        <v>0</v>
      </c>
      <c r="AD81" s="623" t="s">
        <v>399</v>
      </c>
      <c r="AE81" s="623" t="s">
        <v>400</v>
      </c>
      <c r="AF81" s="624">
        <v>45</v>
      </c>
    </row>
    <row r="82">
      <c r="A82" s="625"/>
      <c r="B82" s="614" t="s">
        <v>381</v>
      </c>
      <c r="C82" s="614" t="s">
        <v>385</v>
      </c>
      <c r="D82" s="615">
        <v>2994.82</v>
      </c>
      <c r="E82" s="616">
        <v>7</v>
      </c>
      <c r="F82" s="616">
        <v>5</v>
      </c>
      <c r="G82" s="615">
        <v>6286.5</v>
      </c>
      <c r="H82" s="617">
        <f t="shared" si="133"/>
      </c>
      <c r="I82" s="617">
        <f t="shared" si="70"/>
      </c>
      <c r="J82" s="617">
        <f t="shared" si="251"/>
      </c>
      <c r="K82" s="617">
        <f t="shared" si="188"/>
      </c>
      <c r="L82" s="617">
        <f t="shared" si="316"/>
      </c>
      <c r="M82" s="618">
        <f t="shared" si="283"/>
      </c>
      <c r="N82" s="618">
        <f t="shared" si="7"/>
      </c>
      <c r="O82" s="619">
        <f t="shared" si="348"/>
      </c>
      <c r="P82" s="619">
        <f t="shared" si="102"/>
      </c>
      <c r="Q82" s="595">
        <f t="shared" si="39"/>
      </c>
      <c r="R82" s="620">
        <v>0.0209</v>
      </c>
      <c r="S82" s="621">
        <v>47</v>
      </c>
      <c r="T82" s="622">
        <f t="shared" si="220"/>
      </c>
      <c r="U82" s="595">
        <v>18299</v>
      </c>
      <c r="V82" s="595">
        <v>1191</v>
      </c>
      <c r="W82" s="595">
        <v>122</v>
      </c>
      <c r="X82" s="595">
        <v>1476</v>
      </c>
      <c r="Y82" s="595">
        <v>86</v>
      </c>
      <c r="Z82" s="595">
        <v>11</v>
      </c>
      <c r="AA82" s="595">
        <v>3</v>
      </c>
      <c r="AB82" s="595">
        <v>17</v>
      </c>
      <c r="AC82" s="572">
        <v>0</v>
      </c>
      <c r="AD82" s="623" t="s">
        <v>399</v>
      </c>
      <c r="AE82" s="623" t="s">
        <v>400</v>
      </c>
      <c r="AF82" s="624">
        <v>41</v>
      </c>
    </row>
    <row r="83">
      <c r="A83" s="625"/>
      <c r="B83" s="614" t="s">
        <v>381</v>
      </c>
      <c r="C83" s="614" t="s">
        <v>386</v>
      </c>
      <c r="D83" s="615">
        <v>1343.84</v>
      </c>
      <c r="E83" s="616">
        <v>3</v>
      </c>
      <c r="F83" s="616">
        <v>2</v>
      </c>
      <c r="G83" s="615">
        <v>1758.8999999999996</v>
      </c>
      <c r="H83" s="617">
        <f t="shared" si="133"/>
      </c>
      <c r="I83" s="617">
        <f t="shared" si="70"/>
      </c>
      <c r="J83" s="617">
        <f t="shared" si="251"/>
      </c>
      <c r="K83" s="617">
        <f t="shared" si="188"/>
      </c>
      <c r="L83" s="617">
        <f t="shared" si="316"/>
      </c>
      <c r="M83" s="618">
        <f t="shared" si="283"/>
      </c>
      <c r="N83" s="618">
        <f t="shared" si="7"/>
      </c>
      <c r="O83" s="619">
        <f t="shared" si="348"/>
      </c>
      <c r="P83" s="619">
        <f t="shared" si="102"/>
      </c>
      <c r="Q83" s="595">
        <f t="shared" si="39"/>
      </c>
      <c r="R83" s="620">
        <v>0.0136</v>
      </c>
      <c r="S83" s="621">
        <v>49</v>
      </c>
      <c r="T83" s="622">
        <f t="shared" si="220"/>
      </c>
      <c r="U83" s="595">
        <v>8421</v>
      </c>
      <c r="V83" s="595">
        <v>357</v>
      </c>
      <c r="W83" s="595">
        <v>46</v>
      </c>
      <c r="X83" s="595">
        <v>439</v>
      </c>
      <c r="Y83" s="595">
        <v>32</v>
      </c>
      <c r="Z83" s="595">
        <v>5</v>
      </c>
      <c r="AA83" s="595">
        <v>1</v>
      </c>
      <c r="AB83" s="595">
        <v>0</v>
      </c>
      <c r="AC83" s="572">
        <v>10</v>
      </c>
      <c r="AD83" s="623" t="s">
        <v>399</v>
      </c>
      <c r="AE83" s="623" t="s">
        <v>400</v>
      </c>
      <c r="AF83" s="624">
        <v>14</v>
      </c>
    </row>
    <row r="84">
      <c r="A84" s="625"/>
      <c r="B84" s="614" t="s">
        <v>381</v>
      </c>
      <c r="C84" s="614" t="s">
        <v>387</v>
      </c>
      <c r="D84" s="615">
        <v>2621.14</v>
      </c>
      <c r="E84" s="616">
        <v>6</v>
      </c>
      <c r="F84" s="616">
        <v>5</v>
      </c>
      <c r="G84" s="615">
        <v>4415.4</v>
      </c>
      <c r="H84" s="617">
        <f t="shared" si="133"/>
      </c>
      <c r="I84" s="617">
        <f t="shared" si="70"/>
      </c>
      <c r="J84" s="617">
        <f t="shared" si="251"/>
      </c>
      <c r="K84" s="617">
        <f t="shared" si="188"/>
      </c>
      <c r="L84" s="617">
        <f t="shared" si="316"/>
      </c>
      <c r="M84" s="618">
        <f t="shared" si="283"/>
      </c>
      <c r="N84" s="618">
        <f t="shared" si="7"/>
      </c>
      <c r="O84" s="619">
        <f t="shared" si="348"/>
      </c>
      <c r="P84" s="619">
        <f t="shared" si="102"/>
      </c>
      <c r="Q84" s="595">
        <f t="shared" si="39"/>
      </c>
      <c r="R84" s="620">
        <v>0.0187</v>
      </c>
      <c r="S84" s="621">
        <v>46</v>
      </c>
      <c r="T84" s="622">
        <f t="shared" si="220"/>
      </c>
      <c r="U84" s="595">
        <v>15608</v>
      </c>
      <c r="V84" s="595">
        <v>1286</v>
      </c>
      <c r="W84" s="595">
        <v>99</v>
      </c>
      <c r="X84" s="595">
        <v>1756</v>
      </c>
      <c r="Y84" s="595">
        <v>87</v>
      </c>
      <c r="Z84" s="595">
        <v>4</v>
      </c>
      <c r="AA84" s="595">
        <v>2</v>
      </c>
      <c r="AB84" s="595">
        <v>12</v>
      </c>
      <c r="AC84" s="572">
        <v>22</v>
      </c>
      <c r="AD84" s="623" t="s">
        <v>399</v>
      </c>
      <c r="AE84" s="623" t="s">
        <v>400</v>
      </c>
      <c r="AF84" s="624">
        <v>28</v>
      </c>
    </row>
    <row r="85">
      <c r="A85" s="625"/>
      <c r="B85" s="626" t="s">
        <v>388</v>
      </c>
      <c r="C85" s="626"/>
      <c r="D85" s="627">
        <f>SUM(D81:D84)</f>
      </c>
      <c r="E85" s="628">
        <f>SUM(E81:E84)</f>
      </c>
      <c r="F85" s="628">
        <f>SUM(F81:F84)</f>
      </c>
      <c r="G85" s="627">
        <f>SUM(G81:G84)</f>
      </c>
      <c r="H85" s="629">
        <f t="shared" si="133"/>
      </c>
      <c r="I85" s="629">
        <f t="shared" si="70"/>
      </c>
      <c r="J85" s="629">
        <f t="shared" si="251"/>
      </c>
      <c r="K85" s="629">
        <f t="shared" si="188"/>
      </c>
      <c r="L85" s="629">
        <f t="shared" si="316"/>
      </c>
      <c r="M85" s="630">
        <f t="shared" si="283"/>
      </c>
      <c r="N85" s="630">
        <f t="shared" si="7"/>
      </c>
      <c r="O85" s="630">
        <f t="shared" si="348"/>
      </c>
      <c r="P85" s="630">
        <f t="shared" si="102"/>
      </c>
      <c r="Q85" s="597">
        <f t="shared" si="39"/>
      </c>
      <c r="R85" s="630">
        <f>AVERAGE(R81:R84)</f>
      </c>
      <c r="S85" s="627">
        <f>AVERAGE(S81:S84)</f>
      </c>
      <c r="T85" s="629">
        <f t="shared" si="220"/>
      </c>
      <c r="U85" s="597">
        <f>SUM(U81:U84)</f>
      </c>
      <c r="V85" s="597">
        <f>SUM(V81:V84)</f>
      </c>
      <c r="W85" s="597">
        <f>SUM(W81:W84)</f>
      </c>
      <c r="X85" s="597">
        <f>SUM(X81:X84)</f>
      </c>
      <c r="Y85" s="597">
        <f>SUM(Y81:Y84)</f>
      </c>
      <c r="Z85" s="597">
        <f>SUM(Z81:Z84)</f>
      </c>
      <c r="AA85" s="597">
        <f>SUM(AA81:AA84)</f>
      </c>
      <c r="AB85" s="597">
        <f>SUM(AB81:AB84)</f>
      </c>
      <c r="AC85" s="581">
        <f>AF85*1000/D85</f>
      </c>
      <c r="AD85" s="631"/>
      <c r="AE85" s="631"/>
      <c r="AF85" s="632">
        <f>SUM(AF81:AF84)</f>
      </c>
    </row>
    <row r="86">
      <c r="A86" s="625"/>
      <c r="B86" s="614" t="s">
        <v>389</v>
      </c>
      <c r="C86" s="614" t="s">
        <v>390</v>
      </c>
      <c r="D86" s="615">
        <v>1768.87</v>
      </c>
      <c r="E86" s="616">
        <v>3</v>
      </c>
      <c r="F86" s="616">
        <v>3</v>
      </c>
      <c r="G86" s="615">
        <v>3558.5</v>
      </c>
      <c r="H86" s="617">
        <f t="shared" si="133"/>
      </c>
      <c r="I86" s="617">
        <v>169</v>
      </c>
      <c r="J86" s="617">
        <v>119</v>
      </c>
      <c r="K86" s="617">
        <v>98</v>
      </c>
      <c r="L86" s="617">
        <v>15</v>
      </c>
      <c r="M86" s="618">
        <v>2</v>
      </c>
      <c r="N86" s="618">
        <v>17</v>
      </c>
      <c r="O86" s="619">
        <f t="shared" si="348"/>
      </c>
      <c r="P86" s="619">
        <f t="shared" si="102"/>
      </c>
      <c r="Q86" s="595">
        <f t="shared" si="39"/>
      </c>
      <c r="R86" s="620">
        <v>0.0165</v>
      </c>
      <c r="S86" s="621">
        <v>46</v>
      </c>
      <c r="T86" s="622">
        <f t="shared" si="220"/>
      </c>
      <c r="U86" s="595">
        <v>11724</v>
      </c>
      <c r="V86" s="595">
        <v>1072</v>
      </c>
      <c r="W86" s="595">
        <v>83</v>
      </c>
      <c r="X86" s="595">
        <v>1523</v>
      </c>
      <c r="Y86" s="595">
        <v>85</v>
      </c>
      <c r="Z86" s="595">
        <v>10</v>
      </c>
      <c r="AA86" s="595">
        <v>3</v>
      </c>
      <c r="AB86" s="595">
        <v>2</v>
      </c>
      <c r="AC86" s="572">
        <v>21</v>
      </c>
      <c r="AD86" s="623" t="s">
        <v>399</v>
      </c>
      <c r="AE86" s="623" t="s">
        <v>400</v>
      </c>
      <c r="AF86" s="624">
        <v>28</v>
      </c>
    </row>
    <row r="87">
      <c r="A87" s="625"/>
      <c r="B87" s="614" t="s">
        <v>389</v>
      </c>
      <c r="C87" s="614" t="s">
        <v>391</v>
      </c>
      <c r="D87" s="615">
        <v>2146.9</v>
      </c>
      <c r="E87" s="616">
        <v>5</v>
      </c>
      <c r="F87" s="616">
        <v>5</v>
      </c>
      <c r="G87" s="615">
        <v>6010.399999999998</v>
      </c>
      <c r="H87" s="617">
        <f t="shared" si="133"/>
      </c>
      <c r="I87" s="617">
        <f t="shared" ref="I87:I91" si="71">D87/E87</f>
      </c>
      <c r="J87" s="617">
        <f t="shared" ref="J87:J90" si="252">D87/F87</f>
      </c>
      <c r="K87" s="617">
        <f t="shared" ref="K87:K91" si="189">G87/E87</f>
      </c>
      <c r="L87" s="617">
        <f t="shared" ref="L87:L91" si="317">D87/V87</f>
      </c>
      <c r="M87" s="618">
        <f t="shared" ref="M87:M91" si="284">Q87/U87*1</f>
      </c>
      <c r="N87" s="618">
        <f t="shared" ref="N87:N91" si="8">V87/U87</f>
      </c>
      <c r="O87" s="619">
        <f t="shared" si="348"/>
      </c>
      <c r="P87" s="619">
        <f t="shared" si="102"/>
      </c>
      <c r="Q87" s="595">
        <f t="shared" si="39"/>
      </c>
      <c r="R87" s="620">
        <v>0.0127</v>
      </c>
      <c r="S87" s="621">
        <v>44</v>
      </c>
      <c r="T87" s="622">
        <f t="shared" si="220"/>
      </c>
      <c r="U87" s="595">
        <v>14557</v>
      </c>
      <c r="V87" s="595">
        <v>1189</v>
      </c>
      <c r="W87" s="595">
        <v>89</v>
      </c>
      <c r="X87" s="595">
        <v>1541</v>
      </c>
      <c r="Y87" s="595">
        <v>54</v>
      </c>
      <c r="Z87" s="595">
        <v>11</v>
      </c>
      <c r="AA87" s="595">
        <v>5</v>
      </c>
      <c r="AB87" s="595">
        <v>8</v>
      </c>
      <c r="AC87" s="572">
        <v>11</v>
      </c>
      <c r="AD87" s="623" t="s">
        <v>399</v>
      </c>
      <c r="AE87" s="623" t="s">
        <v>400</v>
      </c>
      <c r="AF87" s="624">
        <v>19</v>
      </c>
    </row>
    <row r="88">
      <c r="A88" s="625"/>
      <c r="B88" s="614" t="s">
        <v>389</v>
      </c>
      <c r="C88" s="614" t="s">
        <v>392</v>
      </c>
      <c r="D88" s="615">
        <v>3069.19</v>
      </c>
      <c r="E88" s="616">
        <v>8</v>
      </c>
      <c r="F88" s="616">
        <v>6</v>
      </c>
      <c r="G88" s="615">
        <v>3472.7000000000044</v>
      </c>
      <c r="H88" s="617">
        <f t="shared" si="133"/>
      </c>
      <c r="I88" s="617">
        <f t="shared" si="71"/>
      </c>
      <c r="J88" s="617">
        <f t="shared" si="252"/>
      </c>
      <c r="K88" s="617">
        <f t="shared" si="189"/>
      </c>
      <c r="L88" s="617">
        <f t="shared" si="317"/>
      </c>
      <c r="M88" s="618">
        <f t="shared" si="284"/>
      </c>
      <c r="N88" s="618">
        <f t="shared" si="8"/>
      </c>
      <c r="O88" s="619">
        <f t="shared" si="348"/>
      </c>
      <c r="P88" s="619">
        <f t="shared" si="102"/>
      </c>
      <c r="Q88" s="595">
        <f t="shared" si="39"/>
      </c>
      <c r="R88" s="620">
        <v>0.0146</v>
      </c>
      <c r="S88" s="621">
        <v>41</v>
      </c>
      <c r="T88" s="622">
        <f t="shared" si="220"/>
      </c>
      <c r="U88" s="595">
        <v>19691</v>
      </c>
      <c r="V88" s="595">
        <v>1896</v>
      </c>
      <c r="W88" s="595">
        <v>124</v>
      </c>
      <c r="X88" s="595">
        <v>2487</v>
      </c>
      <c r="Y88" s="595">
        <v>62</v>
      </c>
      <c r="Z88" s="595">
        <v>14</v>
      </c>
      <c r="AA88" s="595">
        <v>2</v>
      </c>
      <c r="AB88" s="595">
        <v>8</v>
      </c>
      <c r="AC88" s="572">
        <v>11</v>
      </c>
      <c r="AD88" s="623" t="s">
        <v>399</v>
      </c>
      <c r="AE88" s="623" t="s">
        <v>400</v>
      </c>
      <c r="AF88" s="624">
        <v>35</v>
      </c>
    </row>
    <row r="89">
      <c r="A89" s="625"/>
      <c r="B89" s="614" t="s">
        <v>389</v>
      </c>
      <c r="C89" s="614" t="s">
        <v>393</v>
      </c>
      <c r="D89" s="615">
        <v>1598.65</v>
      </c>
      <c r="E89" s="616">
        <v>8</v>
      </c>
      <c r="F89" s="616">
        <v>4</v>
      </c>
      <c r="G89" s="615">
        <v>8793.399999999994</v>
      </c>
      <c r="H89" s="617">
        <f t="shared" si="133"/>
      </c>
      <c r="I89" s="617">
        <f t="shared" si="71"/>
      </c>
      <c r="J89" s="617">
        <f t="shared" si="252"/>
      </c>
      <c r="K89" s="617">
        <f t="shared" si="189"/>
      </c>
      <c r="L89" s="617">
        <f t="shared" si="317"/>
      </c>
      <c r="M89" s="618">
        <f t="shared" si="284"/>
      </c>
      <c r="N89" s="618">
        <f t="shared" si="8"/>
      </c>
      <c r="O89" s="619">
        <f t="shared" si="348"/>
      </c>
      <c r="P89" s="619">
        <f t="shared" si="102"/>
      </c>
      <c r="Q89" s="595">
        <f t="shared" si="39"/>
      </c>
      <c r="R89" s="620">
        <v>0.0132</v>
      </c>
      <c r="S89" s="621">
        <v>42</v>
      </c>
      <c r="T89" s="622">
        <f t="shared" si="220"/>
      </c>
      <c r="U89" s="595">
        <v>11452</v>
      </c>
      <c r="V89" s="595">
        <v>1128</v>
      </c>
      <c r="W89" s="595">
        <v>70</v>
      </c>
      <c r="X89" s="595">
        <v>1398</v>
      </c>
      <c r="Y89" s="595">
        <v>78</v>
      </c>
      <c r="Z89" s="595">
        <v>7</v>
      </c>
      <c r="AA89" s="595">
        <v>1</v>
      </c>
      <c r="AB89" s="595">
        <v>12</v>
      </c>
      <c r="AC89" s="572">
        <v>6</v>
      </c>
      <c r="AD89" s="623" t="s">
        <v>399</v>
      </c>
      <c r="AE89" s="623" t="s">
        <v>400</v>
      </c>
      <c r="AF89" s="624">
        <v>23</v>
      </c>
    </row>
    <row r="90">
      <c r="A90" s="625"/>
      <c r="B90" s="626" t="s">
        <v>388</v>
      </c>
      <c r="C90" s="626"/>
      <c r="D90" s="627">
        <f>SUM(D86:D89)</f>
      </c>
      <c r="E90" s="628">
        <f>SUM(E86:E89)</f>
      </c>
      <c r="F90" s="628">
        <f>SUM(F86:F89)</f>
      </c>
      <c r="G90" s="627">
        <f>SUM(G86:G89)</f>
      </c>
      <c r="H90" s="629">
        <f t="shared" si="133"/>
      </c>
      <c r="I90" s="629">
        <f t="shared" si="71"/>
      </c>
      <c r="J90" s="629">
        <f t="shared" si="252"/>
      </c>
      <c r="K90" s="629">
        <f t="shared" si="189"/>
      </c>
      <c r="L90" s="629">
        <f t="shared" si="317"/>
      </c>
      <c r="M90" s="630">
        <f t="shared" si="284"/>
      </c>
      <c r="N90" s="630">
        <f t="shared" si="8"/>
      </c>
      <c r="O90" s="630">
        <f t="shared" si="348"/>
      </c>
      <c r="P90" s="630">
        <f t="shared" si="102"/>
      </c>
      <c r="Q90" s="597">
        <f t="shared" si="39"/>
      </c>
      <c r="R90" s="630">
        <f>AVERAGE(R86:R89)</f>
      </c>
      <c r="S90" s="627">
        <f>AVERAGE(S86:S89)</f>
      </c>
      <c r="T90" s="629">
        <f t="shared" si="220"/>
      </c>
      <c r="U90" s="597">
        <f>SUM(U86:U89)</f>
      </c>
      <c r="V90" s="597">
        <f>SUM(V86:V89)</f>
      </c>
      <c r="W90" s="597">
        <f>SUM(W86:W89)</f>
      </c>
      <c r="X90" s="597">
        <f>SUM(X86:X89)</f>
      </c>
      <c r="Y90" s="597">
        <f>SUM(Y86:Y89)</f>
      </c>
      <c r="Z90" s="597">
        <f>SUM(Z86:Z89)</f>
      </c>
      <c r="AA90" s="597">
        <f>SUM(AA86:AA89)</f>
      </c>
      <c r="AB90" s="597">
        <f>SUM(AB86:AB89)</f>
      </c>
      <c r="AC90" s="581">
        <f>AF90*1000/D90</f>
      </c>
      <c r="AD90" s="631"/>
      <c r="AE90" s="631"/>
      <c r="AF90" s="597">
        <f>SUM(AF86:AF89)</f>
      </c>
    </row>
    <row r="91">
      <c r="A91" s="625"/>
      <c r="B91" s="633" t="s">
        <v>394</v>
      </c>
      <c r="C91" s="633"/>
      <c r="D91" s="634">
        <f>D85+D90</f>
      </c>
      <c r="E91" s="635">
        <f>E85+E90</f>
      </c>
      <c r="F91" s="635">
        <f>F85+F90</f>
      </c>
      <c r="G91" s="634">
        <f>G85+G90</f>
      </c>
      <c r="H91" s="636">
        <f t="shared" si="133"/>
      </c>
      <c r="I91" s="636">
        <f t="shared" si="71"/>
      </c>
      <c r="J91" s="636">
        <v>745.3765</v>
      </c>
      <c r="K91" s="636">
        <f t="shared" si="189"/>
      </c>
      <c r="L91" s="636">
        <f t="shared" si="317"/>
      </c>
      <c r="M91" s="637">
        <f t="shared" si="284"/>
      </c>
      <c r="N91" s="637">
        <f t="shared" si="8"/>
      </c>
      <c r="O91" s="637">
        <f t="shared" si="348"/>
      </c>
      <c r="P91" s="637">
        <f t="shared" si="102"/>
      </c>
      <c r="Q91" s="638">
        <f t="shared" si="39"/>
      </c>
      <c r="R91" s="639">
        <f>(R85+R90)/2</f>
      </c>
      <c r="S91" s="640">
        <f>(S90+S85)/2</f>
      </c>
      <c r="T91" s="640">
        <f t="shared" si="220"/>
      </c>
      <c r="U91" s="638">
        <f>U85+U90</f>
      </c>
      <c r="V91" s="638">
        <f>V85+V90</f>
      </c>
      <c r="W91" s="638">
        <f>W85+W90</f>
      </c>
      <c r="X91" s="638">
        <f>X85+X90</f>
      </c>
      <c r="Y91" s="638">
        <f>Y85+Y90</f>
      </c>
      <c r="Z91" s="638">
        <f>Z85+Z90</f>
      </c>
      <c r="AA91" s="638">
        <f>AA85+AA90</f>
      </c>
      <c r="AB91" s="638">
        <f>AB85+AB90</f>
      </c>
      <c r="AC91" s="641">
        <f>AC85</f>
      </c>
      <c r="AD91" s="642"/>
      <c r="AE91" s="642"/>
      <c r="AF91" s="638">
        <f>AF85+AF90</f>
      </c>
    </row>
    <row r="92">
      <c r="A92" s="599" t="s">
        <v>395</v>
      </c>
      <c r="B92" s="599" t="s">
        <v>346</v>
      </c>
      <c r="C92" s="599"/>
      <c r="D92" s="600" t="s">
        <v>347</v>
      </c>
      <c r="E92" s="600"/>
      <c r="F92" s="600"/>
      <c r="G92" s="600"/>
      <c r="H92" s="600"/>
      <c r="I92" s="600"/>
      <c r="J92" s="600"/>
      <c r="K92" s="600"/>
      <c r="L92" s="601" t="s">
        <v>348</v>
      </c>
      <c r="M92" s="601"/>
      <c r="N92" s="601"/>
      <c r="O92" s="601"/>
      <c r="P92" s="601"/>
      <c r="Q92" s="601"/>
      <c r="R92" s="601"/>
      <c r="S92" s="601"/>
      <c r="T92" s="601"/>
      <c r="U92" s="601"/>
      <c r="V92" s="601"/>
      <c r="W92" s="601"/>
      <c r="X92" s="601"/>
      <c r="Y92" s="601"/>
      <c r="Z92" s="601"/>
      <c r="AA92" s="601"/>
      <c r="AB92" s="601"/>
      <c r="AC92" s="601"/>
      <c r="AD92" s="601"/>
      <c r="AE92" s="601"/>
      <c r="AF92" s="602"/>
    </row>
    <row r="93">
      <c r="A93" s="599"/>
      <c r="B93" s="603" t="s">
        <v>349</v>
      </c>
      <c r="C93" s="603" t="s">
        <v>350</v>
      </c>
      <c r="D93" s="604" t="s">
        <v>351</v>
      </c>
      <c r="E93" s="605" t="s">
        <v>352</v>
      </c>
      <c r="F93" s="605" t="s">
        <v>353</v>
      </c>
      <c r="G93" s="604" t="s">
        <v>354</v>
      </c>
      <c r="H93" s="606" t="s">
        <v>355</v>
      </c>
      <c r="I93" s="606" t="s">
        <v>356</v>
      </c>
      <c r="J93" s="606" t="s">
        <v>357</v>
      </c>
      <c r="K93" s="606" t="s">
        <v>358</v>
      </c>
      <c r="L93" s="607" t="s">
        <v>359</v>
      </c>
      <c r="M93" s="608" t="s">
        <v>360</v>
      </c>
      <c r="N93" s="608" t="s">
        <v>361</v>
      </c>
      <c r="O93" s="608" t="s">
        <v>362</v>
      </c>
      <c r="P93" s="608" t="s">
        <v>363</v>
      </c>
      <c r="Q93" s="609" t="s">
        <v>364</v>
      </c>
      <c r="R93" s="608" t="s">
        <v>365</v>
      </c>
      <c r="S93" s="609" t="s">
        <v>366</v>
      </c>
      <c r="T93" s="610" t="s">
        <v>367</v>
      </c>
      <c r="U93" s="611" t="s">
        <v>368</v>
      </c>
      <c r="V93" s="611" t="s">
        <v>369</v>
      </c>
      <c r="W93" s="611" t="s">
        <v>370</v>
      </c>
      <c r="X93" s="611" t="s">
        <v>371</v>
      </c>
      <c r="Y93" s="611" t="s">
        <v>372</v>
      </c>
      <c r="Z93" s="611" t="s">
        <v>373</v>
      </c>
      <c r="AA93" s="611" t="s">
        <v>374</v>
      </c>
      <c r="AB93" s="611" t="s">
        <v>375</v>
      </c>
      <c r="AC93" s="601" t="s">
        <v>376</v>
      </c>
      <c r="AD93" s="612" t="s">
        <v>377</v>
      </c>
      <c r="AE93" s="612" t="s">
        <v>378</v>
      </c>
      <c r="AF93" s="602" t="s">
        <v>379</v>
      </c>
    </row>
    <row r="94">
      <c r="A94" s="613" t="s">
        <v>404</v>
      </c>
      <c r="B94" s="614" t="s">
        <v>381</v>
      </c>
      <c r="C94" s="614" t="s">
        <v>382</v>
      </c>
      <c r="D94" s="615">
        <v>4800</v>
      </c>
      <c r="E94" s="616">
        <v>9</v>
      </c>
      <c r="F94" s="616">
        <v>9</v>
      </c>
      <c r="G94" s="615">
        <v>7221.5</v>
      </c>
      <c r="H94" s="617">
        <f t="shared" ref="H94:H104" si="134">G94/D94</f>
      </c>
      <c r="I94" s="617">
        <f t="shared" ref="I94:I98" si="72">D94/E94</f>
      </c>
      <c r="J94" s="617">
        <f t="shared" ref="J94:J103" si="253">D94/F94</f>
      </c>
      <c r="K94" s="617">
        <f t="shared" ref="K94:K98" si="190">G94/E94</f>
      </c>
      <c r="L94" s="617">
        <f t="shared" ref="L94:L98" si="318">D94/V94</f>
      </c>
      <c r="M94" s="618">
        <f t="shared" ref="M94:M98" si="285">Q94/U94*1</f>
      </c>
      <c r="N94" s="618">
        <f t="shared" ref="N94:N98" si="9">V94/U94</f>
      </c>
      <c r="O94" s="619">
        <f t="shared" ref="O94:O104" si="349">X94/U94</f>
      </c>
      <c r="P94" s="619">
        <f t="shared" ref="P94:P104" si="103">Y94/X94</f>
      </c>
      <c r="Q94" s="595">
        <f t="shared" ref="Q94:Q104" si="40">W94/R94</f>
      </c>
      <c r="R94" s="620">
        <v>0.0224</v>
      </c>
      <c r="S94" s="621">
        <v>38</v>
      </c>
      <c r="T94" s="622">
        <f t="shared" ref="T94:T104" si="221">(D94/U94)*1000</f>
      </c>
      <c r="U94" s="595">
        <v>24877</v>
      </c>
      <c r="V94" s="595">
        <v>1761</v>
      </c>
      <c r="W94" s="595">
        <v>156</v>
      </c>
      <c r="X94" s="595">
        <v>2564</v>
      </c>
      <c r="Y94" s="595">
        <v>105</v>
      </c>
      <c r="Z94" s="595">
        <v>15</v>
      </c>
      <c r="AA94" s="595">
        <v>1</v>
      </c>
      <c r="AB94" s="595">
        <v>22</v>
      </c>
      <c r="AC94" s="572">
        <v>0</v>
      </c>
      <c r="AD94" s="623" t="s">
        <v>399</v>
      </c>
      <c r="AE94" s="623" t="s">
        <v>400</v>
      </c>
      <c r="AF94" s="624">
        <v>65</v>
      </c>
    </row>
    <row r="95">
      <c r="A95" s="613"/>
      <c r="B95" s="614" t="s">
        <v>381</v>
      </c>
      <c r="C95" s="614" t="s">
        <v>385</v>
      </c>
      <c r="D95" s="615">
        <v>2700</v>
      </c>
      <c r="E95" s="616">
        <v>11</v>
      </c>
      <c r="F95" s="616">
        <v>8</v>
      </c>
      <c r="G95" s="615">
        <v>7750.6</v>
      </c>
      <c r="H95" s="617">
        <f t="shared" si="134"/>
      </c>
      <c r="I95" s="617">
        <f t="shared" si="72"/>
      </c>
      <c r="J95" s="617">
        <f t="shared" si="253"/>
      </c>
      <c r="K95" s="617">
        <f t="shared" si="190"/>
      </c>
      <c r="L95" s="617">
        <f t="shared" si="318"/>
      </c>
      <c r="M95" s="618">
        <f t="shared" si="285"/>
      </c>
      <c r="N95" s="618">
        <f t="shared" si="9"/>
      </c>
      <c r="O95" s="619">
        <f t="shared" si="349"/>
      </c>
      <c r="P95" s="619">
        <f t="shared" si="103"/>
      </c>
      <c r="Q95" s="595">
        <f t="shared" si="40"/>
      </c>
      <c r="R95" s="620">
        <v>0.0212</v>
      </c>
      <c r="S95" s="621">
        <v>47</v>
      </c>
      <c r="T95" s="622">
        <f t="shared" si="221"/>
      </c>
      <c r="U95" s="595">
        <v>14879</v>
      </c>
      <c r="V95" s="595">
        <v>950</v>
      </c>
      <c r="W95" s="595">
        <v>107</v>
      </c>
      <c r="X95" s="595">
        <v>1168</v>
      </c>
      <c r="Y95" s="595">
        <v>121</v>
      </c>
      <c r="Z95" s="595">
        <v>9</v>
      </c>
      <c r="AA95" s="595">
        <v>3</v>
      </c>
      <c r="AB95" s="595">
        <v>18</v>
      </c>
      <c r="AC95" s="572">
        <v>0</v>
      </c>
      <c r="AD95" s="623" t="s">
        <v>399</v>
      </c>
      <c r="AE95" s="623" t="s">
        <v>400</v>
      </c>
      <c r="AF95" s="624">
        <v>46</v>
      </c>
    </row>
    <row r="96">
      <c r="A96" s="613"/>
      <c r="B96" s="614" t="s">
        <v>381</v>
      </c>
      <c r="C96" s="614" t="s">
        <v>386</v>
      </c>
      <c r="D96" s="615">
        <v>3244.34</v>
      </c>
      <c r="E96" s="616">
        <v>3</v>
      </c>
      <c r="F96" s="616">
        <v>3</v>
      </c>
      <c r="G96" s="615">
        <v>1353</v>
      </c>
      <c r="H96" s="617">
        <f t="shared" si="134"/>
      </c>
      <c r="I96" s="617">
        <f t="shared" si="72"/>
      </c>
      <c r="J96" s="617">
        <f t="shared" si="253"/>
      </c>
      <c r="K96" s="617">
        <f t="shared" si="190"/>
      </c>
      <c r="L96" s="617">
        <f t="shared" si="318"/>
      </c>
      <c r="M96" s="618">
        <f t="shared" si="285"/>
      </c>
      <c r="N96" s="618">
        <f t="shared" si="9"/>
      </c>
      <c r="O96" s="619">
        <f t="shared" si="349"/>
      </c>
      <c r="P96" s="619">
        <f t="shared" si="103"/>
      </c>
      <c r="Q96" s="595">
        <f t="shared" si="40"/>
      </c>
      <c r="R96" s="620">
        <v>0.0177</v>
      </c>
      <c r="S96" s="621">
        <v>49</v>
      </c>
      <c r="T96" s="622">
        <f t="shared" si="221"/>
      </c>
      <c r="U96" s="595">
        <v>17334</v>
      </c>
      <c r="V96" s="595">
        <v>637</v>
      </c>
      <c r="W96" s="595">
        <v>93</v>
      </c>
      <c r="X96" s="595">
        <v>687</v>
      </c>
      <c r="Y96" s="595">
        <v>86</v>
      </c>
      <c r="Z96" s="595">
        <v>13</v>
      </c>
      <c r="AA96" s="595">
        <v>10</v>
      </c>
      <c r="AB96" s="595">
        <v>19</v>
      </c>
      <c r="AC96" s="572">
        <v>10</v>
      </c>
      <c r="AD96" s="623" t="s">
        <v>399</v>
      </c>
      <c r="AE96" s="623" t="s">
        <v>400</v>
      </c>
      <c r="AF96" s="624">
        <v>44</v>
      </c>
    </row>
    <row r="97">
      <c r="A97" s="613"/>
      <c r="B97" s="614" t="s">
        <v>381</v>
      </c>
      <c r="C97" s="614" t="s">
        <v>387</v>
      </c>
      <c r="D97" s="615">
        <v>3986.53</v>
      </c>
      <c r="E97" s="616">
        <v>10</v>
      </c>
      <c r="F97" s="616">
        <v>9</v>
      </c>
      <c r="G97" s="615">
        <v>7375.499999999998</v>
      </c>
      <c r="H97" s="617">
        <f t="shared" si="134"/>
      </c>
      <c r="I97" s="617">
        <f t="shared" si="72"/>
      </c>
      <c r="J97" s="617">
        <f t="shared" si="253"/>
      </c>
      <c r="K97" s="617">
        <f t="shared" si="190"/>
      </c>
      <c r="L97" s="617">
        <f t="shared" si="318"/>
      </c>
      <c r="M97" s="618">
        <f t="shared" si="285"/>
      </c>
      <c r="N97" s="618">
        <f t="shared" si="9"/>
      </c>
      <c r="O97" s="619">
        <f t="shared" si="349"/>
      </c>
      <c r="P97" s="619">
        <f t="shared" si="103"/>
      </c>
      <c r="Q97" s="595">
        <f t="shared" si="40"/>
      </c>
      <c r="R97" s="620">
        <v>0.0239</v>
      </c>
      <c r="S97" s="621">
        <v>46</v>
      </c>
      <c r="T97" s="622">
        <f t="shared" si="221"/>
      </c>
      <c r="U97" s="595">
        <v>20712</v>
      </c>
      <c r="V97" s="595">
        <v>1461</v>
      </c>
      <c r="W97" s="595">
        <v>126</v>
      </c>
      <c r="X97" s="595">
        <v>1913</v>
      </c>
      <c r="Y97" s="595">
        <v>94</v>
      </c>
      <c r="Z97" s="595">
        <v>10</v>
      </c>
      <c r="AA97" s="595">
        <v>3</v>
      </c>
      <c r="AB97" s="595">
        <v>27</v>
      </c>
      <c r="AC97" s="572">
        <v>22</v>
      </c>
      <c r="AD97" s="623" t="s">
        <v>399</v>
      </c>
      <c r="AE97" s="623" t="s">
        <v>400</v>
      </c>
      <c r="AF97" s="624">
        <v>41</v>
      </c>
    </row>
    <row r="98">
      <c r="A98" s="613"/>
      <c r="B98" s="626" t="s">
        <v>388</v>
      </c>
      <c r="C98" s="626"/>
      <c r="D98" s="627">
        <f>SUM(D94:D97)</f>
      </c>
      <c r="E98" s="628">
        <f>SUM(E94:E97)</f>
      </c>
      <c r="F98" s="628">
        <f>SUM(F94:F97)</f>
      </c>
      <c r="G98" s="627">
        <f>SUM(G94:G97)</f>
      </c>
      <c r="H98" s="629">
        <f t="shared" si="134"/>
      </c>
      <c r="I98" s="629">
        <f t="shared" si="72"/>
      </c>
      <c r="J98" s="629">
        <f t="shared" si="253"/>
      </c>
      <c r="K98" s="629">
        <f t="shared" si="190"/>
      </c>
      <c r="L98" s="629">
        <f t="shared" si="318"/>
      </c>
      <c r="M98" s="630">
        <f t="shared" si="285"/>
      </c>
      <c r="N98" s="630">
        <f t="shared" si="9"/>
      </c>
      <c r="O98" s="630">
        <f t="shared" si="349"/>
      </c>
      <c r="P98" s="630">
        <f t="shared" si="103"/>
      </c>
      <c r="Q98" s="597">
        <f t="shared" si="40"/>
      </c>
      <c r="R98" s="630">
        <f>AVERAGE(R94:R97)</f>
      </c>
      <c r="S98" s="627">
        <f>AVERAGE(S94:S97)</f>
      </c>
      <c r="T98" s="629">
        <f t="shared" si="221"/>
      </c>
      <c r="U98" s="597">
        <f>SUM(U94:U97)</f>
      </c>
      <c r="V98" s="597">
        <f>SUM(V94:V97)</f>
      </c>
      <c r="W98" s="597">
        <f>SUM(W94:W97)</f>
      </c>
      <c r="X98" s="597">
        <f>SUM(X94:X97)</f>
      </c>
      <c r="Y98" s="597">
        <f>SUM(Y94:Y97)</f>
      </c>
      <c r="Z98" s="597">
        <f>SUM(Z94:Z97)</f>
      </c>
      <c r="AA98" s="597">
        <f>SUM(AA94:AA97)</f>
      </c>
      <c r="AB98" s="597">
        <f>SUM(AB94:AB97)</f>
      </c>
      <c r="AC98" s="581">
        <f>AF98*1000/D98</f>
      </c>
      <c r="AD98" s="631"/>
      <c r="AE98" s="631"/>
      <c r="AF98" s="632">
        <f>SUM(AF94:AF97)</f>
      </c>
    </row>
    <row r="99">
      <c r="A99" s="613"/>
      <c r="B99" s="614" t="s">
        <v>389</v>
      </c>
      <c r="C99" s="614" t="s">
        <v>390</v>
      </c>
      <c r="D99" s="615">
        <v>3389.37</v>
      </c>
      <c r="E99" s="616">
        <v>2</v>
      </c>
      <c r="F99" s="616">
        <v>2</v>
      </c>
      <c r="G99" s="615">
        <v>902</v>
      </c>
      <c r="H99" s="617">
        <f t="shared" si="134"/>
      </c>
      <c r="I99" s="617">
        <v>169</v>
      </c>
      <c r="J99" s="617">
        <f t="shared" si="253"/>
      </c>
      <c r="K99" s="617">
        <v>98</v>
      </c>
      <c r="L99" s="617">
        <v>15</v>
      </c>
      <c r="M99" s="618">
        <v>2</v>
      </c>
      <c r="N99" s="618">
        <v>17</v>
      </c>
      <c r="O99" s="619">
        <f t="shared" si="349"/>
      </c>
      <c r="P99" s="619">
        <f t="shared" si="103"/>
      </c>
      <c r="Q99" s="595">
        <f t="shared" si="40"/>
      </c>
      <c r="R99" s="620">
        <v>0.0202</v>
      </c>
      <c r="S99" s="621">
        <v>45</v>
      </c>
      <c r="T99" s="622">
        <f t="shared" si="221"/>
      </c>
      <c r="U99" s="595">
        <v>18344</v>
      </c>
      <c r="V99" s="595">
        <v>1480</v>
      </c>
      <c r="W99" s="595">
        <v>121</v>
      </c>
      <c r="X99" s="595">
        <v>1977</v>
      </c>
      <c r="Y99" s="595">
        <v>103</v>
      </c>
      <c r="Z99" s="595">
        <v>10</v>
      </c>
      <c r="AA99" s="595">
        <v>3</v>
      </c>
      <c r="AB99" s="595">
        <v>24</v>
      </c>
      <c r="AC99" s="572">
        <v>21</v>
      </c>
      <c r="AD99" s="623" t="s">
        <v>399</v>
      </c>
      <c r="AE99" s="623" t="s">
        <v>400</v>
      </c>
      <c r="AF99" s="624">
        <v>46</v>
      </c>
    </row>
    <row r="100">
      <c r="A100" s="613"/>
      <c r="B100" s="614" t="s">
        <v>389</v>
      </c>
      <c r="C100" s="614" t="s">
        <v>391</v>
      </c>
      <c r="D100" s="615">
        <v>2169.16</v>
      </c>
      <c r="E100" s="616">
        <v>3</v>
      </c>
      <c r="F100" s="616">
        <v>3</v>
      </c>
      <c r="G100" s="615">
        <v>2416.7000000000007</v>
      </c>
      <c r="H100" s="617">
        <f t="shared" si="134"/>
      </c>
      <c r="I100" s="617">
        <f t="shared" ref="I100:I104" si="73">D100/E100</f>
      </c>
      <c r="J100" s="617">
        <f t="shared" si="253"/>
      </c>
      <c r="K100" s="617">
        <f t="shared" ref="K100:K104" si="191">G100/E100</f>
      </c>
      <c r="L100" s="617">
        <f t="shared" ref="L100:L104" si="319">D100/V100</f>
      </c>
      <c r="M100" s="618">
        <f t="shared" ref="M100:M104" si="286">Q100/U100*1</f>
      </c>
      <c r="N100" s="618">
        <f t="shared" ref="N100:N104" si="10">V100/U100</f>
      </c>
      <c r="O100" s="619">
        <f t="shared" si="349"/>
      </c>
      <c r="P100" s="619">
        <f t="shared" si="103"/>
      </c>
      <c r="Q100" s="595">
        <f t="shared" si="40"/>
      </c>
      <c r="R100" s="620">
        <v>0.0208</v>
      </c>
      <c r="S100" s="621">
        <v>43</v>
      </c>
      <c r="T100" s="622">
        <f t="shared" si="221"/>
      </c>
      <c r="U100" s="595">
        <v>12462</v>
      </c>
      <c r="V100" s="595">
        <v>903</v>
      </c>
      <c r="W100" s="595">
        <v>82</v>
      </c>
      <c r="X100" s="595">
        <v>1362</v>
      </c>
      <c r="Y100" s="595">
        <v>83</v>
      </c>
      <c r="Z100" s="595">
        <v>11</v>
      </c>
      <c r="AA100" s="595">
        <v>1</v>
      </c>
      <c r="AB100" s="595">
        <v>13</v>
      </c>
      <c r="AC100" s="572">
        <v>11</v>
      </c>
      <c r="AD100" s="623" t="s">
        <v>399</v>
      </c>
      <c r="AE100" s="623" t="s">
        <v>400</v>
      </c>
      <c r="AF100" s="624">
        <v>30</v>
      </c>
    </row>
    <row r="101">
      <c r="A101" s="613"/>
      <c r="B101" s="614" t="s">
        <v>389</v>
      </c>
      <c r="C101" s="614" t="s">
        <v>392</v>
      </c>
      <c r="D101" s="615">
        <v>2209.94</v>
      </c>
      <c r="E101" s="616">
        <v>3</v>
      </c>
      <c r="F101" s="616">
        <v>2</v>
      </c>
      <c r="G101" s="615">
        <v>2449.7000000000007</v>
      </c>
      <c r="H101" s="617">
        <f t="shared" si="134"/>
      </c>
      <c r="I101" s="617">
        <f t="shared" si="73"/>
      </c>
      <c r="J101" s="617">
        <f t="shared" si="253"/>
      </c>
      <c r="K101" s="617">
        <f t="shared" si="191"/>
      </c>
      <c r="L101" s="617">
        <f t="shared" si="319"/>
      </c>
      <c r="M101" s="618">
        <f t="shared" si="286"/>
      </c>
      <c r="N101" s="618">
        <f t="shared" si="10"/>
      </c>
      <c r="O101" s="619">
        <f t="shared" si="349"/>
      </c>
      <c r="P101" s="619">
        <f t="shared" si="103"/>
      </c>
      <c r="Q101" s="595">
        <f t="shared" si="40"/>
      </c>
      <c r="R101" s="620">
        <v>0.0204</v>
      </c>
      <c r="S101" s="621">
        <v>42</v>
      </c>
      <c r="T101" s="622">
        <f t="shared" si="221"/>
      </c>
      <c r="U101" s="595">
        <v>13244</v>
      </c>
      <c r="V101" s="595">
        <v>1403</v>
      </c>
      <c r="W101" s="595">
        <v>103</v>
      </c>
      <c r="X101" s="595">
        <v>1919</v>
      </c>
      <c r="Y101" s="595">
        <v>87</v>
      </c>
      <c r="Z101" s="595">
        <v>10</v>
      </c>
      <c r="AA101" s="595">
        <v>3</v>
      </c>
      <c r="AB101" s="595">
        <v>8</v>
      </c>
      <c r="AC101" s="572">
        <v>11</v>
      </c>
      <c r="AD101" s="623" t="s">
        <v>399</v>
      </c>
      <c r="AE101" s="623" t="s">
        <v>400</v>
      </c>
      <c r="AF101" s="624">
        <v>30</v>
      </c>
    </row>
    <row r="102">
      <c r="A102" s="613"/>
      <c r="B102" s="614" t="s">
        <v>389</v>
      </c>
      <c r="C102" s="614" t="s">
        <v>393</v>
      </c>
      <c r="D102" s="615">
        <v>1200.7</v>
      </c>
      <c r="E102" s="616">
        <v>7</v>
      </c>
      <c r="F102" s="616">
        <v>4</v>
      </c>
      <c r="G102" s="643">
        <v>4628.8</v>
      </c>
      <c r="H102" s="617">
        <f t="shared" si="134"/>
      </c>
      <c r="I102" s="617">
        <f t="shared" si="73"/>
      </c>
      <c r="J102" s="617">
        <f t="shared" si="253"/>
      </c>
      <c r="K102" s="617">
        <f t="shared" si="191"/>
      </c>
      <c r="L102" s="617">
        <f t="shared" si="319"/>
      </c>
      <c r="M102" s="618">
        <f t="shared" si="286"/>
      </c>
      <c r="N102" s="618">
        <f t="shared" si="10"/>
      </c>
      <c r="O102" s="619">
        <f t="shared" si="349"/>
      </c>
      <c r="P102" s="619">
        <f t="shared" si="103"/>
      </c>
      <c r="Q102" s="595">
        <f t="shared" si="40"/>
      </c>
      <c r="R102" s="620">
        <v>0.0151</v>
      </c>
      <c r="S102" s="621">
        <v>44</v>
      </c>
      <c r="T102" s="622">
        <f t="shared" si="221"/>
      </c>
      <c r="U102" s="595">
        <v>7691</v>
      </c>
      <c r="V102" s="595">
        <v>769</v>
      </c>
      <c r="W102" s="595">
        <v>44</v>
      </c>
      <c r="X102" s="595">
        <v>1002</v>
      </c>
      <c r="Y102" s="595">
        <v>61</v>
      </c>
      <c r="Z102" s="595">
        <v>11</v>
      </c>
      <c r="AA102" s="595">
        <v>2</v>
      </c>
      <c r="AB102" s="595">
        <v>6</v>
      </c>
      <c r="AC102" s="572">
        <v>6</v>
      </c>
      <c r="AD102" s="623" t="s">
        <v>399</v>
      </c>
      <c r="AE102" s="623" t="s">
        <v>400</v>
      </c>
      <c r="AF102" s="624">
        <v>25</v>
      </c>
    </row>
    <row r="103">
      <c r="A103" s="613"/>
      <c r="B103" s="626" t="s">
        <v>388</v>
      </c>
      <c r="C103" s="626"/>
      <c r="D103" s="627">
        <f>SUM(D99:D102)</f>
      </c>
      <c r="E103" s="628">
        <f>SUM(E99:E102)</f>
      </c>
      <c r="F103" s="628">
        <f>SUM(F99:F102)</f>
      </c>
      <c r="G103" s="627">
        <f>SUM(G99:G102)</f>
      </c>
      <c r="H103" s="629">
        <f t="shared" si="134"/>
      </c>
      <c r="I103" s="629">
        <f t="shared" si="73"/>
      </c>
      <c r="J103" s="629">
        <f t="shared" si="253"/>
      </c>
      <c r="K103" s="629">
        <f t="shared" si="191"/>
      </c>
      <c r="L103" s="629">
        <f t="shared" si="319"/>
      </c>
      <c r="M103" s="630">
        <f t="shared" si="286"/>
      </c>
      <c r="N103" s="630">
        <f t="shared" si="10"/>
      </c>
      <c r="O103" s="630">
        <f t="shared" si="349"/>
      </c>
      <c r="P103" s="630">
        <f t="shared" si="103"/>
      </c>
      <c r="Q103" s="597">
        <f t="shared" si="40"/>
      </c>
      <c r="R103" s="630">
        <f>AVERAGE(R99:R102)</f>
      </c>
      <c r="S103" s="627">
        <f>AVERAGE(S99:S102)</f>
      </c>
      <c r="T103" s="629">
        <f t="shared" si="221"/>
      </c>
      <c r="U103" s="597">
        <f>SUM(U99:U102)</f>
      </c>
      <c r="V103" s="597">
        <f>SUM(V99:V102)</f>
      </c>
      <c r="W103" s="597">
        <f>SUM(W99:W102)</f>
      </c>
      <c r="X103" s="597">
        <f>SUM(X99:X102)</f>
      </c>
      <c r="Y103" s="597">
        <f>SUM(Y99:Y102)</f>
      </c>
      <c r="Z103" s="597">
        <f>SUM(Z99:Z102)</f>
      </c>
      <c r="AA103" s="597">
        <f>SUM(AA99:AA102)</f>
      </c>
      <c r="AB103" s="597">
        <f>SUM(AB99:AB102)</f>
      </c>
      <c r="AC103" s="581">
        <f>AF103*1000/D103</f>
      </c>
      <c r="AD103" s="631"/>
      <c r="AE103" s="631"/>
      <c r="AF103" s="597">
        <f>SUM(AF99:AF102)</f>
      </c>
    </row>
    <row r="104">
      <c r="A104" s="613"/>
      <c r="B104" s="633" t="s">
        <v>394</v>
      </c>
      <c r="C104" s="633"/>
      <c r="D104" s="634">
        <f>D98+D103</f>
      </c>
      <c r="E104" s="635">
        <f>E98+E103</f>
      </c>
      <c r="F104" s="635">
        <f>F98+F103</f>
      </c>
      <c r="G104" s="634">
        <f>G98+G103</f>
      </c>
      <c r="H104" s="636">
        <f t="shared" si="134"/>
      </c>
      <c r="I104" s="636">
        <f t="shared" si="73"/>
      </c>
      <c r="J104" s="636">
        <v>745.3765</v>
      </c>
      <c r="K104" s="636">
        <f t="shared" si="191"/>
      </c>
      <c r="L104" s="636">
        <f t="shared" si="319"/>
      </c>
      <c r="M104" s="637">
        <f t="shared" si="286"/>
      </c>
      <c r="N104" s="637">
        <f t="shared" si="10"/>
      </c>
      <c r="O104" s="637">
        <f t="shared" si="349"/>
      </c>
      <c r="P104" s="637">
        <f t="shared" si="103"/>
      </c>
      <c r="Q104" s="638">
        <f t="shared" si="40"/>
      </c>
      <c r="R104" s="639">
        <f>(R98+R103)/2</f>
      </c>
      <c r="S104" s="640">
        <f>(S103+S98)/2</f>
      </c>
      <c r="T104" s="640">
        <f t="shared" si="221"/>
      </c>
      <c r="U104" s="638">
        <f>U98+U103</f>
      </c>
      <c r="V104" s="638">
        <f>V98+V103</f>
      </c>
      <c r="W104" s="638">
        <f>W98+W103</f>
      </c>
      <c r="X104" s="638">
        <f>X98+X103</f>
      </c>
      <c r="Y104" s="638">
        <f>Y98+Y103</f>
      </c>
      <c r="Z104" s="638">
        <f>Z98+Z103</f>
      </c>
      <c r="AA104" s="638">
        <f>AA98+AA103</f>
      </c>
      <c r="AB104" s="638">
        <f>AB98+AB103</f>
      </c>
      <c r="AC104" s="641">
        <f>AC98</f>
      </c>
      <c r="AD104" s="642"/>
      <c r="AE104" s="642"/>
      <c r="AF104" s="638">
        <f>AF98+AF103</f>
      </c>
    </row>
    <row r="105">
      <c r="A105" s="599" t="s">
        <v>395</v>
      </c>
      <c r="B105" s="599" t="s">
        <v>346</v>
      </c>
      <c r="C105" s="599"/>
      <c r="D105" s="600" t="s">
        <v>347</v>
      </c>
      <c r="E105" s="600"/>
      <c r="F105" s="600"/>
      <c r="G105" s="600"/>
      <c r="H105" s="600"/>
      <c r="I105" s="600"/>
      <c r="J105" s="600"/>
      <c r="K105" s="600"/>
      <c r="L105" s="601" t="s">
        <v>348</v>
      </c>
      <c r="M105" s="601"/>
      <c r="N105" s="601"/>
      <c r="O105" s="601"/>
      <c r="P105" s="601"/>
      <c r="Q105" s="601"/>
      <c r="R105" s="601"/>
      <c r="S105" s="601"/>
      <c r="T105" s="601"/>
      <c r="U105" s="601"/>
      <c r="V105" s="601"/>
      <c r="W105" s="601"/>
      <c r="X105" s="601"/>
      <c r="Y105" s="601"/>
      <c r="Z105" s="601"/>
      <c r="AA105" s="601"/>
      <c r="AB105" s="601"/>
      <c r="AC105" s="601"/>
      <c r="AD105" s="601"/>
      <c r="AE105" s="601"/>
      <c r="AF105" s="602"/>
    </row>
    <row r="106">
      <c r="A106" s="599"/>
      <c r="B106" s="603" t="s">
        <v>349</v>
      </c>
      <c r="C106" s="603" t="s">
        <v>350</v>
      </c>
      <c r="D106" s="604" t="s">
        <v>351</v>
      </c>
      <c r="E106" s="605" t="s">
        <v>352</v>
      </c>
      <c r="F106" s="605" t="s">
        <v>353</v>
      </c>
      <c r="G106" s="604" t="s">
        <v>354</v>
      </c>
      <c r="H106" s="606" t="s">
        <v>355</v>
      </c>
      <c r="I106" s="606" t="s">
        <v>356</v>
      </c>
      <c r="J106" s="606" t="s">
        <v>357</v>
      </c>
      <c r="K106" s="606" t="s">
        <v>358</v>
      </c>
      <c r="L106" s="607" t="s">
        <v>359</v>
      </c>
      <c r="M106" s="608" t="s">
        <v>360</v>
      </c>
      <c r="N106" s="608" t="s">
        <v>361</v>
      </c>
      <c r="O106" s="608" t="s">
        <v>362</v>
      </c>
      <c r="P106" s="608" t="s">
        <v>363</v>
      </c>
      <c r="Q106" s="609" t="s">
        <v>364</v>
      </c>
      <c r="R106" s="608" t="s">
        <v>365</v>
      </c>
      <c r="S106" s="609" t="s">
        <v>366</v>
      </c>
      <c r="T106" s="610" t="s">
        <v>367</v>
      </c>
      <c r="U106" s="611" t="s">
        <v>368</v>
      </c>
      <c r="V106" s="611" t="s">
        <v>369</v>
      </c>
      <c r="W106" s="611" t="s">
        <v>370</v>
      </c>
      <c r="X106" s="611" t="s">
        <v>371</v>
      </c>
      <c r="Y106" s="611" t="s">
        <v>372</v>
      </c>
      <c r="Z106" s="611" t="s">
        <v>373</v>
      </c>
      <c r="AA106" s="611" t="s">
        <v>374</v>
      </c>
      <c r="AB106" s="611" t="s">
        <v>375</v>
      </c>
      <c r="AC106" s="601" t="s">
        <v>376</v>
      </c>
      <c r="AD106" s="612" t="s">
        <v>377</v>
      </c>
      <c r="AE106" s="612" t="s">
        <v>378</v>
      </c>
      <c r="AF106" s="602" t="s">
        <v>379</v>
      </c>
    </row>
    <row r="107">
      <c r="A107" s="613" t="s">
        <v>405</v>
      </c>
      <c r="B107" s="614" t="s">
        <v>381</v>
      </c>
      <c r="C107" s="614" t="s">
        <v>382</v>
      </c>
      <c r="D107" s="615">
        <v>6717.16</v>
      </c>
      <c r="E107" s="616">
        <v>8</v>
      </c>
      <c r="F107" s="616">
        <v>7</v>
      </c>
      <c r="G107" s="615">
        <v>7036.7</v>
      </c>
      <c r="H107" s="617">
        <f t="shared" ref="H107:H117" si="135">G107/D107</f>
      </c>
      <c r="I107" s="617">
        <f t="shared" ref="I107:I117" si="74">D107/E107</f>
      </c>
      <c r="J107" s="617">
        <f t="shared" ref="J107:J117" si="254">D107/F107</f>
      </c>
      <c r="K107" s="617">
        <f t="shared" ref="K107:K117" si="192">G107/E107</f>
      </c>
      <c r="L107" s="617">
        <f t="shared" ref="L107:L117" si="320">D107/V107</f>
      </c>
      <c r="M107" s="618">
        <f t="shared" ref="M107:M117" si="287">Q107/U107*1</f>
      </c>
      <c r="N107" s="618">
        <f t="shared" ref="N107:N117" si="11">V107/U107</f>
      </c>
      <c r="O107" s="619">
        <f t="shared" ref="O107:O117" si="350">X107/U107</f>
      </c>
      <c r="P107" s="619">
        <f t="shared" ref="P107:P117" si="104">Y107/X107</f>
      </c>
      <c r="Q107" s="595">
        <f t="shared" ref="Q107:Q117" si="41">W107/R107</f>
      </c>
      <c r="R107" s="620">
        <v>0.0215</v>
      </c>
      <c r="S107" s="621">
        <v>35</v>
      </c>
      <c r="T107" s="622">
        <f t="shared" ref="T107:T117" si="222">(D107/U107)*1000</f>
      </c>
      <c r="U107" s="595">
        <v>37200</v>
      </c>
      <c r="V107" s="595">
        <v>2517</v>
      </c>
      <c r="W107" s="595">
        <v>210</v>
      </c>
      <c r="X107" s="595">
        <v>3340</v>
      </c>
      <c r="Y107" s="595">
        <v>127</v>
      </c>
      <c r="Z107" s="595">
        <v>31</v>
      </c>
      <c r="AA107" s="595">
        <v>8</v>
      </c>
      <c r="AB107" s="595">
        <v>36</v>
      </c>
      <c r="AC107" s="572">
        <v>0</v>
      </c>
      <c r="AD107" s="623" t="s">
        <v>399</v>
      </c>
      <c r="AE107" s="623" t="s">
        <v>400</v>
      </c>
      <c r="AF107" s="624">
        <v>77</v>
      </c>
    </row>
    <row r="108">
      <c r="A108" s="613"/>
      <c r="B108" s="614" t="s">
        <v>381</v>
      </c>
      <c r="C108" s="614" t="s">
        <v>385</v>
      </c>
      <c r="D108" s="615">
        <v>2681.06</v>
      </c>
      <c r="E108" s="616">
        <v>11</v>
      </c>
      <c r="F108" s="616">
        <v>10</v>
      </c>
      <c r="G108" s="615">
        <v>7779.2</v>
      </c>
      <c r="H108" s="617">
        <f t="shared" si="135"/>
      </c>
      <c r="I108" s="617">
        <f t="shared" si="74"/>
      </c>
      <c r="J108" s="617">
        <f t="shared" si="254"/>
      </c>
      <c r="K108" s="617">
        <f t="shared" si="192"/>
      </c>
      <c r="L108" s="617">
        <f t="shared" si="320"/>
      </c>
      <c r="M108" s="618">
        <f t="shared" si="287"/>
      </c>
      <c r="N108" s="618">
        <f t="shared" si="11"/>
      </c>
      <c r="O108" s="619">
        <f t="shared" si="350"/>
      </c>
      <c r="P108" s="619">
        <f t="shared" si="104"/>
      </c>
      <c r="Q108" s="595">
        <f t="shared" si="41"/>
      </c>
      <c r="R108" s="620">
        <v>0.0328</v>
      </c>
      <c r="S108" s="621">
        <v>48</v>
      </c>
      <c r="T108" s="622">
        <f t="shared" si="222"/>
      </c>
      <c r="U108" s="595">
        <v>21307</v>
      </c>
      <c r="V108" s="595">
        <v>766</v>
      </c>
      <c r="W108" s="595">
        <v>118</v>
      </c>
      <c r="X108" s="595">
        <v>891</v>
      </c>
      <c r="Y108" s="595">
        <v>124</v>
      </c>
      <c r="Z108" s="595">
        <v>19</v>
      </c>
      <c r="AA108" s="595">
        <v>2</v>
      </c>
      <c r="AB108" s="595">
        <v>19</v>
      </c>
      <c r="AC108" s="572">
        <v>0</v>
      </c>
      <c r="AD108" s="623" t="s">
        <v>399</v>
      </c>
      <c r="AE108" s="623" t="s">
        <v>400</v>
      </c>
      <c r="AF108" s="624">
        <v>44</v>
      </c>
    </row>
    <row r="109">
      <c r="A109" s="613"/>
      <c r="B109" s="614" t="s">
        <v>381</v>
      </c>
      <c r="C109" s="614" t="s">
        <v>386</v>
      </c>
      <c r="D109" s="615">
        <v>3596.83</v>
      </c>
      <c r="E109" s="616">
        <v>8</v>
      </c>
      <c r="F109" s="616">
        <v>7</v>
      </c>
      <c r="G109" s="615">
        <v>3608.000000000002</v>
      </c>
      <c r="H109" s="617">
        <f t="shared" si="135"/>
      </c>
      <c r="I109" s="617">
        <f t="shared" si="74"/>
      </c>
      <c r="J109" s="617">
        <f t="shared" si="254"/>
      </c>
      <c r="K109" s="617">
        <f t="shared" si="192"/>
      </c>
      <c r="L109" s="617">
        <f t="shared" si="320"/>
      </c>
      <c r="M109" s="618">
        <f t="shared" si="287"/>
      </c>
      <c r="N109" s="618">
        <f t="shared" si="11"/>
      </c>
      <c r="O109" s="619">
        <f t="shared" si="350"/>
      </c>
      <c r="P109" s="619">
        <f t="shared" si="104"/>
      </c>
      <c r="Q109" s="595">
        <f t="shared" si="41"/>
      </c>
      <c r="R109" s="620">
        <v>0.0343</v>
      </c>
      <c r="S109" s="621">
        <v>55</v>
      </c>
      <c r="T109" s="622">
        <f t="shared" si="222"/>
      </c>
      <c r="U109" s="595">
        <v>31895</v>
      </c>
      <c r="V109" s="595">
        <v>632</v>
      </c>
      <c r="W109" s="595">
        <v>158</v>
      </c>
      <c r="X109" s="595">
        <v>755</v>
      </c>
      <c r="Y109" s="595">
        <v>110</v>
      </c>
      <c r="Z109" s="595">
        <v>20</v>
      </c>
      <c r="AA109" s="595">
        <v>4</v>
      </c>
      <c r="AB109" s="595">
        <v>33</v>
      </c>
      <c r="AC109" s="572">
        <v>10</v>
      </c>
      <c r="AD109" s="623" t="s">
        <v>399</v>
      </c>
      <c r="AE109" s="623" t="s">
        <v>400</v>
      </c>
      <c r="AF109" s="624">
        <v>44</v>
      </c>
    </row>
    <row r="110">
      <c r="A110" s="613"/>
      <c r="B110" s="614" t="s">
        <v>381</v>
      </c>
      <c r="C110" s="614" t="s">
        <v>387</v>
      </c>
      <c r="D110" s="615">
        <v>3485.66</v>
      </c>
      <c r="E110" s="616">
        <v>5</v>
      </c>
      <c r="F110" s="616">
        <v>4</v>
      </c>
      <c r="G110" s="615">
        <v>2915</v>
      </c>
      <c r="H110" s="617">
        <f t="shared" si="135"/>
      </c>
      <c r="I110" s="617">
        <f t="shared" si="74"/>
      </c>
      <c r="J110" s="617">
        <f t="shared" si="254"/>
      </c>
      <c r="K110" s="617">
        <f t="shared" si="192"/>
      </c>
      <c r="L110" s="617">
        <f t="shared" si="320"/>
      </c>
      <c r="M110" s="618">
        <f t="shared" si="287"/>
      </c>
      <c r="N110" s="618">
        <f t="shared" si="11"/>
      </c>
      <c r="O110" s="619">
        <f t="shared" si="350"/>
      </c>
      <c r="P110" s="619">
        <f t="shared" si="104"/>
      </c>
      <c r="Q110" s="595">
        <f t="shared" si="41"/>
      </c>
      <c r="R110" s="620">
        <v>0.0271</v>
      </c>
      <c r="S110" s="621">
        <v>57</v>
      </c>
      <c r="T110" s="622">
        <f t="shared" si="222"/>
      </c>
      <c r="U110" s="595">
        <v>28481</v>
      </c>
      <c r="V110" s="595">
        <v>692</v>
      </c>
      <c r="W110" s="595">
        <v>120</v>
      </c>
      <c r="X110" s="595">
        <v>798</v>
      </c>
      <c r="Y110" s="595">
        <v>138</v>
      </c>
      <c r="Z110" s="595">
        <v>14</v>
      </c>
      <c r="AA110" s="595">
        <v>3</v>
      </c>
      <c r="AB110" s="595">
        <v>26</v>
      </c>
      <c r="AC110" s="572">
        <v>22</v>
      </c>
      <c r="AD110" s="623" t="s">
        <v>399</v>
      </c>
      <c r="AE110" s="623" t="s">
        <v>400</v>
      </c>
      <c r="AF110" s="624">
        <v>50</v>
      </c>
    </row>
    <row r="111">
      <c r="A111" s="613"/>
      <c r="B111" s="626" t="s">
        <v>388</v>
      </c>
      <c r="C111" s="626"/>
      <c r="D111" s="627">
        <f>SUM(D107:D110)</f>
      </c>
      <c r="E111" s="628">
        <f>SUM(E107:E110)</f>
      </c>
      <c r="F111" s="628">
        <f>SUM(F107:F110)</f>
      </c>
      <c r="G111" s="627">
        <f>SUM(G107:G110)</f>
      </c>
      <c r="H111" s="629">
        <f t="shared" si="135"/>
      </c>
      <c r="I111" s="629">
        <f t="shared" si="74"/>
      </c>
      <c r="J111" s="629">
        <f t="shared" si="254"/>
      </c>
      <c r="K111" s="629">
        <f t="shared" si="192"/>
      </c>
      <c r="L111" s="629">
        <f t="shared" si="320"/>
      </c>
      <c r="M111" s="630">
        <f t="shared" si="287"/>
      </c>
      <c r="N111" s="630">
        <f t="shared" si="11"/>
      </c>
      <c r="O111" s="630">
        <f t="shared" si="350"/>
      </c>
      <c r="P111" s="630">
        <f t="shared" si="104"/>
      </c>
      <c r="Q111" s="597">
        <f t="shared" si="41"/>
      </c>
      <c r="R111" s="630">
        <f>AVERAGE(R107:R110)</f>
      </c>
      <c r="S111" s="627">
        <f>AVERAGE(S107:S110)</f>
      </c>
      <c r="T111" s="629">
        <f t="shared" si="222"/>
      </c>
      <c r="U111" s="597">
        <f>SUM(U107:U110)</f>
      </c>
      <c r="V111" s="597">
        <f>SUM(V107:V110)</f>
      </c>
      <c r="W111" s="597">
        <f>SUM(W107:W110)</f>
      </c>
      <c r="X111" s="597">
        <f>SUM(X107:X110)</f>
      </c>
      <c r="Y111" s="597">
        <f>SUM(Y107:Y110)</f>
      </c>
      <c r="Z111" s="597">
        <f>SUM(Z107:Z110)</f>
      </c>
      <c r="AA111" s="597">
        <f>SUM(AA107:AA110)</f>
      </c>
      <c r="AB111" s="597">
        <f>SUM(AB107:AB110)</f>
      </c>
      <c r="AC111" s="581">
        <f>AF111*1000/D111</f>
      </c>
      <c r="AD111" s="631"/>
      <c r="AE111" s="631"/>
      <c r="AF111" s="632">
        <f>SUM(AF107:AF110)</f>
      </c>
    </row>
    <row r="112">
      <c r="A112" s="613"/>
      <c r="B112" s="614" t="s">
        <v>389</v>
      </c>
      <c r="C112" s="614" t="s">
        <v>390</v>
      </c>
      <c r="D112" s="615">
        <v>3332.27</v>
      </c>
      <c r="E112" s="616">
        <v>6</v>
      </c>
      <c r="F112" s="616">
        <v>5</v>
      </c>
      <c r="G112" s="615">
        <v>6257.9000000000015</v>
      </c>
      <c r="H112" s="617">
        <f t="shared" si="135"/>
      </c>
      <c r="I112" s="617">
        <f t="shared" si="74"/>
      </c>
      <c r="J112" s="617">
        <f t="shared" si="254"/>
      </c>
      <c r="K112" s="617">
        <f t="shared" si="192"/>
      </c>
      <c r="L112" s="617">
        <f t="shared" si="320"/>
      </c>
      <c r="M112" s="618">
        <f t="shared" si="287"/>
      </c>
      <c r="N112" s="618">
        <f t="shared" si="11"/>
      </c>
      <c r="O112" s="619">
        <f t="shared" si="350"/>
      </c>
      <c r="P112" s="619">
        <f t="shared" si="104"/>
      </c>
      <c r="Q112" s="595">
        <f t="shared" si="41"/>
      </c>
      <c r="R112" s="620">
        <v>0.0204</v>
      </c>
      <c r="S112" s="621">
        <v>56</v>
      </c>
      <c r="T112" s="622">
        <f t="shared" si="222"/>
      </c>
      <c r="U112" s="595">
        <v>21707</v>
      </c>
      <c r="V112" s="595">
        <v>1113</v>
      </c>
      <c r="W112" s="595">
        <v>109</v>
      </c>
      <c r="X112" s="595">
        <v>1437</v>
      </c>
      <c r="Y112" s="595">
        <v>79</v>
      </c>
      <c r="Z112" s="595">
        <v>16</v>
      </c>
      <c r="AA112" s="595">
        <v>2</v>
      </c>
      <c r="AB112" s="595">
        <v>15</v>
      </c>
      <c r="AC112" s="572">
        <v>21</v>
      </c>
      <c r="AD112" s="623" t="s">
        <v>399</v>
      </c>
      <c r="AE112" s="623" t="s">
        <v>400</v>
      </c>
      <c r="AF112" s="624">
        <v>38</v>
      </c>
    </row>
    <row r="113">
      <c r="A113" s="613"/>
      <c r="B113" s="614" t="s">
        <v>389</v>
      </c>
      <c r="C113" s="614" t="s">
        <v>391</v>
      </c>
      <c r="D113" s="615">
        <v>2939.13</v>
      </c>
      <c r="E113" s="616">
        <v>5</v>
      </c>
      <c r="F113" s="616">
        <v>4</v>
      </c>
      <c r="G113" s="615">
        <v>2660.899999999998</v>
      </c>
      <c r="H113" s="617">
        <f t="shared" si="135"/>
      </c>
      <c r="I113" s="617">
        <f t="shared" si="74"/>
      </c>
      <c r="J113" s="617">
        <f t="shared" si="254"/>
      </c>
      <c r="K113" s="617">
        <f t="shared" si="192"/>
      </c>
      <c r="L113" s="617">
        <f t="shared" si="320"/>
      </c>
      <c r="M113" s="618">
        <f t="shared" si="287"/>
      </c>
      <c r="N113" s="618">
        <f t="shared" si="11"/>
      </c>
      <c r="O113" s="619">
        <f t="shared" si="350"/>
      </c>
      <c r="P113" s="619">
        <f t="shared" si="104"/>
      </c>
      <c r="Q113" s="595">
        <f t="shared" si="41"/>
      </c>
      <c r="R113" s="620">
        <v>0.0316</v>
      </c>
      <c r="S113" s="621">
        <v>54</v>
      </c>
      <c r="T113" s="622">
        <f t="shared" si="222"/>
      </c>
      <c r="U113" s="595">
        <v>26929</v>
      </c>
      <c r="V113" s="595">
        <v>863</v>
      </c>
      <c r="W113" s="595">
        <v>129</v>
      </c>
      <c r="X113" s="595">
        <v>1122</v>
      </c>
      <c r="Y113" s="595">
        <v>70</v>
      </c>
      <c r="Z113" s="595">
        <v>4</v>
      </c>
      <c r="AA113" s="595">
        <v>2</v>
      </c>
      <c r="AB113" s="595">
        <v>18</v>
      </c>
      <c r="AC113" s="572">
        <v>11</v>
      </c>
      <c r="AD113" s="623" t="s">
        <v>399</v>
      </c>
      <c r="AE113" s="623" t="s">
        <v>400</v>
      </c>
      <c r="AF113" s="624">
        <v>35</v>
      </c>
    </row>
    <row r="114">
      <c r="A114" s="613"/>
      <c r="B114" s="614" t="s">
        <v>389</v>
      </c>
      <c r="C114" s="614" t="s">
        <v>392</v>
      </c>
      <c r="D114" s="615">
        <v>3292.19</v>
      </c>
      <c r="E114" s="616">
        <v>8</v>
      </c>
      <c r="F114" s="616">
        <v>8</v>
      </c>
      <c r="G114" s="615">
        <v>5409.799999999999</v>
      </c>
      <c r="H114" s="617">
        <f t="shared" si="135"/>
      </c>
      <c r="I114" s="617">
        <f t="shared" si="74"/>
      </c>
      <c r="J114" s="617">
        <f t="shared" si="254"/>
      </c>
      <c r="K114" s="617">
        <f t="shared" si="192"/>
      </c>
      <c r="L114" s="617">
        <f t="shared" si="320"/>
      </c>
      <c r="M114" s="618">
        <f t="shared" si="287"/>
      </c>
      <c r="N114" s="618">
        <f t="shared" si="11"/>
      </c>
      <c r="O114" s="619">
        <f t="shared" si="350"/>
      </c>
      <c r="P114" s="619">
        <f t="shared" si="104"/>
      </c>
      <c r="Q114" s="595">
        <f t="shared" si="41"/>
      </c>
      <c r="R114" s="620">
        <v>0.0241</v>
      </c>
      <c r="S114" s="621">
        <v>56</v>
      </c>
      <c r="T114" s="622">
        <f t="shared" si="222"/>
      </c>
      <c r="U114" s="595">
        <v>22283</v>
      </c>
      <c r="V114" s="595">
        <v>1007</v>
      </c>
      <c r="W114" s="595">
        <v>130</v>
      </c>
      <c r="X114" s="595">
        <v>1167</v>
      </c>
      <c r="Y114" s="595">
        <v>131</v>
      </c>
      <c r="Z114" s="595">
        <v>22</v>
      </c>
      <c r="AA114" s="595">
        <v>1</v>
      </c>
      <c r="AB114" s="595">
        <v>25</v>
      </c>
      <c r="AC114" s="572">
        <v>11</v>
      </c>
      <c r="AD114" s="623" t="s">
        <v>399</v>
      </c>
      <c r="AE114" s="623" t="s">
        <v>400</v>
      </c>
      <c r="AF114" s="624">
        <v>45</v>
      </c>
    </row>
    <row r="115">
      <c r="A115" s="613"/>
      <c r="B115" s="614" t="s">
        <v>389</v>
      </c>
      <c r="C115" s="614" t="s">
        <v>393</v>
      </c>
      <c r="D115" s="615">
        <v>1527.97</v>
      </c>
      <c r="E115" s="616">
        <v>9</v>
      </c>
      <c r="F115" s="616">
        <v>5</v>
      </c>
      <c r="G115" s="643">
        <v>4794.9000000000015</v>
      </c>
      <c r="H115" s="617">
        <f t="shared" si="135"/>
      </c>
      <c r="I115" s="617">
        <f t="shared" si="74"/>
      </c>
      <c r="J115" s="617">
        <f t="shared" si="254"/>
      </c>
      <c r="K115" s="617">
        <f t="shared" si="192"/>
      </c>
      <c r="L115" s="617">
        <f t="shared" si="320"/>
      </c>
      <c r="M115" s="618">
        <f t="shared" si="287"/>
      </c>
      <c r="N115" s="618">
        <f t="shared" si="11"/>
      </c>
      <c r="O115" s="619">
        <f t="shared" si="350"/>
      </c>
      <c r="P115" s="619">
        <f t="shared" si="104"/>
      </c>
      <c r="Q115" s="595">
        <f t="shared" si="41"/>
      </c>
      <c r="R115" s="620">
        <v>0.0445</v>
      </c>
      <c r="S115" s="621">
        <v>58</v>
      </c>
      <c r="T115" s="622">
        <f t="shared" si="222"/>
      </c>
      <c r="U115" s="595">
        <v>12686</v>
      </c>
      <c r="V115" s="595">
        <v>649</v>
      </c>
      <c r="W115" s="595">
        <v>97</v>
      </c>
      <c r="X115" s="595">
        <v>815</v>
      </c>
      <c r="Y115" s="595">
        <v>73</v>
      </c>
      <c r="Z115" s="595">
        <v>9</v>
      </c>
      <c r="AA115" s="595">
        <v>1</v>
      </c>
      <c r="AB115" s="595">
        <v>16</v>
      </c>
      <c r="AC115" s="572">
        <v>6</v>
      </c>
      <c r="AD115" s="623" t="s">
        <v>399</v>
      </c>
      <c r="AE115" s="623" t="s">
        <v>400</v>
      </c>
      <c r="AF115" s="624">
        <v>23</v>
      </c>
    </row>
    <row r="116">
      <c r="A116" s="613"/>
      <c r="B116" s="626" t="s">
        <v>388</v>
      </c>
      <c r="C116" s="626"/>
      <c r="D116" s="627">
        <f>SUM(D112:D115)</f>
      </c>
      <c r="E116" s="628">
        <f>SUM(E112:E115)</f>
      </c>
      <c r="F116" s="628">
        <f>SUM(F112:F115)</f>
      </c>
      <c r="G116" s="627">
        <f>SUM(G112:G115)</f>
      </c>
      <c r="H116" s="629">
        <f t="shared" si="135"/>
      </c>
      <c r="I116" s="629">
        <f t="shared" si="74"/>
      </c>
      <c r="J116" s="629">
        <f t="shared" si="254"/>
      </c>
      <c r="K116" s="629">
        <f t="shared" si="192"/>
      </c>
      <c r="L116" s="629">
        <f t="shared" si="320"/>
      </c>
      <c r="M116" s="630">
        <f t="shared" si="287"/>
      </c>
      <c r="N116" s="630">
        <f t="shared" si="11"/>
      </c>
      <c r="O116" s="630">
        <f t="shared" si="350"/>
      </c>
      <c r="P116" s="630">
        <f t="shared" si="104"/>
      </c>
      <c r="Q116" s="597">
        <f t="shared" si="41"/>
      </c>
      <c r="R116" s="630">
        <f>AVERAGE(R112:R115)</f>
      </c>
      <c r="S116" s="627">
        <f>AVERAGE(S112:S115)</f>
      </c>
      <c r="T116" s="629">
        <f t="shared" si="222"/>
      </c>
      <c r="U116" s="597">
        <f>SUM(U112:U115)</f>
      </c>
      <c r="V116" s="597">
        <f>SUM(V112:V115)</f>
      </c>
      <c r="W116" s="597">
        <f>SUM(W112:W115)</f>
      </c>
      <c r="X116" s="597">
        <f>SUM(X112:X115)</f>
      </c>
      <c r="Y116" s="597">
        <f>SUM(Y112:Y115)</f>
      </c>
      <c r="Z116" s="597">
        <f>SUM(Z112:Z115)</f>
      </c>
      <c r="AA116" s="597">
        <f>SUM(AA112:AA115)</f>
      </c>
      <c r="AB116" s="597">
        <f>SUM(AB112:AB115)</f>
      </c>
      <c r="AC116" s="581">
        <f>AF116*1000/D116</f>
      </c>
      <c r="AD116" s="631"/>
      <c r="AE116" s="631"/>
      <c r="AF116" s="597">
        <f>SUM(AF112:AF115)</f>
      </c>
    </row>
    <row r="117">
      <c r="A117" s="644"/>
      <c r="B117" s="642" t="s">
        <v>394</v>
      </c>
      <c r="C117" s="642"/>
      <c r="D117" s="634">
        <f>D111+D116</f>
      </c>
      <c r="E117" s="635">
        <f>E111+E116</f>
      </c>
      <c r="F117" s="635">
        <f>F111+F116</f>
      </c>
      <c r="G117" s="634">
        <f>G111+G116</f>
      </c>
      <c r="H117" s="636">
        <f t="shared" si="135"/>
      </c>
      <c r="I117" s="636">
        <f t="shared" si="74"/>
      </c>
      <c r="J117" s="636">
        <f t="shared" si="254"/>
      </c>
      <c r="K117" s="636">
        <f t="shared" si="192"/>
      </c>
      <c r="L117" s="636">
        <f t="shared" si="320"/>
      </c>
      <c r="M117" s="637">
        <f t="shared" si="287"/>
      </c>
      <c r="N117" s="637">
        <f t="shared" si="11"/>
      </c>
      <c r="O117" s="637">
        <f t="shared" si="350"/>
      </c>
      <c r="P117" s="637">
        <f t="shared" si="104"/>
      </c>
      <c r="Q117" s="645">
        <f t="shared" si="41"/>
      </c>
      <c r="R117" s="637">
        <f>(R111+R116)/2</f>
      </c>
      <c r="S117" s="634">
        <f>(S116+S111)/2</f>
      </c>
      <c r="T117" s="634">
        <f t="shared" si="222"/>
      </c>
      <c r="U117" s="645">
        <f>U111+U116</f>
      </c>
      <c r="V117" s="645">
        <f>V111+V116</f>
      </c>
      <c r="W117" s="645">
        <f>W111+W116</f>
      </c>
      <c r="X117" s="645">
        <f>X111+X116</f>
      </c>
      <c r="Y117" s="645">
        <f>Y111+Y116</f>
      </c>
      <c r="Z117" s="645">
        <f>Z111+Z116</f>
      </c>
      <c r="AA117" s="645">
        <f>AA111+AA116</f>
      </c>
      <c r="AB117" s="645">
        <f>AB111+AB116</f>
      </c>
      <c r="AC117" s="636">
        <f>AC111</f>
      </c>
      <c r="AD117" s="642"/>
      <c r="AE117" s="642"/>
      <c r="AF117" s="645">
        <f>AF111+AF116</f>
      </c>
    </row>
    <row r="118">
      <c r="A118" s="599" t="s">
        <v>395</v>
      </c>
      <c r="B118" s="599" t="s">
        <v>346</v>
      </c>
      <c r="C118" s="599"/>
      <c r="D118" s="600" t="s">
        <v>347</v>
      </c>
      <c r="E118" s="600"/>
      <c r="F118" s="600"/>
      <c r="G118" s="600"/>
      <c r="H118" s="600"/>
      <c r="I118" s="600"/>
      <c r="J118" s="600"/>
      <c r="K118" s="600"/>
      <c r="L118" s="601" t="s">
        <v>348</v>
      </c>
      <c r="M118" s="601"/>
      <c r="N118" s="601"/>
      <c r="O118" s="601"/>
      <c r="P118" s="601"/>
      <c r="Q118" s="601"/>
      <c r="R118" s="601"/>
      <c r="S118" s="601"/>
      <c r="T118" s="601"/>
      <c r="U118" s="601"/>
      <c r="V118" s="601"/>
      <c r="W118" s="601"/>
      <c r="X118" s="601"/>
      <c r="Y118" s="601"/>
      <c r="Z118" s="601"/>
      <c r="AA118" s="601"/>
      <c r="AB118" s="601"/>
      <c r="AC118" s="601"/>
      <c r="AD118" s="601"/>
      <c r="AE118" s="601"/>
      <c r="AF118" s="602"/>
    </row>
    <row r="119">
      <c r="A119" s="599"/>
      <c r="B119" s="603" t="s">
        <v>349</v>
      </c>
      <c r="C119" s="603" t="s">
        <v>350</v>
      </c>
      <c r="D119" s="604" t="s">
        <v>351</v>
      </c>
      <c r="E119" s="605" t="s">
        <v>352</v>
      </c>
      <c r="F119" s="605" t="s">
        <v>353</v>
      </c>
      <c r="G119" s="604" t="s">
        <v>354</v>
      </c>
      <c r="H119" s="606" t="s">
        <v>355</v>
      </c>
      <c r="I119" s="606" t="s">
        <v>356</v>
      </c>
      <c r="J119" s="606" t="s">
        <v>357</v>
      </c>
      <c r="K119" s="606" t="s">
        <v>358</v>
      </c>
      <c r="L119" s="607" t="s">
        <v>359</v>
      </c>
      <c r="M119" s="608" t="s">
        <v>360</v>
      </c>
      <c r="N119" s="608" t="s">
        <v>361</v>
      </c>
      <c r="O119" s="608" t="s">
        <v>362</v>
      </c>
      <c r="P119" s="608" t="s">
        <v>363</v>
      </c>
      <c r="Q119" s="609" t="s">
        <v>364</v>
      </c>
      <c r="R119" s="608" t="s">
        <v>365</v>
      </c>
      <c r="S119" s="609" t="s">
        <v>366</v>
      </c>
      <c r="T119" s="610" t="s">
        <v>367</v>
      </c>
      <c r="U119" s="611" t="s">
        <v>368</v>
      </c>
      <c r="V119" s="611" t="s">
        <v>369</v>
      </c>
      <c r="W119" s="611" t="s">
        <v>370</v>
      </c>
      <c r="X119" s="611" t="s">
        <v>371</v>
      </c>
      <c r="Y119" s="611" t="s">
        <v>372</v>
      </c>
      <c r="Z119" s="611" t="s">
        <v>373</v>
      </c>
      <c r="AA119" s="611" t="s">
        <v>374</v>
      </c>
      <c r="AB119" s="611" t="s">
        <v>375</v>
      </c>
      <c r="AC119" s="601" t="s">
        <v>376</v>
      </c>
      <c r="AD119" s="612" t="s">
        <v>377</v>
      </c>
      <c r="AE119" s="612" t="s">
        <v>378</v>
      </c>
      <c r="AF119" s="602" t="s">
        <v>379</v>
      </c>
    </row>
    <row r="120">
      <c r="A120" s="613" t="s">
        <v>406</v>
      </c>
      <c r="B120" s="614" t="s">
        <v>389</v>
      </c>
      <c r="C120" s="614" t="s">
        <v>382</v>
      </c>
      <c r="D120" s="615">
        <v>3000</v>
      </c>
      <c r="E120" s="616">
        <v>3</v>
      </c>
      <c r="F120" s="616">
        <v>3</v>
      </c>
      <c r="G120" s="615">
        <v>2732.4</v>
      </c>
      <c r="H120" s="617">
        <f t="shared" ref="H120:H130" si="136">G120/D120</f>
      </c>
      <c r="I120" s="617">
        <f t="shared" ref="I120:I130" si="75">D120/E120</f>
      </c>
      <c r="J120" s="617">
        <f t="shared" ref="J120:J130" si="255">D120/F120</f>
      </c>
      <c r="K120" s="617">
        <f t="shared" ref="K120:K130" si="193">G120/E120</f>
      </c>
      <c r="L120" s="617">
        <f t="shared" ref="L120:L130" si="321">D120/V120</f>
      </c>
      <c r="M120" s="618">
        <f t="shared" ref="M120:M130" si="288">Q120/U120*1</f>
      </c>
      <c r="N120" s="618">
        <f t="shared" ref="N120:N130" si="12">V120/U120</f>
      </c>
      <c r="O120" s="619">
        <f t="shared" ref="O120:O130" si="351">X120/U120</f>
      </c>
      <c r="P120" s="619">
        <f t="shared" ref="P120:P130" si="105">Y120/X120</f>
      </c>
      <c r="Q120" s="595">
        <f t="shared" ref="Q120:Q130" si="42">W120/R120</f>
      </c>
      <c r="R120" s="620">
        <v>0.0165</v>
      </c>
      <c r="S120" s="621">
        <v>38</v>
      </c>
      <c r="T120" s="622">
        <f t="shared" ref="T120:T130" si="223">(D120/U120)*1000</f>
      </c>
      <c r="U120" s="595">
        <v>15639</v>
      </c>
      <c r="V120" s="595">
        <v>1389</v>
      </c>
      <c r="W120" s="595">
        <v>94</v>
      </c>
      <c r="X120" s="595">
        <v>1852</v>
      </c>
      <c r="Y120" s="595">
        <v>108</v>
      </c>
      <c r="Z120" s="595">
        <v>13</v>
      </c>
      <c r="AA120" s="595">
        <v>4</v>
      </c>
      <c r="AB120" s="595">
        <v>24</v>
      </c>
      <c r="AC120" s="572">
        <f t="shared" ref="AC120:AC129" si="160">AF120*1000/D120</f>
      </c>
      <c r="AD120" s="623" t="s">
        <v>399</v>
      </c>
      <c r="AE120" s="646" t="s">
        <v>384</v>
      </c>
      <c r="AF120" s="624">
        <v>52</v>
      </c>
    </row>
    <row r="121">
      <c r="A121" s="613"/>
      <c r="B121" s="614" t="s">
        <v>389</v>
      </c>
      <c r="C121" s="614" t="s">
        <v>385</v>
      </c>
      <c r="D121" s="615">
        <v>2177.09</v>
      </c>
      <c r="E121" s="616">
        <v>2</v>
      </c>
      <c r="F121" s="616">
        <v>1</v>
      </c>
      <c r="G121" s="615">
        <v>1637.9</v>
      </c>
      <c r="H121" s="617">
        <f t="shared" si="136"/>
      </c>
      <c r="I121" s="617">
        <f t="shared" si="75"/>
      </c>
      <c r="J121" s="617">
        <f t="shared" si="255"/>
      </c>
      <c r="K121" s="617">
        <f t="shared" si="193"/>
      </c>
      <c r="L121" s="617">
        <f t="shared" si="321"/>
      </c>
      <c r="M121" s="618">
        <f t="shared" si="288"/>
      </c>
      <c r="N121" s="618">
        <f t="shared" si="12"/>
      </c>
      <c r="O121" s="619">
        <f t="shared" si="351"/>
      </c>
      <c r="P121" s="619">
        <f t="shared" si="105"/>
      </c>
      <c r="Q121" s="595">
        <f t="shared" si="42"/>
      </c>
      <c r="R121" s="620">
        <v>0.0313</v>
      </c>
      <c r="S121" s="621">
        <v>39</v>
      </c>
      <c r="T121" s="622">
        <f t="shared" si="223"/>
      </c>
      <c r="U121" s="595">
        <v>11713</v>
      </c>
      <c r="V121" s="595">
        <v>601</v>
      </c>
      <c r="W121" s="595">
        <v>93</v>
      </c>
      <c r="X121" s="595">
        <v>713</v>
      </c>
      <c r="Y121" s="595">
        <v>55</v>
      </c>
      <c r="Z121" s="595">
        <v>8</v>
      </c>
      <c r="AA121" s="595">
        <v>1</v>
      </c>
      <c r="AB121" s="595">
        <v>7</v>
      </c>
      <c r="AC121" s="572">
        <f t="shared" si="160"/>
      </c>
      <c r="AD121" s="623" t="s">
        <v>399</v>
      </c>
      <c r="AE121" s="646" t="s">
        <v>384</v>
      </c>
      <c r="AF121" s="624">
        <v>29</v>
      </c>
    </row>
    <row r="122">
      <c r="A122" s="613"/>
      <c r="B122" s="614" t="s">
        <v>389</v>
      </c>
      <c r="C122" s="614" t="s">
        <v>386</v>
      </c>
      <c r="D122" s="615">
        <v>2236.98</v>
      </c>
      <c r="E122" s="616">
        <v>9</v>
      </c>
      <c r="F122" s="616">
        <v>6</v>
      </c>
      <c r="G122" s="615">
        <v>4718.999999999999</v>
      </c>
      <c r="H122" s="617">
        <f t="shared" si="136"/>
      </c>
      <c r="I122" s="617">
        <f t="shared" si="75"/>
      </c>
      <c r="J122" s="617">
        <f t="shared" si="255"/>
      </c>
      <c r="K122" s="617">
        <f t="shared" si="193"/>
      </c>
      <c r="L122" s="617">
        <f t="shared" si="321"/>
      </c>
      <c r="M122" s="618">
        <f t="shared" si="288"/>
      </c>
      <c r="N122" s="618">
        <f t="shared" si="12"/>
      </c>
      <c r="O122" s="619">
        <f t="shared" si="351"/>
      </c>
      <c r="P122" s="619">
        <f t="shared" si="105"/>
      </c>
      <c r="Q122" s="595">
        <f t="shared" si="42"/>
      </c>
      <c r="R122" s="620">
        <v>0.0331</v>
      </c>
      <c r="S122" s="621">
        <v>41</v>
      </c>
      <c r="T122" s="622">
        <f t="shared" si="223"/>
      </c>
      <c r="U122" s="595">
        <v>11660</v>
      </c>
      <c r="V122" s="595">
        <v>924</v>
      </c>
      <c r="W122" s="595">
        <v>94</v>
      </c>
      <c r="X122" s="595">
        <v>1182</v>
      </c>
      <c r="Y122" s="595">
        <v>74</v>
      </c>
      <c r="Z122" s="595">
        <v>11</v>
      </c>
      <c r="AA122" s="595">
        <v>0</v>
      </c>
      <c r="AB122" s="595">
        <v>9</v>
      </c>
      <c r="AC122" s="572">
        <f t="shared" si="160"/>
      </c>
      <c r="AD122" s="623" t="s">
        <v>399</v>
      </c>
      <c r="AE122" s="646" t="s">
        <v>384</v>
      </c>
      <c r="AF122" s="624">
        <v>30</v>
      </c>
    </row>
    <row r="123">
      <c r="A123" s="613"/>
      <c r="B123" s="614" t="s">
        <v>389</v>
      </c>
      <c r="C123" s="614" t="s">
        <v>387</v>
      </c>
      <c r="D123" s="615">
        <v>1858.85</v>
      </c>
      <c r="E123" s="616">
        <v>6</v>
      </c>
      <c r="F123" s="616">
        <v>2</v>
      </c>
      <c r="G123" s="615">
        <v>4719</v>
      </c>
      <c r="H123" s="617">
        <f t="shared" si="136"/>
      </c>
      <c r="I123" s="617">
        <f t="shared" si="75"/>
      </c>
      <c r="J123" s="617">
        <f t="shared" si="255"/>
      </c>
      <c r="K123" s="617">
        <f t="shared" si="193"/>
      </c>
      <c r="L123" s="617">
        <f t="shared" si="321"/>
      </c>
      <c r="M123" s="618">
        <f t="shared" si="288"/>
      </c>
      <c r="N123" s="618">
        <f t="shared" si="12"/>
      </c>
      <c r="O123" s="619">
        <f t="shared" si="351"/>
      </c>
      <c r="P123" s="619">
        <f t="shared" si="105"/>
      </c>
      <c r="Q123" s="595">
        <f t="shared" si="42"/>
      </c>
      <c r="R123" s="620">
        <v>0.0279</v>
      </c>
      <c r="S123" s="621">
        <v>43</v>
      </c>
      <c r="T123" s="622">
        <f t="shared" si="223"/>
      </c>
      <c r="U123" s="595">
        <v>10038</v>
      </c>
      <c r="V123" s="595">
        <v>826</v>
      </c>
      <c r="W123" s="595">
        <v>85</v>
      </c>
      <c r="X123" s="595">
        <v>1005</v>
      </c>
      <c r="Y123" s="595">
        <v>80</v>
      </c>
      <c r="Z123" s="595">
        <v>13</v>
      </c>
      <c r="AA123" s="595">
        <v>2</v>
      </c>
      <c r="AB123" s="595">
        <v>3</v>
      </c>
      <c r="AC123" s="572">
        <f t="shared" si="160"/>
      </c>
      <c r="AD123" s="623" t="s">
        <v>399</v>
      </c>
      <c r="AE123" s="646" t="s">
        <v>384</v>
      </c>
      <c r="AF123" s="624">
        <v>29</v>
      </c>
    </row>
    <row r="124">
      <c r="A124" s="613"/>
      <c r="B124" s="626" t="s">
        <v>388</v>
      </c>
      <c r="C124" s="626"/>
      <c r="D124" s="627">
        <f>SUM(D120:D123)</f>
      </c>
      <c r="E124" s="628">
        <f>SUM(E120:E123)</f>
      </c>
      <c r="F124" s="628">
        <f>SUM(F120:F123)</f>
      </c>
      <c r="G124" s="627">
        <f>SUM(G120:G123)</f>
      </c>
      <c r="H124" s="629">
        <f t="shared" si="136"/>
      </c>
      <c r="I124" s="629">
        <f t="shared" si="75"/>
      </c>
      <c r="J124" s="629">
        <f t="shared" si="255"/>
      </c>
      <c r="K124" s="629">
        <f t="shared" si="193"/>
      </c>
      <c r="L124" s="629">
        <f t="shared" si="321"/>
      </c>
      <c r="M124" s="630">
        <f t="shared" si="288"/>
      </c>
      <c r="N124" s="630">
        <f t="shared" si="12"/>
      </c>
      <c r="O124" s="630">
        <f t="shared" si="351"/>
      </c>
      <c r="P124" s="630">
        <f t="shared" si="105"/>
      </c>
      <c r="Q124" s="597">
        <f t="shared" si="42"/>
      </c>
      <c r="R124" s="630">
        <f>AVERAGE(R120:R123)</f>
      </c>
      <c r="S124" s="627">
        <f>AVERAGE(S120:S123)</f>
      </c>
      <c r="T124" s="629">
        <f t="shared" si="223"/>
      </c>
      <c r="U124" s="597">
        <f>SUM(U120:U123)</f>
      </c>
      <c r="V124" s="597">
        <f>SUM(V120:V123)</f>
      </c>
      <c r="W124" s="597">
        <f>SUM(W120:W123)</f>
      </c>
      <c r="X124" s="597">
        <f>SUM(X120:X123)</f>
      </c>
      <c r="Y124" s="597">
        <f>SUM(Y120:Y123)</f>
      </c>
      <c r="Z124" s="597">
        <f>SUM(Z120:Z123)</f>
      </c>
      <c r="AA124" s="597">
        <f>SUM(AA120:AA123)</f>
      </c>
      <c r="AB124" s="597">
        <f>SUM(AB120:AB123)</f>
      </c>
      <c r="AC124" s="647">
        <f t="shared" si="160"/>
      </c>
      <c r="AD124" s="631"/>
      <c r="AE124" s="631"/>
      <c r="AF124" s="632">
        <f>SUM(AF120:AF123)</f>
      </c>
    </row>
    <row r="125">
      <c r="A125" s="613"/>
      <c r="B125" s="614" t="s">
        <v>381</v>
      </c>
      <c r="C125" s="614" t="s">
        <v>390</v>
      </c>
      <c r="D125" s="615">
        <v>1667.21</v>
      </c>
      <c r="E125" s="616">
        <v>8</v>
      </c>
      <c r="F125" s="616">
        <v>7</v>
      </c>
      <c r="G125" s="615">
        <v>4343.899999999998</v>
      </c>
      <c r="H125" s="617">
        <f t="shared" si="136"/>
      </c>
      <c r="I125" s="617">
        <f t="shared" si="75"/>
      </c>
      <c r="J125" s="617">
        <f t="shared" si="255"/>
      </c>
      <c r="K125" s="617">
        <f t="shared" si="193"/>
      </c>
      <c r="L125" s="617">
        <f t="shared" si="321"/>
      </c>
      <c r="M125" s="618">
        <f t="shared" si="288"/>
      </c>
      <c r="N125" s="618">
        <f t="shared" si="12"/>
      </c>
      <c r="O125" s="619">
        <f t="shared" si="351"/>
      </c>
      <c r="P125" s="619">
        <f t="shared" si="105"/>
      </c>
      <c r="Q125" s="595">
        <f t="shared" si="42"/>
      </c>
      <c r="R125" s="620">
        <v>0.02</v>
      </c>
      <c r="S125" s="621">
        <v>43</v>
      </c>
      <c r="T125" s="622">
        <f t="shared" si="223"/>
      </c>
      <c r="U125" s="595">
        <v>9247</v>
      </c>
      <c r="V125" s="595">
        <v>765</v>
      </c>
      <c r="W125" s="595">
        <v>67</v>
      </c>
      <c r="X125" s="595">
        <v>980</v>
      </c>
      <c r="Y125" s="595">
        <v>58</v>
      </c>
      <c r="Z125" s="595">
        <v>5</v>
      </c>
      <c r="AA125" s="595">
        <v>1</v>
      </c>
      <c r="AB125" s="595">
        <v>2</v>
      </c>
      <c r="AC125" s="572">
        <f t="shared" si="160"/>
      </c>
      <c r="AD125" s="623" t="s">
        <v>399</v>
      </c>
      <c r="AE125" s="646" t="s">
        <v>384</v>
      </c>
      <c r="AF125" s="624">
        <v>20</v>
      </c>
    </row>
    <row r="126">
      <c r="A126" s="613"/>
      <c r="B126" s="614" t="s">
        <v>381</v>
      </c>
      <c r="C126" s="614" t="s">
        <v>391</v>
      </c>
      <c r="D126" s="615">
        <v>2084.44</v>
      </c>
      <c r="E126" s="616">
        <v>7</v>
      </c>
      <c r="F126" s="616">
        <v>6</v>
      </c>
      <c r="G126" s="615">
        <v>7672.5</v>
      </c>
      <c r="H126" s="617">
        <f t="shared" si="136"/>
      </c>
      <c r="I126" s="617">
        <f t="shared" si="75"/>
      </c>
      <c r="J126" s="617">
        <f t="shared" si="255"/>
      </c>
      <c r="K126" s="617">
        <f t="shared" si="193"/>
      </c>
      <c r="L126" s="617">
        <f t="shared" si="321"/>
      </c>
      <c r="M126" s="618">
        <f t="shared" si="288"/>
      </c>
      <c r="N126" s="618">
        <f t="shared" si="12"/>
      </c>
      <c r="O126" s="619">
        <f t="shared" si="351"/>
      </c>
      <c r="P126" s="619">
        <f t="shared" si="105"/>
      </c>
      <c r="Q126" s="595">
        <f t="shared" si="42"/>
      </c>
      <c r="R126" s="620">
        <v>0.0224</v>
      </c>
      <c r="S126" s="621">
        <v>43</v>
      </c>
      <c r="T126" s="622">
        <f t="shared" si="223"/>
      </c>
      <c r="U126" s="595">
        <v>12914</v>
      </c>
      <c r="V126" s="595">
        <v>1151</v>
      </c>
      <c r="W126" s="595">
        <v>91</v>
      </c>
      <c r="X126" s="595">
        <v>1439</v>
      </c>
      <c r="Y126" s="595">
        <v>106</v>
      </c>
      <c r="Z126" s="595">
        <v>8</v>
      </c>
      <c r="AA126" s="595">
        <v>5</v>
      </c>
      <c r="AB126" s="595">
        <v>4</v>
      </c>
      <c r="AC126" s="572">
        <f t="shared" si="160"/>
      </c>
      <c r="AD126" s="623" t="s">
        <v>399</v>
      </c>
      <c r="AE126" s="646" t="s">
        <v>384</v>
      </c>
      <c r="AF126" s="624">
        <v>36</v>
      </c>
    </row>
    <row r="127">
      <c r="A127" s="613"/>
      <c r="B127" s="614" t="s">
        <v>381</v>
      </c>
      <c r="C127" s="614" t="s">
        <v>392</v>
      </c>
      <c r="D127" s="615">
        <v>1960.47</v>
      </c>
      <c r="E127" s="616">
        <v>2</v>
      </c>
      <c r="F127" s="616">
        <v>2</v>
      </c>
      <c r="G127" s="615">
        <v>1307.9000000000015</v>
      </c>
      <c r="H127" s="617">
        <f t="shared" si="136"/>
      </c>
      <c r="I127" s="617">
        <f t="shared" si="75"/>
      </c>
      <c r="J127" s="617">
        <f t="shared" si="255"/>
      </c>
      <c r="K127" s="617">
        <f t="shared" si="193"/>
      </c>
      <c r="L127" s="617">
        <f t="shared" si="321"/>
      </c>
      <c r="M127" s="618">
        <f t="shared" si="288"/>
      </c>
      <c r="N127" s="618">
        <f t="shared" si="12"/>
      </c>
      <c r="O127" s="619">
        <f t="shared" si="351"/>
      </c>
      <c r="P127" s="619">
        <f t="shared" si="105"/>
      </c>
      <c r="Q127" s="595">
        <f t="shared" si="42"/>
      </c>
      <c r="R127" s="620">
        <v>0.0264</v>
      </c>
      <c r="S127" s="621">
        <v>42</v>
      </c>
      <c r="T127" s="622">
        <f t="shared" si="223"/>
      </c>
      <c r="U127" s="595">
        <v>12438</v>
      </c>
      <c r="V127" s="595">
        <v>1034</v>
      </c>
      <c r="W127" s="595">
        <v>92</v>
      </c>
      <c r="X127" s="595">
        <v>1317</v>
      </c>
      <c r="Y127" s="595">
        <v>88</v>
      </c>
      <c r="Z127" s="595">
        <v>14</v>
      </c>
      <c r="AA127" s="595">
        <v>2</v>
      </c>
      <c r="AB127" s="595">
        <v>12</v>
      </c>
      <c r="AC127" s="572">
        <f t="shared" si="160"/>
      </c>
      <c r="AD127" s="623" t="s">
        <v>399</v>
      </c>
      <c r="AE127" s="646" t="s">
        <v>384</v>
      </c>
      <c r="AF127" s="624">
        <v>31</v>
      </c>
    </row>
    <row r="128">
      <c r="A128" s="613"/>
      <c r="B128" s="614" t="s">
        <v>381</v>
      </c>
      <c r="C128" s="614" t="s">
        <v>393</v>
      </c>
      <c r="D128" s="615">
        <v>1237.19</v>
      </c>
      <c r="E128" s="616">
        <v>6</v>
      </c>
      <c r="F128" s="616">
        <v>6</v>
      </c>
      <c r="G128" s="643">
        <v>6572.720000000001</v>
      </c>
      <c r="H128" s="617">
        <f t="shared" si="136"/>
      </c>
      <c r="I128" s="617">
        <f t="shared" si="75"/>
      </c>
      <c r="J128" s="617">
        <f t="shared" si="255"/>
      </c>
      <c r="K128" s="617">
        <f t="shared" si="193"/>
      </c>
      <c r="L128" s="617">
        <f t="shared" si="321"/>
      </c>
      <c r="M128" s="618">
        <f t="shared" si="288"/>
      </c>
      <c r="N128" s="618">
        <f t="shared" si="12"/>
      </c>
      <c r="O128" s="619">
        <f t="shared" si="351"/>
      </c>
      <c r="P128" s="619">
        <f t="shared" si="105"/>
      </c>
      <c r="Q128" s="595">
        <f t="shared" si="42"/>
      </c>
      <c r="R128" s="620">
        <v>0.0282</v>
      </c>
      <c r="S128" s="621">
        <v>44</v>
      </c>
      <c r="T128" s="622">
        <f t="shared" si="223"/>
      </c>
      <c r="U128" s="595">
        <v>8988</v>
      </c>
      <c r="V128" s="595">
        <v>652</v>
      </c>
      <c r="W128" s="595">
        <v>71</v>
      </c>
      <c r="X128" s="595">
        <v>862</v>
      </c>
      <c r="Y128" s="595">
        <v>59</v>
      </c>
      <c r="Z128" s="595">
        <v>5</v>
      </c>
      <c r="AA128" s="595">
        <v>0</v>
      </c>
      <c r="AB128" s="595">
        <v>9</v>
      </c>
      <c r="AC128" s="572">
        <f t="shared" si="160"/>
      </c>
      <c r="AD128" s="623" t="s">
        <v>399</v>
      </c>
      <c r="AE128" s="646" t="s">
        <v>384</v>
      </c>
      <c r="AF128" s="624">
        <v>26</v>
      </c>
    </row>
    <row r="129">
      <c r="A129" s="613"/>
      <c r="B129" s="626" t="s">
        <v>388</v>
      </c>
      <c r="C129" s="626"/>
      <c r="D129" s="627">
        <f>SUM(D125:D128)</f>
      </c>
      <c r="E129" s="628">
        <f>SUM(E125:E128)</f>
      </c>
      <c r="F129" s="628">
        <f>SUM(F125:F128)</f>
      </c>
      <c r="G129" s="627">
        <f>SUM(G125:G128)</f>
      </c>
      <c r="H129" s="629">
        <f t="shared" si="136"/>
      </c>
      <c r="I129" s="629">
        <f t="shared" si="75"/>
      </c>
      <c r="J129" s="629">
        <f t="shared" si="255"/>
      </c>
      <c r="K129" s="629">
        <f t="shared" si="193"/>
      </c>
      <c r="L129" s="629">
        <f t="shared" si="321"/>
      </c>
      <c r="M129" s="630">
        <f t="shared" si="288"/>
      </c>
      <c r="N129" s="630">
        <f t="shared" si="12"/>
      </c>
      <c r="O129" s="630">
        <f t="shared" si="351"/>
      </c>
      <c r="P129" s="630">
        <f t="shared" si="105"/>
      </c>
      <c r="Q129" s="597">
        <f t="shared" si="42"/>
      </c>
      <c r="R129" s="630">
        <f>AVERAGE(R125:R128)</f>
      </c>
      <c r="S129" s="627">
        <f>AVERAGE(S125:S128)</f>
      </c>
      <c r="T129" s="629">
        <f t="shared" si="223"/>
      </c>
      <c r="U129" s="597">
        <f>SUM(U125:U128)</f>
      </c>
      <c r="V129" s="597">
        <f>SUM(V125:V128)</f>
      </c>
      <c r="W129" s="597">
        <f>SUM(W125:W128)</f>
      </c>
      <c r="X129" s="597">
        <f>SUM(X125:X128)</f>
      </c>
      <c r="Y129" s="597">
        <f>SUM(Y125:Y128)</f>
      </c>
      <c r="Z129" s="597">
        <f>SUM(Z125:Z128)</f>
      </c>
      <c r="AA129" s="597">
        <f>SUM(AA125:AA128)</f>
      </c>
      <c r="AB129" s="597">
        <f>SUM(AB125:AB128)</f>
      </c>
      <c r="AC129" s="647">
        <f t="shared" si="160"/>
      </c>
      <c r="AD129" s="631"/>
      <c r="AE129" s="631"/>
      <c r="AF129" s="597">
        <f>SUM(AF125:AF128)</f>
      </c>
    </row>
    <row r="130">
      <c r="A130" s="613"/>
      <c r="B130" s="642" t="s">
        <v>394</v>
      </c>
      <c r="C130" s="642"/>
      <c r="D130" s="634">
        <f>D124+D129</f>
      </c>
      <c r="E130" s="635">
        <f>E124+E129</f>
      </c>
      <c r="F130" s="635">
        <f>F124+F129</f>
      </c>
      <c r="G130" s="634">
        <f>G124+G129</f>
      </c>
      <c r="H130" s="636">
        <f t="shared" si="136"/>
      </c>
      <c r="I130" s="636">
        <f t="shared" si="75"/>
      </c>
      <c r="J130" s="636">
        <f t="shared" si="255"/>
      </c>
      <c r="K130" s="636">
        <f t="shared" si="193"/>
      </c>
      <c r="L130" s="636">
        <f t="shared" si="321"/>
      </c>
      <c r="M130" s="637">
        <f t="shared" si="288"/>
      </c>
      <c r="N130" s="637">
        <f t="shared" si="12"/>
      </c>
      <c r="O130" s="637">
        <f t="shared" si="351"/>
      </c>
      <c r="P130" s="637">
        <f t="shared" si="105"/>
      </c>
      <c r="Q130" s="645">
        <f t="shared" si="42"/>
      </c>
      <c r="R130" s="637">
        <f>(R124+R129)/2</f>
      </c>
      <c r="S130" s="634">
        <f>(S129+S124)/2</f>
      </c>
      <c r="T130" s="634">
        <f t="shared" si="223"/>
      </c>
      <c r="U130" s="645">
        <f>U124+U129</f>
      </c>
      <c r="V130" s="645">
        <f>V124+V129</f>
      </c>
      <c r="W130" s="645">
        <f>W124+W129</f>
      </c>
      <c r="X130" s="645">
        <f>X124+X129</f>
      </c>
      <c r="Y130" s="645">
        <f>Y124+Y129</f>
      </c>
      <c r="Z130" s="645">
        <f>Z124+Z129</f>
      </c>
      <c r="AA130" s="645">
        <f>AA124+AA129</f>
      </c>
      <c r="AB130" s="645">
        <f>AB124+AB129</f>
      </c>
      <c r="AC130" s="636">
        <f>AC124</f>
      </c>
      <c r="AD130" s="642"/>
      <c r="AE130" s="642"/>
      <c r="AF130" s="645">
        <f>AF124+AF129</f>
      </c>
    </row>
    <row r="131">
      <c r="A131" s="599" t="s">
        <v>395</v>
      </c>
      <c r="B131" s="599" t="s">
        <v>346</v>
      </c>
      <c r="C131" s="599"/>
      <c r="D131" s="600" t="s">
        <v>347</v>
      </c>
      <c r="E131" s="600"/>
      <c r="F131" s="600"/>
      <c r="G131" s="600"/>
      <c r="H131" s="600"/>
      <c r="I131" s="600"/>
      <c r="J131" s="600"/>
      <c r="K131" s="600"/>
      <c r="L131" s="601" t="s">
        <v>348</v>
      </c>
      <c r="M131" s="601"/>
      <c r="N131" s="601"/>
      <c r="O131" s="601"/>
      <c r="P131" s="601"/>
      <c r="Q131" s="601"/>
      <c r="R131" s="601"/>
      <c r="S131" s="601"/>
      <c r="T131" s="601"/>
      <c r="U131" s="601"/>
      <c r="V131" s="601"/>
      <c r="W131" s="601"/>
      <c r="X131" s="601"/>
      <c r="Y131" s="601"/>
      <c r="Z131" s="601"/>
      <c r="AA131" s="601"/>
      <c r="AB131" s="601"/>
      <c r="AC131" s="601"/>
      <c r="AD131" s="601"/>
      <c r="AE131" s="601"/>
      <c r="AF131" s="602"/>
    </row>
    <row r="132">
      <c r="A132" s="599"/>
      <c r="B132" s="603" t="s">
        <v>349</v>
      </c>
      <c r="C132" s="603" t="s">
        <v>350</v>
      </c>
      <c r="D132" s="604" t="s">
        <v>351</v>
      </c>
      <c r="E132" s="605" t="s">
        <v>352</v>
      </c>
      <c r="F132" s="605" t="s">
        <v>353</v>
      </c>
      <c r="G132" s="604" t="s">
        <v>354</v>
      </c>
      <c r="H132" s="606" t="s">
        <v>355</v>
      </c>
      <c r="I132" s="606" t="s">
        <v>356</v>
      </c>
      <c r="J132" s="606" t="s">
        <v>357</v>
      </c>
      <c r="K132" s="606" t="s">
        <v>358</v>
      </c>
      <c r="L132" s="607" t="s">
        <v>359</v>
      </c>
      <c r="M132" s="608" t="s">
        <v>360</v>
      </c>
      <c r="N132" s="608" t="s">
        <v>361</v>
      </c>
      <c r="O132" s="608" t="s">
        <v>362</v>
      </c>
      <c r="P132" s="608" t="s">
        <v>363</v>
      </c>
      <c r="Q132" s="609" t="s">
        <v>364</v>
      </c>
      <c r="R132" s="608" t="s">
        <v>365</v>
      </c>
      <c r="S132" s="609" t="s">
        <v>366</v>
      </c>
      <c r="T132" s="610" t="s">
        <v>367</v>
      </c>
      <c r="U132" s="611" t="s">
        <v>368</v>
      </c>
      <c r="V132" s="611" t="s">
        <v>369</v>
      </c>
      <c r="W132" s="611" t="s">
        <v>370</v>
      </c>
      <c r="X132" s="611" t="s">
        <v>371</v>
      </c>
      <c r="Y132" s="611" t="s">
        <v>372</v>
      </c>
      <c r="Z132" s="611" t="s">
        <v>373</v>
      </c>
      <c r="AA132" s="611" t="s">
        <v>374</v>
      </c>
      <c r="AB132" s="611" t="s">
        <v>375</v>
      </c>
      <c r="AC132" s="601" t="s">
        <v>376</v>
      </c>
      <c r="AD132" s="612" t="s">
        <v>377</v>
      </c>
      <c r="AE132" s="612" t="s">
        <v>378</v>
      </c>
      <c r="AF132" s="602" t="s">
        <v>379</v>
      </c>
    </row>
    <row r="133">
      <c r="A133" s="613" t="s">
        <v>407</v>
      </c>
      <c r="B133" s="614" t="s">
        <v>389</v>
      </c>
      <c r="C133" s="644" t="s">
        <v>408</v>
      </c>
      <c r="D133" s="615">
        <v>1732.7</v>
      </c>
      <c r="E133" s="616">
        <v>0</v>
      </c>
      <c r="F133" s="616">
        <v>0</v>
      </c>
      <c r="G133" s="643">
        <v>0</v>
      </c>
      <c r="H133" s="617">
        <f t="shared" ref="H133:H142" si="137">G133/D133</f>
      </c>
      <c r="I133" s="617">
        <f t="shared" ref="I133:I142" si="76">D133/E133</f>
      </c>
      <c r="J133" s="617">
        <f t="shared" ref="J133:J142" si="256">D133/F133</f>
      </c>
      <c r="K133" s="617">
        <f t="shared" ref="K133:K142" si="194">G133/E133</f>
      </c>
      <c r="L133" s="617">
        <f t="shared" ref="L133:L142" si="322">D133/V133</f>
      </c>
      <c r="M133" s="618">
        <f t="shared" ref="M133:M142" si="289">Q133/U133*1</f>
      </c>
      <c r="N133" s="618">
        <f t="shared" ref="N133:N142" si="13">V133/U133</f>
      </c>
      <c r="O133" s="619">
        <f t="shared" ref="O133:O142" si="352">X133/U133</f>
      </c>
      <c r="P133" s="619">
        <f t="shared" ref="P133:P142" si="106">Y133/X133</f>
      </c>
      <c r="Q133" s="595">
        <f t="shared" ref="Q133:Q142" si="43">W133/R133</f>
      </c>
      <c r="R133" s="620">
        <v>0.0146</v>
      </c>
      <c r="S133" s="621">
        <v>24</v>
      </c>
      <c r="T133" s="622">
        <f t="shared" ref="T133:T142" si="224">(D133/U133)*1000</f>
      </c>
      <c r="U133" s="595">
        <v>8484</v>
      </c>
      <c r="V133" s="595">
        <v>693</v>
      </c>
      <c r="W133" s="595">
        <v>62</v>
      </c>
      <c r="X133" s="595">
        <v>1027</v>
      </c>
      <c r="Y133" s="595">
        <v>27</v>
      </c>
      <c r="Z133" s="595">
        <v>11</v>
      </c>
      <c r="AA133" s="595">
        <v>4</v>
      </c>
      <c r="AB133" s="595">
        <v>3</v>
      </c>
      <c r="AC133" s="572">
        <f t="shared" ref="AC133:AC141" si="161">AF133*1000/D133</f>
      </c>
      <c r="AD133" s="623" t="s">
        <v>399</v>
      </c>
      <c r="AE133" s="623" t="s">
        <v>400</v>
      </c>
      <c r="AF133" s="624">
        <v>27</v>
      </c>
    </row>
    <row r="134">
      <c r="A134" s="613"/>
      <c r="B134" s="614" t="s">
        <v>389</v>
      </c>
      <c r="C134" s="614" t="s">
        <v>386</v>
      </c>
      <c r="D134" s="615">
        <v>1465.97</v>
      </c>
      <c r="E134" s="616">
        <v>4</v>
      </c>
      <c r="F134" s="616">
        <v>4</v>
      </c>
      <c r="G134" s="615">
        <v>3164.7</v>
      </c>
      <c r="H134" s="617">
        <f t="shared" si="137"/>
      </c>
      <c r="I134" s="617">
        <f t="shared" si="76"/>
      </c>
      <c r="J134" s="617">
        <f t="shared" si="256"/>
      </c>
      <c r="K134" s="617">
        <f t="shared" si="194"/>
      </c>
      <c r="L134" s="617">
        <f t="shared" si="322"/>
      </c>
      <c r="M134" s="618">
        <f t="shared" si="289"/>
      </c>
      <c r="N134" s="618">
        <f t="shared" si="13"/>
      </c>
      <c r="O134" s="619">
        <f t="shared" si="352"/>
      </c>
      <c r="P134" s="619">
        <f t="shared" si="106"/>
      </c>
      <c r="Q134" s="595">
        <f t="shared" si="43"/>
      </c>
      <c r="R134" s="620">
        <v>0.0176</v>
      </c>
      <c r="S134" s="621">
        <v>32</v>
      </c>
      <c r="T134" s="622">
        <f t="shared" si="224"/>
      </c>
      <c r="U134" s="595">
        <v>9911</v>
      </c>
      <c r="V134" s="595">
        <v>1034</v>
      </c>
      <c r="W134" s="595">
        <v>85</v>
      </c>
      <c r="X134" s="595">
        <v>1407</v>
      </c>
      <c r="Y134" s="595">
        <v>79</v>
      </c>
      <c r="Z134" s="595">
        <v>9</v>
      </c>
      <c r="AA134" s="595">
        <v>4</v>
      </c>
      <c r="AB134" s="595">
        <v>2</v>
      </c>
      <c r="AC134" s="572">
        <f t="shared" si="161"/>
      </c>
      <c r="AD134" s="623" t="s">
        <v>399</v>
      </c>
      <c r="AE134" s="623" t="s">
        <v>400</v>
      </c>
      <c r="AF134" s="624">
        <v>27</v>
      </c>
    </row>
    <row r="135">
      <c r="A135" s="613"/>
      <c r="B135" s="614" t="s">
        <v>389</v>
      </c>
      <c r="C135" s="614" t="s">
        <v>387</v>
      </c>
      <c r="D135" s="615">
        <v>1490.07</v>
      </c>
      <c r="E135" s="616">
        <v>4</v>
      </c>
      <c r="F135" s="616">
        <v>2</v>
      </c>
      <c r="G135" s="615">
        <v>2464</v>
      </c>
      <c r="H135" s="617">
        <f t="shared" si="137"/>
      </c>
      <c r="I135" s="617">
        <f t="shared" si="76"/>
      </c>
      <c r="J135" s="617">
        <f t="shared" si="256"/>
      </c>
      <c r="K135" s="617">
        <f t="shared" si="194"/>
      </c>
      <c r="L135" s="617">
        <f t="shared" si="322"/>
      </c>
      <c r="M135" s="618">
        <f t="shared" si="289"/>
      </c>
      <c r="N135" s="618">
        <f t="shared" si="13"/>
      </c>
      <c r="O135" s="619">
        <f t="shared" si="352"/>
      </c>
      <c r="P135" s="619">
        <f t="shared" si="106"/>
      </c>
      <c r="Q135" s="595">
        <f t="shared" si="43"/>
      </c>
      <c r="R135" s="620">
        <v>0.0159</v>
      </c>
      <c r="S135" s="621">
        <v>32</v>
      </c>
      <c r="T135" s="622">
        <f t="shared" si="224"/>
      </c>
      <c r="U135" s="595">
        <v>7804</v>
      </c>
      <c r="V135" s="595">
        <v>751</v>
      </c>
      <c r="W135" s="595">
        <v>59</v>
      </c>
      <c r="X135" s="595">
        <v>911</v>
      </c>
      <c r="Y135" s="595">
        <v>72</v>
      </c>
      <c r="Z135" s="595">
        <v>7</v>
      </c>
      <c r="AA135" s="595">
        <v>1</v>
      </c>
      <c r="AB135" s="595">
        <v>1</v>
      </c>
      <c r="AC135" s="572">
        <f t="shared" si="161"/>
      </c>
      <c r="AD135" s="623" t="s">
        <v>399</v>
      </c>
      <c r="AE135" s="623" t="s">
        <v>400</v>
      </c>
      <c r="AF135" s="624">
        <v>19</v>
      </c>
    </row>
    <row r="136">
      <c r="A136" s="613"/>
      <c r="B136" s="626" t="s">
        <v>388</v>
      </c>
      <c r="C136" s="626"/>
      <c r="D136" s="627">
        <f>SUM(D133:D135)</f>
      </c>
      <c r="E136" s="628">
        <f>SUM(E133:E135)</f>
      </c>
      <c r="F136" s="628">
        <f>SUM(F133:F135)</f>
      </c>
      <c r="G136" s="627">
        <f>SUM(G133:G135)</f>
      </c>
      <c r="H136" s="629">
        <f t="shared" si="137"/>
      </c>
      <c r="I136" s="629">
        <f t="shared" si="76"/>
      </c>
      <c r="J136" s="629">
        <f t="shared" si="256"/>
      </c>
      <c r="K136" s="629">
        <f t="shared" si="194"/>
      </c>
      <c r="L136" s="629">
        <f t="shared" si="322"/>
      </c>
      <c r="M136" s="630">
        <f t="shared" si="289"/>
      </c>
      <c r="N136" s="630">
        <f t="shared" si="13"/>
      </c>
      <c r="O136" s="630">
        <f t="shared" si="352"/>
      </c>
      <c r="P136" s="630">
        <f t="shared" si="106"/>
      </c>
      <c r="Q136" s="597">
        <f t="shared" si="43"/>
      </c>
      <c r="R136" s="630">
        <f>AVERAGE(R133:R135)</f>
      </c>
      <c r="S136" s="627">
        <f>AVERAGE(S133:S135)</f>
      </c>
      <c r="T136" s="629">
        <f t="shared" si="224"/>
      </c>
      <c r="U136" s="597">
        <f>SUM(U133:U135)</f>
      </c>
      <c r="V136" s="597">
        <f>SUM(V133:V135)</f>
      </c>
      <c r="W136" s="597">
        <f>SUM(W133:W135)</f>
      </c>
      <c r="X136" s="597">
        <f>SUM(X133:X135)</f>
      </c>
      <c r="Y136" s="597">
        <f>SUM(Y133:Y135)</f>
      </c>
      <c r="Z136" s="597">
        <f>SUM(Z133:Z135)</f>
      </c>
      <c r="AA136" s="597">
        <f>SUM(AA133:AA135)</f>
      </c>
      <c r="AB136" s="597">
        <f>SUM(AB133:AB135)</f>
      </c>
      <c r="AC136" s="647">
        <f t="shared" si="161"/>
      </c>
      <c r="AD136" s="631"/>
      <c r="AE136" s="631"/>
      <c r="AF136" s="632">
        <f>SUM(AF133:AF135)</f>
      </c>
    </row>
    <row r="137">
      <c r="A137" s="613"/>
      <c r="B137" s="614" t="s">
        <v>381</v>
      </c>
      <c r="C137" s="614" t="s">
        <v>390</v>
      </c>
      <c r="D137" s="615">
        <v>584.35</v>
      </c>
      <c r="E137" s="616">
        <v>0</v>
      </c>
      <c r="F137" s="616">
        <v>0</v>
      </c>
      <c r="G137" s="643">
        <v>0</v>
      </c>
      <c r="H137" s="617">
        <f t="shared" si="137"/>
      </c>
      <c r="I137" s="617">
        <f t="shared" si="76"/>
      </c>
      <c r="J137" s="617">
        <f t="shared" si="256"/>
      </c>
      <c r="K137" s="617">
        <f t="shared" si="194"/>
      </c>
      <c r="L137" s="617">
        <f t="shared" si="322"/>
      </c>
      <c r="M137" s="618">
        <f t="shared" si="289"/>
      </c>
      <c r="N137" s="618">
        <f t="shared" si="13"/>
      </c>
      <c r="O137" s="619">
        <f t="shared" si="352"/>
      </c>
      <c r="P137" s="619">
        <f t="shared" si="106"/>
      </c>
      <c r="Q137" s="595">
        <f t="shared" si="43"/>
      </c>
      <c r="R137" s="620">
        <v>0.0129</v>
      </c>
      <c r="S137" s="621">
        <v>31</v>
      </c>
      <c r="T137" s="622">
        <f t="shared" si="224"/>
      </c>
      <c r="U137" s="595">
        <v>4071</v>
      </c>
      <c r="V137" s="595">
        <v>501</v>
      </c>
      <c r="W137" s="595">
        <v>22</v>
      </c>
      <c r="X137" s="595">
        <v>694</v>
      </c>
      <c r="Y137" s="595">
        <v>10</v>
      </c>
      <c r="Z137" s="595">
        <v>3</v>
      </c>
      <c r="AA137" s="595">
        <v>1</v>
      </c>
      <c r="AB137" s="595">
        <v>1</v>
      </c>
      <c r="AC137" s="572">
        <f t="shared" si="161"/>
      </c>
      <c r="AD137" s="623" t="s">
        <v>399</v>
      </c>
      <c r="AE137" s="623" t="s">
        <v>400</v>
      </c>
      <c r="AF137" s="624">
        <v>4</v>
      </c>
    </row>
    <row r="138">
      <c r="A138" s="613"/>
      <c r="B138" s="614" t="s">
        <v>381</v>
      </c>
      <c r="C138" s="614" t="s">
        <v>391</v>
      </c>
      <c r="D138" s="615">
        <v>206.8</v>
      </c>
      <c r="E138" s="616">
        <v>1</v>
      </c>
      <c r="F138" s="616">
        <v>0</v>
      </c>
      <c r="G138" s="615">
        <v>781</v>
      </c>
      <c r="H138" s="617">
        <f t="shared" si="137"/>
      </c>
      <c r="I138" s="617">
        <f t="shared" si="76"/>
      </c>
      <c r="J138" s="617">
        <f t="shared" si="256"/>
      </c>
      <c r="K138" s="617">
        <f t="shared" si="194"/>
      </c>
      <c r="L138" s="617">
        <f t="shared" si="322"/>
      </c>
      <c r="M138" s="618">
        <f t="shared" si="289"/>
      </c>
      <c r="N138" s="618">
        <f t="shared" si="13"/>
      </c>
      <c r="O138" s="619">
        <f t="shared" si="352"/>
      </c>
      <c r="P138" s="619">
        <f t="shared" si="106"/>
      </c>
      <c r="Q138" s="595">
        <f t="shared" si="43"/>
      </c>
      <c r="R138" s="620">
        <v>0.0195</v>
      </c>
      <c r="S138" s="621">
        <v>30</v>
      </c>
      <c r="T138" s="622">
        <f t="shared" si="224"/>
      </c>
      <c r="U138" s="595">
        <v>1581</v>
      </c>
      <c r="V138" s="595">
        <v>303</v>
      </c>
      <c r="W138" s="595">
        <v>9</v>
      </c>
      <c r="X138" s="595">
        <v>471</v>
      </c>
      <c r="Y138" s="595">
        <v>3</v>
      </c>
      <c r="Z138" s="595">
        <v>1</v>
      </c>
      <c r="AA138" s="595">
        <v>0</v>
      </c>
      <c r="AB138" s="595">
        <v>2</v>
      </c>
      <c r="AC138" s="572">
        <f t="shared" si="161"/>
      </c>
      <c r="AD138" s="623" t="s">
        <v>399</v>
      </c>
      <c r="AE138" s="623" t="s">
        <v>400</v>
      </c>
      <c r="AF138" s="624">
        <v>4</v>
      </c>
    </row>
    <row r="139">
      <c r="A139" s="613"/>
      <c r="B139" s="614" t="s">
        <v>381</v>
      </c>
      <c r="C139" s="614" t="s">
        <v>392</v>
      </c>
      <c r="D139" s="615">
        <v>537.81</v>
      </c>
      <c r="E139" s="616">
        <v>2</v>
      </c>
      <c r="F139" s="616">
        <v>2</v>
      </c>
      <c r="G139" s="615">
        <v>1934.9000000000005</v>
      </c>
      <c r="H139" s="617">
        <f t="shared" si="137"/>
      </c>
      <c r="I139" s="617">
        <f t="shared" si="76"/>
      </c>
      <c r="J139" s="617">
        <f t="shared" si="256"/>
      </c>
      <c r="K139" s="617">
        <f t="shared" si="194"/>
      </c>
      <c r="L139" s="617">
        <f t="shared" si="322"/>
      </c>
      <c r="M139" s="618">
        <f t="shared" si="289"/>
      </c>
      <c r="N139" s="618">
        <f t="shared" si="13"/>
      </c>
      <c r="O139" s="619">
        <f t="shared" si="352"/>
      </c>
      <c r="P139" s="619">
        <f t="shared" si="106"/>
      </c>
      <c r="Q139" s="595">
        <f t="shared" si="43"/>
      </c>
      <c r="R139" s="620">
        <v>0.0131</v>
      </c>
      <c r="S139" s="621">
        <v>29</v>
      </c>
      <c r="T139" s="622">
        <f t="shared" si="224"/>
      </c>
      <c r="U139" s="595">
        <v>3426</v>
      </c>
      <c r="V139" s="595">
        <v>352</v>
      </c>
      <c r="W139" s="595">
        <v>18</v>
      </c>
      <c r="X139" s="595">
        <v>498</v>
      </c>
      <c r="Y139" s="595">
        <v>24</v>
      </c>
      <c r="Z139" s="595">
        <v>2</v>
      </c>
      <c r="AA139" s="595">
        <v>0</v>
      </c>
      <c r="AB139" s="595">
        <v>1</v>
      </c>
      <c r="AC139" s="572">
        <f t="shared" si="161"/>
      </c>
      <c r="AD139" s="623" t="s">
        <v>399</v>
      </c>
      <c r="AE139" s="623" t="s">
        <v>400</v>
      </c>
      <c r="AF139" s="624">
        <v>8</v>
      </c>
    </row>
    <row r="140">
      <c r="A140" s="613"/>
      <c r="B140" s="614" t="s">
        <v>381</v>
      </c>
      <c r="C140" s="614" t="s">
        <v>393</v>
      </c>
      <c r="D140" s="615">
        <v>839.38</v>
      </c>
      <c r="E140" s="616">
        <v>2</v>
      </c>
      <c r="F140" s="616">
        <v>1</v>
      </c>
      <c r="G140" s="643">
        <v>1232</v>
      </c>
      <c r="H140" s="617">
        <f t="shared" si="137"/>
      </c>
      <c r="I140" s="617">
        <f t="shared" si="76"/>
      </c>
      <c r="J140" s="617">
        <f t="shared" si="256"/>
      </c>
      <c r="K140" s="617">
        <f t="shared" si="194"/>
      </c>
      <c r="L140" s="617">
        <f t="shared" si="322"/>
      </c>
      <c r="M140" s="618">
        <f t="shared" si="289"/>
      </c>
      <c r="N140" s="618">
        <f t="shared" si="13"/>
      </c>
      <c r="O140" s="619">
        <f t="shared" si="352"/>
      </c>
      <c r="P140" s="619">
        <f t="shared" si="106"/>
      </c>
      <c r="Q140" s="595">
        <f t="shared" si="43"/>
      </c>
      <c r="R140" s="620">
        <v>0.0129</v>
      </c>
      <c r="S140" s="621">
        <v>30</v>
      </c>
      <c r="T140" s="622">
        <f t="shared" si="224"/>
      </c>
      <c r="U140" s="595">
        <v>5370</v>
      </c>
      <c r="V140" s="595">
        <v>519</v>
      </c>
      <c r="W140" s="595">
        <v>34</v>
      </c>
      <c r="X140" s="595">
        <v>634</v>
      </c>
      <c r="Y140" s="595">
        <v>24</v>
      </c>
      <c r="Z140" s="595">
        <v>4</v>
      </c>
      <c r="AA140" s="595">
        <v>0</v>
      </c>
      <c r="AB140" s="595">
        <v>1</v>
      </c>
      <c r="AC140" s="572">
        <f t="shared" si="161"/>
      </c>
      <c r="AD140" s="623" t="s">
        <v>399</v>
      </c>
      <c r="AE140" s="623" t="s">
        <v>400</v>
      </c>
      <c r="AF140" s="624">
        <v>15</v>
      </c>
    </row>
    <row r="141">
      <c r="A141" s="613"/>
      <c r="B141" s="626" t="s">
        <v>388</v>
      </c>
      <c r="C141" s="626"/>
      <c r="D141" s="627">
        <f>SUM(D137:D140)</f>
      </c>
      <c r="E141" s="628">
        <f>SUM(E137:E140)</f>
      </c>
      <c r="F141" s="628">
        <f>SUM(F137:F140)</f>
      </c>
      <c r="G141" s="627">
        <f>SUM(G137:G140)</f>
      </c>
      <c r="H141" s="629">
        <f t="shared" si="137"/>
      </c>
      <c r="I141" s="629">
        <f t="shared" si="76"/>
      </c>
      <c r="J141" s="629">
        <f t="shared" si="256"/>
      </c>
      <c r="K141" s="629">
        <f t="shared" si="194"/>
      </c>
      <c r="L141" s="629">
        <f t="shared" si="322"/>
      </c>
      <c r="M141" s="630">
        <f t="shared" si="289"/>
      </c>
      <c r="N141" s="630">
        <f t="shared" si="13"/>
      </c>
      <c r="O141" s="630">
        <f t="shared" si="352"/>
      </c>
      <c r="P141" s="630">
        <f t="shared" si="106"/>
      </c>
      <c r="Q141" s="597">
        <f t="shared" si="43"/>
      </c>
      <c r="R141" s="630">
        <f>AVERAGE(R137:R140)</f>
      </c>
      <c r="S141" s="627">
        <f>AVERAGE(S137:S140)</f>
      </c>
      <c r="T141" s="629">
        <f t="shared" si="224"/>
      </c>
      <c r="U141" s="597">
        <f>SUM(U137:U140)</f>
      </c>
      <c r="V141" s="597">
        <f>SUM(V137:V140)</f>
      </c>
      <c r="W141" s="597">
        <f>SUM(W137:W140)</f>
      </c>
      <c r="X141" s="597">
        <f>SUM(X137:X140)</f>
      </c>
      <c r="Y141" s="597">
        <f>SUM(Y137:Y140)</f>
      </c>
      <c r="Z141" s="597">
        <f>SUM(Z137:Z140)</f>
      </c>
      <c r="AA141" s="597">
        <f>SUM(AA137:AA140)</f>
      </c>
      <c r="AB141" s="597">
        <f>SUM(AB137:AB140)</f>
      </c>
      <c r="AC141" s="647">
        <f t="shared" si="161"/>
      </c>
      <c r="AD141" s="631"/>
      <c r="AE141" s="631"/>
      <c r="AF141" s="597">
        <f>SUM(AF137:AF140)</f>
      </c>
    </row>
    <row r="142">
      <c r="A142" s="613"/>
      <c r="B142" s="642" t="s">
        <v>394</v>
      </c>
      <c r="C142" s="642"/>
      <c r="D142" s="634">
        <f>D136+D141</f>
      </c>
      <c r="E142" s="635">
        <f>E136+E141</f>
      </c>
      <c r="F142" s="635">
        <f>F136+F141</f>
      </c>
      <c r="G142" s="634">
        <f>G136+G141</f>
      </c>
      <c r="H142" s="636">
        <f t="shared" si="137"/>
      </c>
      <c r="I142" s="636">
        <f t="shared" si="76"/>
      </c>
      <c r="J142" s="636">
        <f t="shared" si="256"/>
      </c>
      <c r="K142" s="636">
        <f t="shared" si="194"/>
      </c>
      <c r="L142" s="636">
        <f t="shared" si="322"/>
      </c>
      <c r="M142" s="637">
        <f t="shared" si="289"/>
      </c>
      <c r="N142" s="637">
        <f t="shared" si="13"/>
      </c>
      <c r="O142" s="637">
        <f t="shared" si="352"/>
      </c>
      <c r="P142" s="637">
        <f t="shared" si="106"/>
      </c>
      <c r="Q142" s="645">
        <f t="shared" si="43"/>
      </c>
      <c r="R142" s="637">
        <f>(R136+R141)/2</f>
      </c>
      <c r="S142" s="634">
        <f>(S141+S136)/2</f>
      </c>
      <c r="T142" s="634">
        <f t="shared" si="224"/>
      </c>
      <c r="U142" s="645">
        <f>U136+U141</f>
      </c>
      <c r="V142" s="645">
        <f>V136+V141</f>
      </c>
      <c r="W142" s="645">
        <f>W136+W141</f>
      </c>
      <c r="X142" s="645">
        <f>X136+X141</f>
      </c>
      <c r="Y142" s="645">
        <f>Y136+Y141</f>
      </c>
      <c r="Z142" s="645">
        <f>Z136+Z141</f>
      </c>
      <c r="AA142" s="645">
        <f>AA136+AA141</f>
      </c>
      <c r="AB142" s="645">
        <f>AB136+AB141</f>
      </c>
      <c r="AC142" s="636">
        <f>AC136</f>
      </c>
      <c r="AD142" s="642"/>
      <c r="AE142" s="642"/>
      <c r="AF142" s="645">
        <f>AF136+AF141</f>
      </c>
    </row>
    <row r="143">
      <c r="A143" s="599" t="s">
        <v>395</v>
      </c>
      <c r="B143" s="599" t="s">
        <v>346</v>
      </c>
      <c r="C143" s="599"/>
      <c r="D143" s="600" t="s">
        <v>347</v>
      </c>
      <c r="E143" s="600"/>
      <c r="F143" s="600"/>
      <c r="G143" s="600"/>
      <c r="H143" s="600"/>
      <c r="I143" s="600"/>
      <c r="J143" s="600"/>
      <c r="K143" s="600"/>
      <c r="L143" s="601" t="s">
        <v>348</v>
      </c>
      <c r="M143" s="601"/>
      <c r="N143" s="601"/>
      <c r="O143" s="601"/>
      <c r="P143" s="601"/>
      <c r="Q143" s="601"/>
      <c r="R143" s="601"/>
      <c r="S143" s="601"/>
      <c r="T143" s="601"/>
      <c r="U143" s="601"/>
      <c r="V143" s="601"/>
      <c r="W143" s="601"/>
      <c r="X143" s="601"/>
      <c r="Y143" s="601"/>
      <c r="Z143" s="601"/>
      <c r="AA143" s="601"/>
      <c r="AB143" s="601"/>
      <c r="AC143" s="601"/>
      <c r="AD143" s="601"/>
      <c r="AE143" s="601"/>
      <c r="AF143" s="602"/>
    </row>
    <row r="144">
      <c r="A144" s="599"/>
      <c r="B144" s="603" t="s">
        <v>349</v>
      </c>
      <c r="C144" s="603" t="s">
        <v>350</v>
      </c>
      <c r="D144" s="604" t="s">
        <v>351</v>
      </c>
      <c r="E144" s="605" t="s">
        <v>352</v>
      </c>
      <c r="F144" s="605" t="s">
        <v>353</v>
      </c>
      <c r="G144" s="604" t="s">
        <v>354</v>
      </c>
      <c r="H144" s="606" t="s">
        <v>355</v>
      </c>
      <c r="I144" s="606" t="s">
        <v>356</v>
      </c>
      <c r="J144" s="606" t="s">
        <v>357</v>
      </c>
      <c r="K144" s="606" t="s">
        <v>358</v>
      </c>
      <c r="L144" s="607" t="s">
        <v>359</v>
      </c>
      <c r="M144" s="608" t="s">
        <v>360</v>
      </c>
      <c r="N144" s="608" t="s">
        <v>361</v>
      </c>
      <c r="O144" s="608" t="s">
        <v>362</v>
      </c>
      <c r="P144" s="608" t="s">
        <v>363</v>
      </c>
      <c r="Q144" s="609" t="s">
        <v>364</v>
      </c>
      <c r="R144" s="608" t="s">
        <v>365</v>
      </c>
      <c r="S144" s="609" t="s">
        <v>366</v>
      </c>
      <c r="T144" s="610" t="s">
        <v>367</v>
      </c>
      <c r="U144" s="611" t="s">
        <v>368</v>
      </c>
      <c r="V144" s="611" t="s">
        <v>369</v>
      </c>
      <c r="W144" s="611" t="s">
        <v>370</v>
      </c>
      <c r="X144" s="611" t="s">
        <v>371</v>
      </c>
      <c r="Y144" s="611" t="s">
        <v>372</v>
      </c>
      <c r="Z144" s="611" t="s">
        <v>373</v>
      </c>
      <c r="AA144" s="611" t="s">
        <v>374</v>
      </c>
      <c r="AB144" s="611" t="s">
        <v>375</v>
      </c>
      <c r="AC144" s="601" t="s">
        <v>376</v>
      </c>
      <c r="AD144" s="612" t="s">
        <v>377</v>
      </c>
      <c r="AE144" s="612" t="s">
        <v>378</v>
      </c>
      <c r="AF144" s="602" t="s">
        <v>379</v>
      </c>
    </row>
    <row r="145">
      <c r="A145" s="613" t="s">
        <v>409</v>
      </c>
      <c r="B145" s="614" t="s">
        <v>389</v>
      </c>
      <c r="C145" s="614" t="s">
        <v>382</v>
      </c>
      <c r="D145" s="615">
        <v>3000</v>
      </c>
      <c r="E145" s="616">
        <v>10</v>
      </c>
      <c r="F145" s="616">
        <v>5</v>
      </c>
      <c r="G145" s="615">
        <v>7390.9</v>
      </c>
      <c r="H145" s="617">
        <f t="shared" ref="H145:H155" si="138">G145/D145</f>
      </c>
      <c r="I145" s="617">
        <f t="shared" ref="I145:I155" si="77">D145/E145</f>
      </c>
      <c r="J145" s="617">
        <f t="shared" ref="J145:J155" si="257">D145/F145</f>
      </c>
      <c r="K145" s="617">
        <f t="shared" ref="K145:K155" si="195">G145/E145</f>
      </c>
      <c r="L145" s="617">
        <f t="shared" ref="L145:L155" si="323">D145/V145</f>
      </c>
      <c r="M145" s="618">
        <f t="shared" ref="M145:M155" si="290">Q145/U145*1</f>
      </c>
      <c r="N145" s="618">
        <f t="shared" ref="N145:N155" si="14">V145/U145</f>
      </c>
      <c r="O145" s="619">
        <f t="shared" ref="O145:O155" si="353">X145/U145</f>
      </c>
      <c r="P145" s="619">
        <f t="shared" ref="P145:P155" si="107">Y145/X145</f>
      </c>
      <c r="Q145" s="595">
        <f t="shared" ref="Q145:Q155" si="44">W145/R145</f>
      </c>
      <c r="R145" s="620">
        <v>0.0218</v>
      </c>
      <c r="S145" s="621">
        <v>45</v>
      </c>
      <c r="T145" s="622">
        <f t="shared" ref="T145:T155" si="225">(D145/U145)*1000</f>
      </c>
      <c r="U145" s="595">
        <v>19072</v>
      </c>
      <c r="V145" s="595">
        <v>1110</v>
      </c>
      <c r="W145" s="595">
        <v>115</v>
      </c>
      <c r="X145" s="595">
        <v>1447</v>
      </c>
      <c r="Y145" s="595">
        <v>110</v>
      </c>
      <c r="Z145" s="595">
        <v>25</v>
      </c>
      <c r="AA145" s="595">
        <v>2</v>
      </c>
      <c r="AB145" s="595">
        <v>24</v>
      </c>
      <c r="AC145" s="572">
        <f t="shared" ref="AC145:AC154" si="162">AF145*1000/D145</f>
      </c>
      <c r="AD145" s="623" t="s">
        <v>399</v>
      </c>
      <c r="AE145" s="646" t="s">
        <v>410</v>
      </c>
      <c r="AF145" s="624">
        <v>43</v>
      </c>
    </row>
    <row r="146">
      <c r="A146" s="613"/>
      <c r="B146" s="614" t="s">
        <v>389</v>
      </c>
      <c r="C146" s="614" t="s">
        <v>385</v>
      </c>
      <c r="D146" s="615">
        <v>2981.84</v>
      </c>
      <c r="E146" s="616">
        <v>7</v>
      </c>
      <c r="F146" s="616">
        <v>7</v>
      </c>
      <c r="G146" s="615">
        <v>5412</v>
      </c>
      <c r="H146" s="617">
        <f t="shared" si="138"/>
      </c>
      <c r="I146" s="617">
        <f t="shared" si="77"/>
      </c>
      <c r="J146" s="617">
        <f t="shared" si="257"/>
      </c>
      <c r="K146" s="617">
        <f t="shared" si="195"/>
      </c>
      <c r="L146" s="617">
        <f t="shared" si="323"/>
      </c>
      <c r="M146" s="618">
        <f t="shared" si="290"/>
      </c>
      <c r="N146" s="618">
        <f t="shared" si="14"/>
      </c>
      <c r="O146" s="619">
        <f t="shared" si="353"/>
      </c>
      <c r="P146" s="619">
        <f t="shared" si="107"/>
      </c>
      <c r="Q146" s="595">
        <f t="shared" si="44"/>
      </c>
      <c r="R146" s="620">
        <v>0.0239</v>
      </c>
      <c r="S146" s="621">
        <v>50</v>
      </c>
      <c r="T146" s="622">
        <f t="shared" si="225"/>
      </c>
      <c r="U146" s="595">
        <v>16285</v>
      </c>
      <c r="V146" s="595">
        <v>872</v>
      </c>
      <c r="W146" s="595">
        <v>115</v>
      </c>
      <c r="X146" s="595">
        <v>1128</v>
      </c>
      <c r="Y146" s="595">
        <v>108</v>
      </c>
      <c r="Z146" s="595">
        <v>13</v>
      </c>
      <c r="AA146" s="595">
        <v>2</v>
      </c>
      <c r="AB146" s="595">
        <v>11</v>
      </c>
      <c r="AC146" s="572">
        <f t="shared" si="162"/>
      </c>
      <c r="AD146" s="623" t="s">
        <v>399</v>
      </c>
      <c r="AE146" s="646" t="s">
        <v>410</v>
      </c>
      <c r="AF146" s="624">
        <v>46</v>
      </c>
    </row>
    <row r="147">
      <c r="A147" s="613"/>
      <c r="B147" s="614" t="s">
        <v>389</v>
      </c>
      <c r="C147" s="614" t="s">
        <v>386</v>
      </c>
      <c r="D147" s="615">
        <v>2239.71</v>
      </c>
      <c r="E147" s="616">
        <v>2</v>
      </c>
      <c r="F147" s="616">
        <v>2</v>
      </c>
      <c r="G147" s="615">
        <v>1307.8999999999996</v>
      </c>
      <c r="H147" s="617">
        <f t="shared" si="138"/>
      </c>
      <c r="I147" s="617">
        <f t="shared" si="77"/>
      </c>
      <c r="J147" s="617">
        <f t="shared" si="257"/>
      </c>
      <c r="K147" s="617">
        <f t="shared" si="195"/>
      </c>
      <c r="L147" s="617">
        <f t="shared" si="323"/>
      </c>
      <c r="M147" s="618">
        <f t="shared" si="290"/>
      </c>
      <c r="N147" s="618">
        <f t="shared" si="14"/>
      </c>
      <c r="O147" s="619">
        <f t="shared" si="353"/>
      </c>
      <c r="P147" s="619">
        <f t="shared" si="107"/>
      </c>
      <c r="Q147" s="595">
        <f t="shared" si="44"/>
      </c>
      <c r="R147" s="620">
        <v>0.0222</v>
      </c>
      <c r="S147" s="621">
        <v>50</v>
      </c>
      <c r="T147" s="622">
        <f t="shared" si="225"/>
      </c>
      <c r="U147" s="595">
        <v>11420</v>
      </c>
      <c r="V147" s="595">
        <v>634</v>
      </c>
      <c r="W147" s="595">
        <v>100</v>
      </c>
      <c r="X147" s="595">
        <v>695</v>
      </c>
      <c r="Y147" s="595">
        <v>128</v>
      </c>
      <c r="Z147" s="595">
        <v>9</v>
      </c>
      <c r="AA147" s="595">
        <v>1</v>
      </c>
      <c r="AB147" s="595">
        <v>9</v>
      </c>
      <c r="AC147" s="572">
        <f t="shared" si="162"/>
      </c>
      <c r="AD147" s="623" t="s">
        <v>399</v>
      </c>
      <c r="AE147" s="646" t="s">
        <v>410</v>
      </c>
      <c r="AF147" s="624">
        <v>43</v>
      </c>
    </row>
    <row r="148">
      <c r="A148" s="613"/>
      <c r="B148" s="614" t="s">
        <v>389</v>
      </c>
      <c r="C148" s="614" t="s">
        <v>387</v>
      </c>
      <c r="D148" s="615">
        <v>3320.73</v>
      </c>
      <c r="E148" s="616">
        <v>10</v>
      </c>
      <c r="F148" s="616">
        <v>7</v>
      </c>
      <c r="G148" s="615">
        <v>9802.100000000002</v>
      </c>
      <c r="H148" s="617">
        <f t="shared" si="138"/>
      </c>
      <c r="I148" s="617">
        <f t="shared" si="77"/>
      </c>
      <c r="J148" s="617">
        <f t="shared" si="257"/>
      </c>
      <c r="K148" s="617">
        <f t="shared" si="195"/>
      </c>
      <c r="L148" s="617">
        <f t="shared" si="323"/>
      </c>
      <c r="M148" s="618">
        <f t="shared" si="290"/>
      </c>
      <c r="N148" s="618">
        <f t="shared" si="14"/>
      </c>
      <c r="O148" s="619">
        <f t="shared" si="353"/>
      </c>
      <c r="P148" s="619">
        <f t="shared" si="107"/>
      </c>
      <c r="Q148" s="595">
        <f t="shared" si="44"/>
      </c>
      <c r="R148" s="620">
        <v>0.0181</v>
      </c>
      <c r="S148" s="621">
        <v>48</v>
      </c>
      <c r="T148" s="622">
        <f t="shared" si="225"/>
      </c>
      <c r="U148" s="595">
        <v>16668</v>
      </c>
      <c r="V148" s="595">
        <v>1684</v>
      </c>
      <c r="W148" s="595">
        <v>130</v>
      </c>
      <c r="X148" s="595">
        <v>2092</v>
      </c>
      <c r="Y148" s="595">
        <v>97</v>
      </c>
      <c r="Z148" s="595">
        <v>13</v>
      </c>
      <c r="AA148" s="595">
        <v>5</v>
      </c>
      <c r="AB148" s="595">
        <v>11</v>
      </c>
      <c r="AC148" s="572">
        <f t="shared" si="162"/>
      </c>
      <c r="AD148" s="623" t="s">
        <v>399</v>
      </c>
      <c r="AE148" s="646" t="s">
        <v>410</v>
      </c>
      <c r="AF148" s="624">
        <v>44</v>
      </c>
    </row>
    <row r="149">
      <c r="A149" s="613"/>
      <c r="B149" s="626" t="s">
        <v>388</v>
      </c>
      <c r="C149" s="626"/>
      <c r="D149" s="627">
        <f>SUM(D145:D148)</f>
      </c>
      <c r="E149" s="628">
        <f>SUM(E145:E148)</f>
      </c>
      <c r="F149" s="628">
        <f>SUM(F145:F148)</f>
      </c>
      <c r="G149" s="627">
        <f>SUM(G145:G148)</f>
      </c>
      <c r="H149" s="629">
        <f t="shared" si="138"/>
      </c>
      <c r="I149" s="629">
        <f t="shared" si="77"/>
      </c>
      <c r="J149" s="629">
        <f t="shared" si="257"/>
      </c>
      <c r="K149" s="629">
        <f t="shared" si="195"/>
      </c>
      <c r="L149" s="629">
        <f t="shared" si="323"/>
      </c>
      <c r="M149" s="630">
        <f t="shared" si="290"/>
      </c>
      <c r="N149" s="630">
        <f t="shared" si="14"/>
      </c>
      <c r="O149" s="630">
        <f t="shared" si="353"/>
      </c>
      <c r="P149" s="630">
        <f t="shared" si="107"/>
      </c>
      <c r="Q149" s="597">
        <f t="shared" si="44"/>
      </c>
      <c r="R149" s="630">
        <f>AVERAGE(R145:R148)</f>
      </c>
      <c r="S149" s="627">
        <f>AVERAGE(S145:S148)</f>
      </c>
      <c r="T149" s="629">
        <f t="shared" si="225"/>
      </c>
      <c r="U149" s="597">
        <f>SUM(U145:U148)</f>
      </c>
      <c r="V149" s="597">
        <f>SUM(V145:V148)</f>
      </c>
      <c r="W149" s="597">
        <f>SUM(W145:W148)</f>
      </c>
      <c r="X149" s="597">
        <f>SUM(X145:X148)</f>
      </c>
      <c r="Y149" s="597">
        <f>SUM(Y145:Y148)</f>
      </c>
      <c r="Z149" s="597">
        <f>SUM(Z145:Z148)</f>
      </c>
      <c r="AA149" s="597">
        <f>SUM(AA145:AA148)</f>
      </c>
      <c r="AB149" s="597">
        <f>SUM(AB145:AB148)</f>
      </c>
      <c r="AC149" s="647">
        <f t="shared" si="162"/>
      </c>
      <c r="AD149" s="631"/>
      <c r="AE149" s="631"/>
      <c r="AF149" s="632">
        <f>SUM(AF145:AF148)</f>
      </c>
    </row>
    <row r="150">
      <c r="A150" s="613"/>
      <c r="B150" s="614" t="s">
        <v>381</v>
      </c>
      <c r="C150" s="614" t="s">
        <v>390</v>
      </c>
      <c r="D150" s="615">
        <v>2579.33</v>
      </c>
      <c r="E150" s="616">
        <v>5</v>
      </c>
      <c r="F150" s="616">
        <v>5</v>
      </c>
      <c r="G150" s="615">
        <v>3617.899999999998</v>
      </c>
      <c r="H150" s="617">
        <f t="shared" si="138"/>
      </c>
      <c r="I150" s="617">
        <f t="shared" si="77"/>
      </c>
      <c r="J150" s="617">
        <f t="shared" si="257"/>
      </c>
      <c r="K150" s="617">
        <f t="shared" si="195"/>
      </c>
      <c r="L150" s="617">
        <f t="shared" si="323"/>
      </c>
      <c r="M150" s="618">
        <f t="shared" si="290"/>
      </c>
      <c r="N150" s="618">
        <f t="shared" si="14"/>
      </c>
      <c r="O150" s="619">
        <f t="shared" si="353"/>
      </c>
      <c r="P150" s="619">
        <f t="shared" si="107"/>
      </c>
      <c r="Q150" s="595">
        <f t="shared" si="44"/>
      </c>
      <c r="R150" s="620">
        <v>0.0162</v>
      </c>
      <c r="S150" s="621">
        <v>48</v>
      </c>
      <c r="T150" s="622">
        <f t="shared" si="225"/>
      </c>
      <c r="U150" s="595">
        <v>14927</v>
      </c>
      <c r="V150" s="595">
        <v>1551</v>
      </c>
      <c r="W150" s="595">
        <v>112</v>
      </c>
      <c r="X150" s="595">
        <v>1914</v>
      </c>
      <c r="Y150" s="595">
        <v>130</v>
      </c>
      <c r="Z150" s="595">
        <v>14</v>
      </c>
      <c r="AA150" s="595">
        <v>3</v>
      </c>
      <c r="AB150" s="595">
        <v>4</v>
      </c>
      <c r="AC150" s="572">
        <f t="shared" si="162"/>
      </c>
      <c r="AD150" s="623" t="s">
        <v>399</v>
      </c>
      <c r="AE150" s="646" t="s">
        <v>410</v>
      </c>
      <c r="AF150" s="624">
        <v>35</v>
      </c>
    </row>
    <row r="151">
      <c r="A151" s="613"/>
      <c r="B151" s="614" t="s">
        <v>381</v>
      </c>
      <c r="C151" s="614" t="s">
        <v>391</v>
      </c>
      <c r="D151" s="615">
        <v>2329.79</v>
      </c>
      <c r="E151" s="616">
        <v>3</v>
      </c>
      <c r="F151" s="616">
        <v>1</v>
      </c>
      <c r="G151" s="615">
        <v>2385.899999999998</v>
      </c>
      <c r="H151" s="617">
        <f t="shared" si="138"/>
      </c>
      <c r="I151" s="617">
        <f t="shared" si="77"/>
      </c>
      <c r="J151" s="617">
        <f t="shared" si="257"/>
      </c>
      <c r="K151" s="617">
        <f t="shared" si="195"/>
      </c>
      <c r="L151" s="617">
        <f t="shared" si="323"/>
      </c>
      <c r="M151" s="618">
        <f t="shared" si="290"/>
      </c>
      <c r="N151" s="618">
        <f t="shared" si="14"/>
      </c>
      <c r="O151" s="619">
        <f t="shared" si="353"/>
      </c>
      <c r="P151" s="619">
        <f t="shared" si="107"/>
      </c>
      <c r="Q151" s="595">
        <f t="shared" si="44"/>
      </c>
      <c r="R151" s="620">
        <v>0.0154</v>
      </c>
      <c r="S151" s="621">
        <v>46</v>
      </c>
      <c r="T151" s="622">
        <f t="shared" si="225"/>
      </c>
      <c r="U151" s="595">
        <v>14051</v>
      </c>
      <c r="V151" s="595">
        <v>1574</v>
      </c>
      <c r="W151" s="595">
        <v>99</v>
      </c>
      <c r="X151" s="595">
        <v>1944</v>
      </c>
      <c r="Y151" s="595">
        <v>98</v>
      </c>
      <c r="Z151" s="595">
        <v>11</v>
      </c>
      <c r="AA151" s="595">
        <v>3</v>
      </c>
      <c r="AB151" s="595">
        <v>7</v>
      </c>
      <c r="AC151" s="572">
        <f t="shared" si="162"/>
      </c>
      <c r="AD151" s="623" t="s">
        <v>399</v>
      </c>
      <c r="AE151" s="646" t="s">
        <v>410</v>
      </c>
      <c r="AF151" s="624">
        <v>36</v>
      </c>
    </row>
    <row r="152">
      <c r="A152" s="613"/>
      <c r="B152" s="614" t="s">
        <v>381</v>
      </c>
      <c r="C152" s="614" t="s">
        <v>392</v>
      </c>
      <c r="D152" s="615">
        <v>2384.07</v>
      </c>
      <c r="E152" s="616">
        <v>4</v>
      </c>
      <c r="F152" s="616">
        <v>5</v>
      </c>
      <c r="G152" s="615">
        <v>4715.700000000004</v>
      </c>
      <c r="H152" s="617">
        <f t="shared" si="138"/>
      </c>
      <c r="I152" s="617">
        <f t="shared" si="77"/>
      </c>
      <c r="J152" s="617">
        <f t="shared" si="257"/>
      </c>
      <c r="K152" s="617">
        <f t="shared" si="195"/>
      </c>
      <c r="L152" s="617">
        <f t="shared" si="323"/>
      </c>
      <c r="M152" s="618">
        <f t="shared" si="290"/>
      </c>
      <c r="N152" s="618">
        <f t="shared" si="14"/>
      </c>
      <c r="O152" s="619">
        <f t="shared" si="353"/>
      </c>
      <c r="P152" s="619">
        <f t="shared" si="107"/>
      </c>
      <c r="Q152" s="595">
        <f t="shared" si="44"/>
      </c>
      <c r="R152" s="620">
        <v>0.0163</v>
      </c>
      <c r="S152" s="621">
        <v>44</v>
      </c>
      <c r="T152" s="622">
        <f t="shared" si="225"/>
      </c>
      <c r="U152" s="595">
        <v>14373</v>
      </c>
      <c r="V152" s="595">
        <v>1399</v>
      </c>
      <c r="W152" s="595">
        <v>82</v>
      </c>
      <c r="X152" s="595">
        <v>1796</v>
      </c>
      <c r="Y152" s="595">
        <v>90</v>
      </c>
      <c r="Z152" s="595">
        <v>13</v>
      </c>
      <c r="AA152" s="595">
        <v>3</v>
      </c>
      <c r="AB152" s="595">
        <v>11</v>
      </c>
      <c r="AC152" s="572">
        <f t="shared" si="162"/>
      </c>
      <c r="AD152" s="623" t="s">
        <v>399</v>
      </c>
      <c r="AE152" s="646" t="s">
        <v>410</v>
      </c>
      <c r="AF152" s="624">
        <v>25</v>
      </c>
    </row>
    <row r="153">
      <c r="A153" s="613"/>
      <c r="B153" s="614" t="s">
        <v>381</v>
      </c>
      <c r="C153" s="614" t="s">
        <v>393</v>
      </c>
      <c r="D153" s="615">
        <v>1526.99</v>
      </c>
      <c r="E153" s="616">
        <v>7</v>
      </c>
      <c r="F153" s="616">
        <v>5</v>
      </c>
      <c r="G153" s="643">
        <v>4659.600000000006</v>
      </c>
      <c r="H153" s="617">
        <f t="shared" si="138"/>
      </c>
      <c r="I153" s="617">
        <f t="shared" si="77"/>
      </c>
      <c r="J153" s="617">
        <f t="shared" si="257"/>
      </c>
      <c r="K153" s="617">
        <f t="shared" si="195"/>
      </c>
      <c r="L153" s="617">
        <f t="shared" si="323"/>
      </c>
      <c r="M153" s="618">
        <f t="shared" si="290"/>
      </c>
      <c r="N153" s="618">
        <f t="shared" si="14"/>
      </c>
      <c r="O153" s="619">
        <f t="shared" si="353"/>
      </c>
      <c r="P153" s="619">
        <f t="shared" si="107"/>
      </c>
      <c r="Q153" s="595">
        <f t="shared" si="44"/>
      </c>
      <c r="R153" s="620">
        <v>0.0299</v>
      </c>
      <c r="S153" s="621">
        <v>46</v>
      </c>
      <c r="T153" s="622">
        <f t="shared" si="225"/>
      </c>
      <c r="U153" s="595">
        <v>11023</v>
      </c>
      <c r="V153" s="595">
        <v>804</v>
      </c>
      <c r="W153" s="595">
        <v>79</v>
      </c>
      <c r="X153" s="595">
        <v>996</v>
      </c>
      <c r="Y153" s="595">
        <v>61</v>
      </c>
      <c r="Z153" s="595">
        <v>8</v>
      </c>
      <c r="AA153" s="595">
        <v>0</v>
      </c>
      <c r="AB153" s="595">
        <v>7</v>
      </c>
      <c r="AC153" s="572">
        <f t="shared" si="162"/>
      </c>
      <c r="AD153" s="623" t="s">
        <v>399</v>
      </c>
      <c r="AE153" s="646" t="s">
        <v>410</v>
      </c>
      <c r="AF153" s="624">
        <v>26</v>
      </c>
    </row>
    <row r="154">
      <c r="A154" s="613"/>
      <c r="B154" s="626" t="s">
        <v>388</v>
      </c>
      <c r="C154" s="626"/>
      <c r="D154" s="627">
        <f>SUM(D150:D153)</f>
      </c>
      <c r="E154" s="628">
        <f>SUM(E150:E153)</f>
      </c>
      <c r="F154" s="628">
        <f>SUM(F150:F153)</f>
      </c>
      <c r="G154" s="627">
        <f>SUM(G150:G153)</f>
      </c>
      <c r="H154" s="629">
        <f t="shared" si="138"/>
      </c>
      <c r="I154" s="629">
        <f t="shared" si="77"/>
      </c>
      <c r="J154" s="629">
        <f t="shared" si="257"/>
      </c>
      <c r="K154" s="629">
        <f t="shared" si="195"/>
      </c>
      <c r="L154" s="629">
        <f t="shared" si="323"/>
      </c>
      <c r="M154" s="630">
        <f t="shared" si="290"/>
      </c>
      <c r="N154" s="630">
        <f t="shared" si="14"/>
      </c>
      <c r="O154" s="630">
        <f t="shared" si="353"/>
      </c>
      <c r="P154" s="630">
        <f t="shared" si="107"/>
      </c>
      <c r="Q154" s="597">
        <f t="shared" si="44"/>
      </c>
      <c r="R154" s="630">
        <f>AVERAGE(R150:R153)</f>
      </c>
      <c r="S154" s="627">
        <f>AVERAGE(S150:S153)</f>
      </c>
      <c r="T154" s="629">
        <f t="shared" si="225"/>
      </c>
      <c r="U154" s="597">
        <f>SUM(U150:U153)</f>
      </c>
      <c r="V154" s="597">
        <f>SUM(V150:V153)</f>
      </c>
      <c r="W154" s="597">
        <f>SUM(W150:W153)</f>
      </c>
      <c r="X154" s="597">
        <f>SUM(X150:X153)</f>
      </c>
      <c r="Y154" s="597">
        <f>SUM(Y150:Y153)</f>
      </c>
      <c r="Z154" s="597">
        <f>SUM(Z150:Z153)</f>
      </c>
      <c r="AA154" s="597">
        <f>SUM(AA150:AA153)</f>
      </c>
      <c r="AB154" s="597">
        <f>SUM(AB150:AB153)</f>
      </c>
      <c r="AC154" s="647">
        <f t="shared" si="162"/>
      </c>
      <c r="AD154" s="631"/>
      <c r="AE154" s="631"/>
      <c r="AF154" s="597">
        <f>SUM(AF150:AF153)</f>
      </c>
    </row>
    <row r="155">
      <c r="A155" s="613"/>
      <c r="B155" s="642" t="s">
        <v>394</v>
      </c>
      <c r="C155" s="642"/>
      <c r="D155" s="634">
        <f>D149+D154</f>
      </c>
      <c r="E155" s="635">
        <f>E149+E154</f>
      </c>
      <c r="F155" s="635">
        <f>F149+F154</f>
      </c>
      <c r="G155" s="634">
        <f>G149+G154</f>
      </c>
      <c r="H155" s="636">
        <f t="shared" si="138"/>
      </c>
      <c r="I155" s="636">
        <f t="shared" si="77"/>
      </c>
      <c r="J155" s="636">
        <f t="shared" si="257"/>
      </c>
      <c r="K155" s="636">
        <f t="shared" si="195"/>
      </c>
      <c r="L155" s="636">
        <f t="shared" si="323"/>
      </c>
      <c r="M155" s="637">
        <f t="shared" si="290"/>
      </c>
      <c r="N155" s="637">
        <f t="shared" si="14"/>
      </c>
      <c r="O155" s="637">
        <f t="shared" si="353"/>
      </c>
      <c r="P155" s="637">
        <f t="shared" si="107"/>
      </c>
      <c r="Q155" s="645">
        <f t="shared" si="44"/>
      </c>
      <c r="R155" s="637">
        <f>(R149+R154)/2</f>
      </c>
      <c r="S155" s="634">
        <f>(S154+S149)/2</f>
      </c>
      <c r="T155" s="634">
        <f t="shared" si="225"/>
      </c>
      <c r="U155" s="645">
        <f>U149+U154</f>
      </c>
      <c r="V155" s="645">
        <f>V149+V154</f>
      </c>
      <c r="W155" s="645">
        <f>W149+W154</f>
      </c>
      <c r="X155" s="645">
        <f>X149+X154</f>
      </c>
      <c r="Y155" s="645">
        <f>Y149+Y154</f>
      </c>
      <c r="Z155" s="645">
        <f>Z149+Z154</f>
      </c>
      <c r="AA155" s="645">
        <f>AA149+AA154</f>
      </c>
      <c r="AB155" s="645">
        <f>AB149+AB154</f>
      </c>
      <c r="AC155" s="636">
        <f>AC149</f>
      </c>
      <c r="AD155" s="642"/>
      <c r="AE155" s="642"/>
      <c r="AF155" s="645">
        <f>AF149+AF154</f>
      </c>
    </row>
    <row r="156">
      <c r="A156" s="599" t="s">
        <v>395</v>
      </c>
      <c r="B156" s="599" t="s">
        <v>346</v>
      </c>
      <c r="C156" s="599"/>
      <c r="D156" s="600" t="s">
        <v>347</v>
      </c>
      <c r="E156" s="600"/>
      <c r="F156" s="600"/>
      <c r="G156" s="600"/>
      <c r="H156" s="600"/>
      <c r="I156" s="600"/>
      <c r="J156" s="600"/>
      <c r="K156" s="600"/>
      <c r="L156" s="601" t="s">
        <v>348</v>
      </c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01"/>
      <c r="AB156" s="601"/>
      <c r="AC156" s="601"/>
      <c r="AD156" s="601"/>
      <c r="AE156" s="601"/>
      <c r="AF156" s="602"/>
    </row>
    <row r="157">
      <c r="A157" s="599"/>
      <c r="B157" s="603" t="s">
        <v>349</v>
      </c>
      <c r="C157" s="603" t="s">
        <v>350</v>
      </c>
      <c r="D157" s="604" t="s">
        <v>351</v>
      </c>
      <c r="E157" s="605" t="s">
        <v>352</v>
      </c>
      <c r="F157" s="605" t="s">
        <v>353</v>
      </c>
      <c r="G157" s="604" t="s">
        <v>354</v>
      </c>
      <c r="H157" s="606" t="s">
        <v>355</v>
      </c>
      <c r="I157" s="606" t="s">
        <v>356</v>
      </c>
      <c r="J157" s="606" t="s">
        <v>357</v>
      </c>
      <c r="K157" s="606" t="s">
        <v>358</v>
      </c>
      <c r="L157" s="607" t="s">
        <v>359</v>
      </c>
      <c r="M157" s="608" t="s">
        <v>360</v>
      </c>
      <c r="N157" s="608" t="s">
        <v>361</v>
      </c>
      <c r="O157" s="608" t="s">
        <v>362</v>
      </c>
      <c r="P157" s="608" t="s">
        <v>363</v>
      </c>
      <c r="Q157" s="609" t="s">
        <v>364</v>
      </c>
      <c r="R157" s="608" t="s">
        <v>365</v>
      </c>
      <c r="S157" s="609" t="s">
        <v>366</v>
      </c>
      <c r="T157" s="610" t="s">
        <v>367</v>
      </c>
      <c r="U157" s="611" t="s">
        <v>368</v>
      </c>
      <c r="V157" s="611" t="s">
        <v>369</v>
      </c>
      <c r="W157" s="611" t="s">
        <v>370</v>
      </c>
      <c r="X157" s="611" t="s">
        <v>371</v>
      </c>
      <c r="Y157" s="611" t="s">
        <v>372</v>
      </c>
      <c r="Z157" s="611" t="s">
        <v>373</v>
      </c>
      <c r="AA157" s="611" t="s">
        <v>374</v>
      </c>
      <c r="AB157" s="611" t="s">
        <v>375</v>
      </c>
      <c r="AC157" s="601" t="s">
        <v>376</v>
      </c>
      <c r="AD157" s="612" t="s">
        <v>377</v>
      </c>
      <c r="AE157" s="612" t="s">
        <v>378</v>
      </c>
      <c r="AF157" s="602" t="s">
        <v>379</v>
      </c>
    </row>
    <row r="158">
      <c r="A158" s="613" t="s">
        <v>411</v>
      </c>
      <c r="B158" s="614" t="s">
        <v>389</v>
      </c>
      <c r="C158" s="614" t="s">
        <v>382</v>
      </c>
      <c r="D158" s="615">
        <v>3000</v>
      </c>
      <c r="E158" s="616">
        <v>9</v>
      </c>
      <c r="F158" s="616">
        <v>6</v>
      </c>
      <c r="G158" s="615">
        <v>6959.700000000001</v>
      </c>
      <c r="H158" s="617">
        <f t="shared" ref="H158:H168" si="139">G158/D158</f>
      </c>
      <c r="I158" s="617">
        <f t="shared" ref="I158:I168" si="78">D158/E158</f>
      </c>
      <c r="J158" s="617">
        <f t="shared" ref="J158:J168" si="258">D158/F158</f>
      </c>
      <c r="K158" s="617">
        <f t="shared" ref="K158:K168" si="196">G158/E158</f>
      </c>
      <c r="L158" s="617">
        <f t="shared" ref="L158:L168" si="324">D158/V158</f>
      </c>
      <c r="M158" s="618">
        <f t="shared" ref="M158:M168" si="291">Q158/U158*1</f>
      </c>
      <c r="N158" s="618">
        <f t="shared" ref="N158:N168" si="15">V158/U158</f>
      </c>
      <c r="O158" s="619">
        <f t="shared" ref="O158:O168" si="354">X158/U158</f>
      </c>
      <c r="P158" s="619">
        <f t="shared" ref="P158:P168" si="108">Y158/X158</f>
      </c>
      <c r="Q158" s="595">
        <f t="shared" ref="Q158:Q168" si="45">W158/R158</f>
      </c>
      <c r="R158" s="620">
        <v>0.0157</v>
      </c>
      <c r="S158" s="621">
        <v>38</v>
      </c>
      <c r="T158" s="622">
        <f t="shared" ref="T158:T168" si="226">(D158/U158)*1000</f>
      </c>
      <c r="U158" s="595">
        <v>18273</v>
      </c>
      <c r="V158" s="595">
        <v>1346</v>
      </c>
      <c r="W158" s="595">
        <v>93</v>
      </c>
      <c r="X158" s="595">
        <v>1898</v>
      </c>
      <c r="Y158" s="595">
        <v>96</v>
      </c>
      <c r="Z158" s="595">
        <v>14</v>
      </c>
      <c r="AA158" s="595">
        <v>4</v>
      </c>
      <c r="AB158" s="595">
        <v>16</v>
      </c>
      <c r="AC158" s="572">
        <f t="shared" ref="AC158:AC167" si="163">AF158*1000/D158</f>
      </c>
      <c r="AD158" s="623" t="s">
        <v>399</v>
      </c>
      <c r="AE158" s="646" t="s">
        <v>400</v>
      </c>
      <c r="AF158" s="624">
        <v>36</v>
      </c>
    </row>
    <row r="159">
      <c r="A159" s="613"/>
      <c r="B159" s="614" t="s">
        <v>389</v>
      </c>
      <c r="C159" s="614" t="s">
        <v>385</v>
      </c>
      <c r="D159" s="615">
        <v>2933.37</v>
      </c>
      <c r="E159" s="616">
        <v>4</v>
      </c>
      <c r="F159" s="616">
        <v>6</v>
      </c>
      <c r="G159" s="643">
        <v>1804</v>
      </c>
      <c r="H159" s="617">
        <f t="shared" si="139"/>
      </c>
      <c r="I159" s="617">
        <f t="shared" si="78"/>
      </c>
      <c r="J159" s="617">
        <f t="shared" si="258"/>
      </c>
      <c r="K159" s="617">
        <f t="shared" si="196"/>
      </c>
      <c r="L159" s="617">
        <f t="shared" si="324"/>
      </c>
      <c r="M159" s="618">
        <f t="shared" si="291"/>
      </c>
      <c r="N159" s="618">
        <f t="shared" si="15"/>
      </c>
      <c r="O159" s="619">
        <f t="shared" si="354"/>
      </c>
      <c r="P159" s="619">
        <f t="shared" si="108"/>
      </c>
      <c r="Q159" s="595">
        <f t="shared" si="45"/>
      </c>
      <c r="R159" s="620">
        <v>0.0211</v>
      </c>
      <c r="S159" s="621">
        <v>44</v>
      </c>
      <c r="T159" s="622">
        <f t="shared" si="226"/>
      </c>
      <c r="U159" s="595">
        <v>16013</v>
      </c>
      <c r="V159" s="595">
        <v>895</v>
      </c>
      <c r="W159" s="595">
        <v>100</v>
      </c>
      <c r="X159" s="595">
        <v>1216</v>
      </c>
      <c r="Y159" s="595">
        <v>95</v>
      </c>
      <c r="Z159" s="595">
        <v>13</v>
      </c>
      <c r="AA159" s="595">
        <v>4</v>
      </c>
      <c r="AB159" s="595">
        <v>8</v>
      </c>
      <c r="AC159" s="572">
        <f t="shared" si="163"/>
      </c>
      <c r="AD159" s="623" t="s">
        <v>399</v>
      </c>
      <c r="AE159" s="646" t="s">
        <v>400</v>
      </c>
      <c r="AF159" s="624">
        <v>35</v>
      </c>
    </row>
    <row r="160">
      <c r="A160" s="613"/>
      <c r="B160" s="614" t="s">
        <v>389</v>
      </c>
      <c r="C160" s="614" t="s">
        <v>386</v>
      </c>
      <c r="D160" s="615">
        <v>3125.19</v>
      </c>
      <c r="E160" s="616">
        <v>7</v>
      </c>
      <c r="F160" s="616">
        <v>4</v>
      </c>
      <c r="G160" s="615">
        <v>3157</v>
      </c>
      <c r="H160" s="617">
        <f t="shared" si="139"/>
      </c>
      <c r="I160" s="617">
        <f t="shared" si="78"/>
      </c>
      <c r="J160" s="617">
        <f t="shared" si="258"/>
      </c>
      <c r="K160" s="617">
        <f t="shared" si="196"/>
      </c>
      <c r="L160" s="617">
        <f t="shared" si="324"/>
      </c>
      <c r="M160" s="618">
        <f t="shared" si="291"/>
      </c>
      <c r="N160" s="618">
        <f t="shared" si="15"/>
      </c>
      <c r="O160" s="619">
        <f t="shared" si="354"/>
      </c>
      <c r="P160" s="619">
        <f t="shared" si="108"/>
      </c>
      <c r="Q160" s="595">
        <f t="shared" si="45"/>
      </c>
      <c r="R160" s="620">
        <v>0.0258</v>
      </c>
      <c r="S160" s="621">
        <v>43</v>
      </c>
      <c r="T160" s="622">
        <f t="shared" si="226"/>
      </c>
      <c r="U160" s="595">
        <v>19550</v>
      </c>
      <c r="V160" s="595">
        <v>1017</v>
      </c>
      <c r="W160" s="595">
        <v>107</v>
      </c>
      <c r="X160" s="595">
        <v>1535</v>
      </c>
      <c r="Y160" s="595">
        <v>79</v>
      </c>
      <c r="Z160" s="595">
        <v>6</v>
      </c>
      <c r="AA160" s="595">
        <v>0</v>
      </c>
      <c r="AB160" s="595">
        <v>21</v>
      </c>
      <c r="AC160" s="572">
        <f t="shared" si="163"/>
      </c>
      <c r="AD160" s="623" t="s">
        <v>399</v>
      </c>
      <c r="AE160" s="646" t="s">
        <v>400</v>
      </c>
      <c r="AF160" s="624">
        <v>40</v>
      </c>
    </row>
    <row r="161">
      <c r="A161" s="613"/>
      <c r="B161" s="614" t="s">
        <v>389</v>
      </c>
      <c r="C161" s="614" t="s">
        <v>387</v>
      </c>
      <c r="D161" s="615">
        <v>2598.41</v>
      </c>
      <c r="E161" s="616">
        <v>8</v>
      </c>
      <c r="F161" s="616">
        <v>6</v>
      </c>
      <c r="G161" s="615">
        <v>6943</v>
      </c>
      <c r="H161" s="617">
        <f t="shared" si="139"/>
      </c>
      <c r="I161" s="617">
        <f t="shared" si="78"/>
      </c>
      <c r="J161" s="617">
        <f t="shared" si="258"/>
      </c>
      <c r="K161" s="617">
        <f t="shared" si="196"/>
      </c>
      <c r="L161" s="617">
        <f t="shared" si="324"/>
      </c>
      <c r="M161" s="618">
        <f t="shared" si="291"/>
      </c>
      <c r="N161" s="618">
        <f t="shared" si="15"/>
      </c>
      <c r="O161" s="619">
        <f t="shared" si="354"/>
      </c>
      <c r="P161" s="619">
        <f t="shared" si="108"/>
      </c>
      <c r="Q161" s="595">
        <f t="shared" si="45"/>
      </c>
      <c r="R161" s="620">
        <v>0.0186</v>
      </c>
      <c r="S161" s="621">
        <v>43</v>
      </c>
      <c r="T161" s="622">
        <f t="shared" si="226"/>
      </c>
      <c r="U161" s="595">
        <v>13029</v>
      </c>
      <c r="V161" s="595">
        <v>1148</v>
      </c>
      <c r="W161" s="595">
        <v>82</v>
      </c>
      <c r="X161" s="595">
        <v>1751</v>
      </c>
      <c r="Y161" s="595">
        <v>95</v>
      </c>
      <c r="Z161" s="595">
        <v>12</v>
      </c>
      <c r="AA161" s="595">
        <v>1</v>
      </c>
      <c r="AB161" s="595">
        <v>14</v>
      </c>
      <c r="AC161" s="572">
        <f t="shared" si="163"/>
      </c>
      <c r="AD161" s="623" t="s">
        <v>399</v>
      </c>
      <c r="AE161" s="646" t="s">
        <v>400</v>
      </c>
      <c r="AF161" s="624">
        <v>26</v>
      </c>
    </row>
    <row r="162">
      <c r="A162" s="613"/>
      <c r="B162" s="626" t="s">
        <v>388</v>
      </c>
      <c r="C162" s="626"/>
      <c r="D162" s="627">
        <f>SUM(D158:D161)</f>
      </c>
      <c r="E162" s="628">
        <f>SUM(E158:E161)</f>
      </c>
      <c r="F162" s="628">
        <f>SUM(F158:F161)</f>
      </c>
      <c r="G162" s="627">
        <f>SUM(G158:G161)</f>
      </c>
      <c r="H162" s="629">
        <f t="shared" si="139"/>
      </c>
      <c r="I162" s="629">
        <f t="shared" si="78"/>
      </c>
      <c r="J162" s="629">
        <f t="shared" si="258"/>
      </c>
      <c r="K162" s="629">
        <f t="shared" si="196"/>
      </c>
      <c r="L162" s="629">
        <f t="shared" si="324"/>
      </c>
      <c r="M162" s="630">
        <f t="shared" si="291"/>
      </c>
      <c r="N162" s="630">
        <f t="shared" si="15"/>
      </c>
      <c r="O162" s="630">
        <f t="shared" si="354"/>
      </c>
      <c r="P162" s="630">
        <f t="shared" si="108"/>
      </c>
      <c r="Q162" s="597">
        <f t="shared" si="45"/>
      </c>
      <c r="R162" s="630">
        <f>AVERAGE(R158:R161)</f>
      </c>
      <c r="S162" s="627">
        <f>AVERAGE(S158:S161)</f>
      </c>
      <c r="T162" s="629">
        <f t="shared" si="226"/>
      </c>
      <c r="U162" s="597">
        <f>SUM(U158:U161)</f>
      </c>
      <c r="V162" s="597">
        <f>SUM(V158:V161)</f>
      </c>
      <c r="W162" s="597">
        <f>SUM(W158:W161)</f>
      </c>
      <c r="X162" s="597">
        <f>SUM(X158:X161)</f>
      </c>
      <c r="Y162" s="597">
        <f>SUM(Y158:Y161)</f>
      </c>
      <c r="Z162" s="597">
        <f>SUM(Z158:Z161)</f>
      </c>
      <c r="AA162" s="597">
        <f>SUM(AA158:AA161)</f>
      </c>
      <c r="AB162" s="597">
        <f>SUM(AB158:AB161)</f>
      </c>
      <c r="AC162" s="647">
        <f t="shared" si="163"/>
      </c>
      <c r="AD162" s="631"/>
      <c r="AE162" s="631"/>
      <c r="AF162" s="632">
        <f>SUM(AF158:AF161)</f>
      </c>
    </row>
    <row r="163">
      <c r="A163" s="613"/>
      <c r="B163" s="614" t="s">
        <v>381</v>
      </c>
      <c r="C163" s="614" t="s">
        <v>390</v>
      </c>
      <c r="D163" s="615">
        <v>2257.49</v>
      </c>
      <c r="E163" s="616">
        <v>4</v>
      </c>
      <c r="F163" s="616">
        <v>2</v>
      </c>
      <c r="G163" s="615">
        <v>3900.600000000002</v>
      </c>
      <c r="H163" s="617">
        <f t="shared" si="139"/>
      </c>
      <c r="I163" s="617">
        <f t="shared" si="78"/>
      </c>
      <c r="J163" s="617">
        <f t="shared" si="258"/>
      </c>
      <c r="K163" s="617">
        <f t="shared" si="196"/>
      </c>
      <c r="L163" s="617">
        <f t="shared" si="324"/>
      </c>
      <c r="M163" s="618">
        <f t="shared" si="291"/>
      </c>
      <c r="N163" s="618">
        <f t="shared" si="15"/>
      </c>
      <c r="O163" s="619">
        <f t="shared" si="354"/>
      </c>
      <c r="P163" s="619">
        <f t="shared" si="108"/>
      </c>
      <c r="Q163" s="595">
        <f t="shared" si="45"/>
      </c>
      <c r="R163" s="620">
        <v>0.0167</v>
      </c>
      <c r="S163" s="621">
        <v>41</v>
      </c>
      <c r="T163" s="622">
        <f t="shared" si="226"/>
      </c>
      <c r="U163" s="595">
        <v>11558</v>
      </c>
      <c r="V163" s="595">
        <v>1171</v>
      </c>
      <c r="W163" s="595">
        <v>86</v>
      </c>
      <c r="X163" s="595">
        <v>1816</v>
      </c>
      <c r="Y163" s="595">
        <v>52</v>
      </c>
      <c r="Z163" s="595">
        <v>7</v>
      </c>
      <c r="AA163" s="595">
        <v>3</v>
      </c>
      <c r="AB163" s="595">
        <v>11</v>
      </c>
      <c r="AC163" s="572">
        <f t="shared" si="163"/>
      </c>
      <c r="AD163" s="623" t="s">
        <v>399</v>
      </c>
      <c r="AE163" s="646" t="s">
        <v>400</v>
      </c>
      <c r="AF163" s="624">
        <v>22</v>
      </c>
    </row>
    <row r="164">
      <c r="A164" s="613"/>
      <c r="B164" s="614" t="s">
        <v>381</v>
      </c>
      <c r="C164" s="614" t="s">
        <v>391</v>
      </c>
      <c r="D164" s="615">
        <v>2554.65</v>
      </c>
      <c r="E164" s="616">
        <v>4</v>
      </c>
      <c r="F164" s="616">
        <v>2</v>
      </c>
      <c r="G164" s="615">
        <v>3620.0999999999985</v>
      </c>
      <c r="H164" s="617">
        <f t="shared" si="139"/>
      </c>
      <c r="I164" s="617">
        <f t="shared" si="78"/>
      </c>
      <c r="J164" s="617">
        <f t="shared" si="258"/>
      </c>
      <c r="K164" s="617">
        <f t="shared" si="196"/>
      </c>
      <c r="L164" s="617">
        <f t="shared" si="324"/>
      </c>
      <c r="M164" s="618">
        <f t="shared" si="291"/>
      </c>
      <c r="N164" s="618">
        <f t="shared" si="15"/>
      </c>
      <c r="O164" s="619">
        <f t="shared" si="354"/>
      </c>
      <c r="P164" s="619">
        <f t="shared" si="108"/>
      </c>
      <c r="Q164" s="595">
        <f t="shared" si="45"/>
      </c>
      <c r="R164" s="620">
        <v>0.0134</v>
      </c>
      <c r="S164" s="621">
        <v>41</v>
      </c>
      <c r="T164" s="622">
        <f t="shared" si="226"/>
      </c>
      <c r="U164" s="595">
        <v>14630</v>
      </c>
      <c r="V164" s="595">
        <v>1462</v>
      </c>
      <c r="W164" s="595">
        <v>86</v>
      </c>
      <c r="X164" s="595">
        <v>2143</v>
      </c>
      <c r="Y164" s="595">
        <v>77</v>
      </c>
      <c r="Z164" s="595">
        <v>10</v>
      </c>
      <c r="AA164" s="595">
        <v>3</v>
      </c>
      <c r="AB164" s="595">
        <v>10</v>
      </c>
      <c r="AC164" s="572">
        <f t="shared" si="163"/>
      </c>
      <c r="AD164" s="623" t="s">
        <v>399</v>
      </c>
      <c r="AE164" s="646" t="s">
        <v>400</v>
      </c>
      <c r="AF164" s="624">
        <v>38</v>
      </c>
    </row>
    <row r="165">
      <c r="A165" s="613"/>
      <c r="B165" s="614" t="s">
        <v>381</v>
      </c>
      <c r="C165" s="614" t="s">
        <v>392</v>
      </c>
      <c r="D165" s="615">
        <v>2273.93</v>
      </c>
      <c r="E165" s="616">
        <v>8</v>
      </c>
      <c r="F165" s="616">
        <v>7</v>
      </c>
      <c r="G165" s="615">
        <v>4673.899999999998</v>
      </c>
      <c r="H165" s="617">
        <f t="shared" si="139"/>
      </c>
      <c r="I165" s="617">
        <f t="shared" si="78"/>
      </c>
      <c r="J165" s="617">
        <f t="shared" si="258"/>
      </c>
      <c r="K165" s="617">
        <f t="shared" si="196"/>
      </c>
      <c r="L165" s="617">
        <f t="shared" si="324"/>
      </c>
      <c r="M165" s="618">
        <f t="shared" si="291"/>
      </c>
      <c r="N165" s="618">
        <f t="shared" si="15"/>
      </c>
      <c r="O165" s="619">
        <f t="shared" si="354"/>
      </c>
      <c r="P165" s="619">
        <f t="shared" si="108"/>
      </c>
      <c r="Q165" s="595">
        <f t="shared" si="45"/>
      </c>
      <c r="R165" s="620">
        <v>0.0229</v>
      </c>
      <c r="S165" s="621">
        <v>40</v>
      </c>
      <c r="T165" s="622">
        <f t="shared" si="226"/>
      </c>
      <c r="U165" s="595">
        <v>12922</v>
      </c>
      <c r="V165" s="595">
        <v>1237</v>
      </c>
      <c r="W165" s="595">
        <v>100</v>
      </c>
      <c r="X165" s="595">
        <v>1859</v>
      </c>
      <c r="Y165" s="595">
        <v>84</v>
      </c>
      <c r="Z165" s="595">
        <v>10</v>
      </c>
      <c r="AA165" s="595">
        <v>1</v>
      </c>
      <c r="AB165" s="595">
        <v>10</v>
      </c>
      <c r="AC165" s="572">
        <f t="shared" si="163"/>
      </c>
      <c r="AD165" s="623" t="s">
        <v>399</v>
      </c>
      <c r="AE165" s="646" t="s">
        <v>400</v>
      </c>
      <c r="AF165" s="624">
        <v>37</v>
      </c>
    </row>
    <row r="166">
      <c r="A166" s="613"/>
      <c r="B166" s="614" t="s">
        <v>381</v>
      </c>
      <c r="C166" s="614" t="s">
        <v>393</v>
      </c>
      <c r="D166" s="615">
        <v>1281.9</v>
      </c>
      <c r="E166" s="616">
        <v>7</v>
      </c>
      <c r="F166" s="616">
        <v>5</v>
      </c>
      <c r="G166" s="643">
        <v>3923.7000000000007</v>
      </c>
      <c r="H166" s="617">
        <f t="shared" si="139"/>
      </c>
      <c r="I166" s="617">
        <f t="shared" si="78"/>
      </c>
      <c r="J166" s="617">
        <f t="shared" si="258"/>
      </c>
      <c r="K166" s="617">
        <f t="shared" si="196"/>
      </c>
      <c r="L166" s="617">
        <f t="shared" si="324"/>
      </c>
      <c r="M166" s="618">
        <f t="shared" si="291"/>
      </c>
      <c r="N166" s="618">
        <f t="shared" si="15"/>
      </c>
      <c r="O166" s="619">
        <f t="shared" si="354"/>
      </c>
      <c r="P166" s="619">
        <f t="shared" si="108"/>
      </c>
      <c r="Q166" s="595">
        <f t="shared" si="45"/>
      </c>
      <c r="R166" s="620">
        <v>0.0223</v>
      </c>
      <c r="S166" s="621">
        <v>41</v>
      </c>
      <c r="T166" s="622">
        <f t="shared" si="226"/>
      </c>
      <c r="U166" s="595">
        <v>7756</v>
      </c>
      <c r="V166" s="595">
        <v>656</v>
      </c>
      <c r="W166" s="595">
        <v>58</v>
      </c>
      <c r="X166" s="595">
        <v>882</v>
      </c>
      <c r="Y166" s="595">
        <v>68</v>
      </c>
      <c r="Z166" s="595">
        <v>5</v>
      </c>
      <c r="AA166" s="595">
        <v>2</v>
      </c>
      <c r="AB166" s="595">
        <v>3</v>
      </c>
      <c r="AC166" s="572">
        <f t="shared" si="163"/>
      </c>
      <c r="AD166" s="623" t="s">
        <v>399</v>
      </c>
      <c r="AE166" s="646" t="s">
        <v>400</v>
      </c>
      <c r="AF166" s="624">
        <v>11</v>
      </c>
    </row>
    <row r="167">
      <c r="A167" s="613"/>
      <c r="B167" s="626" t="s">
        <v>388</v>
      </c>
      <c r="C167" s="626"/>
      <c r="D167" s="627">
        <f>SUM(D163:D166)</f>
      </c>
      <c r="E167" s="628">
        <f>SUM(E163:E166)</f>
      </c>
      <c r="F167" s="628">
        <f>SUM(F163:F166)</f>
      </c>
      <c r="G167" s="627">
        <f>SUM(G163:G166)</f>
      </c>
      <c r="H167" s="629">
        <f t="shared" si="139"/>
      </c>
      <c r="I167" s="629">
        <f t="shared" si="78"/>
      </c>
      <c r="J167" s="629">
        <f t="shared" si="258"/>
      </c>
      <c r="K167" s="629">
        <f t="shared" si="196"/>
      </c>
      <c r="L167" s="629">
        <f t="shared" si="324"/>
      </c>
      <c r="M167" s="630">
        <f t="shared" si="291"/>
      </c>
      <c r="N167" s="630">
        <f t="shared" si="15"/>
      </c>
      <c r="O167" s="630">
        <f t="shared" si="354"/>
      </c>
      <c r="P167" s="630">
        <f t="shared" si="108"/>
      </c>
      <c r="Q167" s="597">
        <f t="shared" si="45"/>
      </c>
      <c r="R167" s="630">
        <f>AVERAGE(R163:R166)</f>
      </c>
      <c r="S167" s="627">
        <f>AVERAGE(S163:S166)</f>
      </c>
      <c r="T167" s="629">
        <f t="shared" si="226"/>
      </c>
      <c r="U167" s="597">
        <f>SUM(U163:U166)</f>
      </c>
      <c r="V167" s="597">
        <f>SUM(V163:V166)</f>
      </c>
      <c r="W167" s="597">
        <f>SUM(W163:W166)</f>
      </c>
      <c r="X167" s="597">
        <f>SUM(X163:X166)</f>
      </c>
      <c r="Y167" s="597">
        <f>SUM(Y163:Y166)</f>
      </c>
      <c r="Z167" s="597">
        <f>SUM(Z163:Z166)</f>
      </c>
      <c r="AA167" s="597">
        <f>SUM(AA163:AA166)</f>
      </c>
      <c r="AB167" s="597">
        <f>SUM(AB163:AB166)</f>
      </c>
      <c r="AC167" s="647">
        <f t="shared" si="163"/>
      </c>
      <c r="AD167" s="631"/>
      <c r="AE167" s="631"/>
      <c r="AF167" s="597">
        <f>SUM(AF163:AF166)</f>
      </c>
    </row>
    <row r="168">
      <c r="A168" s="613"/>
      <c r="B168" s="642" t="s">
        <v>394</v>
      </c>
      <c r="C168" s="642"/>
      <c r="D168" s="634">
        <f>D162+D167</f>
      </c>
      <c r="E168" s="635">
        <f>E162+E167</f>
      </c>
      <c r="F168" s="635">
        <f>F162+F167</f>
      </c>
      <c r="G168" s="634">
        <f>G162+G167</f>
      </c>
      <c r="H168" s="636">
        <f t="shared" si="139"/>
      </c>
      <c r="I168" s="636">
        <f t="shared" si="78"/>
      </c>
      <c r="J168" s="636">
        <f t="shared" si="258"/>
      </c>
      <c r="K168" s="636">
        <f t="shared" si="196"/>
      </c>
      <c r="L168" s="636">
        <f t="shared" si="324"/>
      </c>
      <c r="M168" s="637">
        <f t="shared" si="291"/>
      </c>
      <c r="N168" s="637">
        <f t="shared" si="15"/>
      </c>
      <c r="O168" s="637">
        <f t="shared" si="354"/>
      </c>
      <c r="P168" s="637">
        <f t="shared" si="108"/>
      </c>
      <c r="Q168" s="645">
        <f t="shared" si="45"/>
      </c>
      <c r="R168" s="637">
        <f>(R162+R167)/2</f>
      </c>
      <c r="S168" s="634">
        <f>(S167+S162)/2</f>
      </c>
      <c r="T168" s="634">
        <f t="shared" si="226"/>
      </c>
      <c r="U168" s="645">
        <f>U162+U167</f>
      </c>
      <c r="V168" s="645">
        <f>V162+V167</f>
      </c>
      <c r="W168" s="645">
        <f>W162+W167</f>
      </c>
      <c r="X168" s="645">
        <f>X162+X167</f>
      </c>
      <c r="Y168" s="645">
        <f>Y162+Y167</f>
      </c>
      <c r="Z168" s="645">
        <f>Z162+Z167</f>
      </c>
      <c r="AA168" s="645">
        <f>AA162+AA167</f>
      </c>
      <c r="AB168" s="645">
        <f>AB162+AB167</f>
      </c>
      <c r="AC168" s="636">
        <f>AC162</f>
      </c>
      <c r="AD168" s="642"/>
      <c r="AE168" s="642"/>
      <c r="AF168" s="645">
        <f>AF162+AF167</f>
      </c>
    </row>
    <row r="169">
      <c r="A169" s="599" t="s">
        <v>395</v>
      </c>
      <c r="B169" s="599" t="s">
        <v>346</v>
      </c>
      <c r="C169" s="599"/>
      <c r="D169" s="600" t="s">
        <v>347</v>
      </c>
      <c r="E169" s="600"/>
      <c r="F169" s="600"/>
      <c r="G169" s="600"/>
      <c r="H169" s="600"/>
      <c r="I169" s="600"/>
      <c r="J169" s="600"/>
      <c r="K169" s="600"/>
      <c r="L169" s="601" t="s">
        <v>348</v>
      </c>
      <c r="M169" s="601"/>
      <c r="N169" s="601"/>
      <c r="O169" s="601"/>
      <c r="P169" s="601"/>
      <c r="Q169" s="601"/>
      <c r="R169" s="601"/>
      <c r="S169" s="601"/>
      <c r="T169" s="601"/>
      <c r="U169" s="601"/>
      <c r="V169" s="601"/>
      <c r="W169" s="601"/>
      <c r="X169" s="601"/>
      <c r="Y169" s="601"/>
      <c r="Z169" s="601"/>
      <c r="AA169" s="601"/>
      <c r="AB169" s="601"/>
      <c r="AC169" s="601"/>
      <c r="AD169" s="601"/>
      <c r="AE169" s="601"/>
      <c r="AF169" s="602"/>
    </row>
    <row r="170">
      <c r="A170" s="599"/>
      <c r="B170" s="603" t="s">
        <v>349</v>
      </c>
      <c r="C170" s="603" t="s">
        <v>350</v>
      </c>
      <c r="D170" s="604" t="s">
        <v>351</v>
      </c>
      <c r="E170" s="605" t="s">
        <v>352</v>
      </c>
      <c r="F170" s="605" t="s">
        <v>353</v>
      </c>
      <c r="G170" s="604" t="s">
        <v>354</v>
      </c>
      <c r="H170" s="606" t="s">
        <v>355</v>
      </c>
      <c r="I170" s="606" t="s">
        <v>356</v>
      </c>
      <c r="J170" s="606" t="s">
        <v>357</v>
      </c>
      <c r="K170" s="606" t="s">
        <v>358</v>
      </c>
      <c r="L170" s="607" t="s">
        <v>359</v>
      </c>
      <c r="M170" s="608" t="s">
        <v>360</v>
      </c>
      <c r="N170" s="608" t="s">
        <v>361</v>
      </c>
      <c r="O170" s="608" t="s">
        <v>362</v>
      </c>
      <c r="P170" s="608" t="s">
        <v>363</v>
      </c>
      <c r="Q170" s="609" t="s">
        <v>364</v>
      </c>
      <c r="R170" s="608" t="s">
        <v>365</v>
      </c>
      <c r="S170" s="609" t="s">
        <v>366</v>
      </c>
      <c r="T170" s="610" t="s">
        <v>367</v>
      </c>
      <c r="U170" s="611" t="s">
        <v>368</v>
      </c>
      <c r="V170" s="611" t="s">
        <v>369</v>
      </c>
      <c r="W170" s="611" t="s">
        <v>370</v>
      </c>
      <c r="X170" s="611" t="s">
        <v>371</v>
      </c>
      <c r="Y170" s="611" t="s">
        <v>372</v>
      </c>
      <c r="Z170" s="611" t="s">
        <v>373</v>
      </c>
      <c r="AA170" s="611" t="s">
        <v>374</v>
      </c>
      <c r="AB170" s="611" t="s">
        <v>375</v>
      </c>
      <c r="AC170" s="601" t="s">
        <v>376</v>
      </c>
      <c r="AD170" s="612" t="s">
        <v>377</v>
      </c>
      <c r="AE170" s="612" t="s">
        <v>378</v>
      </c>
      <c r="AF170" s="602" t="s">
        <v>379</v>
      </c>
    </row>
    <row r="171">
      <c r="A171" s="613" t="s">
        <v>412</v>
      </c>
      <c r="B171" s="614" t="s">
        <v>389</v>
      </c>
      <c r="C171" s="614" t="s">
        <v>382</v>
      </c>
      <c r="D171" s="615">
        <v>3000</v>
      </c>
      <c r="E171" s="616">
        <v>2</v>
      </c>
      <c r="F171" s="616">
        <v>2</v>
      </c>
      <c r="G171" s="615">
        <v>1232</v>
      </c>
      <c r="H171" s="617">
        <f t="shared" ref="H171:H181" si="140">G171/D171</f>
      </c>
      <c r="I171" s="617">
        <f t="shared" ref="I171:I181" si="79">D171/E171</f>
      </c>
      <c r="J171" s="617">
        <f t="shared" ref="J171:J181" si="259">D171/F171</f>
      </c>
      <c r="K171" s="617">
        <f t="shared" ref="K171:K181" si="197">G171/E171</f>
      </c>
      <c r="L171" s="617">
        <f t="shared" ref="L171:L181" si="325">D171/V171</f>
      </c>
      <c r="M171" s="618">
        <f t="shared" ref="M171:M181" si="292">Q171/U171*1</f>
      </c>
      <c r="N171" s="618">
        <f t="shared" ref="N171:N181" si="16">V171/U171</f>
      </c>
      <c r="O171" s="619">
        <f t="shared" ref="O171:O181" si="355">X171/U171</f>
      </c>
      <c r="P171" s="619">
        <f t="shared" ref="P171:P181" si="109">Y171/X171</f>
      </c>
      <c r="Q171" s="595">
        <f t="shared" ref="Q171:Q181" si="46">W171/R171</f>
      </c>
      <c r="R171" s="620">
        <v>0.0118</v>
      </c>
      <c r="S171" s="621">
        <v>29</v>
      </c>
      <c r="T171" s="622">
        <f t="shared" ref="T171:T181" si="227">(D171/U171)*1000</f>
      </c>
      <c r="U171" s="595">
        <v>17090</v>
      </c>
      <c r="V171" s="595">
        <v>1406</v>
      </c>
      <c r="W171" s="595">
        <v>70</v>
      </c>
      <c r="X171" s="595">
        <v>1892</v>
      </c>
      <c r="Y171" s="595">
        <v>65</v>
      </c>
      <c r="Z171" s="595">
        <v>8</v>
      </c>
      <c r="AA171" s="595">
        <v>1</v>
      </c>
      <c r="AB171" s="595">
        <v>22</v>
      </c>
      <c r="AC171" s="572">
        <f t="shared" ref="AC171:AC180" si="164">AF171*1000/D171</f>
      </c>
      <c r="AD171" s="623" t="s">
        <v>399</v>
      </c>
      <c r="AE171" s="646" t="s">
        <v>400</v>
      </c>
      <c r="AF171" s="624">
        <v>36</v>
      </c>
    </row>
    <row r="172">
      <c r="A172" s="613"/>
      <c r="B172" s="614" t="s">
        <v>389</v>
      </c>
      <c r="C172" s="614" t="s">
        <v>385</v>
      </c>
      <c r="D172" s="615">
        <v>2457.08</v>
      </c>
      <c r="E172" s="616">
        <v>3</v>
      </c>
      <c r="F172" s="616">
        <v>2</v>
      </c>
      <c r="G172" s="643">
        <v>1353</v>
      </c>
      <c r="H172" s="617">
        <f t="shared" si="140"/>
      </c>
      <c r="I172" s="617">
        <f t="shared" si="79"/>
      </c>
      <c r="J172" s="617">
        <f t="shared" si="259"/>
      </c>
      <c r="K172" s="617">
        <f t="shared" si="197"/>
      </c>
      <c r="L172" s="617">
        <f t="shared" si="325"/>
      </c>
      <c r="M172" s="618">
        <f t="shared" si="292"/>
      </c>
      <c r="N172" s="618">
        <f t="shared" si="16"/>
      </c>
      <c r="O172" s="619">
        <f t="shared" si="355"/>
      </c>
      <c r="P172" s="619">
        <f t="shared" si="109"/>
      </c>
      <c r="Q172" s="595">
        <f t="shared" si="46"/>
      </c>
      <c r="R172" s="620">
        <v>0.0175</v>
      </c>
      <c r="S172" s="621">
        <v>30</v>
      </c>
      <c r="T172" s="622">
        <f t="shared" si="227"/>
      </c>
      <c r="U172" s="595">
        <v>13779</v>
      </c>
      <c r="V172" s="595">
        <v>831</v>
      </c>
      <c r="W172" s="595">
        <v>74</v>
      </c>
      <c r="X172" s="595">
        <v>1046</v>
      </c>
      <c r="Y172" s="595">
        <v>32</v>
      </c>
      <c r="Z172" s="595">
        <v>5</v>
      </c>
      <c r="AA172" s="595">
        <v>2</v>
      </c>
      <c r="AB172" s="595">
        <v>16</v>
      </c>
      <c r="AC172" s="572">
        <f t="shared" si="164"/>
      </c>
      <c r="AD172" s="623" t="s">
        <v>399</v>
      </c>
      <c r="AE172" s="646" t="s">
        <v>400</v>
      </c>
      <c r="AF172" s="624">
        <v>19</v>
      </c>
    </row>
    <row r="173">
      <c r="A173" s="613"/>
      <c r="B173" s="614" t="s">
        <v>389</v>
      </c>
      <c r="C173" s="614" t="s">
        <v>386</v>
      </c>
      <c r="D173" s="615">
        <v>2366.63</v>
      </c>
      <c r="E173" s="616">
        <v>8</v>
      </c>
      <c r="F173" s="616">
        <v>7</v>
      </c>
      <c r="G173" s="615">
        <v>6036.799999999999</v>
      </c>
      <c r="H173" s="617">
        <f t="shared" si="140"/>
      </c>
      <c r="I173" s="617">
        <f t="shared" si="79"/>
      </c>
      <c r="J173" s="617">
        <f t="shared" si="259"/>
      </c>
      <c r="K173" s="617">
        <f t="shared" si="197"/>
      </c>
      <c r="L173" s="617">
        <f t="shared" si="325"/>
      </c>
      <c r="M173" s="618">
        <f t="shared" si="292"/>
      </c>
      <c r="N173" s="618">
        <f t="shared" si="16"/>
      </c>
      <c r="O173" s="619">
        <f t="shared" si="355"/>
      </c>
      <c r="P173" s="619">
        <f t="shared" si="109"/>
      </c>
      <c r="Q173" s="595">
        <f t="shared" si="46"/>
      </c>
      <c r="R173" s="620">
        <v>0.0195</v>
      </c>
      <c r="S173" s="621">
        <v>34</v>
      </c>
      <c r="T173" s="622">
        <f t="shared" si="227"/>
      </c>
      <c r="U173" s="595">
        <v>14655</v>
      </c>
      <c r="V173" s="595">
        <v>1187</v>
      </c>
      <c r="W173" s="595">
        <v>98</v>
      </c>
      <c r="X173" s="595">
        <v>1677</v>
      </c>
      <c r="Y173" s="595">
        <v>136</v>
      </c>
      <c r="Z173" s="595">
        <v>9</v>
      </c>
      <c r="AA173" s="595">
        <v>2</v>
      </c>
      <c r="AB173" s="595">
        <v>12</v>
      </c>
      <c r="AC173" s="572">
        <f t="shared" si="164"/>
      </c>
      <c r="AD173" s="623" t="s">
        <v>399</v>
      </c>
      <c r="AE173" s="646" t="s">
        <v>400</v>
      </c>
      <c r="AF173" s="624">
        <v>35</v>
      </c>
    </row>
    <row r="174">
      <c r="A174" s="613"/>
      <c r="B174" s="614" t="s">
        <v>389</v>
      </c>
      <c r="C174" s="614" t="s">
        <v>387</v>
      </c>
      <c r="D174" s="615">
        <v>1876.33</v>
      </c>
      <c r="E174" s="616">
        <v>6</v>
      </c>
      <c r="F174" s="616">
        <v>5</v>
      </c>
      <c r="G174" s="615">
        <v>6431.700000000001</v>
      </c>
      <c r="H174" s="617">
        <f t="shared" si="140"/>
      </c>
      <c r="I174" s="617">
        <f t="shared" si="79"/>
      </c>
      <c r="J174" s="617">
        <f t="shared" si="259"/>
      </c>
      <c r="K174" s="617">
        <f t="shared" si="197"/>
      </c>
      <c r="L174" s="617">
        <f t="shared" si="325"/>
      </c>
      <c r="M174" s="618">
        <f t="shared" si="292"/>
      </c>
      <c r="N174" s="618">
        <f t="shared" si="16"/>
      </c>
      <c r="O174" s="619">
        <f t="shared" si="355"/>
      </c>
      <c r="P174" s="619">
        <f t="shared" si="109"/>
      </c>
      <c r="Q174" s="595">
        <f t="shared" si="46"/>
      </c>
      <c r="R174" s="620">
        <v>0.0236</v>
      </c>
      <c r="S174" s="621">
        <v>37</v>
      </c>
      <c r="T174" s="622">
        <f t="shared" si="227"/>
      </c>
      <c r="U174" s="595">
        <v>9159</v>
      </c>
      <c r="V174" s="595">
        <v>642</v>
      </c>
      <c r="W174" s="595">
        <v>74</v>
      </c>
      <c r="X174" s="595">
        <v>876</v>
      </c>
      <c r="Y174" s="595">
        <v>111</v>
      </c>
      <c r="Z174" s="595">
        <v>12</v>
      </c>
      <c r="AA174" s="595">
        <v>5</v>
      </c>
      <c r="AB174" s="595">
        <v>7</v>
      </c>
      <c r="AC174" s="572">
        <f t="shared" si="164"/>
      </c>
      <c r="AD174" s="623" t="s">
        <v>399</v>
      </c>
      <c r="AE174" s="646" t="s">
        <v>400</v>
      </c>
      <c r="AF174" s="624">
        <v>33</v>
      </c>
    </row>
    <row r="175">
      <c r="A175" s="613"/>
      <c r="B175" s="626" t="s">
        <v>388</v>
      </c>
      <c r="C175" s="626"/>
      <c r="D175" s="627">
        <f>SUM(D171:D174)</f>
      </c>
      <c r="E175" s="628">
        <f>SUM(E171:E174)</f>
      </c>
      <c r="F175" s="628">
        <f>SUM(F171:F174)</f>
      </c>
      <c r="G175" s="627">
        <f>SUM(G171:G174)</f>
      </c>
      <c r="H175" s="629">
        <f t="shared" si="140"/>
      </c>
      <c r="I175" s="629">
        <f t="shared" si="79"/>
      </c>
      <c r="J175" s="629">
        <f t="shared" si="259"/>
      </c>
      <c r="K175" s="629">
        <f t="shared" si="197"/>
      </c>
      <c r="L175" s="629">
        <f t="shared" si="325"/>
      </c>
      <c r="M175" s="630">
        <f t="shared" si="292"/>
      </c>
      <c r="N175" s="630">
        <f t="shared" si="16"/>
      </c>
      <c r="O175" s="630">
        <f t="shared" si="355"/>
      </c>
      <c r="P175" s="630">
        <f t="shared" si="109"/>
      </c>
      <c r="Q175" s="597">
        <f t="shared" si="46"/>
      </c>
      <c r="R175" s="630">
        <f>AVERAGE(R171:R174)</f>
      </c>
      <c r="S175" s="627">
        <f>AVERAGE(S171:S174)</f>
      </c>
      <c r="T175" s="629">
        <f t="shared" si="227"/>
      </c>
      <c r="U175" s="597">
        <f>SUM(U171:U174)</f>
      </c>
      <c r="V175" s="597">
        <f>SUM(V171:V174)</f>
      </c>
      <c r="W175" s="597">
        <f>SUM(W171:W174)</f>
      </c>
      <c r="X175" s="597">
        <f>SUM(X171:X174)</f>
      </c>
      <c r="Y175" s="597">
        <f>SUM(Y171:Y174)</f>
      </c>
      <c r="Z175" s="597">
        <f>SUM(Z171:Z174)</f>
      </c>
      <c r="AA175" s="597">
        <f>SUM(AA171:AA174)</f>
      </c>
      <c r="AB175" s="597">
        <f>SUM(AB171:AB174)</f>
      </c>
      <c r="AC175" s="647">
        <f t="shared" si="164"/>
      </c>
      <c r="AD175" s="631"/>
      <c r="AE175" s="631"/>
      <c r="AF175" s="632">
        <f>SUM(AF171:AF174)</f>
      </c>
    </row>
    <row r="176">
      <c r="A176" s="613"/>
      <c r="B176" s="614" t="s">
        <v>381</v>
      </c>
      <c r="C176" s="614" t="s">
        <v>390</v>
      </c>
      <c r="D176" s="615">
        <v>2994.61</v>
      </c>
      <c r="E176" s="616">
        <v>5</v>
      </c>
      <c r="F176" s="616">
        <v>6</v>
      </c>
      <c r="G176" s="615">
        <v>3472.699999999997</v>
      </c>
      <c r="H176" s="617">
        <f t="shared" si="140"/>
      </c>
      <c r="I176" s="617">
        <f t="shared" si="79"/>
      </c>
      <c r="J176" s="617">
        <f t="shared" si="259"/>
      </c>
      <c r="K176" s="617">
        <f t="shared" si="197"/>
      </c>
      <c r="L176" s="617">
        <f t="shared" si="325"/>
      </c>
      <c r="M176" s="618">
        <f t="shared" si="292"/>
      </c>
      <c r="N176" s="618">
        <f t="shared" si="16"/>
      </c>
      <c r="O176" s="619">
        <f t="shared" si="355"/>
      </c>
      <c r="P176" s="619">
        <f t="shared" si="109"/>
      </c>
      <c r="Q176" s="595">
        <f t="shared" si="46"/>
      </c>
      <c r="R176" s="620">
        <v>0.017</v>
      </c>
      <c r="S176" s="621">
        <v>38</v>
      </c>
      <c r="T176" s="622">
        <f t="shared" si="227"/>
      </c>
      <c r="U176" s="595">
        <v>16176</v>
      </c>
      <c r="V176" s="595">
        <v>1294</v>
      </c>
      <c r="W176" s="595">
        <v>110</v>
      </c>
      <c r="X176" s="595">
        <v>1685</v>
      </c>
      <c r="Y176" s="595">
        <v>84</v>
      </c>
      <c r="Z176" s="595">
        <v>8</v>
      </c>
      <c r="AA176" s="595">
        <v>3</v>
      </c>
      <c r="AB176" s="595">
        <v>9</v>
      </c>
      <c r="AC176" s="572">
        <f t="shared" si="164"/>
      </c>
      <c r="AD176" s="623" t="s">
        <v>399</v>
      </c>
      <c r="AE176" s="646" t="s">
        <v>400</v>
      </c>
      <c r="AF176" s="624">
        <v>32</v>
      </c>
    </row>
    <row r="177">
      <c r="A177" s="613"/>
      <c r="B177" s="614" t="s">
        <v>381</v>
      </c>
      <c r="C177" s="614" t="s">
        <v>391</v>
      </c>
      <c r="D177" s="615">
        <v>4417.06</v>
      </c>
      <c r="E177" s="616">
        <v>10</v>
      </c>
      <c r="F177" s="616">
        <v>8</v>
      </c>
      <c r="G177" s="615">
        <v>6133.5999999999985</v>
      </c>
      <c r="H177" s="617">
        <f t="shared" si="140"/>
      </c>
      <c r="I177" s="617">
        <f t="shared" si="79"/>
      </c>
      <c r="J177" s="617">
        <f t="shared" si="259"/>
      </c>
      <c r="K177" s="617">
        <f t="shared" si="197"/>
      </c>
      <c r="L177" s="617">
        <f t="shared" si="325"/>
      </c>
      <c r="M177" s="618">
        <f t="shared" si="292"/>
      </c>
      <c r="N177" s="618">
        <f t="shared" si="16"/>
      </c>
      <c r="O177" s="619">
        <f t="shared" si="355"/>
      </c>
      <c r="P177" s="619">
        <f t="shared" si="109"/>
      </c>
      <c r="Q177" s="595">
        <f t="shared" si="46"/>
      </c>
      <c r="R177" s="620">
        <v>0.0222</v>
      </c>
      <c r="S177" s="621">
        <v>39</v>
      </c>
      <c r="T177" s="622">
        <f t="shared" si="227"/>
      </c>
      <c r="U177" s="595">
        <v>24189</v>
      </c>
      <c r="V177" s="595">
        <v>1364</v>
      </c>
      <c r="W177" s="595">
        <v>124</v>
      </c>
      <c r="X177" s="595">
        <v>1822</v>
      </c>
      <c r="Y177" s="595">
        <v>139</v>
      </c>
      <c r="Z177" s="595">
        <v>16</v>
      </c>
      <c r="AA177" s="595">
        <v>3</v>
      </c>
      <c r="AB177" s="595">
        <v>34</v>
      </c>
      <c r="AC177" s="572">
        <f t="shared" si="164"/>
      </c>
      <c r="AD177" s="623" t="s">
        <v>399</v>
      </c>
      <c r="AE177" s="646" t="s">
        <v>400</v>
      </c>
      <c r="AF177" s="624">
        <v>40</v>
      </c>
    </row>
    <row r="178">
      <c r="A178" s="613"/>
      <c r="B178" s="614" t="s">
        <v>381</v>
      </c>
      <c r="C178" s="614" t="s">
        <v>392</v>
      </c>
      <c r="D178" s="615">
        <v>4596.45</v>
      </c>
      <c r="E178" s="616">
        <v>12</v>
      </c>
      <c r="F178" s="616">
        <v>12</v>
      </c>
      <c r="G178" s="615">
        <v>11059.400000000001</v>
      </c>
      <c r="H178" s="617">
        <f t="shared" si="140"/>
      </c>
      <c r="I178" s="617">
        <f t="shared" si="79"/>
      </c>
      <c r="J178" s="617">
        <f t="shared" si="259"/>
      </c>
      <c r="K178" s="617">
        <f t="shared" si="197"/>
      </c>
      <c r="L178" s="617">
        <f t="shared" si="325"/>
      </c>
      <c r="M178" s="618">
        <f t="shared" si="292"/>
      </c>
      <c r="N178" s="618">
        <f t="shared" si="16"/>
      </c>
      <c r="O178" s="619">
        <f t="shared" si="355"/>
      </c>
      <c r="P178" s="619">
        <f t="shared" si="109"/>
      </c>
      <c r="Q178" s="595">
        <f t="shared" si="46"/>
      </c>
      <c r="R178" s="620">
        <v>0.0378</v>
      </c>
      <c r="S178" s="621">
        <v>42</v>
      </c>
      <c r="T178" s="622">
        <f t="shared" si="227"/>
      </c>
      <c r="U178" s="595">
        <v>22100</v>
      </c>
      <c r="V178" s="595">
        <v>1270</v>
      </c>
      <c r="W178" s="595">
        <v>149</v>
      </c>
      <c r="X178" s="595">
        <v>1672</v>
      </c>
      <c r="Y178" s="595">
        <v>134</v>
      </c>
      <c r="Z178" s="595">
        <v>14</v>
      </c>
      <c r="AA178" s="595">
        <v>4</v>
      </c>
      <c r="AB178" s="595">
        <v>41</v>
      </c>
      <c r="AC178" s="572">
        <f t="shared" si="164"/>
      </c>
      <c r="AD178" s="623" t="s">
        <v>399</v>
      </c>
      <c r="AE178" s="646" t="s">
        <v>400</v>
      </c>
      <c r="AF178" s="624">
        <v>46</v>
      </c>
    </row>
    <row r="179">
      <c r="A179" s="613"/>
      <c r="B179" s="614" t="s">
        <v>381</v>
      </c>
      <c r="C179" s="614" t="s">
        <v>393</v>
      </c>
      <c r="D179" s="615">
        <v>2264.77</v>
      </c>
      <c r="E179" s="616">
        <v>3</v>
      </c>
      <c r="F179" s="616">
        <v>2</v>
      </c>
      <c r="G179" s="643">
        <v>2088.9000000000015</v>
      </c>
      <c r="H179" s="617">
        <f t="shared" si="140"/>
      </c>
      <c r="I179" s="617">
        <f t="shared" si="79"/>
      </c>
      <c r="J179" s="617">
        <f t="shared" si="259"/>
      </c>
      <c r="K179" s="617">
        <f t="shared" si="197"/>
      </c>
      <c r="L179" s="617">
        <f t="shared" si="325"/>
      </c>
      <c r="M179" s="618">
        <f t="shared" si="292"/>
      </c>
      <c r="N179" s="618">
        <f t="shared" si="16"/>
      </c>
      <c r="O179" s="619">
        <f t="shared" si="355"/>
      </c>
      <c r="P179" s="619">
        <f t="shared" si="109"/>
      </c>
      <c r="Q179" s="595">
        <f t="shared" si="46"/>
      </c>
      <c r="R179" s="620">
        <v>0.0207</v>
      </c>
      <c r="S179" s="621">
        <v>44</v>
      </c>
      <c r="T179" s="622">
        <f t="shared" si="227"/>
      </c>
      <c r="U179" s="595">
        <v>11986</v>
      </c>
      <c r="V179" s="595">
        <v>860</v>
      </c>
      <c r="W179" s="595">
        <v>72</v>
      </c>
      <c r="X179" s="595">
        <v>1088</v>
      </c>
      <c r="Y179" s="595">
        <v>57</v>
      </c>
      <c r="Z179" s="595">
        <v>11</v>
      </c>
      <c r="AA179" s="595">
        <v>0</v>
      </c>
      <c r="AB179" s="595">
        <v>15</v>
      </c>
      <c r="AC179" s="572">
        <f t="shared" si="164"/>
      </c>
      <c r="AD179" s="623" t="s">
        <v>399</v>
      </c>
      <c r="AE179" s="646" t="s">
        <v>400</v>
      </c>
      <c r="AF179" s="624">
        <v>18</v>
      </c>
    </row>
    <row r="180">
      <c r="A180" s="613"/>
      <c r="B180" s="626" t="s">
        <v>388</v>
      </c>
      <c r="C180" s="626"/>
      <c r="D180" s="627">
        <f>SUM(D176:D179)</f>
      </c>
      <c r="E180" s="628">
        <f>SUM(E176:E179)</f>
      </c>
      <c r="F180" s="628">
        <f>SUM(F176:F179)</f>
      </c>
      <c r="G180" s="627">
        <f>SUM(G176:G179)</f>
      </c>
      <c r="H180" s="629">
        <f t="shared" si="140"/>
      </c>
      <c r="I180" s="629">
        <f t="shared" si="79"/>
      </c>
      <c r="J180" s="629">
        <f t="shared" si="259"/>
      </c>
      <c r="K180" s="629">
        <f t="shared" si="197"/>
      </c>
      <c r="L180" s="629">
        <f t="shared" si="325"/>
      </c>
      <c r="M180" s="630">
        <f t="shared" si="292"/>
      </c>
      <c r="N180" s="630">
        <f t="shared" si="16"/>
      </c>
      <c r="O180" s="630">
        <f t="shared" si="355"/>
      </c>
      <c r="P180" s="630">
        <f t="shared" si="109"/>
      </c>
      <c r="Q180" s="597">
        <f t="shared" si="46"/>
      </c>
      <c r="R180" s="630">
        <f>AVERAGE(R176:R179)</f>
      </c>
      <c r="S180" s="627">
        <f>AVERAGE(S176:S179)</f>
      </c>
      <c r="T180" s="629">
        <f t="shared" si="227"/>
      </c>
      <c r="U180" s="597">
        <f>SUM(U176:U179)</f>
      </c>
      <c r="V180" s="597">
        <f>SUM(V176:V179)</f>
      </c>
      <c r="W180" s="597">
        <f>SUM(W176:W179)</f>
      </c>
      <c r="X180" s="597">
        <f>SUM(X176:X179)</f>
      </c>
      <c r="Y180" s="597">
        <f>SUM(Y176:Y179)</f>
      </c>
      <c r="Z180" s="597">
        <f>SUM(Z176:Z179)</f>
      </c>
      <c r="AA180" s="597">
        <f>SUM(AA176:AA179)</f>
      </c>
      <c r="AB180" s="597">
        <f>SUM(AB176:AB179)</f>
      </c>
      <c r="AC180" s="647">
        <f t="shared" si="164"/>
      </c>
      <c r="AD180" s="631"/>
      <c r="AE180" s="631"/>
      <c r="AF180" s="597">
        <f>SUM(AF176:AF179)</f>
      </c>
    </row>
    <row r="181">
      <c r="A181" s="648"/>
      <c r="B181" s="642" t="s">
        <v>394</v>
      </c>
      <c r="C181" s="642"/>
      <c r="D181" s="634">
        <f>D175+D180</f>
      </c>
      <c r="E181" s="635">
        <f>E175+E180</f>
      </c>
      <c r="F181" s="635">
        <f>F175+F180</f>
      </c>
      <c r="G181" s="634">
        <f>G175+G180</f>
      </c>
      <c r="H181" s="636">
        <f t="shared" si="140"/>
      </c>
      <c r="I181" s="636">
        <f t="shared" si="79"/>
      </c>
      <c r="J181" s="636">
        <f t="shared" si="259"/>
      </c>
      <c r="K181" s="636">
        <f t="shared" si="197"/>
      </c>
      <c r="L181" s="636">
        <f t="shared" si="325"/>
      </c>
      <c r="M181" s="637">
        <f t="shared" si="292"/>
      </c>
      <c r="N181" s="637">
        <f t="shared" si="16"/>
      </c>
      <c r="O181" s="637">
        <f t="shared" si="355"/>
      </c>
      <c r="P181" s="637">
        <f t="shared" si="109"/>
      </c>
      <c r="Q181" s="645">
        <f t="shared" si="46"/>
      </c>
      <c r="R181" s="637">
        <f>(R175+R180)/2</f>
      </c>
      <c r="S181" s="634">
        <f>(S180+S175)/2</f>
      </c>
      <c r="T181" s="634">
        <f t="shared" si="227"/>
      </c>
      <c r="U181" s="645">
        <f>U175+U180</f>
      </c>
      <c r="V181" s="645">
        <f>V175+V180</f>
      </c>
      <c r="W181" s="645">
        <f>W175+W180</f>
      </c>
      <c r="X181" s="645">
        <f>X175+X180</f>
      </c>
      <c r="Y181" s="645">
        <f>Y175+Y180</f>
      </c>
      <c r="Z181" s="645">
        <f>Z175+Z180</f>
      </c>
      <c r="AA181" s="645">
        <f>AA175+AA180</f>
      </c>
      <c r="AB181" s="645">
        <f>AB175+AB180</f>
      </c>
      <c r="AC181" s="636">
        <f>AC175</f>
      </c>
      <c r="AD181" s="642"/>
      <c r="AE181" s="642"/>
      <c r="AF181" s="645">
        <f>AF175+AF180</f>
      </c>
    </row>
    <row r="182">
      <c r="A182" s="599" t="s">
        <v>395</v>
      </c>
      <c r="B182" s="599" t="s">
        <v>346</v>
      </c>
      <c r="C182" s="599"/>
      <c r="D182" s="600" t="s">
        <v>347</v>
      </c>
      <c r="E182" s="600"/>
      <c r="F182" s="600"/>
      <c r="G182" s="600"/>
      <c r="H182" s="600"/>
      <c r="I182" s="600"/>
      <c r="J182" s="600"/>
      <c r="K182" s="600"/>
      <c r="L182" s="601" t="s">
        <v>348</v>
      </c>
      <c r="M182" s="601"/>
      <c r="N182" s="601"/>
      <c r="O182" s="601"/>
      <c r="P182" s="601"/>
      <c r="Q182" s="601"/>
      <c r="R182" s="601"/>
      <c r="S182" s="601"/>
      <c r="T182" s="601"/>
      <c r="U182" s="601"/>
      <c r="V182" s="601"/>
      <c r="W182" s="601"/>
      <c r="X182" s="601"/>
      <c r="Y182" s="601"/>
      <c r="Z182" s="601"/>
      <c r="AA182" s="601"/>
      <c r="AB182" s="601"/>
      <c r="AC182" s="601"/>
      <c r="AD182" s="601"/>
      <c r="AE182" s="601"/>
      <c r="AF182" s="602"/>
    </row>
    <row r="183">
      <c r="A183" s="599"/>
      <c r="B183" s="603" t="s">
        <v>349</v>
      </c>
      <c r="C183" s="603" t="s">
        <v>350</v>
      </c>
      <c r="D183" s="604" t="s">
        <v>351</v>
      </c>
      <c r="E183" s="605" t="s">
        <v>352</v>
      </c>
      <c r="F183" s="605" t="s">
        <v>353</v>
      </c>
      <c r="G183" s="604" t="s">
        <v>354</v>
      </c>
      <c r="H183" s="606" t="s">
        <v>355</v>
      </c>
      <c r="I183" s="606" t="s">
        <v>356</v>
      </c>
      <c r="J183" s="606" t="s">
        <v>357</v>
      </c>
      <c r="K183" s="606" t="s">
        <v>358</v>
      </c>
      <c r="L183" s="607" t="s">
        <v>359</v>
      </c>
      <c r="M183" s="608" t="s">
        <v>360</v>
      </c>
      <c r="N183" s="608" t="s">
        <v>361</v>
      </c>
      <c r="O183" s="608" t="s">
        <v>362</v>
      </c>
      <c r="P183" s="608" t="s">
        <v>363</v>
      </c>
      <c r="Q183" s="609" t="s">
        <v>364</v>
      </c>
      <c r="R183" s="608" t="s">
        <v>365</v>
      </c>
      <c r="S183" s="609" t="s">
        <v>366</v>
      </c>
      <c r="T183" s="610" t="s">
        <v>367</v>
      </c>
      <c r="U183" s="611" t="s">
        <v>368</v>
      </c>
      <c r="V183" s="611" t="s">
        <v>369</v>
      </c>
      <c r="W183" s="611" t="s">
        <v>370</v>
      </c>
      <c r="X183" s="611" t="s">
        <v>371</v>
      </c>
      <c r="Y183" s="611" t="s">
        <v>372</v>
      </c>
      <c r="Z183" s="611" t="s">
        <v>373</v>
      </c>
      <c r="AA183" s="611" t="s">
        <v>374</v>
      </c>
      <c r="AB183" s="611" t="s">
        <v>375</v>
      </c>
      <c r="AC183" s="601" t="s">
        <v>376</v>
      </c>
      <c r="AD183" s="612" t="s">
        <v>377</v>
      </c>
      <c r="AE183" s="612" t="s">
        <v>378</v>
      </c>
      <c r="AF183" s="602" t="s">
        <v>379</v>
      </c>
    </row>
    <row r="184">
      <c r="A184" s="613" t="s">
        <v>413</v>
      </c>
      <c r="B184" s="614" t="s">
        <v>389</v>
      </c>
      <c r="C184" s="614" t="s">
        <v>382</v>
      </c>
      <c r="D184" s="615">
        <v>3000</v>
      </c>
      <c r="E184" s="616">
        <v>8</v>
      </c>
      <c r="F184" s="616">
        <v>6</v>
      </c>
      <c r="G184" s="615">
        <v>7378.8</v>
      </c>
      <c r="H184" s="617">
        <f t="shared" ref="H184:H195" si="141">G184/D184</f>
      </c>
      <c r="I184" s="617">
        <f t="shared" ref="I184:I195" si="80">D184/E184</f>
      </c>
      <c r="J184" s="617">
        <f t="shared" ref="J184:J195" si="260">D184/F184</f>
      </c>
      <c r="K184" s="617">
        <f t="shared" ref="K184:K195" si="198">G184/E184</f>
      </c>
      <c r="L184" s="617">
        <f t="shared" ref="L184:L195" si="326">D184/V184</f>
      </c>
      <c r="M184" s="618">
        <f t="shared" ref="M184:M195" si="293">Q184/U184*1</f>
      </c>
      <c r="N184" s="618">
        <f t="shared" ref="N184:N195" si="17">V184/U184</f>
      </c>
      <c r="O184" s="619">
        <f t="shared" ref="O184:O195" si="356">X184/U184</f>
      </c>
      <c r="P184" s="619">
        <f t="shared" ref="P184:P195" si="110">Y184/X184</f>
      </c>
      <c r="Q184" s="595">
        <f t="shared" ref="Q184:Q195" si="47">W184/R184</f>
      </c>
      <c r="R184" s="620">
        <v>0.0151</v>
      </c>
      <c r="S184" s="621">
        <v>42</v>
      </c>
      <c r="T184" s="622">
        <f t="shared" ref="T184:T195" si="228">(D184/U184)*1000</f>
      </c>
      <c r="U184" s="595">
        <v>15697</v>
      </c>
      <c r="V184" s="595">
        <v>1312</v>
      </c>
      <c r="W184" s="595">
        <v>84</v>
      </c>
      <c r="X184" s="595">
        <v>1734</v>
      </c>
      <c r="Y184" s="595">
        <v>91</v>
      </c>
      <c r="Z184" s="595">
        <v>23</v>
      </c>
      <c r="AA184" s="595">
        <v>3</v>
      </c>
      <c r="AB184" s="595">
        <v>11</v>
      </c>
      <c r="AC184" s="572">
        <f t="shared" ref="AC184:AC194" si="165">AF184*1000/D184</f>
      </c>
      <c r="AD184" s="623" t="s">
        <v>399</v>
      </c>
      <c r="AE184" s="646" t="s">
        <v>400</v>
      </c>
      <c r="AF184" s="624">
        <v>40</v>
      </c>
    </row>
    <row r="185">
      <c r="A185" s="613"/>
      <c r="B185" s="614" t="s">
        <v>389</v>
      </c>
      <c r="C185" s="614" t="s">
        <v>385</v>
      </c>
      <c r="D185" s="615">
        <v>3497.43</v>
      </c>
      <c r="E185" s="616">
        <v>1</v>
      </c>
      <c r="F185" s="616">
        <v>1</v>
      </c>
      <c r="G185" s="643">
        <v>451</v>
      </c>
      <c r="H185" s="617">
        <f t="shared" si="141"/>
      </c>
      <c r="I185" s="617">
        <f t="shared" si="80"/>
      </c>
      <c r="J185" s="617">
        <f t="shared" si="260"/>
      </c>
      <c r="K185" s="617">
        <f t="shared" si="198"/>
      </c>
      <c r="L185" s="617">
        <f t="shared" si="326"/>
      </c>
      <c r="M185" s="618">
        <f t="shared" si="293"/>
      </c>
      <c r="N185" s="618">
        <f t="shared" si="17"/>
      </c>
      <c r="O185" s="619">
        <f t="shared" si="356"/>
      </c>
      <c r="P185" s="619">
        <f t="shared" si="110"/>
      </c>
      <c r="Q185" s="595">
        <f t="shared" si="47"/>
      </c>
      <c r="R185" s="620">
        <v>0.0162</v>
      </c>
      <c r="S185" s="621">
        <v>41</v>
      </c>
      <c r="T185" s="622">
        <f t="shared" si="228"/>
      </c>
      <c r="U185" s="595">
        <v>18740</v>
      </c>
      <c r="V185" s="595">
        <v>1315</v>
      </c>
      <c r="W185" s="595">
        <v>110</v>
      </c>
      <c r="X185" s="595">
        <v>1619</v>
      </c>
      <c r="Y185" s="595">
        <v>69</v>
      </c>
      <c r="Z185" s="595">
        <v>18</v>
      </c>
      <c r="AA185" s="595">
        <v>2</v>
      </c>
      <c r="AB185" s="595">
        <v>18</v>
      </c>
      <c r="AC185" s="572">
        <f t="shared" si="165"/>
      </c>
      <c r="AD185" s="623" t="s">
        <v>399</v>
      </c>
      <c r="AE185" s="646" t="s">
        <v>400</v>
      </c>
      <c r="AF185" s="624">
        <v>42</v>
      </c>
    </row>
    <row r="186">
      <c r="A186" s="613"/>
      <c r="B186" s="614" t="s">
        <v>389</v>
      </c>
      <c r="C186" s="614" t="s">
        <v>386</v>
      </c>
      <c r="D186" s="615">
        <v>1439.57</v>
      </c>
      <c r="E186" s="616">
        <v>3</v>
      </c>
      <c r="F186" s="616">
        <v>2</v>
      </c>
      <c r="G186" s="615">
        <v>1352.999999999999</v>
      </c>
      <c r="H186" s="617">
        <f t="shared" si="141"/>
      </c>
      <c r="I186" s="617">
        <f t="shared" si="80"/>
      </c>
      <c r="J186" s="617">
        <f t="shared" si="260"/>
      </c>
      <c r="K186" s="617">
        <f t="shared" si="198"/>
      </c>
      <c r="L186" s="617">
        <f t="shared" si="326"/>
      </c>
      <c r="M186" s="618">
        <f t="shared" si="293"/>
      </c>
      <c r="N186" s="618">
        <f t="shared" si="17"/>
      </c>
      <c r="O186" s="619">
        <f t="shared" si="356"/>
      </c>
      <c r="P186" s="619">
        <f t="shared" si="110"/>
      </c>
      <c r="Q186" s="595">
        <f t="shared" si="47"/>
      </c>
      <c r="R186" s="620">
        <v>0.018</v>
      </c>
      <c r="S186" s="621">
        <v>42</v>
      </c>
      <c r="T186" s="622">
        <f t="shared" si="228"/>
      </c>
      <c r="U186" s="595">
        <v>7157</v>
      </c>
      <c r="V186" s="595">
        <v>426</v>
      </c>
      <c r="W186" s="595">
        <v>50</v>
      </c>
      <c r="X186" s="595">
        <v>560</v>
      </c>
      <c r="Y186" s="595">
        <v>28</v>
      </c>
      <c r="Z186" s="595">
        <v>5</v>
      </c>
      <c r="AA186" s="595">
        <v>1</v>
      </c>
      <c r="AB186" s="595">
        <v>3</v>
      </c>
      <c r="AC186" s="572">
        <f t="shared" si="165"/>
      </c>
      <c r="AD186" s="623" t="s">
        <v>399</v>
      </c>
      <c r="AE186" s="646" t="s">
        <v>400</v>
      </c>
      <c r="AF186" s="624">
        <v>16</v>
      </c>
    </row>
    <row r="187">
      <c r="A187" s="613"/>
      <c r="B187" s="626" t="s">
        <v>388</v>
      </c>
      <c r="C187" s="626"/>
      <c r="D187" s="627">
        <f>SUM(D184:D186)</f>
      </c>
      <c r="E187" s="628">
        <f>SUM(E184:E186)</f>
      </c>
      <c r="F187" s="628">
        <f>SUM(F184:F186)</f>
      </c>
      <c r="G187" s="627">
        <f>SUM(G184:G186)</f>
      </c>
      <c r="H187" s="629">
        <f t="shared" si="141"/>
      </c>
      <c r="I187" s="629">
        <f t="shared" si="80"/>
      </c>
      <c r="J187" s="629">
        <f t="shared" si="260"/>
      </c>
      <c r="K187" s="629">
        <f t="shared" si="198"/>
      </c>
      <c r="L187" s="629">
        <f t="shared" si="326"/>
      </c>
      <c r="M187" s="630">
        <f t="shared" si="293"/>
      </c>
      <c r="N187" s="630">
        <f t="shared" si="17"/>
      </c>
      <c r="O187" s="630">
        <f t="shared" si="356"/>
      </c>
      <c r="P187" s="630">
        <f t="shared" si="110"/>
      </c>
      <c r="Q187" s="597">
        <f t="shared" si="47"/>
      </c>
      <c r="R187" s="630">
        <f>AVERAGE(R184:R186)</f>
      </c>
      <c r="S187" s="627">
        <f>AVERAGE(S184:S186)</f>
      </c>
      <c r="T187" s="629">
        <f t="shared" si="228"/>
      </c>
      <c r="U187" s="597">
        <f>SUM(U184:U186)</f>
      </c>
      <c r="V187" s="597">
        <f>SUM(V184:V186)</f>
      </c>
      <c r="W187" s="597">
        <f>SUM(W184:W186)</f>
      </c>
      <c r="X187" s="597">
        <f>SUM(X184:X186)</f>
      </c>
      <c r="Y187" s="597">
        <f>SUM(Y184:Y186)</f>
      </c>
      <c r="Z187" s="597">
        <f>SUM(Z184:Z186)</f>
      </c>
      <c r="AA187" s="597">
        <f>SUM(AA184:AA186)</f>
      </c>
      <c r="AB187" s="597">
        <f>SUM(AB184:AB186)</f>
      </c>
      <c r="AC187" s="647">
        <f t="shared" si="165"/>
      </c>
      <c r="AD187" s="631"/>
      <c r="AE187" s="631"/>
      <c r="AF187" s="632">
        <f>SUM(AF184:AF186)</f>
      </c>
    </row>
    <row r="188">
      <c r="A188" s="613"/>
      <c r="B188" s="614" t="s">
        <v>381</v>
      </c>
      <c r="C188" s="614" t="s">
        <v>387</v>
      </c>
      <c r="D188" s="615">
        <v>1805.54</v>
      </c>
      <c r="E188" s="616">
        <v>6</v>
      </c>
      <c r="F188" s="616">
        <v>5</v>
      </c>
      <c r="G188" s="615">
        <v>3111.8999999999996</v>
      </c>
      <c r="H188" s="617">
        <f t="shared" si="141"/>
      </c>
      <c r="I188" s="617">
        <f t="shared" si="80"/>
      </c>
      <c r="J188" s="617">
        <f t="shared" si="260"/>
      </c>
      <c r="K188" s="617">
        <f t="shared" si="198"/>
      </c>
      <c r="L188" s="617">
        <f t="shared" si="326"/>
      </c>
      <c r="M188" s="618">
        <f t="shared" si="293"/>
      </c>
      <c r="N188" s="618">
        <f t="shared" si="17"/>
      </c>
      <c r="O188" s="619">
        <f t="shared" si="356"/>
      </c>
      <c r="P188" s="619">
        <f t="shared" si="110"/>
      </c>
      <c r="Q188" s="595">
        <f t="shared" si="47"/>
      </c>
      <c r="R188" s="620">
        <v>0.013</v>
      </c>
      <c r="S188" s="621">
        <v>42</v>
      </c>
      <c r="T188" s="622">
        <f t="shared" si="228"/>
      </c>
      <c r="U188" s="595">
        <v>9790</v>
      </c>
      <c r="V188" s="595">
        <v>919</v>
      </c>
      <c r="W188" s="595">
        <v>52</v>
      </c>
      <c r="X188" s="595">
        <v>1318</v>
      </c>
      <c r="Y188" s="595">
        <v>89</v>
      </c>
      <c r="Z188" s="595">
        <v>8</v>
      </c>
      <c r="AA188" s="595">
        <v>3</v>
      </c>
      <c r="AB188" s="595">
        <v>2</v>
      </c>
      <c r="AC188" s="572">
        <f t="shared" si="165"/>
      </c>
      <c r="AD188" s="623" t="s">
        <v>399</v>
      </c>
      <c r="AE188" s="646" t="s">
        <v>400</v>
      </c>
      <c r="AF188" s="624">
        <v>23</v>
      </c>
    </row>
    <row r="189">
      <c r="A189" s="613"/>
      <c r="B189" s="614" t="s">
        <v>381</v>
      </c>
      <c r="C189" s="614" t="s">
        <v>390</v>
      </c>
      <c r="D189" s="615">
        <v>2074.59</v>
      </c>
      <c r="E189" s="616">
        <v>1</v>
      </c>
      <c r="F189" s="616">
        <v>2</v>
      </c>
      <c r="G189" s="615">
        <v>1533.3999999999996</v>
      </c>
      <c r="H189" s="617">
        <f t="shared" si="141"/>
      </c>
      <c r="I189" s="617">
        <f t="shared" si="80"/>
      </c>
      <c r="J189" s="617">
        <f t="shared" si="260"/>
      </c>
      <c r="K189" s="617">
        <f t="shared" si="198"/>
      </c>
      <c r="L189" s="617">
        <f t="shared" si="326"/>
      </c>
      <c r="M189" s="618">
        <f t="shared" si="293"/>
      </c>
      <c r="N189" s="618">
        <f t="shared" si="17"/>
      </c>
      <c r="O189" s="619">
        <f t="shared" si="356"/>
      </c>
      <c r="P189" s="619">
        <f t="shared" si="110"/>
      </c>
      <c r="Q189" s="595">
        <f t="shared" si="47"/>
      </c>
      <c r="R189" s="620">
        <v>0.0161</v>
      </c>
      <c r="S189" s="621">
        <v>40</v>
      </c>
      <c r="T189" s="622">
        <f t="shared" si="228"/>
      </c>
      <c r="U189" s="595">
        <v>9747</v>
      </c>
      <c r="V189" s="595">
        <v>1038</v>
      </c>
      <c r="W189" s="595">
        <v>68</v>
      </c>
      <c r="X189" s="595">
        <v>1391</v>
      </c>
      <c r="Y189" s="595">
        <v>60</v>
      </c>
      <c r="Z189" s="595">
        <v>4</v>
      </c>
      <c r="AA189" s="595">
        <v>2</v>
      </c>
      <c r="AB189" s="595">
        <v>2</v>
      </c>
      <c r="AC189" s="572">
        <f t="shared" si="165"/>
      </c>
      <c r="AD189" s="623" t="s">
        <v>399</v>
      </c>
      <c r="AE189" s="646" t="s">
        <v>400</v>
      </c>
      <c r="AF189" s="624">
        <v>28</v>
      </c>
    </row>
    <row r="190">
      <c r="A190" s="613"/>
      <c r="B190" s="614" t="s">
        <v>381</v>
      </c>
      <c r="C190" s="614" t="s">
        <v>391</v>
      </c>
      <c r="D190" s="615">
        <v>2366.73</v>
      </c>
      <c r="E190" s="616">
        <v>6</v>
      </c>
      <c r="F190" s="616">
        <v>4</v>
      </c>
      <c r="G190" s="615">
        <v>3738.9000000000015</v>
      </c>
      <c r="H190" s="617">
        <f t="shared" si="141"/>
      </c>
      <c r="I190" s="617">
        <f t="shared" si="80"/>
      </c>
      <c r="J190" s="617">
        <f t="shared" si="260"/>
      </c>
      <c r="K190" s="617">
        <f t="shared" si="198"/>
      </c>
      <c r="L190" s="617">
        <f t="shared" si="326"/>
      </c>
      <c r="M190" s="618">
        <f t="shared" si="293"/>
      </c>
      <c r="N190" s="618">
        <f t="shared" si="17"/>
      </c>
      <c r="O190" s="619">
        <f t="shared" si="356"/>
      </c>
      <c r="P190" s="619">
        <f t="shared" si="110"/>
      </c>
      <c r="Q190" s="595">
        <f t="shared" si="47"/>
      </c>
      <c r="R190" s="620">
        <v>0.0145</v>
      </c>
      <c r="S190" s="621">
        <v>39</v>
      </c>
      <c r="T190" s="622">
        <f t="shared" si="228"/>
      </c>
      <c r="U190" s="595">
        <v>13368</v>
      </c>
      <c r="V190" s="595">
        <v>1347</v>
      </c>
      <c r="W190" s="595">
        <v>88</v>
      </c>
      <c r="X190" s="595">
        <v>1768</v>
      </c>
      <c r="Y190" s="595">
        <v>93</v>
      </c>
      <c r="Z190" s="595">
        <v>9</v>
      </c>
      <c r="AA190" s="595">
        <v>3</v>
      </c>
      <c r="AB190" s="595">
        <v>1</v>
      </c>
      <c r="AC190" s="572">
        <f t="shared" si="165"/>
      </c>
      <c r="AD190" s="623" t="s">
        <v>399</v>
      </c>
      <c r="AE190" s="646" t="s">
        <v>400</v>
      </c>
      <c r="AF190" s="624">
        <v>39</v>
      </c>
    </row>
    <row r="191">
      <c r="A191" s="613"/>
      <c r="B191" s="626" t="s">
        <v>388</v>
      </c>
      <c r="C191" s="626"/>
      <c r="D191" s="627">
        <f>SUM(D188:D190)</f>
      </c>
      <c r="E191" s="628">
        <f>SUM(E188:E190)</f>
      </c>
      <c r="F191" s="628">
        <f>SUM(F188:F190)</f>
      </c>
      <c r="G191" s="627">
        <f>SUM(G188:G190)</f>
      </c>
      <c r="H191" s="629">
        <f t="shared" si="141"/>
      </c>
      <c r="I191" s="629">
        <f t="shared" si="80"/>
      </c>
      <c r="J191" s="629">
        <f t="shared" si="260"/>
      </c>
      <c r="K191" s="629">
        <f t="shared" si="198"/>
      </c>
      <c r="L191" s="629">
        <f t="shared" si="326"/>
      </c>
      <c r="M191" s="630">
        <f t="shared" si="293"/>
      </c>
      <c r="N191" s="630">
        <f t="shared" si="17"/>
      </c>
      <c r="O191" s="630">
        <f t="shared" si="356"/>
      </c>
      <c r="P191" s="630">
        <f t="shared" si="110"/>
      </c>
      <c r="Q191" s="597">
        <f t="shared" si="47"/>
      </c>
      <c r="R191" s="630">
        <f>AVERAGE(R188:R190)</f>
      </c>
      <c r="S191" s="627">
        <f>AVERAGE(S188:S190)</f>
      </c>
      <c r="T191" s="629">
        <f t="shared" si="228"/>
      </c>
      <c r="U191" s="597">
        <f>SUM(U188:U190)</f>
      </c>
      <c r="V191" s="597">
        <f>SUM(V188:V190)</f>
      </c>
      <c r="W191" s="597">
        <f>SUM(W188:W190)</f>
      </c>
      <c r="X191" s="597">
        <f>SUM(X188:X190)</f>
      </c>
      <c r="Y191" s="597">
        <f>SUM(Y188:Y190)</f>
      </c>
      <c r="Z191" s="597">
        <f>SUM(Z188:Z190)</f>
      </c>
      <c r="AA191" s="597">
        <f>SUM(AA188:AA190)</f>
      </c>
      <c r="AB191" s="597">
        <f>SUM(AB188:AB190)</f>
      </c>
      <c r="AC191" s="647">
        <f t="shared" si="165"/>
      </c>
      <c r="AD191" s="631"/>
      <c r="AE191" s="631"/>
      <c r="AF191" s="597">
        <f>SUM(AF188:AF190)</f>
      </c>
    </row>
    <row customHeight="true" ht="18.452380952380953" r="192">
      <c r="A192" s="613"/>
      <c r="B192" s="614" t="s">
        <v>414</v>
      </c>
      <c r="C192" s="614" t="s">
        <v>392</v>
      </c>
      <c r="D192" s="615">
        <v>1878.94</v>
      </c>
      <c r="E192" s="616">
        <v>3</v>
      </c>
      <c r="F192" s="616">
        <v>2</v>
      </c>
      <c r="G192" s="615">
        <v>4185.5</v>
      </c>
      <c r="H192" s="617">
        <f t="shared" si="141"/>
      </c>
      <c r="I192" s="617">
        <f t="shared" si="80"/>
      </c>
      <c r="J192" s="617">
        <f t="shared" si="260"/>
      </c>
      <c r="K192" s="617">
        <f t="shared" si="198"/>
      </c>
      <c r="L192" s="617">
        <f t="shared" si="326"/>
      </c>
      <c r="M192" s="618">
        <f t="shared" si="293"/>
      </c>
      <c r="N192" s="618">
        <f t="shared" si="17"/>
      </c>
      <c r="O192" s="619">
        <f t="shared" si="356"/>
      </c>
      <c r="P192" s="619">
        <f t="shared" si="110"/>
      </c>
      <c r="Q192" s="595">
        <f t="shared" si="47"/>
      </c>
      <c r="R192" s="620">
        <v>0.0132</v>
      </c>
      <c r="S192" s="621">
        <v>38</v>
      </c>
      <c r="T192" s="622">
        <f t="shared" si="228"/>
      </c>
      <c r="U192" s="595">
        <v>10827</v>
      </c>
      <c r="V192" s="595">
        <v>1245</v>
      </c>
      <c r="W192" s="595">
        <v>63</v>
      </c>
      <c r="X192" s="595">
        <v>1723</v>
      </c>
      <c r="Y192" s="595">
        <v>75</v>
      </c>
      <c r="Z192" s="595">
        <v>12</v>
      </c>
      <c r="AA192" s="595">
        <v>4</v>
      </c>
      <c r="AB192" s="595">
        <v>4</v>
      </c>
      <c r="AC192" s="572">
        <f t="shared" si="165"/>
      </c>
      <c r="AD192" s="623" t="s">
        <v>399</v>
      </c>
      <c r="AE192" s="646" t="s">
        <v>400</v>
      </c>
      <c r="AF192" s="624">
        <v>36</v>
      </c>
    </row>
    <row customHeight="true" ht="18.452380952380953" r="193">
      <c r="A193" s="613"/>
      <c r="B193" s="614" t="s">
        <v>414</v>
      </c>
      <c r="C193" s="614" t="s">
        <v>393</v>
      </c>
      <c r="D193" s="615">
        <v>1299.15</v>
      </c>
      <c r="E193" s="616">
        <v>3</v>
      </c>
      <c r="F193" s="616">
        <v>2</v>
      </c>
      <c r="G193" s="615">
        <v>2525.5999999999985</v>
      </c>
      <c r="H193" s="617">
        <f t="shared" si="141"/>
      </c>
      <c r="I193" s="617">
        <f t="shared" si="80"/>
      </c>
      <c r="J193" s="617">
        <f t="shared" si="260"/>
      </c>
      <c r="K193" s="617">
        <f t="shared" si="198"/>
      </c>
      <c r="L193" s="617">
        <f t="shared" si="326"/>
      </c>
      <c r="M193" s="618">
        <f t="shared" si="293"/>
      </c>
      <c r="N193" s="618">
        <f t="shared" si="17"/>
      </c>
      <c r="O193" s="619">
        <f t="shared" si="356"/>
      </c>
      <c r="P193" s="619">
        <f t="shared" si="110"/>
      </c>
      <c r="Q193" s="595">
        <f t="shared" si="47"/>
      </c>
      <c r="R193" s="620">
        <v>0.0263</v>
      </c>
      <c r="S193" s="621">
        <v>39</v>
      </c>
      <c r="T193" s="622">
        <f t="shared" si="228"/>
      </c>
      <c r="U193" s="595">
        <v>6918</v>
      </c>
      <c r="V193" s="595">
        <v>642</v>
      </c>
      <c r="W193" s="595">
        <v>71</v>
      </c>
      <c r="X193" s="595">
        <v>853</v>
      </c>
      <c r="Y193" s="595">
        <v>38</v>
      </c>
      <c r="Z193" s="595">
        <v>4</v>
      </c>
      <c r="AA193" s="595">
        <v>0</v>
      </c>
      <c r="AB193" s="595">
        <v>3</v>
      </c>
      <c r="AC193" s="572">
        <f t="shared" si="165"/>
      </c>
      <c r="AD193" s="623" t="s">
        <v>399</v>
      </c>
      <c r="AE193" s="646" t="s">
        <v>400</v>
      </c>
      <c r="AF193" s="624">
        <v>52</v>
      </c>
    </row>
    <row customHeight="true" ht="18.452380952380953" r="194">
      <c r="A194" s="613"/>
      <c r="B194" s="626" t="s">
        <v>388</v>
      </c>
      <c r="C194" s="626"/>
      <c r="D194" s="627">
        <f>D192+D193</f>
      </c>
      <c r="E194" s="628">
        <f>E192+E193</f>
      </c>
      <c r="F194" s="628">
        <f>F192+F193</f>
      </c>
      <c r="G194" s="627">
        <f>G192+G193</f>
      </c>
      <c r="H194" s="629">
        <f t="shared" si="141"/>
      </c>
      <c r="I194" s="629">
        <f t="shared" si="80"/>
      </c>
      <c r="J194" s="629">
        <f t="shared" si="260"/>
      </c>
      <c r="K194" s="629">
        <f t="shared" si="198"/>
      </c>
      <c r="L194" s="629">
        <f t="shared" si="326"/>
      </c>
      <c r="M194" s="630">
        <f t="shared" si="293"/>
      </c>
      <c r="N194" s="630">
        <f t="shared" si="17"/>
      </c>
      <c r="O194" s="630">
        <f t="shared" si="356"/>
      </c>
      <c r="P194" s="630">
        <f t="shared" si="110"/>
      </c>
      <c r="Q194" s="597">
        <f t="shared" si="47"/>
      </c>
      <c r="R194" s="630">
        <f>AVERAGE(R191:R193)</f>
      </c>
      <c r="S194" s="627">
        <f>AVERAGE(S191:S193)</f>
      </c>
      <c r="T194" s="629">
        <f t="shared" si="228"/>
      </c>
      <c r="U194" s="597">
        <f>SUM(U191:U193)</f>
      </c>
      <c r="V194" s="597">
        <f>SUM(V191:V193)</f>
      </c>
      <c r="W194" s="597">
        <f>SUM(W191:W193)</f>
      </c>
      <c r="X194" s="597">
        <f>SUM(X191:X193)</f>
      </c>
      <c r="Y194" s="597">
        <f>SUM(Y191:Y193)</f>
      </c>
      <c r="Z194" s="597">
        <f>SUM(Z191:Z193)</f>
      </c>
      <c r="AA194" s="597">
        <f>SUM(AA191:AA193)</f>
      </c>
      <c r="AB194" s="597">
        <f>SUM(AB191:AB193)</f>
      </c>
      <c r="AC194" s="647">
        <f t="shared" si="165"/>
      </c>
      <c r="AD194" s="631"/>
      <c r="AE194" s="631"/>
      <c r="AF194" s="597">
        <f>SUM(AF191:AF193)</f>
      </c>
    </row>
    <row r="195">
      <c r="A195" s="613"/>
      <c r="B195" s="642" t="s">
        <v>394</v>
      </c>
      <c r="C195" s="642"/>
      <c r="D195" s="634">
        <f>D187+D191+D194</f>
      </c>
      <c r="E195" s="635">
        <f>E187+E191+E194</f>
      </c>
      <c r="F195" s="635">
        <f>F187+F191+F194</f>
      </c>
      <c r="G195" s="634">
        <f>G187+G191+G194</f>
      </c>
      <c r="H195" s="636">
        <f t="shared" si="141"/>
      </c>
      <c r="I195" s="636">
        <f t="shared" si="80"/>
      </c>
      <c r="J195" s="636">
        <f t="shared" si="260"/>
      </c>
      <c r="K195" s="636">
        <f t="shared" si="198"/>
      </c>
      <c r="L195" s="636">
        <f t="shared" si="326"/>
      </c>
      <c r="M195" s="637">
        <f t="shared" si="293"/>
      </c>
      <c r="N195" s="637">
        <f t="shared" si="17"/>
      </c>
      <c r="O195" s="637">
        <f t="shared" si="356"/>
      </c>
      <c r="P195" s="637">
        <f t="shared" si="110"/>
      </c>
      <c r="Q195" s="645">
        <f t="shared" si="47"/>
      </c>
      <c r="R195" s="637">
        <f>(R187+R191)/2</f>
      </c>
      <c r="S195" s="634">
        <f>(S191+S187)/2</f>
      </c>
      <c r="T195" s="634">
        <f t="shared" si="228"/>
      </c>
      <c r="U195" s="645">
        <f>U187+U191</f>
      </c>
      <c r="V195" s="645">
        <f>V187+V191</f>
      </c>
      <c r="W195" s="645">
        <f>W187+W191</f>
      </c>
      <c r="X195" s="645">
        <f>X187+X191</f>
      </c>
      <c r="Y195" s="645">
        <f>Y187+Y191</f>
      </c>
      <c r="Z195" s="645">
        <f>Z187+Z191</f>
      </c>
      <c r="AA195" s="645">
        <f>AA187+AA191</f>
      </c>
      <c r="AB195" s="645">
        <f>AB187+AB191</f>
      </c>
      <c r="AC195" s="636">
        <f>AC187</f>
      </c>
      <c r="AD195" s="642"/>
      <c r="AE195" s="642"/>
      <c r="AF195" s="645">
        <f>AF187+AF191</f>
      </c>
    </row>
    <row r="196">
      <c r="A196" s="599" t="s">
        <v>395</v>
      </c>
      <c r="B196" s="599" t="s">
        <v>346</v>
      </c>
      <c r="C196" s="599"/>
      <c r="D196" s="600" t="s">
        <v>347</v>
      </c>
      <c r="E196" s="600"/>
      <c r="F196" s="600"/>
      <c r="G196" s="600"/>
      <c r="H196" s="600"/>
      <c r="I196" s="600"/>
      <c r="J196" s="600"/>
      <c r="K196" s="600"/>
      <c r="L196" s="601" t="s">
        <v>348</v>
      </c>
      <c r="M196" s="601"/>
      <c r="N196" s="601"/>
      <c r="O196" s="601"/>
      <c r="P196" s="601"/>
      <c r="Q196" s="601"/>
      <c r="R196" s="601"/>
      <c r="S196" s="601"/>
      <c r="T196" s="601"/>
      <c r="U196" s="601"/>
      <c r="V196" s="601"/>
      <c r="W196" s="601"/>
      <c r="X196" s="601"/>
      <c r="Y196" s="601"/>
      <c r="Z196" s="601"/>
      <c r="AA196" s="601"/>
      <c r="AB196" s="601"/>
      <c r="AC196" s="601"/>
      <c r="AD196" s="601"/>
      <c r="AE196" s="601"/>
      <c r="AF196" s="602"/>
    </row>
    <row r="197">
      <c r="A197" s="599"/>
      <c r="B197" s="603" t="s">
        <v>349</v>
      </c>
      <c r="C197" s="603" t="s">
        <v>350</v>
      </c>
      <c r="D197" s="604" t="s">
        <v>351</v>
      </c>
      <c r="E197" s="605" t="s">
        <v>352</v>
      </c>
      <c r="F197" s="605" t="s">
        <v>353</v>
      </c>
      <c r="G197" s="604" t="s">
        <v>354</v>
      </c>
      <c r="H197" s="606" t="s">
        <v>355</v>
      </c>
      <c r="I197" s="606" t="s">
        <v>356</v>
      </c>
      <c r="J197" s="606" t="s">
        <v>357</v>
      </c>
      <c r="K197" s="606" t="s">
        <v>358</v>
      </c>
      <c r="L197" s="607" t="s">
        <v>359</v>
      </c>
      <c r="M197" s="608" t="s">
        <v>360</v>
      </c>
      <c r="N197" s="608" t="s">
        <v>361</v>
      </c>
      <c r="O197" s="608" t="s">
        <v>362</v>
      </c>
      <c r="P197" s="608" t="s">
        <v>363</v>
      </c>
      <c r="Q197" s="609" t="s">
        <v>364</v>
      </c>
      <c r="R197" s="608" t="s">
        <v>365</v>
      </c>
      <c r="S197" s="609" t="s">
        <v>366</v>
      </c>
      <c r="T197" s="610" t="s">
        <v>367</v>
      </c>
      <c r="U197" s="611" t="s">
        <v>368</v>
      </c>
      <c r="V197" s="611" t="s">
        <v>369</v>
      </c>
      <c r="W197" s="611" t="s">
        <v>370</v>
      </c>
      <c r="X197" s="611" t="s">
        <v>371</v>
      </c>
      <c r="Y197" s="611" t="s">
        <v>372</v>
      </c>
      <c r="Z197" s="611" t="s">
        <v>373</v>
      </c>
      <c r="AA197" s="611" t="s">
        <v>374</v>
      </c>
      <c r="AB197" s="611" t="s">
        <v>375</v>
      </c>
      <c r="AC197" s="601" t="s">
        <v>376</v>
      </c>
      <c r="AD197" s="612" t="s">
        <v>377</v>
      </c>
      <c r="AE197" s="612" t="s">
        <v>378</v>
      </c>
      <c r="AF197" s="602" t="s">
        <v>379</v>
      </c>
    </row>
    <row r="198">
      <c r="A198" s="613">
        <v>4.16</v>
      </c>
      <c r="B198" s="614" t="s">
        <v>389</v>
      </c>
      <c r="C198" s="614" t="s">
        <v>390</v>
      </c>
      <c r="D198" s="615">
        <v>2395.12</v>
      </c>
      <c r="E198" s="616">
        <v>4</v>
      </c>
      <c r="F198" s="616">
        <v>3</v>
      </c>
      <c r="G198" s="615">
        <v>3242.8</v>
      </c>
      <c r="H198" s="617">
        <f t="shared" ref="H198:H203" si="142">G198/D198</f>
      </c>
      <c r="I198" s="617">
        <f t="shared" ref="I198:I203" si="81">D198/E198</f>
      </c>
      <c r="J198" s="617">
        <f t="shared" ref="J198:J203" si="261">D198/F198</f>
      </c>
      <c r="K198" s="617">
        <f t="shared" ref="K198:K203" si="199">G198/E198</f>
      </c>
      <c r="L198" s="617">
        <f t="shared" ref="L198:L203" si="327">D198/V198</f>
      </c>
      <c r="M198" s="618">
        <f t="shared" ref="M198:M203" si="294">Q198/U198*1</f>
      </c>
      <c r="N198" s="618">
        <f t="shared" ref="N198:N203" si="18">V198/U198</f>
      </c>
      <c r="O198" s="619">
        <f t="shared" ref="O198:O203" si="357">X198/U198</f>
      </c>
      <c r="P198" s="619">
        <f t="shared" ref="P198:P203" si="111">Y198/X198</f>
      </c>
      <c r="Q198" s="595">
        <f t="shared" ref="Q198:Q203" si="48">W198/R198</f>
      </c>
      <c r="R198" s="620">
        <v>0.0247</v>
      </c>
      <c r="S198" s="621">
        <v>45</v>
      </c>
      <c r="T198" s="622">
        <f t="shared" ref="T198:T203" si="229">(D198/U198)*1000</f>
      </c>
      <c r="U198" s="595">
        <v>12058</v>
      </c>
      <c r="V198" s="595">
        <v>774</v>
      </c>
      <c r="W198" s="595">
        <v>83</v>
      </c>
      <c r="X198" s="595">
        <v>1075</v>
      </c>
      <c r="Y198" s="595">
        <v>70</v>
      </c>
      <c r="Z198" s="595">
        <v>7</v>
      </c>
      <c r="AA198" s="595">
        <v>3</v>
      </c>
      <c r="AB198" s="595">
        <v>5</v>
      </c>
      <c r="AC198" s="572">
        <f t="shared" ref="AC198:AC203" si="166">AF198*1000/D198</f>
      </c>
      <c r="AD198" s="623" t="s">
        <v>399</v>
      </c>
      <c r="AE198" s="646" t="s">
        <v>400</v>
      </c>
      <c r="AF198" s="624">
        <v>39</v>
      </c>
    </row>
    <row r="199">
      <c r="A199" s="613"/>
      <c r="B199" s="614" t="s">
        <v>389</v>
      </c>
      <c r="C199" s="614" t="s">
        <v>391</v>
      </c>
      <c r="D199" s="615">
        <v>3479.09</v>
      </c>
      <c r="E199" s="616">
        <v>11</v>
      </c>
      <c r="F199" s="616">
        <v>11</v>
      </c>
      <c r="G199" s="615">
        <v>8185.099999999999</v>
      </c>
      <c r="H199" s="617">
        <f t="shared" si="142"/>
      </c>
      <c r="I199" s="617">
        <f t="shared" si="81"/>
      </c>
      <c r="J199" s="617">
        <f t="shared" si="261"/>
      </c>
      <c r="K199" s="617">
        <f t="shared" si="199"/>
      </c>
      <c r="L199" s="617">
        <f t="shared" si="327"/>
      </c>
      <c r="M199" s="618">
        <f t="shared" si="294"/>
      </c>
      <c r="N199" s="618">
        <f t="shared" si="18"/>
      </c>
      <c r="O199" s="619">
        <f t="shared" si="357"/>
      </c>
      <c r="P199" s="619">
        <f t="shared" si="111"/>
      </c>
      <c r="Q199" s="595">
        <f t="shared" si="48"/>
      </c>
      <c r="R199" s="620">
        <v>0.0259</v>
      </c>
      <c r="S199" s="621">
        <v>47</v>
      </c>
      <c r="T199" s="622">
        <f t="shared" si="229"/>
      </c>
      <c r="U199" s="595">
        <v>19217</v>
      </c>
      <c r="V199" s="595">
        <v>1370</v>
      </c>
      <c r="W199" s="595">
        <v>126</v>
      </c>
      <c r="X199" s="595">
        <v>1826</v>
      </c>
      <c r="Y199" s="595">
        <v>126</v>
      </c>
      <c r="Z199" s="595">
        <v>8</v>
      </c>
      <c r="AA199" s="595">
        <v>2</v>
      </c>
      <c r="AB199" s="595">
        <v>20</v>
      </c>
      <c r="AC199" s="572">
        <f t="shared" si="166"/>
      </c>
      <c r="AD199" s="623" t="s">
        <v>399</v>
      </c>
      <c r="AE199" s="646" t="s">
        <v>400</v>
      </c>
      <c r="AF199" s="624">
        <v>43</v>
      </c>
    </row>
    <row r="200">
      <c r="A200" s="613"/>
      <c r="B200" s="614" t="s">
        <v>389</v>
      </c>
      <c r="C200" s="614" t="s">
        <v>392</v>
      </c>
      <c r="D200" s="615">
        <v>2896.9</v>
      </c>
      <c r="E200" s="616">
        <v>7</v>
      </c>
      <c r="F200" s="616">
        <v>6</v>
      </c>
      <c r="G200" s="615">
        <v>7245.699999999999</v>
      </c>
      <c r="H200" s="617">
        <f t="shared" si="142"/>
      </c>
      <c r="I200" s="617">
        <f t="shared" si="81"/>
      </c>
      <c r="J200" s="617">
        <f t="shared" si="261"/>
      </c>
      <c r="K200" s="617">
        <f t="shared" si="199"/>
      </c>
      <c r="L200" s="617">
        <f t="shared" si="327"/>
      </c>
      <c r="M200" s="618">
        <f t="shared" si="294"/>
      </c>
      <c r="N200" s="618">
        <f t="shared" si="18"/>
      </c>
      <c r="O200" s="619">
        <f t="shared" si="357"/>
      </c>
      <c r="P200" s="619">
        <f t="shared" si="111"/>
      </c>
      <c r="Q200" s="595">
        <f t="shared" si="48"/>
      </c>
      <c r="R200" s="620">
        <v>0.0171</v>
      </c>
      <c r="S200" s="621">
        <v>51</v>
      </c>
      <c r="T200" s="622">
        <f t="shared" si="229"/>
      </c>
      <c r="U200" s="595">
        <v>15843</v>
      </c>
      <c r="V200" s="595">
        <v>1309</v>
      </c>
      <c r="W200" s="595">
        <v>109</v>
      </c>
      <c r="X200" s="595">
        <v>1934</v>
      </c>
      <c r="Y200" s="595">
        <v>168</v>
      </c>
      <c r="Z200" s="595">
        <v>21</v>
      </c>
      <c r="AA200" s="595">
        <v>4</v>
      </c>
      <c r="AB200" s="595">
        <v>9</v>
      </c>
      <c r="AC200" s="572">
        <f t="shared" si="166"/>
      </c>
      <c r="AD200" s="623" t="s">
        <v>399</v>
      </c>
      <c r="AE200" s="646" t="s">
        <v>400</v>
      </c>
      <c r="AF200" s="624">
        <v>47</v>
      </c>
    </row>
    <row r="201">
      <c r="A201" s="613"/>
      <c r="B201" s="614" t="s">
        <v>389</v>
      </c>
      <c r="C201" s="614" t="s">
        <v>393</v>
      </c>
      <c r="D201" s="615">
        <v>1720.88</v>
      </c>
      <c r="E201" s="616">
        <v>7</v>
      </c>
      <c r="F201" s="616">
        <v>6</v>
      </c>
      <c r="G201" s="643">
        <v>4628.800000000003</v>
      </c>
      <c r="H201" s="617">
        <f t="shared" si="142"/>
      </c>
      <c r="I201" s="617">
        <f t="shared" si="81"/>
      </c>
      <c r="J201" s="617">
        <f t="shared" si="261"/>
      </c>
      <c r="K201" s="617">
        <f t="shared" si="199"/>
      </c>
      <c r="L201" s="617">
        <f t="shared" si="327"/>
      </c>
      <c r="M201" s="618">
        <f t="shared" si="294"/>
      </c>
      <c r="N201" s="618">
        <f t="shared" si="18"/>
      </c>
      <c r="O201" s="619">
        <f t="shared" si="357"/>
      </c>
      <c r="P201" s="619">
        <f t="shared" si="111"/>
      </c>
      <c r="Q201" s="595">
        <f t="shared" si="48"/>
      </c>
      <c r="R201" s="620">
        <v>0.0256</v>
      </c>
      <c r="S201" s="621">
        <v>59</v>
      </c>
      <c r="T201" s="622">
        <f t="shared" si="229"/>
      </c>
      <c r="U201" s="595">
        <v>10129</v>
      </c>
      <c r="V201" s="595">
        <v>817</v>
      </c>
      <c r="W201" s="595">
        <v>82</v>
      </c>
      <c r="X201" s="595">
        <v>1108</v>
      </c>
      <c r="Y201" s="595">
        <v>137</v>
      </c>
      <c r="Z201" s="595">
        <v>16</v>
      </c>
      <c r="AA201" s="595">
        <v>4</v>
      </c>
      <c r="AB201" s="595">
        <v>4</v>
      </c>
      <c r="AC201" s="572">
        <f t="shared" si="166"/>
      </c>
      <c r="AD201" s="623" t="s">
        <v>399</v>
      </c>
      <c r="AE201" s="646" t="s">
        <v>400</v>
      </c>
      <c r="AF201" s="624">
        <v>29</v>
      </c>
    </row>
    <row r="202">
      <c r="A202" s="613"/>
      <c r="B202" s="626" t="s">
        <v>388</v>
      </c>
      <c r="C202" s="626"/>
      <c r="D202" s="627">
        <f>SUM(D198:D201)</f>
      </c>
      <c r="E202" s="628">
        <f>SUM(E198:E201)</f>
      </c>
      <c r="F202" s="628">
        <f>SUM(F198:F201)</f>
      </c>
      <c r="G202" s="627">
        <f>SUM(G198:G201)</f>
      </c>
      <c r="H202" s="629">
        <f t="shared" si="142"/>
      </c>
      <c r="I202" s="629">
        <f t="shared" si="81"/>
      </c>
      <c r="J202" s="629">
        <f t="shared" si="261"/>
      </c>
      <c r="K202" s="629">
        <f t="shared" si="199"/>
      </c>
      <c r="L202" s="629">
        <f t="shared" si="327"/>
      </c>
      <c r="M202" s="630">
        <f t="shared" si="294"/>
      </c>
      <c r="N202" s="630">
        <f t="shared" si="18"/>
      </c>
      <c r="O202" s="630">
        <f t="shared" si="357"/>
      </c>
      <c r="P202" s="630">
        <f t="shared" si="111"/>
      </c>
      <c r="Q202" s="597">
        <f t="shared" si="48"/>
      </c>
      <c r="R202" s="630">
        <f>AVERAGE(R198:R201)</f>
      </c>
      <c r="S202" s="627">
        <f>AVERAGE(S198:S201)</f>
      </c>
      <c r="T202" s="629">
        <f t="shared" si="229"/>
      </c>
      <c r="U202" s="597">
        <f>SUM(U198:U201)</f>
      </c>
      <c r="V202" s="597">
        <f>SUM(V198:V201)</f>
      </c>
      <c r="W202" s="597">
        <f>SUM(W198:W201)</f>
      </c>
      <c r="X202" s="597">
        <f>SUM(X198:X201)</f>
      </c>
      <c r="Y202" s="597">
        <f>SUM(Y198:Y201)</f>
      </c>
      <c r="Z202" s="597">
        <f>SUM(Z198:Z201)</f>
      </c>
      <c r="AA202" s="597">
        <f>SUM(AA198:AA201)</f>
      </c>
      <c r="AB202" s="597">
        <f>SUM(AB198:AB201)</f>
      </c>
      <c r="AC202" s="647">
        <f t="shared" si="166"/>
      </c>
      <c r="AD202" s="631"/>
      <c r="AE202" s="631"/>
      <c r="AF202" s="597">
        <f>SUM(AF198:AF201)</f>
      </c>
    </row>
    <row r="203">
      <c r="A203" s="613"/>
      <c r="B203" s="642" t="s">
        <v>394</v>
      </c>
      <c r="C203" s="642"/>
      <c r="D203" s="634">
        <f>D202</f>
      </c>
      <c r="E203" s="634">
        <f>E202</f>
      </c>
      <c r="F203" s="634">
        <f>F202</f>
      </c>
      <c r="G203" s="634">
        <f>G202</f>
      </c>
      <c r="H203" s="636">
        <f t="shared" si="142"/>
      </c>
      <c r="I203" s="636">
        <f t="shared" si="81"/>
      </c>
      <c r="J203" s="636">
        <f t="shared" si="261"/>
      </c>
      <c r="K203" s="636">
        <f t="shared" si="199"/>
      </c>
      <c r="L203" s="636">
        <f t="shared" si="327"/>
      </c>
      <c r="M203" s="637">
        <f t="shared" si="294"/>
      </c>
      <c r="N203" s="637">
        <f t="shared" si="18"/>
      </c>
      <c r="O203" s="637">
        <f t="shared" si="357"/>
      </c>
      <c r="P203" s="637">
        <f t="shared" si="111"/>
      </c>
      <c r="Q203" s="645">
        <f t="shared" si="48"/>
      </c>
      <c r="R203" s="637">
        <f>(R198:R197+R202)/2</f>
      </c>
      <c r="S203" s="634">
        <f>(S202+S198:S197)/2</f>
      </c>
      <c r="T203" s="634">
        <f t="shared" si="229"/>
      </c>
      <c r="U203" s="645">
        <f>U202</f>
      </c>
      <c r="V203" s="645">
        <f>V202</f>
      </c>
      <c r="W203" s="645">
        <f>W202</f>
      </c>
      <c r="X203" s="645">
        <f>X202</f>
      </c>
      <c r="Y203" s="645">
        <f>Y202</f>
      </c>
      <c r="Z203" s="645">
        <f>Z202</f>
      </c>
      <c r="AA203" s="645">
        <f>AA202</f>
      </c>
      <c r="AB203" s="645">
        <f>AB202</f>
      </c>
      <c r="AC203" s="642">
        <f t="shared" si="166"/>
      </c>
      <c r="AD203" s="642"/>
      <c r="AE203" s="642"/>
      <c r="AF203" s="645">
        <f>AF202</f>
      </c>
    </row>
    <row r="204">
      <c r="A204" s="599" t="s">
        <v>395</v>
      </c>
      <c r="B204" s="599" t="s">
        <v>346</v>
      </c>
      <c r="C204" s="599"/>
      <c r="D204" s="600" t="s">
        <v>347</v>
      </c>
      <c r="E204" s="600"/>
      <c r="F204" s="600"/>
      <c r="G204" s="600"/>
      <c r="H204" s="600"/>
      <c r="I204" s="600"/>
      <c r="J204" s="600"/>
      <c r="K204" s="600"/>
      <c r="L204" s="601" t="s">
        <v>348</v>
      </c>
      <c r="M204" s="601"/>
      <c r="N204" s="601"/>
      <c r="O204" s="601"/>
      <c r="P204" s="601"/>
      <c r="Q204" s="601"/>
      <c r="R204" s="601"/>
      <c r="S204" s="601"/>
      <c r="T204" s="601"/>
      <c r="U204" s="601"/>
      <c r="V204" s="601"/>
      <c r="W204" s="601"/>
      <c r="X204" s="601"/>
      <c r="Y204" s="601"/>
      <c r="Z204" s="601"/>
      <c r="AA204" s="601"/>
      <c r="AB204" s="601"/>
      <c r="AC204" s="601"/>
      <c r="AD204" s="601"/>
      <c r="AE204" s="601"/>
      <c r="AF204" s="602"/>
    </row>
    <row r="205">
      <c r="A205" s="599"/>
      <c r="B205" s="603" t="s">
        <v>349</v>
      </c>
      <c r="C205" s="603" t="s">
        <v>350</v>
      </c>
      <c r="D205" s="604" t="s">
        <v>351</v>
      </c>
      <c r="E205" s="605" t="s">
        <v>352</v>
      </c>
      <c r="F205" s="605" t="s">
        <v>353</v>
      </c>
      <c r="G205" s="604" t="s">
        <v>354</v>
      </c>
      <c r="H205" s="606" t="s">
        <v>355</v>
      </c>
      <c r="I205" s="606" t="s">
        <v>356</v>
      </c>
      <c r="J205" s="606" t="s">
        <v>357</v>
      </c>
      <c r="K205" s="606" t="s">
        <v>358</v>
      </c>
      <c r="L205" s="607" t="s">
        <v>359</v>
      </c>
      <c r="M205" s="608" t="s">
        <v>360</v>
      </c>
      <c r="N205" s="608" t="s">
        <v>361</v>
      </c>
      <c r="O205" s="608" t="s">
        <v>362</v>
      </c>
      <c r="P205" s="608" t="s">
        <v>363</v>
      </c>
      <c r="Q205" s="609" t="s">
        <v>364</v>
      </c>
      <c r="R205" s="608" t="s">
        <v>365</v>
      </c>
      <c r="S205" s="609" t="s">
        <v>366</v>
      </c>
      <c r="T205" s="610" t="s">
        <v>367</v>
      </c>
      <c r="U205" s="611" t="s">
        <v>368</v>
      </c>
      <c r="V205" s="611" t="s">
        <v>369</v>
      </c>
      <c r="W205" s="611" t="s">
        <v>370</v>
      </c>
      <c r="X205" s="611" t="s">
        <v>371</v>
      </c>
      <c r="Y205" s="611" t="s">
        <v>372</v>
      </c>
      <c r="Z205" s="611" t="s">
        <v>373</v>
      </c>
      <c r="AA205" s="611" t="s">
        <v>374</v>
      </c>
      <c r="AB205" s="611" t="s">
        <v>375</v>
      </c>
      <c r="AC205" s="601" t="s">
        <v>376</v>
      </c>
      <c r="AD205" s="612" t="s">
        <v>377</v>
      </c>
      <c r="AE205" s="612" t="s">
        <v>378</v>
      </c>
      <c r="AF205" s="602" t="s">
        <v>379</v>
      </c>
    </row>
    <row r="206">
      <c r="A206" s="613" t="s">
        <v>415</v>
      </c>
      <c r="B206" s="614" t="s">
        <v>389</v>
      </c>
      <c r="C206" s="614" t="s">
        <v>382</v>
      </c>
      <c r="D206" s="615">
        <v>3000</v>
      </c>
      <c r="E206" s="616">
        <v>4</v>
      </c>
      <c r="F206" s="616">
        <v>3</v>
      </c>
      <c r="G206" s="615">
        <v>2539.9</v>
      </c>
      <c r="H206" s="617">
        <f t="shared" ref="H206:H217" si="143">G206/D206</f>
      </c>
      <c r="I206" s="617">
        <f t="shared" ref="I206:I217" si="82">D206/E206</f>
      </c>
      <c r="J206" s="617">
        <f t="shared" ref="J206:J217" si="262">D206/F206</f>
      </c>
      <c r="K206" s="617">
        <f t="shared" ref="K206:K217" si="200">G206/E206</f>
      </c>
      <c r="L206" s="617">
        <f t="shared" ref="L206:L217" si="328">D206/V206</f>
      </c>
      <c r="M206" s="618">
        <f t="shared" ref="M206:M217" si="295">Q206/U206*1</f>
      </c>
      <c r="N206" s="618">
        <f t="shared" ref="N206:N217" si="19">V206/U206</f>
      </c>
      <c r="O206" s="619">
        <f t="shared" ref="O206:O217" si="358">X206/U206</f>
      </c>
      <c r="P206" s="619">
        <f t="shared" ref="P206:P217" si="112">Y206/X206</f>
      </c>
      <c r="Q206" s="595">
        <f t="shared" ref="Q206:Q217" si="49">W206/R206</f>
      </c>
      <c r="R206" s="620">
        <v>0.0122</v>
      </c>
      <c r="S206" s="621">
        <v>29</v>
      </c>
      <c r="T206" s="622">
        <f t="shared" ref="T206:T217" si="230">(D206/U206)*1000</f>
      </c>
      <c r="U206" s="595">
        <v>19563</v>
      </c>
      <c r="V206" s="595">
        <v>1724</v>
      </c>
      <c r="W206" s="595">
        <v>89</v>
      </c>
      <c r="X206" s="595">
        <v>2585</v>
      </c>
      <c r="Y206" s="595">
        <v>94</v>
      </c>
      <c r="Z206" s="595">
        <v>14</v>
      </c>
      <c r="AA206" s="595">
        <v>2</v>
      </c>
      <c r="AB206" s="595">
        <v>21</v>
      </c>
      <c r="AC206" s="572">
        <f t="shared" ref="AC206:AC216" si="167">AF206*1000/D206</f>
      </c>
      <c r="AD206" s="623" t="s">
        <v>399</v>
      </c>
      <c r="AE206" s="646" t="s">
        <v>400</v>
      </c>
      <c r="AF206" s="624">
        <v>41</v>
      </c>
    </row>
    <row r="207">
      <c r="A207" s="613"/>
      <c r="B207" s="614" t="s">
        <v>389</v>
      </c>
      <c r="C207" s="614" t="s">
        <v>385</v>
      </c>
      <c r="D207" s="615">
        <v>2471.65</v>
      </c>
      <c r="E207" s="616">
        <v>1</v>
      </c>
      <c r="F207" s="616">
        <v>1</v>
      </c>
      <c r="G207" s="643">
        <v>781</v>
      </c>
      <c r="H207" s="617">
        <f t="shared" si="143"/>
      </c>
      <c r="I207" s="617">
        <f t="shared" si="82"/>
      </c>
      <c r="J207" s="617">
        <f t="shared" si="262"/>
      </c>
      <c r="K207" s="617">
        <f t="shared" si="200"/>
      </c>
      <c r="L207" s="617">
        <f t="shared" si="328"/>
      </c>
      <c r="M207" s="618">
        <f t="shared" si="295"/>
      </c>
      <c r="N207" s="618">
        <f t="shared" si="19"/>
      </c>
      <c r="O207" s="619">
        <f t="shared" si="358"/>
      </c>
      <c r="P207" s="619">
        <f t="shared" si="112"/>
      </c>
      <c r="Q207" s="595">
        <f t="shared" si="49"/>
      </c>
      <c r="R207" s="620">
        <v>0.0191</v>
      </c>
      <c r="S207" s="621">
        <v>35</v>
      </c>
      <c r="T207" s="622">
        <f t="shared" si="230"/>
      </c>
      <c r="U207" s="595">
        <v>11539</v>
      </c>
      <c r="V207" s="595">
        <v>935</v>
      </c>
      <c r="W207" s="595">
        <v>79</v>
      </c>
      <c r="X207" s="595">
        <v>1353</v>
      </c>
      <c r="Y207" s="595">
        <v>70</v>
      </c>
      <c r="Z207" s="595">
        <v>8</v>
      </c>
      <c r="AA207" s="595">
        <v>3</v>
      </c>
      <c r="AB207" s="595">
        <v>10</v>
      </c>
      <c r="AC207" s="572">
        <f t="shared" si="167"/>
      </c>
      <c r="AD207" s="623" t="s">
        <v>399</v>
      </c>
      <c r="AE207" s="646" t="s">
        <v>400</v>
      </c>
      <c r="AF207" s="624">
        <v>34</v>
      </c>
    </row>
    <row r="208">
      <c r="A208" s="613"/>
      <c r="B208" s="614" t="s">
        <v>389</v>
      </c>
      <c r="C208" s="614" t="s">
        <v>386</v>
      </c>
      <c r="D208" s="615">
        <v>899.23</v>
      </c>
      <c r="E208" s="616">
        <v>6</v>
      </c>
      <c r="F208" s="616">
        <v>3</v>
      </c>
      <c r="G208" s="615">
        <v>5759.6</v>
      </c>
      <c r="H208" s="617">
        <f t="shared" si="143"/>
      </c>
      <c r="I208" s="617">
        <f t="shared" si="82"/>
      </c>
      <c r="J208" s="617">
        <f t="shared" si="262"/>
      </c>
      <c r="K208" s="617">
        <f t="shared" si="200"/>
      </c>
      <c r="L208" s="617">
        <f t="shared" si="328"/>
      </c>
      <c r="M208" s="618">
        <f t="shared" si="295"/>
      </c>
      <c r="N208" s="618">
        <f t="shared" si="19"/>
      </c>
      <c r="O208" s="619">
        <f t="shared" si="358"/>
      </c>
      <c r="P208" s="619">
        <f t="shared" si="112"/>
      </c>
      <c r="Q208" s="595">
        <f t="shared" si="49"/>
      </c>
      <c r="R208" s="620">
        <v>0.0135</v>
      </c>
      <c r="S208" s="621">
        <v>38</v>
      </c>
      <c r="T208" s="622">
        <f t="shared" si="230"/>
      </c>
      <c r="U208" s="595">
        <v>5643</v>
      </c>
      <c r="V208" s="595">
        <v>686</v>
      </c>
      <c r="W208" s="595">
        <v>41</v>
      </c>
      <c r="X208" s="595">
        <v>986</v>
      </c>
      <c r="Y208" s="595">
        <v>31</v>
      </c>
      <c r="Z208" s="595">
        <v>3</v>
      </c>
      <c r="AA208" s="595">
        <v>1</v>
      </c>
      <c r="AB208" s="595">
        <v>1</v>
      </c>
      <c r="AC208" s="572">
        <f t="shared" si="167"/>
      </c>
      <c r="AD208" s="623" t="s">
        <v>399</v>
      </c>
      <c r="AE208" s="646" t="s">
        <v>400</v>
      </c>
      <c r="AF208" s="624">
        <v>21</v>
      </c>
    </row>
    <row r="209">
      <c r="A209" s="613"/>
      <c r="B209" s="626" t="s">
        <v>388</v>
      </c>
      <c r="C209" s="626"/>
      <c r="D209" s="627">
        <f>SUM(D206:D208)</f>
      </c>
      <c r="E209" s="628">
        <f>SUM(E206:E208)</f>
      </c>
      <c r="F209" s="628">
        <f>SUM(F206:F208)</f>
      </c>
      <c r="G209" s="627">
        <f>SUM(G206:G208)</f>
      </c>
      <c r="H209" s="629">
        <f t="shared" si="143"/>
      </c>
      <c r="I209" s="629">
        <f t="shared" si="82"/>
      </c>
      <c r="J209" s="629">
        <f t="shared" si="262"/>
      </c>
      <c r="K209" s="629">
        <f t="shared" si="200"/>
      </c>
      <c r="L209" s="629">
        <f t="shared" si="328"/>
      </c>
      <c r="M209" s="630">
        <f t="shared" si="295"/>
      </c>
      <c r="N209" s="630">
        <f t="shared" si="19"/>
      </c>
      <c r="O209" s="630">
        <f t="shared" si="358"/>
      </c>
      <c r="P209" s="630">
        <f t="shared" si="112"/>
      </c>
      <c r="Q209" s="597">
        <f t="shared" si="49"/>
      </c>
      <c r="R209" s="630">
        <f>AVERAGE(R206:R208)</f>
      </c>
      <c r="S209" s="627">
        <f>AVERAGE(S206:S208)</f>
      </c>
      <c r="T209" s="629">
        <f t="shared" si="230"/>
      </c>
      <c r="U209" s="597">
        <f>SUM(U206:U208)</f>
      </c>
      <c r="V209" s="597">
        <f>SUM(V206:V208)</f>
      </c>
      <c r="W209" s="597">
        <f>SUM(W206:W208)</f>
      </c>
      <c r="X209" s="597">
        <f>SUM(X206:X208)</f>
      </c>
      <c r="Y209" s="597">
        <f>SUM(Y206:Y208)</f>
      </c>
      <c r="Z209" s="597">
        <f>SUM(Z206:Z208)</f>
      </c>
      <c r="AA209" s="597">
        <f>SUM(AA206:AA208)</f>
      </c>
      <c r="AB209" s="597">
        <f>SUM(AB206:AB208)</f>
      </c>
      <c r="AC209" s="647">
        <f t="shared" si="167"/>
      </c>
      <c r="AD209" s="631"/>
      <c r="AE209" s="631"/>
      <c r="AF209" s="632">
        <f>SUM(AF206:AF208)</f>
      </c>
    </row>
    <row r="210">
      <c r="A210" s="613"/>
      <c r="B210" s="614" t="s">
        <v>381</v>
      </c>
      <c r="C210" s="614" t="s">
        <v>387</v>
      </c>
      <c r="D210" s="615">
        <v>1174.3</v>
      </c>
      <c r="E210" s="616">
        <v>4</v>
      </c>
      <c r="F210" s="616">
        <v>2</v>
      </c>
      <c r="G210" s="615">
        <v>3634.3999999999996</v>
      </c>
      <c r="H210" s="617">
        <f t="shared" si="143"/>
      </c>
      <c r="I210" s="617">
        <f t="shared" si="82"/>
      </c>
      <c r="J210" s="617">
        <f t="shared" si="262"/>
      </c>
      <c r="K210" s="617">
        <f t="shared" si="200"/>
      </c>
      <c r="L210" s="617">
        <f t="shared" si="328"/>
      </c>
      <c r="M210" s="618">
        <f t="shared" si="295"/>
      </c>
      <c r="N210" s="618">
        <f t="shared" si="19"/>
      </c>
      <c r="O210" s="619">
        <f t="shared" si="358"/>
      </c>
      <c r="P210" s="619">
        <f t="shared" si="112"/>
      </c>
      <c r="Q210" s="595">
        <f t="shared" si="49"/>
      </c>
      <c r="R210" s="620">
        <v>0.0188</v>
      </c>
      <c r="S210" s="621">
        <v>39</v>
      </c>
      <c r="T210" s="622">
        <f t="shared" si="230"/>
      </c>
      <c r="U210" s="595">
        <v>6290</v>
      </c>
      <c r="V210" s="595">
        <v>866</v>
      </c>
      <c r="W210" s="595">
        <v>52</v>
      </c>
      <c r="X210" s="595">
        <v>1270</v>
      </c>
      <c r="Y210" s="595">
        <v>70</v>
      </c>
      <c r="Z210" s="595">
        <v>8</v>
      </c>
      <c r="AA210" s="595">
        <v>0</v>
      </c>
      <c r="AB210" s="595">
        <v>8</v>
      </c>
      <c r="AC210" s="572">
        <f t="shared" si="167"/>
      </c>
      <c r="AD210" s="623" t="s">
        <v>399</v>
      </c>
      <c r="AE210" s="646" t="s">
        <v>400</v>
      </c>
      <c r="AF210" s="624">
        <v>20</v>
      </c>
    </row>
    <row r="211">
      <c r="A211" s="613"/>
      <c r="B211" s="614" t="s">
        <v>381</v>
      </c>
      <c r="C211" s="614" t="s">
        <v>390</v>
      </c>
      <c r="D211" s="615">
        <v>1745.49</v>
      </c>
      <c r="E211" s="616">
        <v>2</v>
      </c>
      <c r="F211" s="616">
        <v>4</v>
      </c>
      <c r="G211" s="615">
        <v>902</v>
      </c>
      <c r="H211" s="617">
        <f t="shared" si="143"/>
      </c>
      <c r="I211" s="617">
        <f t="shared" si="82"/>
      </c>
      <c r="J211" s="617">
        <f t="shared" si="262"/>
      </c>
      <c r="K211" s="617">
        <f t="shared" si="200"/>
      </c>
      <c r="L211" s="617">
        <f t="shared" si="328"/>
      </c>
      <c r="M211" s="618">
        <f t="shared" si="295"/>
      </c>
      <c r="N211" s="618">
        <f t="shared" si="19"/>
      </c>
      <c r="O211" s="619">
        <f t="shared" si="358"/>
      </c>
      <c r="P211" s="619">
        <f t="shared" si="112"/>
      </c>
      <c r="Q211" s="595">
        <f t="shared" si="49"/>
      </c>
      <c r="R211" s="620">
        <v>0.0103</v>
      </c>
      <c r="S211" s="621">
        <v>36</v>
      </c>
      <c r="T211" s="622">
        <f t="shared" si="230"/>
      </c>
      <c r="U211" s="595">
        <v>9935</v>
      </c>
      <c r="V211" s="595">
        <v>1135</v>
      </c>
      <c r="W211" s="595">
        <v>44</v>
      </c>
      <c r="X211" s="595">
        <v>1710</v>
      </c>
      <c r="Y211" s="595">
        <v>45</v>
      </c>
      <c r="Z211" s="595">
        <v>11</v>
      </c>
      <c r="AA211" s="595">
        <v>1</v>
      </c>
      <c r="AB211" s="595">
        <v>1</v>
      </c>
      <c r="AC211" s="572">
        <f t="shared" si="167"/>
      </c>
      <c r="AD211" s="623" t="s">
        <v>399</v>
      </c>
      <c r="AE211" s="646" t="s">
        <v>400</v>
      </c>
      <c r="AF211" s="624">
        <v>21</v>
      </c>
    </row>
    <row r="212">
      <c r="A212" s="613"/>
      <c r="B212" s="614" t="s">
        <v>381</v>
      </c>
      <c r="C212" s="614" t="s">
        <v>391</v>
      </c>
      <c r="D212" s="615">
        <v>1970.31</v>
      </c>
      <c r="E212" s="616">
        <v>4</v>
      </c>
      <c r="F212" s="616">
        <v>2</v>
      </c>
      <c r="G212" s="615">
        <v>5377.9</v>
      </c>
      <c r="H212" s="617">
        <f t="shared" si="143"/>
      </c>
      <c r="I212" s="617">
        <f t="shared" si="82"/>
      </c>
      <c r="J212" s="617">
        <f t="shared" si="262"/>
      </c>
      <c r="K212" s="617">
        <f t="shared" si="200"/>
      </c>
      <c r="L212" s="617">
        <f t="shared" si="328"/>
      </c>
      <c r="M212" s="618">
        <f t="shared" si="295"/>
      </c>
      <c r="N212" s="618">
        <f t="shared" si="19"/>
      </c>
      <c r="O212" s="619">
        <f t="shared" si="358"/>
      </c>
      <c r="P212" s="619">
        <f t="shared" si="112"/>
      </c>
      <c r="Q212" s="595">
        <f t="shared" si="49"/>
      </c>
      <c r="R212" s="620">
        <v>0.0117</v>
      </c>
      <c r="S212" s="621">
        <v>38</v>
      </c>
      <c r="T212" s="622">
        <f t="shared" si="230"/>
      </c>
      <c r="U212" s="595">
        <v>13688</v>
      </c>
      <c r="V212" s="595">
        <v>1366</v>
      </c>
      <c r="W212" s="595">
        <v>67</v>
      </c>
      <c r="X212" s="595">
        <v>1971</v>
      </c>
      <c r="Y212" s="595">
        <v>79</v>
      </c>
      <c r="Z212" s="595">
        <v>11</v>
      </c>
      <c r="AA212" s="595">
        <v>1</v>
      </c>
      <c r="AB212" s="595">
        <v>13</v>
      </c>
      <c r="AC212" s="572">
        <f t="shared" si="167"/>
      </c>
      <c r="AD212" s="623" t="s">
        <v>399</v>
      </c>
      <c r="AE212" s="646" t="s">
        <v>400</v>
      </c>
      <c r="AF212" s="624">
        <v>21</v>
      </c>
    </row>
    <row r="213">
      <c r="A213" s="613"/>
      <c r="B213" s="626" t="s">
        <v>388</v>
      </c>
      <c r="C213" s="626"/>
      <c r="D213" s="627">
        <f>SUM(D210:D212)</f>
      </c>
      <c r="E213" s="628">
        <f>SUM(E210:E212)</f>
      </c>
      <c r="F213" s="628">
        <f>SUM(F210:F212)</f>
      </c>
      <c r="G213" s="627">
        <f>SUM(G210:G212)</f>
      </c>
      <c r="H213" s="629">
        <f t="shared" si="143"/>
      </c>
      <c r="I213" s="629">
        <f t="shared" si="82"/>
      </c>
      <c r="J213" s="629">
        <f t="shared" si="262"/>
      </c>
      <c r="K213" s="629">
        <f t="shared" si="200"/>
      </c>
      <c r="L213" s="629">
        <f t="shared" si="328"/>
      </c>
      <c r="M213" s="630">
        <f t="shared" si="295"/>
      </c>
      <c r="N213" s="630">
        <f t="shared" si="19"/>
      </c>
      <c r="O213" s="630">
        <f t="shared" si="358"/>
      </c>
      <c r="P213" s="630">
        <f t="shared" si="112"/>
      </c>
      <c r="Q213" s="597">
        <f t="shared" si="49"/>
      </c>
      <c r="R213" s="630">
        <f>AVERAGE(R210:R212)</f>
      </c>
      <c r="S213" s="627">
        <f>AVERAGE(S210:S212)</f>
      </c>
      <c r="T213" s="629">
        <f t="shared" si="230"/>
      </c>
      <c r="U213" s="597">
        <f>SUM(U210:U212)</f>
      </c>
      <c r="V213" s="597">
        <f>SUM(V210:V212)</f>
      </c>
      <c r="W213" s="597">
        <f>SUM(W210:W212)</f>
      </c>
      <c r="X213" s="597">
        <f>SUM(X210:X212)</f>
      </c>
      <c r="Y213" s="597">
        <f>SUM(Y210:Y212)</f>
      </c>
      <c r="Z213" s="597">
        <f>SUM(Z210:Z212)</f>
      </c>
      <c r="AA213" s="597">
        <f>SUM(AA210:AA212)</f>
      </c>
      <c r="AB213" s="597">
        <f>SUM(AB210:AB212)</f>
      </c>
      <c r="AC213" s="647">
        <f t="shared" si="167"/>
      </c>
      <c r="AD213" s="631"/>
      <c r="AE213" s="631"/>
      <c r="AF213" s="597">
        <f>SUM(AF210:AF212)</f>
      </c>
    </row>
    <row r="214">
      <c r="A214" s="613"/>
      <c r="B214" s="614" t="s">
        <v>414</v>
      </c>
      <c r="C214" s="614" t="s">
        <v>392</v>
      </c>
      <c r="D214" s="615">
        <v>1573.51</v>
      </c>
      <c r="E214" s="616">
        <v>4</v>
      </c>
      <c r="F214" s="616">
        <v>4</v>
      </c>
      <c r="G214" s="615">
        <v>2134</v>
      </c>
      <c r="H214" s="617">
        <f t="shared" si="143"/>
      </c>
      <c r="I214" s="617">
        <f t="shared" si="82"/>
      </c>
      <c r="J214" s="617">
        <f t="shared" si="262"/>
      </c>
      <c r="K214" s="617">
        <f t="shared" si="200"/>
      </c>
      <c r="L214" s="617">
        <f t="shared" si="328"/>
      </c>
      <c r="M214" s="618">
        <f t="shared" si="295"/>
      </c>
      <c r="N214" s="618">
        <f t="shared" si="19"/>
      </c>
      <c r="O214" s="619">
        <f t="shared" si="358"/>
      </c>
      <c r="P214" s="619">
        <f t="shared" si="112"/>
      </c>
      <c r="Q214" s="595">
        <f t="shared" si="49"/>
      </c>
      <c r="R214" s="620">
        <v>0.0124</v>
      </c>
      <c r="S214" s="621">
        <v>36</v>
      </c>
      <c r="T214" s="622">
        <f t="shared" si="230"/>
      </c>
      <c r="U214" s="595">
        <v>10315</v>
      </c>
      <c r="V214" s="595">
        <v>1100</v>
      </c>
      <c r="W214" s="595">
        <v>56</v>
      </c>
      <c r="X214" s="595">
        <v>1640</v>
      </c>
      <c r="Y214" s="595">
        <v>76</v>
      </c>
      <c r="Z214" s="595">
        <v>12</v>
      </c>
      <c r="AA214" s="595">
        <v>2</v>
      </c>
      <c r="AB214" s="595">
        <v>6</v>
      </c>
      <c r="AC214" s="572">
        <f t="shared" si="167"/>
      </c>
      <c r="AD214" s="623" t="s">
        <v>399</v>
      </c>
      <c r="AE214" s="646" t="s">
        <v>400</v>
      </c>
      <c r="AF214" s="624">
        <v>14</v>
      </c>
    </row>
    <row r="215">
      <c r="A215" s="613"/>
      <c r="B215" s="614" t="s">
        <v>414</v>
      </c>
      <c r="C215" s="614" t="s">
        <v>393</v>
      </c>
      <c r="D215" s="615">
        <v>769.58</v>
      </c>
      <c r="E215" s="616">
        <v>3</v>
      </c>
      <c r="F215" s="616">
        <v>2</v>
      </c>
      <c r="G215" s="615">
        <v>1683</v>
      </c>
      <c r="H215" s="617">
        <f t="shared" si="143"/>
      </c>
      <c r="I215" s="617">
        <f t="shared" si="82"/>
      </c>
      <c r="J215" s="617">
        <f t="shared" si="262"/>
      </c>
      <c r="K215" s="617">
        <f t="shared" si="200"/>
      </c>
      <c r="L215" s="617">
        <f t="shared" si="328"/>
      </c>
      <c r="M215" s="618">
        <f t="shared" si="295"/>
      </c>
      <c r="N215" s="618">
        <f t="shared" si="19"/>
      </c>
      <c r="O215" s="619">
        <f t="shared" si="358"/>
      </c>
      <c r="P215" s="619">
        <f t="shared" si="112"/>
      </c>
      <c r="Q215" s="595">
        <f t="shared" si="49"/>
      </c>
      <c r="R215" s="620">
        <v>0.0229</v>
      </c>
      <c r="S215" s="621">
        <v>38</v>
      </c>
      <c r="T215" s="622">
        <f t="shared" si="230"/>
      </c>
      <c r="U215" s="595">
        <v>4577</v>
      </c>
      <c r="V215" s="595">
        <v>461</v>
      </c>
      <c r="W215" s="595">
        <v>36</v>
      </c>
      <c r="X215" s="595">
        <v>738</v>
      </c>
      <c r="Y215" s="595">
        <v>37</v>
      </c>
      <c r="Z215" s="595">
        <v>6</v>
      </c>
      <c r="AA215" s="595">
        <v>0</v>
      </c>
      <c r="AB215" s="595">
        <v>2</v>
      </c>
      <c r="AC215" s="572">
        <f t="shared" si="167"/>
      </c>
      <c r="AD215" s="623" t="s">
        <v>399</v>
      </c>
      <c r="AE215" s="646" t="s">
        <v>400</v>
      </c>
      <c r="AF215" s="624">
        <v>11</v>
      </c>
    </row>
    <row r="216">
      <c r="A216" s="613"/>
      <c r="B216" s="626" t="s">
        <v>388</v>
      </c>
      <c r="C216" s="626"/>
      <c r="D216" s="627">
        <f>D214+D215</f>
      </c>
      <c r="E216" s="628">
        <f>E214+E215</f>
      </c>
      <c r="F216" s="628">
        <f>F214+F215</f>
      </c>
      <c r="G216" s="627">
        <f>G214+G215</f>
      </c>
      <c r="H216" s="629">
        <f t="shared" si="143"/>
      </c>
      <c r="I216" s="629">
        <f t="shared" si="82"/>
      </c>
      <c r="J216" s="629">
        <f t="shared" si="262"/>
      </c>
      <c r="K216" s="629">
        <f t="shared" si="200"/>
      </c>
      <c r="L216" s="629">
        <f t="shared" si="328"/>
      </c>
      <c r="M216" s="630">
        <f t="shared" si="295"/>
      </c>
      <c r="N216" s="630">
        <f t="shared" si="19"/>
      </c>
      <c r="O216" s="630">
        <f t="shared" si="358"/>
      </c>
      <c r="P216" s="630">
        <f t="shared" si="112"/>
      </c>
      <c r="Q216" s="597">
        <f t="shared" si="49"/>
      </c>
      <c r="R216" s="630">
        <f>AVERAGE(R213:R215)</f>
      </c>
      <c r="S216" s="627">
        <f>AVERAGE(S213:S215)</f>
      </c>
      <c r="T216" s="629">
        <f t="shared" si="230"/>
      </c>
      <c r="U216" s="597">
        <f>U214+U215</f>
      </c>
      <c r="V216" s="597">
        <f>V214+V215</f>
      </c>
      <c r="W216" s="597">
        <f>W214+W215</f>
      </c>
      <c r="X216" s="597">
        <f>X214+X215</f>
      </c>
      <c r="Y216" s="597">
        <f>Y214+Y215</f>
      </c>
      <c r="Z216" s="597">
        <f>Z214+Z215</f>
      </c>
      <c r="AA216" s="597">
        <f>AA214+AA215</f>
      </c>
      <c r="AB216" s="597">
        <f>AB214+AB215</f>
      </c>
      <c r="AC216" s="647">
        <f t="shared" si="167"/>
      </c>
      <c r="AD216" s="631"/>
      <c r="AE216" s="631"/>
      <c r="AF216" s="597">
        <f>SUM(AF213:AF215)</f>
      </c>
    </row>
    <row r="217">
      <c r="A217" s="613"/>
      <c r="B217" s="642" t="s">
        <v>394</v>
      </c>
      <c r="C217" s="642"/>
      <c r="D217" s="634">
        <f>D209+D213+D216</f>
      </c>
      <c r="E217" s="635">
        <f>E209+E213+E216</f>
      </c>
      <c r="F217" s="635">
        <f>F209+F213+F216</f>
      </c>
      <c r="G217" s="634">
        <f>G209+G213+G216</f>
      </c>
      <c r="H217" s="636">
        <f t="shared" si="143"/>
      </c>
      <c r="I217" s="636">
        <f t="shared" si="82"/>
      </c>
      <c r="J217" s="636">
        <f t="shared" si="262"/>
      </c>
      <c r="K217" s="636">
        <f t="shared" si="200"/>
      </c>
      <c r="L217" s="636">
        <f t="shared" si="328"/>
      </c>
      <c r="M217" s="637">
        <f t="shared" si="295"/>
      </c>
      <c r="N217" s="637">
        <f t="shared" si="19"/>
      </c>
      <c r="O217" s="637">
        <f t="shared" si="358"/>
      </c>
      <c r="P217" s="637">
        <f t="shared" si="112"/>
      </c>
      <c r="Q217" s="645">
        <f t="shared" si="49"/>
      </c>
      <c r="R217" s="637">
        <f>(R209+R213)/2</f>
      </c>
      <c r="S217" s="634">
        <f>(S213+S209)/2</f>
      </c>
      <c r="T217" s="634">
        <f t="shared" si="230"/>
      </c>
      <c r="U217" s="645">
        <f>U209+U213+U216</f>
      </c>
      <c r="V217" s="645">
        <f>V209+V213+V216</f>
      </c>
      <c r="W217" s="645">
        <f>W209+W213+W216</f>
      </c>
      <c r="X217" s="645">
        <f>X209+X213+X216</f>
      </c>
      <c r="Y217" s="645">
        <f>Y209+Y213+Y216</f>
      </c>
      <c r="Z217" s="645">
        <f>Z209+Z213+Z216</f>
      </c>
      <c r="AA217" s="645">
        <f>AA209+AA213+AA216</f>
      </c>
      <c r="AB217" s="645">
        <f>AB209+AB213+AB216</f>
      </c>
      <c r="AC217" s="636">
        <f>AC209</f>
      </c>
      <c r="AD217" s="642"/>
      <c r="AE217" s="642"/>
      <c r="AF217" s="645">
        <f>AF209+AF213+AF216</f>
      </c>
    </row>
    <row r="218">
      <c r="A218" s="599" t="s">
        <v>395</v>
      </c>
      <c r="B218" s="599" t="s">
        <v>346</v>
      </c>
      <c r="C218" s="599"/>
      <c r="D218" s="600" t="s">
        <v>347</v>
      </c>
      <c r="E218" s="600"/>
      <c r="F218" s="600"/>
      <c r="G218" s="600"/>
      <c r="H218" s="600"/>
      <c r="I218" s="600"/>
      <c r="J218" s="600"/>
      <c r="K218" s="600"/>
      <c r="L218" s="601" t="s">
        <v>348</v>
      </c>
      <c r="M218" s="601"/>
      <c r="N218" s="601"/>
      <c r="O218" s="601"/>
      <c r="P218" s="601"/>
      <c r="Q218" s="601"/>
      <c r="R218" s="601"/>
      <c r="S218" s="601"/>
      <c r="T218" s="601"/>
      <c r="U218" s="601"/>
      <c r="V218" s="601"/>
      <c r="W218" s="601"/>
      <c r="X218" s="601"/>
      <c r="Y218" s="601"/>
      <c r="Z218" s="601"/>
      <c r="AA218" s="601"/>
      <c r="AB218" s="601"/>
      <c r="AC218" s="601"/>
      <c r="AD218" s="601"/>
      <c r="AE218" s="601"/>
      <c r="AF218" s="602"/>
    </row>
    <row r="219">
      <c r="A219" s="599"/>
      <c r="B219" s="603" t="s">
        <v>349</v>
      </c>
      <c r="C219" s="603" t="s">
        <v>350</v>
      </c>
      <c r="D219" s="604" t="s">
        <v>351</v>
      </c>
      <c r="E219" s="605" t="s">
        <v>352</v>
      </c>
      <c r="F219" s="605" t="s">
        <v>353</v>
      </c>
      <c r="G219" s="604" t="s">
        <v>354</v>
      </c>
      <c r="H219" s="606" t="s">
        <v>355</v>
      </c>
      <c r="I219" s="606" t="s">
        <v>356</v>
      </c>
      <c r="J219" s="606" t="s">
        <v>357</v>
      </c>
      <c r="K219" s="606" t="s">
        <v>358</v>
      </c>
      <c r="L219" s="607" t="s">
        <v>359</v>
      </c>
      <c r="M219" s="608" t="s">
        <v>360</v>
      </c>
      <c r="N219" s="608" t="s">
        <v>361</v>
      </c>
      <c r="O219" s="608" t="s">
        <v>362</v>
      </c>
      <c r="P219" s="608" t="s">
        <v>363</v>
      </c>
      <c r="Q219" s="609" t="s">
        <v>364</v>
      </c>
      <c r="R219" s="608" t="s">
        <v>365</v>
      </c>
      <c r="S219" s="609" t="s">
        <v>366</v>
      </c>
      <c r="T219" s="610" t="s">
        <v>367</v>
      </c>
      <c r="U219" s="611" t="s">
        <v>368</v>
      </c>
      <c r="V219" s="611" t="s">
        <v>369</v>
      </c>
      <c r="W219" s="611" t="s">
        <v>370</v>
      </c>
      <c r="X219" s="611" t="s">
        <v>371</v>
      </c>
      <c r="Y219" s="611" t="s">
        <v>372</v>
      </c>
      <c r="Z219" s="611" t="s">
        <v>373</v>
      </c>
      <c r="AA219" s="611" t="s">
        <v>374</v>
      </c>
      <c r="AB219" s="611" t="s">
        <v>375</v>
      </c>
      <c r="AC219" s="601" t="s">
        <v>376</v>
      </c>
      <c r="AD219" s="612" t="s">
        <v>377</v>
      </c>
      <c r="AE219" s="612" t="s">
        <v>378</v>
      </c>
      <c r="AF219" s="602" t="s">
        <v>379</v>
      </c>
    </row>
    <row r="220">
      <c r="A220" s="613" t="s">
        <v>416</v>
      </c>
      <c r="B220" s="614" t="s">
        <v>389</v>
      </c>
      <c r="C220" s="614" t="s">
        <v>382</v>
      </c>
      <c r="D220" s="615">
        <v>3000</v>
      </c>
      <c r="E220" s="616">
        <v>7</v>
      </c>
      <c r="F220" s="616">
        <v>7</v>
      </c>
      <c r="G220" s="643">
        <v>4147</v>
      </c>
      <c r="H220" s="617">
        <f t="shared" ref="H220:H231" si="144">G220/D220</f>
      </c>
      <c r="I220" s="617">
        <f t="shared" ref="I220:I231" si="83">D220/E220</f>
      </c>
      <c r="J220" s="617">
        <f t="shared" ref="J220:J231" si="263">D220/F220</f>
      </c>
      <c r="K220" s="617">
        <f t="shared" ref="K220:K231" si="201">G220/E220</f>
      </c>
      <c r="L220" s="617">
        <f t="shared" ref="L220:L231" si="329">D220/V220</f>
      </c>
      <c r="M220" s="618">
        <f t="shared" ref="M220:M231" si="296">Q220/U220*1</f>
      </c>
      <c r="N220" s="618">
        <f t="shared" ref="N220:N231" si="20">V220/U220</f>
      </c>
      <c r="O220" s="619">
        <f t="shared" ref="O220:O231" si="359">X220/U220</f>
      </c>
      <c r="P220" s="619">
        <f t="shared" ref="P220:P231" si="113">Y220/X220</f>
      </c>
      <c r="Q220" s="595">
        <f t="shared" ref="Q220:Q231" si="50">W220/R220</f>
      </c>
      <c r="R220" s="620">
        <v>0.0148</v>
      </c>
      <c r="S220" s="621">
        <v>35</v>
      </c>
      <c r="T220" s="622">
        <f t="shared" ref="T220:T231" si="231">(D220/U220)*1000</f>
      </c>
      <c r="U220" s="595">
        <v>15003</v>
      </c>
      <c r="V220" s="595">
        <v>1415</v>
      </c>
      <c r="W220" s="595">
        <v>89</v>
      </c>
      <c r="X220" s="595">
        <v>2274</v>
      </c>
      <c r="Y220" s="595">
        <v>98</v>
      </c>
      <c r="Z220" s="595">
        <v>19</v>
      </c>
      <c r="AA220" s="595">
        <v>2</v>
      </c>
      <c r="AB220" s="595">
        <v>9</v>
      </c>
      <c r="AC220" s="572">
        <f t="shared" ref="AC220:AC230" si="168">AF220*1000/D220</f>
      </c>
      <c r="AD220" s="623" t="s">
        <v>399</v>
      </c>
      <c r="AE220" s="646" t="s">
        <v>400</v>
      </c>
      <c r="AF220" s="624">
        <v>60</v>
      </c>
    </row>
    <row r="221">
      <c r="A221" s="613"/>
      <c r="B221" s="614" t="s">
        <v>389</v>
      </c>
      <c r="C221" s="614" t="s">
        <v>385</v>
      </c>
      <c r="D221" s="615">
        <v>2984.34</v>
      </c>
      <c r="E221" s="616">
        <v>5</v>
      </c>
      <c r="F221" s="616">
        <v>5</v>
      </c>
      <c r="G221" s="643">
        <v>6861.799999999999</v>
      </c>
      <c r="H221" s="617">
        <f t="shared" si="144"/>
      </c>
      <c r="I221" s="617">
        <f t="shared" si="83"/>
      </c>
      <c r="J221" s="617">
        <f t="shared" si="263"/>
      </c>
      <c r="K221" s="617">
        <f t="shared" si="201"/>
      </c>
      <c r="L221" s="617">
        <f t="shared" si="329"/>
      </c>
      <c r="M221" s="618">
        <f t="shared" si="296"/>
      </c>
      <c r="N221" s="618">
        <f t="shared" si="20"/>
      </c>
      <c r="O221" s="619">
        <f t="shared" si="359"/>
      </c>
      <c r="P221" s="619">
        <f t="shared" si="113"/>
      </c>
      <c r="Q221" s="595">
        <f t="shared" si="50"/>
      </c>
      <c r="R221" s="620">
        <v>0.0132</v>
      </c>
      <c r="S221" s="621">
        <v>39</v>
      </c>
      <c r="T221" s="622">
        <f t="shared" si="231"/>
      </c>
      <c r="U221" s="595">
        <v>13784</v>
      </c>
      <c r="V221" s="595">
        <v>983</v>
      </c>
      <c r="W221" s="595">
        <v>77</v>
      </c>
      <c r="X221" s="595">
        <v>1365</v>
      </c>
      <c r="Y221" s="595">
        <v>89</v>
      </c>
      <c r="Z221" s="595">
        <v>8</v>
      </c>
      <c r="AA221" s="595">
        <v>4</v>
      </c>
      <c r="AB221" s="595">
        <v>6</v>
      </c>
      <c r="AC221" s="572">
        <f t="shared" si="168"/>
      </c>
      <c r="AD221" s="623" t="s">
        <v>399</v>
      </c>
      <c r="AE221" s="646" t="s">
        <v>400</v>
      </c>
      <c r="AF221" s="624">
        <v>25</v>
      </c>
    </row>
    <row r="222">
      <c r="A222" s="613"/>
      <c r="B222" s="614" t="s">
        <v>389</v>
      </c>
      <c r="C222" s="614" t="s">
        <v>386</v>
      </c>
      <c r="D222" s="615">
        <v>37.47</v>
      </c>
      <c r="E222" s="616">
        <v>3</v>
      </c>
      <c r="F222" s="616">
        <v>3</v>
      </c>
      <c r="G222" s="615">
        <v>1353</v>
      </c>
      <c r="H222" s="617">
        <f t="shared" si="144"/>
      </c>
      <c r="I222" s="617">
        <f t="shared" si="83"/>
      </c>
      <c r="J222" s="617">
        <f t="shared" si="263"/>
      </c>
      <c r="K222" s="617">
        <f t="shared" si="201"/>
      </c>
      <c r="L222" s="617">
        <f t="shared" si="329"/>
      </c>
      <c r="M222" s="618">
        <f t="shared" si="296"/>
      </c>
      <c r="N222" s="618">
        <f t="shared" si="20"/>
      </c>
      <c r="O222" s="619">
        <f t="shared" si="359"/>
      </c>
      <c r="P222" s="619">
        <f t="shared" si="113"/>
      </c>
      <c r="Q222" s="595">
        <f t="shared" si="50"/>
      </c>
      <c r="R222" s="620">
        <v>0.0192</v>
      </c>
      <c r="S222" s="621">
        <v>44</v>
      </c>
      <c r="T222" s="622">
        <f t="shared" si="231"/>
      </c>
      <c r="U222" s="595">
        <v>1166</v>
      </c>
      <c r="V222" s="595">
        <v>46</v>
      </c>
      <c r="W222" s="595">
        <v>10</v>
      </c>
      <c r="X222" s="595">
        <v>73</v>
      </c>
      <c r="Y222" s="595">
        <v>6</v>
      </c>
      <c r="Z222" s="595">
        <v>1</v>
      </c>
      <c r="AA222" s="595">
        <v>0</v>
      </c>
      <c r="AB222" s="595">
        <v>0</v>
      </c>
      <c r="AC222" s="572">
        <f t="shared" si="168"/>
      </c>
      <c r="AD222" s="623" t="s">
        <v>399</v>
      </c>
      <c r="AE222" s="646" t="s">
        <v>400</v>
      </c>
      <c r="AF222" s="624">
        <v>4</v>
      </c>
    </row>
    <row r="223">
      <c r="A223" s="613"/>
      <c r="B223" s="626" t="s">
        <v>388</v>
      </c>
      <c r="C223" s="626"/>
      <c r="D223" s="627">
        <f>SUM(D220:D222)</f>
      </c>
      <c r="E223" s="628">
        <f>SUM(E220:E222)</f>
      </c>
      <c r="F223" s="628">
        <f>SUM(F220:F222)</f>
      </c>
      <c r="G223" s="627">
        <f>SUM(G220:G222)</f>
      </c>
      <c r="H223" s="629">
        <f t="shared" si="144"/>
      </c>
      <c r="I223" s="629">
        <f t="shared" si="83"/>
      </c>
      <c r="J223" s="629">
        <f t="shared" si="263"/>
      </c>
      <c r="K223" s="629">
        <f t="shared" si="201"/>
      </c>
      <c r="L223" s="629">
        <f t="shared" si="329"/>
      </c>
      <c r="M223" s="630">
        <f t="shared" si="296"/>
      </c>
      <c r="N223" s="630">
        <f t="shared" si="20"/>
      </c>
      <c r="O223" s="630">
        <f t="shared" si="359"/>
      </c>
      <c r="P223" s="630">
        <f t="shared" si="113"/>
      </c>
      <c r="Q223" s="597">
        <f t="shared" si="50"/>
      </c>
      <c r="R223" s="630">
        <f>AVERAGE(R220:R222)</f>
      </c>
      <c r="S223" s="627">
        <f>AVERAGE(S220:S222)</f>
      </c>
      <c r="T223" s="629">
        <f t="shared" si="231"/>
      </c>
      <c r="U223" s="597">
        <f>SUM(U220:U222)</f>
      </c>
      <c r="V223" s="597">
        <f>SUM(V220:V222)</f>
      </c>
      <c r="W223" s="597">
        <f>SUM(W220:W222)</f>
      </c>
      <c r="X223" s="597">
        <f>SUM(X220:X222)</f>
      </c>
      <c r="Y223" s="597">
        <f>SUM(Y220:Y222)</f>
      </c>
      <c r="Z223" s="597">
        <f>SUM(Z220:Z222)</f>
      </c>
      <c r="AA223" s="597">
        <f>SUM(AA220:AA222)</f>
      </c>
      <c r="AB223" s="597">
        <f>SUM(AB220:AB222)</f>
      </c>
      <c r="AC223" s="647">
        <f t="shared" si="168"/>
      </c>
      <c r="AD223" s="631"/>
      <c r="AE223" s="631"/>
      <c r="AF223" s="632">
        <f>SUM(AF220:AF222)</f>
      </c>
    </row>
    <row r="224">
      <c r="A224" s="613"/>
      <c r="B224" s="614" t="s">
        <v>381</v>
      </c>
      <c r="C224" s="614" t="s">
        <v>387</v>
      </c>
      <c r="D224" s="615">
        <v>2328.3</v>
      </c>
      <c r="E224" s="616">
        <v>4</v>
      </c>
      <c r="F224" s="616">
        <v>3</v>
      </c>
      <c r="G224" s="615">
        <v>2134</v>
      </c>
      <c r="H224" s="617">
        <f t="shared" si="144"/>
      </c>
      <c r="I224" s="617">
        <f t="shared" si="83"/>
      </c>
      <c r="J224" s="617">
        <f t="shared" si="263"/>
      </c>
      <c r="K224" s="617">
        <f t="shared" si="201"/>
      </c>
      <c r="L224" s="617">
        <f t="shared" si="329"/>
      </c>
      <c r="M224" s="618">
        <f t="shared" si="296"/>
      </c>
      <c r="N224" s="618">
        <f t="shared" si="20"/>
      </c>
      <c r="O224" s="619">
        <f t="shared" si="359"/>
      </c>
      <c r="P224" s="619">
        <f t="shared" si="113"/>
      </c>
      <c r="Q224" s="595">
        <f t="shared" si="50"/>
      </c>
      <c r="R224" s="620">
        <v>0.0158</v>
      </c>
      <c r="S224" s="621">
        <v>44</v>
      </c>
      <c r="T224" s="622">
        <f t="shared" si="231"/>
      </c>
      <c r="U224" s="595">
        <v>10117</v>
      </c>
      <c r="V224" s="595">
        <v>887</v>
      </c>
      <c r="W224" s="595">
        <v>71</v>
      </c>
      <c r="X224" s="595">
        <v>1183</v>
      </c>
      <c r="Y224" s="595">
        <v>60</v>
      </c>
      <c r="Z224" s="595">
        <v>9</v>
      </c>
      <c r="AA224" s="595">
        <v>0</v>
      </c>
      <c r="AB224" s="595">
        <v>8</v>
      </c>
      <c r="AC224" s="572">
        <f t="shared" si="168"/>
      </c>
      <c r="AD224" s="623" t="s">
        <v>399</v>
      </c>
      <c r="AE224" s="646" t="s">
        <v>400</v>
      </c>
      <c r="AF224" s="624">
        <v>32</v>
      </c>
    </row>
    <row r="225">
      <c r="A225" s="613"/>
      <c r="B225" s="614" t="s">
        <v>381</v>
      </c>
      <c r="C225" s="614" t="s">
        <v>390</v>
      </c>
      <c r="D225" s="615">
        <v>2750.23</v>
      </c>
      <c r="E225" s="616">
        <v>3</v>
      </c>
      <c r="F225" s="616">
        <v>3</v>
      </c>
      <c r="G225" s="615">
        <v>1353</v>
      </c>
      <c r="H225" s="617">
        <f t="shared" si="144"/>
      </c>
      <c r="I225" s="617">
        <f t="shared" si="83"/>
      </c>
      <c r="J225" s="617">
        <f t="shared" si="263"/>
      </c>
      <c r="K225" s="617">
        <f t="shared" si="201"/>
      </c>
      <c r="L225" s="617">
        <f t="shared" si="329"/>
      </c>
      <c r="M225" s="618">
        <f t="shared" si="296"/>
      </c>
      <c r="N225" s="618">
        <f t="shared" si="20"/>
      </c>
      <c r="O225" s="619">
        <f t="shared" si="359"/>
      </c>
      <c r="P225" s="619">
        <f t="shared" si="113"/>
      </c>
      <c r="Q225" s="595">
        <f t="shared" si="50"/>
      </c>
      <c r="R225" s="620">
        <v>0.013</v>
      </c>
      <c r="S225" s="621">
        <v>43</v>
      </c>
      <c r="T225" s="622">
        <f t="shared" si="231"/>
      </c>
      <c r="U225" s="595">
        <v>12399</v>
      </c>
      <c r="V225" s="595">
        <v>1222</v>
      </c>
      <c r="W225" s="595">
        <v>72</v>
      </c>
      <c r="X225" s="595">
        <v>1622</v>
      </c>
      <c r="Y225" s="595">
        <v>47</v>
      </c>
      <c r="Z225" s="595">
        <v>8</v>
      </c>
      <c r="AA225" s="595">
        <v>3</v>
      </c>
      <c r="AB225" s="595">
        <v>11</v>
      </c>
      <c r="AC225" s="572">
        <f t="shared" si="168"/>
      </c>
      <c r="AD225" s="623" t="s">
        <v>399</v>
      </c>
      <c r="AE225" s="646" t="s">
        <v>400</v>
      </c>
      <c r="AF225" s="624">
        <v>19</v>
      </c>
    </row>
    <row r="226">
      <c r="A226" s="613"/>
      <c r="B226" s="614" t="s">
        <v>381</v>
      </c>
      <c r="C226" s="614" t="s">
        <v>391</v>
      </c>
      <c r="D226" s="615">
        <v>2236.2</v>
      </c>
      <c r="E226" s="616">
        <v>6</v>
      </c>
      <c r="F226" s="616">
        <v>5</v>
      </c>
      <c r="G226" s="615">
        <v>6632.999999999996</v>
      </c>
      <c r="H226" s="617">
        <f t="shared" si="144"/>
      </c>
      <c r="I226" s="617">
        <f t="shared" si="83"/>
      </c>
      <c r="J226" s="617">
        <f t="shared" si="263"/>
      </c>
      <c r="K226" s="617">
        <f t="shared" si="201"/>
      </c>
      <c r="L226" s="617">
        <f t="shared" si="329"/>
      </c>
      <c r="M226" s="618">
        <f t="shared" si="296"/>
      </c>
      <c r="N226" s="618">
        <f t="shared" si="20"/>
      </c>
      <c r="O226" s="619">
        <f t="shared" si="359"/>
      </c>
      <c r="P226" s="619">
        <f t="shared" si="113"/>
      </c>
      <c r="Q226" s="595">
        <f t="shared" si="50"/>
      </c>
      <c r="R226" s="620">
        <v>0.0145</v>
      </c>
      <c r="S226" s="621">
        <v>42</v>
      </c>
      <c r="T226" s="622">
        <f t="shared" si="231"/>
      </c>
      <c r="U226" s="595">
        <v>12721</v>
      </c>
      <c r="V226" s="595">
        <v>1281</v>
      </c>
      <c r="W226" s="595">
        <v>77</v>
      </c>
      <c r="X226" s="595">
        <v>1718</v>
      </c>
      <c r="Y226" s="595">
        <v>59</v>
      </c>
      <c r="Z226" s="595">
        <v>11</v>
      </c>
      <c r="AA226" s="595">
        <v>10</v>
      </c>
      <c r="AB226" s="595">
        <v>12</v>
      </c>
      <c r="AC226" s="572">
        <f t="shared" si="168"/>
      </c>
      <c r="AD226" s="623" t="s">
        <v>399</v>
      </c>
      <c r="AE226" s="646" t="s">
        <v>400</v>
      </c>
      <c r="AF226" s="624">
        <v>29</v>
      </c>
    </row>
    <row r="227">
      <c r="A227" s="613"/>
      <c r="B227" s="626" t="s">
        <v>388</v>
      </c>
      <c r="C227" s="626"/>
      <c r="D227" s="627">
        <f>SUM(D224:D226)</f>
      </c>
      <c r="E227" s="628">
        <f>SUM(E224:E226)</f>
      </c>
      <c r="F227" s="628">
        <f>SUM(F224:F226)</f>
      </c>
      <c r="G227" s="627">
        <f>SUM(G224:G226)</f>
      </c>
      <c r="H227" s="629">
        <f t="shared" si="144"/>
      </c>
      <c r="I227" s="629">
        <f t="shared" si="83"/>
      </c>
      <c r="J227" s="629">
        <f t="shared" si="263"/>
      </c>
      <c r="K227" s="629">
        <f t="shared" si="201"/>
      </c>
      <c r="L227" s="629">
        <f t="shared" si="329"/>
      </c>
      <c r="M227" s="630">
        <f t="shared" si="296"/>
      </c>
      <c r="N227" s="630">
        <f t="shared" si="20"/>
      </c>
      <c r="O227" s="630">
        <f t="shared" si="359"/>
      </c>
      <c r="P227" s="630">
        <f t="shared" si="113"/>
      </c>
      <c r="Q227" s="597">
        <f t="shared" si="50"/>
      </c>
      <c r="R227" s="630">
        <f>AVERAGE(R224:R226)</f>
      </c>
      <c r="S227" s="627">
        <f>AVERAGE(S224:S226)</f>
      </c>
      <c r="T227" s="629">
        <f t="shared" si="231"/>
      </c>
      <c r="U227" s="597">
        <f>SUM(U224:U226)</f>
      </c>
      <c r="V227" s="597">
        <f>SUM(V224:V226)</f>
      </c>
      <c r="W227" s="597">
        <f>SUM(W224:W226)</f>
      </c>
      <c r="X227" s="597">
        <f>SUM(X224:X226)</f>
      </c>
      <c r="Y227" s="597">
        <f>SUM(Y224:Y226)</f>
      </c>
      <c r="Z227" s="597">
        <f>SUM(Z224:Z226)</f>
      </c>
      <c r="AA227" s="597">
        <f>SUM(AA224:AA226)</f>
      </c>
      <c r="AB227" s="597">
        <f>SUM(AB224:AB226)</f>
      </c>
      <c r="AC227" s="647">
        <f t="shared" si="168"/>
      </c>
      <c r="AD227" s="631"/>
      <c r="AE227" s="631"/>
      <c r="AF227" s="597">
        <f>SUM(AF224:AF226)</f>
      </c>
    </row>
    <row r="228">
      <c r="A228" s="613"/>
      <c r="B228" s="614" t="s">
        <v>414</v>
      </c>
      <c r="C228" s="614" t="s">
        <v>392</v>
      </c>
      <c r="D228" s="615">
        <v>2225.64</v>
      </c>
      <c r="E228" s="616">
        <v>3</v>
      </c>
      <c r="F228" s="616">
        <v>3</v>
      </c>
      <c r="G228" s="615">
        <v>2013</v>
      </c>
      <c r="H228" s="617">
        <f t="shared" si="144"/>
      </c>
      <c r="I228" s="617">
        <f t="shared" si="83"/>
      </c>
      <c r="J228" s="617">
        <f t="shared" si="263"/>
      </c>
      <c r="K228" s="617">
        <f t="shared" si="201"/>
      </c>
      <c r="L228" s="617">
        <f t="shared" si="329"/>
      </c>
      <c r="M228" s="618">
        <f t="shared" si="296"/>
      </c>
      <c r="N228" s="618">
        <f t="shared" si="20"/>
      </c>
      <c r="O228" s="619">
        <f t="shared" si="359"/>
      </c>
      <c r="P228" s="619">
        <f t="shared" si="113"/>
      </c>
      <c r="Q228" s="595">
        <f t="shared" si="50"/>
      </c>
      <c r="R228" s="620">
        <v>0.0174</v>
      </c>
      <c r="S228" s="621">
        <v>43</v>
      </c>
      <c r="T228" s="622">
        <f t="shared" si="231"/>
      </c>
      <c r="U228" s="595">
        <v>11783</v>
      </c>
      <c r="V228" s="595">
        <v>1192</v>
      </c>
      <c r="W228" s="595">
        <v>69</v>
      </c>
      <c r="X228" s="595">
        <v>1716</v>
      </c>
      <c r="Y228" s="595">
        <v>41</v>
      </c>
      <c r="Z228" s="595">
        <v>11</v>
      </c>
      <c r="AA228" s="595">
        <v>0</v>
      </c>
      <c r="AB228" s="595">
        <v>18</v>
      </c>
      <c r="AC228" s="572">
        <f t="shared" si="168"/>
      </c>
      <c r="AD228" s="623" t="s">
        <v>399</v>
      </c>
      <c r="AE228" s="646" t="s">
        <v>400</v>
      </c>
      <c r="AF228" s="624">
        <v>18</v>
      </c>
    </row>
    <row r="229">
      <c r="A229" s="613"/>
      <c r="B229" s="614" t="s">
        <v>414</v>
      </c>
      <c r="C229" s="614" t="s">
        <v>393</v>
      </c>
      <c r="D229" s="615">
        <v>1074.34</v>
      </c>
      <c r="E229" s="616">
        <v>1</v>
      </c>
      <c r="F229" s="616">
        <v>1</v>
      </c>
      <c r="G229" s="615">
        <v>1170.4000000000015</v>
      </c>
      <c r="H229" s="617">
        <f t="shared" si="144"/>
      </c>
      <c r="I229" s="617">
        <f t="shared" si="83"/>
      </c>
      <c r="J229" s="617">
        <f t="shared" si="263"/>
      </c>
      <c r="K229" s="617">
        <f t="shared" si="201"/>
      </c>
      <c r="L229" s="617">
        <f t="shared" si="329"/>
      </c>
      <c r="M229" s="618">
        <f t="shared" si="296"/>
      </c>
      <c r="N229" s="618">
        <f t="shared" si="20"/>
      </c>
      <c r="O229" s="619">
        <f t="shared" si="359"/>
      </c>
      <c r="P229" s="619">
        <f t="shared" si="113"/>
      </c>
      <c r="Q229" s="595">
        <f t="shared" si="50"/>
      </c>
      <c r="R229" s="620">
        <v>0.0233</v>
      </c>
      <c r="S229" s="621">
        <v>44</v>
      </c>
      <c r="T229" s="622">
        <f t="shared" si="231"/>
      </c>
      <c r="U229" s="595">
        <v>5801</v>
      </c>
      <c r="V229" s="595">
        <v>656</v>
      </c>
      <c r="W229" s="595">
        <v>48</v>
      </c>
      <c r="X229" s="595">
        <v>934</v>
      </c>
      <c r="Y229" s="595">
        <v>40</v>
      </c>
      <c r="Z229" s="595">
        <v>5</v>
      </c>
      <c r="AA229" s="595">
        <v>0</v>
      </c>
      <c r="AB229" s="595">
        <v>11</v>
      </c>
      <c r="AC229" s="572">
        <f t="shared" si="168"/>
      </c>
      <c r="AD229" s="623" t="s">
        <v>399</v>
      </c>
      <c r="AE229" s="646" t="s">
        <v>400</v>
      </c>
      <c r="AF229" s="624">
        <v>13</v>
      </c>
    </row>
    <row r="230">
      <c r="A230" s="613"/>
      <c r="B230" s="626" t="s">
        <v>388</v>
      </c>
      <c r="C230" s="626"/>
      <c r="D230" s="627">
        <f>D228+D229</f>
      </c>
      <c r="E230" s="628">
        <f>E228+E229</f>
      </c>
      <c r="F230" s="628">
        <f>F228+F229</f>
      </c>
      <c r="G230" s="627">
        <f>G228+G229</f>
      </c>
      <c r="H230" s="629">
        <f t="shared" si="144"/>
      </c>
      <c r="I230" s="629">
        <f t="shared" si="83"/>
      </c>
      <c r="J230" s="629">
        <f t="shared" si="263"/>
      </c>
      <c r="K230" s="629">
        <f t="shared" si="201"/>
      </c>
      <c r="L230" s="629">
        <f t="shared" si="329"/>
      </c>
      <c r="M230" s="630">
        <f t="shared" si="296"/>
      </c>
      <c r="N230" s="630">
        <f t="shared" si="20"/>
      </c>
      <c r="O230" s="630">
        <f t="shared" si="359"/>
      </c>
      <c r="P230" s="630">
        <f t="shared" si="113"/>
      </c>
      <c r="Q230" s="597">
        <f t="shared" si="50"/>
      </c>
      <c r="R230" s="630">
        <f>AVERAGE(R227:R229)</f>
      </c>
      <c r="S230" s="627">
        <f>AVERAGE(S227:S229)</f>
      </c>
      <c r="T230" s="629">
        <f t="shared" si="231"/>
      </c>
      <c r="U230" s="597">
        <f>U228+U229</f>
      </c>
      <c r="V230" s="597">
        <f>V228+V229</f>
      </c>
      <c r="W230" s="597">
        <f>W228+W229</f>
      </c>
      <c r="X230" s="597">
        <f>X228+X229</f>
      </c>
      <c r="Y230" s="597">
        <f>Y228+Y229</f>
      </c>
      <c r="Z230" s="597">
        <f>Z228+Z229</f>
      </c>
      <c r="AA230" s="597">
        <f>AA228+AA229</f>
      </c>
      <c r="AB230" s="597">
        <f>AB228+AB229</f>
      </c>
      <c r="AC230" s="647">
        <f t="shared" si="168"/>
      </c>
      <c r="AD230" s="631"/>
      <c r="AE230" s="631"/>
      <c r="AF230" s="597">
        <f>AF228+AF229</f>
      </c>
    </row>
    <row r="231">
      <c r="A231" s="613"/>
      <c r="B231" s="642" t="s">
        <v>394</v>
      </c>
      <c r="C231" s="642"/>
      <c r="D231" s="634">
        <f>D223+D227+D230</f>
      </c>
      <c r="E231" s="635">
        <f>E223+E227+E230</f>
      </c>
      <c r="F231" s="635">
        <f>F223+F227+F230</f>
      </c>
      <c r="G231" s="634">
        <f>G223+G227+G230</f>
      </c>
      <c r="H231" s="636">
        <f t="shared" si="144"/>
      </c>
      <c r="I231" s="636">
        <f t="shared" si="83"/>
      </c>
      <c r="J231" s="636">
        <f t="shared" si="263"/>
      </c>
      <c r="K231" s="636">
        <f t="shared" si="201"/>
      </c>
      <c r="L231" s="636">
        <f t="shared" si="329"/>
      </c>
      <c r="M231" s="637">
        <f t="shared" si="296"/>
      </c>
      <c r="N231" s="637">
        <f t="shared" si="20"/>
      </c>
      <c r="O231" s="637">
        <f t="shared" si="359"/>
      </c>
      <c r="P231" s="637">
        <f t="shared" si="113"/>
      </c>
      <c r="Q231" s="645">
        <f t="shared" si="50"/>
      </c>
      <c r="R231" s="637">
        <f>(R223+R227)/2</f>
      </c>
      <c r="S231" s="634">
        <f>(S227+S223)/2</f>
      </c>
      <c r="T231" s="634">
        <f t="shared" si="231"/>
      </c>
      <c r="U231" s="645">
        <f>U223+U227+U230</f>
      </c>
      <c r="V231" s="645">
        <f>V223+V227+V230</f>
      </c>
      <c r="W231" s="645">
        <f>W223+W227+W230</f>
      </c>
      <c r="X231" s="645">
        <f>X223+X227+X230</f>
      </c>
      <c r="Y231" s="645">
        <f>Y223+Y227+Y230</f>
      </c>
      <c r="Z231" s="645">
        <f>Z223+Z227+Z230</f>
      </c>
      <c r="AA231" s="645">
        <f>AA223+AA227+AA230</f>
      </c>
      <c r="AB231" s="645">
        <f>AB223+AB227+AB230</f>
      </c>
      <c r="AC231" s="636">
        <f>AC223</f>
      </c>
      <c r="AD231" s="642"/>
      <c r="AE231" s="642"/>
      <c r="AF231" s="645">
        <f>AF223+AF227+AF230</f>
      </c>
    </row>
    <row r="232">
      <c r="A232" s="599" t="s">
        <v>395</v>
      </c>
      <c r="B232" s="599" t="s">
        <v>346</v>
      </c>
      <c r="C232" s="599"/>
      <c r="D232" s="600" t="s">
        <v>347</v>
      </c>
      <c r="E232" s="600"/>
      <c r="F232" s="600"/>
      <c r="G232" s="600"/>
      <c r="H232" s="600"/>
      <c r="I232" s="600"/>
      <c r="J232" s="600"/>
      <c r="K232" s="600"/>
      <c r="L232" s="601" t="s">
        <v>348</v>
      </c>
      <c r="M232" s="601"/>
      <c r="N232" s="601"/>
      <c r="O232" s="601"/>
      <c r="P232" s="601"/>
      <c r="Q232" s="601"/>
      <c r="R232" s="601"/>
      <c r="S232" s="601"/>
      <c r="T232" s="601"/>
      <c r="U232" s="601"/>
      <c r="V232" s="601"/>
      <c r="W232" s="601"/>
      <c r="X232" s="601"/>
      <c r="Y232" s="601"/>
      <c r="Z232" s="601"/>
      <c r="AA232" s="601"/>
      <c r="AB232" s="601"/>
      <c r="AC232" s="601"/>
      <c r="AD232" s="601"/>
      <c r="AE232" s="601"/>
      <c r="AF232" s="602"/>
    </row>
    <row r="233">
      <c r="A233" s="599"/>
      <c r="B233" s="603" t="s">
        <v>349</v>
      </c>
      <c r="C233" s="603" t="s">
        <v>350</v>
      </c>
      <c r="D233" s="604" t="s">
        <v>351</v>
      </c>
      <c r="E233" s="605" t="s">
        <v>352</v>
      </c>
      <c r="F233" s="605" t="s">
        <v>353</v>
      </c>
      <c r="G233" s="604" t="s">
        <v>354</v>
      </c>
      <c r="H233" s="606" t="s">
        <v>355</v>
      </c>
      <c r="I233" s="606" t="s">
        <v>356</v>
      </c>
      <c r="J233" s="606" t="s">
        <v>357</v>
      </c>
      <c r="K233" s="606" t="s">
        <v>358</v>
      </c>
      <c r="L233" s="607" t="s">
        <v>359</v>
      </c>
      <c r="M233" s="608" t="s">
        <v>360</v>
      </c>
      <c r="N233" s="608" t="s">
        <v>361</v>
      </c>
      <c r="O233" s="608" t="s">
        <v>362</v>
      </c>
      <c r="P233" s="608" t="s">
        <v>363</v>
      </c>
      <c r="Q233" s="609" t="s">
        <v>364</v>
      </c>
      <c r="R233" s="608" t="s">
        <v>365</v>
      </c>
      <c r="S233" s="609" t="s">
        <v>366</v>
      </c>
      <c r="T233" s="610" t="s">
        <v>367</v>
      </c>
      <c r="U233" s="611" t="s">
        <v>368</v>
      </c>
      <c r="V233" s="611" t="s">
        <v>369</v>
      </c>
      <c r="W233" s="611" t="s">
        <v>370</v>
      </c>
      <c r="X233" s="611" t="s">
        <v>371</v>
      </c>
      <c r="Y233" s="611" t="s">
        <v>372</v>
      </c>
      <c r="Z233" s="611" t="s">
        <v>373</v>
      </c>
      <c r="AA233" s="611" t="s">
        <v>374</v>
      </c>
      <c r="AB233" s="611" t="s">
        <v>375</v>
      </c>
      <c r="AC233" s="601" t="s">
        <v>376</v>
      </c>
      <c r="AD233" s="612" t="s">
        <v>377</v>
      </c>
      <c r="AE233" s="612" t="s">
        <v>378</v>
      </c>
      <c r="AF233" s="602" t="s">
        <v>379</v>
      </c>
    </row>
    <row r="234">
      <c r="A234" s="613" t="s">
        <v>417</v>
      </c>
      <c r="B234" s="614" t="s">
        <v>389</v>
      </c>
      <c r="C234" s="614" t="s">
        <v>382</v>
      </c>
      <c r="D234" s="615">
        <v>3000</v>
      </c>
      <c r="E234" s="616">
        <v>3</v>
      </c>
      <c r="F234" s="616">
        <v>3</v>
      </c>
      <c r="G234" s="643">
        <v>1353</v>
      </c>
      <c r="H234" s="617">
        <f t="shared" ref="H234:H245" si="145">G234/D234</f>
      </c>
      <c r="I234" s="617">
        <f t="shared" ref="I234:I245" si="84">D234/E234</f>
      </c>
      <c r="J234" s="617">
        <f t="shared" ref="J234:J245" si="264">D234/F234</f>
      </c>
      <c r="K234" s="617">
        <f t="shared" ref="K234:K245" si="202">G234/E234</f>
      </c>
      <c r="L234" s="617">
        <f t="shared" ref="L234:L245" si="330">D234/V234</f>
      </c>
      <c r="M234" s="618">
        <f t="shared" ref="M234:M245" si="297">Q234/U234*1</f>
      </c>
      <c r="N234" s="618">
        <f t="shared" ref="N234:N245" si="21">V234/U234</f>
      </c>
      <c r="O234" s="619">
        <f t="shared" ref="O234:O245" si="360">X234/U234</f>
      </c>
      <c r="P234" s="619">
        <f t="shared" ref="P234:P245" si="114">Y234/X234</f>
      </c>
      <c r="Q234" s="595">
        <f t="shared" ref="Q234:Q245" si="51">W234/R234</f>
      </c>
      <c r="R234" s="620">
        <v>0.0153</v>
      </c>
      <c r="S234" s="621">
        <v>31</v>
      </c>
      <c r="T234" s="622">
        <f t="shared" ref="T234:T245" si="232">(D234/U234)*1000</f>
      </c>
      <c r="U234" s="595">
        <v>14304</v>
      </c>
      <c r="V234" s="595">
        <v>1550</v>
      </c>
      <c r="W234" s="595">
        <v>96</v>
      </c>
      <c r="X234" s="595">
        <v>2396</v>
      </c>
      <c r="Y234" s="595">
        <v>58</v>
      </c>
      <c r="Z234" s="595">
        <v>13</v>
      </c>
      <c r="AA234" s="595">
        <v>1</v>
      </c>
      <c r="AB234" s="595">
        <v>13</v>
      </c>
      <c r="AC234" s="572">
        <f t="shared" ref="AC234:AC244" si="169">AF234*1000/D234</f>
      </c>
      <c r="AD234" s="623" t="s">
        <v>399</v>
      </c>
      <c r="AE234" s="646" t="s">
        <v>418</v>
      </c>
      <c r="AF234" s="624">
        <v>50</v>
      </c>
    </row>
    <row r="235">
      <c r="A235" s="613"/>
      <c r="B235" s="614" t="s">
        <v>389</v>
      </c>
      <c r="C235" s="614" t="s">
        <v>385</v>
      </c>
      <c r="D235" s="615">
        <v>2085.19</v>
      </c>
      <c r="E235" s="616">
        <v>3</v>
      </c>
      <c r="F235" s="616">
        <v>3</v>
      </c>
      <c r="G235" s="643">
        <v>4359.3</v>
      </c>
      <c r="H235" s="617">
        <f t="shared" si="145"/>
      </c>
      <c r="I235" s="617">
        <f t="shared" si="84"/>
      </c>
      <c r="J235" s="617">
        <f t="shared" si="264"/>
      </c>
      <c r="K235" s="617">
        <f t="shared" si="202"/>
      </c>
      <c r="L235" s="617">
        <f t="shared" si="330"/>
      </c>
      <c r="M235" s="618">
        <f t="shared" si="297"/>
      </c>
      <c r="N235" s="618">
        <f t="shared" si="21"/>
      </c>
      <c r="O235" s="619">
        <f t="shared" si="360"/>
      </c>
      <c r="P235" s="619">
        <f t="shared" si="114"/>
      </c>
      <c r="Q235" s="595">
        <f t="shared" si="51"/>
      </c>
      <c r="R235" s="620">
        <v>0.0217</v>
      </c>
      <c r="S235" s="621">
        <v>33</v>
      </c>
      <c r="T235" s="622">
        <f t="shared" si="232"/>
      </c>
      <c r="U235" s="595">
        <v>8138</v>
      </c>
      <c r="V235" s="595">
        <v>603</v>
      </c>
      <c r="W235" s="595">
        <v>62</v>
      </c>
      <c r="X235" s="595">
        <v>887</v>
      </c>
      <c r="Y235" s="595">
        <v>45</v>
      </c>
      <c r="Z235" s="595">
        <v>8</v>
      </c>
      <c r="AA235" s="595">
        <v>1</v>
      </c>
      <c r="AB235" s="595">
        <v>9</v>
      </c>
      <c r="AC235" s="572">
        <f t="shared" si="169"/>
      </c>
      <c r="AD235" s="623" t="s">
        <v>399</v>
      </c>
      <c r="AE235" s="646" t="s">
        <v>418</v>
      </c>
      <c r="AF235" s="624">
        <v>37</v>
      </c>
    </row>
    <row r="236">
      <c r="A236" s="613"/>
      <c r="B236" s="614" t="s">
        <v>389</v>
      </c>
      <c r="C236" s="614" t="s">
        <v>386</v>
      </c>
      <c r="D236" s="615">
        <v>1197.24</v>
      </c>
      <c r="E236" s="616">
        <v>2</v>
      </c>
      <c r="F236" s="616">
        <v>2</v>
      </c>
      <c r="G236" s="643">
        <v>3143.8</v>
      </c>
      <c r="H236" s="617">
        <f t="shared" si="145"/>
      </c>
      <c r="I236" s="617">
        <f t="shared" si="84"/>
      </c>
      <c r="J236" s="617">
        <f t="shared" si="264"/>
      </c>
      <c r="K236" s="617">
        <f t="shared" si="202"/>
      </c>
      <c r="L236" s="617">
        <f t="shared" si="330"/>
      </c>
      <c r="M236" s="618">
        <f t="shared" si="297"/>
      </c>
      <c r="N236" s="618">
        <f t="shared" si="21"/>
      </c>
      <c r="O236" s="619">
        <f t="shared" si="360"/>
      </c>
      <c r="P236" s="619">
        <f t="shared" si="114"/>
      </c>
      <c r="Q236" s="595">
        <f t="shared" si="51"/>
      </c>
      <c r="R236" s="620">
        <v>0.0203</v>
      </c>
      <c r="S236" s="621">
        <v>33</v>
      </c>
      <c r="T236" s="622">
        <f t="shared" si="232"/>
      </c>
      <c r="U236" s="595">
        <v>7347</v>
      </c>
      <c r="V236" s="595">
        <v>923</v>
      </c>
      <c r="W236" s="595">
        <v>54</v>
      </c>
      <c r="X236" s="595">
        <v>1454</v>
      </c>
      <c r="Y236" s="595">
        <v>43</v>
      </c>
      <c r="Z236" s="595">
        <v>5</v>
      </c>
      <c r="AA236" s="595">
        <v>0</v>
      </c>
      <c r="AB236" s="595">
        <v>1</v>
      </c>
      <c r="AC236" s="572">
        <f t="shared" si="169"/>
      </c>
      <c r="AD236" s="623" t="s">
        <v>399</v>
      </c>
      <c r="AE236" s="646" t="s">
        <v>418</v>
      </c>
      <c r="AF236" s="624">
        <v>12</v>
      </c>
    </row>
    <row r="237">
      <c r="A237" s="613"/>
      <c r="B237" s="626" t="s">
        <v>388</v>
      </c>
      <c r="C237" s="626"/>
      <c r="D237" s="627">
        <f>SUM(D234:D236)</f>
      </c>
      <c r="E237" s="628">
        <f>SUM(E234:E236)</f>
      </c>
      <c r="F237" s="628">
        <f>SUM(F234:F236)</f>
      </c>
      <c r="G237" s="627">
        <f>SUM(G234:G236)</f>
      </c>
      <c r="H237" s="629">
        <f t="shared" si="145"/>
      </c>
      <c r="I237" s="629">
        <f t="shared" si="84"/>
      </c>
      <c r="J237" s="629">
        <f t="shared" si="264"/>
      </c>
      <c r="K237" s="629">
        <f t="shared" si="202"/>
      </c>
      <c r="L237" s="629">
        <f t="shared" si="330"/>
      </c>
      <c r="M237" s="630">
        <f t="shared" si="297"/>
      </c>
      <c r="N237" s="630">
        <f t="shared" si="21"/>
      </c>
      <c r="O237" s="630">
        <f t="shared" si="360"/>
      </c>
      <c r="P237" s="630">
        <f t="shared" si="114"/>
      </c>
      <c r="Q237" s="597">
        <f t="shared" si="51"/>
      </c>
      <c r="R237" s="630">
        <f>AVERAGE(R234:R236)</f>
      </c>
      <c r="S237" s="627">
        <f>AVERAGE(S234:S236)</f>
      </c>
      <c r="T237" s="629">
        <f t="shared" si="232"/>
      </c>
      <c r="U237" s="597">
        <f>SUM(U234:U236)</f>
      </c>
      <c r="V237" s="597">
        <f>SUM(V234:V236)</f>
      </c>
      <c r="W237" s="597">
        <f>SUM(W234:W236)</f>
      </c>
      <c r="X237" s="597">
        <f>SUM(X234:X236)</f>
      </c>
      <c r="Y237" s="597">
        <f>SUM(Y234:Y236)</f>
      </c>
      <c r="Z237" s="597">
        <f>SUM(Z234:Z236)</f>
      </c>
      <c r="AA237" s="597">
        <f>SUM(AA234:AA236)</f>
      </c>
      <c r="AB237" s="597">
        <f>SUM(AB234:AB236)</f>
      </c>
      <c r="AC237" s="647">
        <f t="shared" si="169"/>
      </c>
      <c r="AD237" s="631"/>
      <c r="AE237" s="631"/>
      <c r="AF237" s="632">
        <f>SUM(AF234:AF236)</f>
      </c>
    </row>
    <row r="238">
      <c r="A238" s="613"/>
      <c r="B238" s="614" t="s">
        <v>381</v>
      </c>
      <c r="C238" s="614" t="s">
        <v>387</v>
      </c>
      <c r="D238" s="615">
        <v>1040.7</v>
      </c>
      <c r="E238" s="616">
        <v>5</v>
      </c>
      <c r="F238" s="616">
        <v>4</v>
      </c>
      <c r="G238" s="643">
        <v>3304.4</v>
      </c>
      <c r="H238" s="617">
        <f t="shared" si="145"/>
      </c>
      <c r="I238" s="617">
        <f t="shared" si="84"/>
      </c>
      <c r="J238" s="617">
        <f t="shared" si="264"/>
      </c>
      <c r="K238" s="617">
        <f t="shared" si="202"/>
      </c>
      <c r="L238" s="617">
        <f t="shared" si="330"/>
      </c>
      <c r="M238" s="618">
        <f t="shared" si="297"/>
      </c>
      <c r="N238" s="618">
        <f t="shared" si="21"/>
      </c>
      <c r="O238" s="619">
        <f t="shared" si="360"/>
      </c>
      <c r="P238" s="619">
        <f t="shared" si="114"/>
      </c>
      <c r="Q238" s="595">
        <f t="shared" si="51"/>
      </c>
      <c r="R238" s="620">
        <v>0.0121</v>
      </c>
      <c r="S238" s="621">
        <v>32</v>
      </c>
      <c r="T238" s="622">
        <f t="shared" si="232"/>
      </c>
      <c r="U238" s="595">
        <v>6425</v>
      </c>
      <c r="V238" s="595">
        <v>815</v>
      </c>
      <c r="W238" s="595">
        <v>28</v>
      </c>
      <c r="X238" s="595">
        <v>1283</v>
      </c>
      <c r="Y238" s="595">
        <v>30</v>
      </c>
      <c r="Z238" s="595">
        <v>3</v>
      </c>
      <c r="AA238" s="595">
        <v>0</v>
      </c>
      <c r="AB238" s="595">
        <v>4</v>
      </c>
      <c r="AC238" s="572">
        <f t="shared" si="169"/>
      </c>
      <c r="AD238" s="623" t="s">
        <v>399</v>
      </c>
      <c r="AE238" s="646" t="s">
        <v>418</v>
      </c>
      <c r="AF238" s="624">
        <v>23</v>
      </c>
    </row>
    <row r="239">
      <c r="A239" s="613"/>
      <c r="B239" s="614" t="s">
        <v>381</v>
      </c>
      <c r="C239" s="614" t="s">
        <v>390</v>
      </c>
      <c r="D239" s="615">
        <v>2211.24</v>
      </c>
      <c r="E239" s="616">
        <v>7</v>
      </c>
      <c r="F239" s="616">
        <v>7</v>
      </c>
      <c r="G239" s="643">
        <v>5303.1</v>
      </c>
      <c r="H239" s="617">
        <f t="shared" si="145"/>
      </c>
      <c r="I239" s="617">
        <f t="shared" si="84"/>
      </c>
      <c r="J239" s="617">
        <f t="shared" si="264"/>
      </c>
      <c r="K239" s="617">
        <f t="shared" si="202"/>
      </c>
      <c r="L239" s="617">
        <f t="shared" si="330"/>
      </c>
      <c r="M239" s="618">
        <f t="shared" si="297"/>
      </c>
      <c r="N239" s="618">
        <f t="shared" si="21"/>
      </c>
      <c r="O239" s="619">
        <f t="shared" si="360"/>
      </c>
      <c r="P239" s="619">
        <f t="shared" si="114"/>
      </c>
      <c r="Q239" s="595">
        <f t="shared" si="51"/>
      </c>
      <c r="R239" s="620">
        <v>0.0224</v>
      </c>
      <c r="S239" s="621">
        <v>32</v>
      </c>
      <c r="T239" s="622">
        <f t="shared" si="232"/>
      </c>
      <c r="U239" s="595">
        <v>9839</v>
      </c>
      <c r="V239" s="595">
        <v>992</v>
      </c>
      <c r="W239" s="595">
        <v>71</v>
      </c>
      <c r="X239" s="595">
        <v>1542</v>
      </c>
      <c r="Y239" s="595">
        <v>46</v>
      </c>
      <c r="Z239" s="595">
        <v>3</v>
      </c>
      <c r="AA239" s="595">
        <v>1</v>
      </c>
      <c r="AB239" s="595">
        <v>17</v>
      </c>
      <c r="AC239" s="572">
        <f t="shared" si="169"/>
      </c>
      <c r="AD239" s="623" t="s">
        <v>399</v>
      </c>
      <c r="AE239" s="646" t="s">
        <v>418</v>
      </c>
      <c r="AF239" s="624">
        <v>34</v>
      </c>
    </row>
    <row r="240">
      <c r="A240" s="613"/>
      <c r="B240" s="614" t="s">
        <v>381</v>
      </c>
      <c r="C240" s="614" t="s">
        <v>391</v>
      </c>
      <c r="D240" s="615">
        <v>3344.12</v>
      </c>
      <c r="E240" s="616">
        <v>13</v>
      </c>
      <c r="F240" s="616">
        <v>13</v>
      </c>
      <c r="G240" s="643">
        <v>10578.7</v>
      </c>
      <c r="H240" s="617">
        <f t="shared" si="145"/>
      </c>
      <c r="I240" s="617">
        <f t="shared" si="84"/>
      </c>
      <c r="J240" s="617">
        <f t="shared" si="264"/>
      </c>
      <c r="K240" s="617">
        <f t="shared" si="202"/>
      </c>
      <c r="L240" s="617">
        <f t="shared" si="330"/>
      </c>
      <c r="M240" s="618">
        <f t="shared" si="297"/>
      </c>
      <c r="N240" s="618">
        <f t="shared" si="21"/>
      </c>
      <c r="O240" s="619">
        <f t="shared" si="360"/>
      </c>
      <c r="P240" s="619">
        <f t="shared" si="114"/>
      </c>
      <c r="Q240" s="595">
        <f t="shared" si="51"/>
      </c>
      <c r="R240" s="620">
        <v>0.0322</v>
      </c>
      <c r="S240" s="621">
        <v>35</v>
      </c>
      <c r="T240" s="622">
        <f t="shared" si="232"/>
      </c>
      <c r="U240" s="595">
        <v>17382</v>
      </c>
      <c r="V240" s="595">
        <v>1027</v>
      </c>
      <c r="W240" s="595">
        <v>105</v>
      </c>
      <c r="X240" s="595">
        <v>1534</v>
      </c>
      <c r="Y240" s="595">
        <v>102</v>
      </c>
      <c r="Z240" s="595">
        <v>12</v>
      </c>
      <c r="AA240" s="595">
        <v>0</v>
      </c>
      <c r="AB240" s="595">
        <v>33</v>
      </c>
      <c r="AC240" s="572">
        <f t="shared" si="169"/>
      </c>
      <c r="AD240" s="623" t="s">
        <v>399</v>
      </c>
      <c r="AE240" s="646" t="s">
        <v>418</v>
      </c>
      <c r="AF240" s="624">
        <v>44</v>
      </c>
    </row>
    <row r="241">
      <c r="A241" s="613"/>
      <c r="B241" s="626" t="s">
        <v>388</v>
      </c>
      <c r="C241" s="626"/>
      <c r="D241" s="627">
        <f>SUM(D238:D240)</f>
      </c>
      <c r="E241" s="628">
        <f>SUM(E238:E240)</f>
      </c>
      <c r="F241" s="628">
        <f>SUM(F238:F240)</f>
      </c>
      <c r="G241" s="627">
        <f>SUM(G238:G240)</f>
      </c>
      <c r="H241" s="629">
        <f t="shared" si="145"/>
      </c>
      <c r="I241" s="629">
        <f t="shared" si="84"/>
      </c>
      <c r="J241" s="629">
        <f t="shared" si="264"/>
      </c>
      <c r="K241" s="629">
        <f t="shared" si="202"/>
      </c>
      <c r="L241" s="629">
        <f t="shared" si="330"/>
      </c>
      <c r="M241" s="630">
        <f t="shared" si="297"/>
      </c>
      <c r="N241" s="630">
        <f t="shared" si="21"/>
      </c>
      <c r="O241" s="630">
        <f t="shared" si="360"/>
      </c>
      <c r="P241" s="630">
        <f t="shared" si="114"/>
      </c>
      <c r="Q241" s="597">
        <f t="shared" si="51"/>
      </c>
      <c r="R241" s="630">
        <f>AVERAGE(R238:R240)</f>
      </c>
      <c r="S241" s="627">
        <f>AVERAGE(S238:S240)</f>
      </c>
      <c r="T241" s="629">
        <f t="shared" si="232"/>
      </c>
      <c r="U241" s="597">
        <f>SUM(U238:U240)</f>
      </c>
      <c r="V241" s="597">
        <f>SUM(V238:V240)</f>
      </c>
      <c r="W241" s="597">
        <f>SUM(W238:W240)</f>
      </c>
      <c r="X241" s="597">
        <f>SUM(X238:X240)</f>
      </c>
      <c r="Y241" s="597">
        <f>SUM(Y238:Y240)</f>
      </c>
      <c r="Z241" s="597">
        <f>SUM(Z238:Z240)</f>
      </c>
      <c r="AA241" s="597">
        <f>SUM(AA238:AA240)</f>
      </c>
      <c r="AB241" s="597">
        <f>SUM(AB238:AB240)</f>
      </c>
      <c r="AC241" s="647">
        <f t="shared" si="169"/>
      </c>
      <c r="AD241" s="631"/>
      <c r="AE241" s="631"/>
      <c r="AF241" s="597">
        <f>SUM(AF238:AF240)</f>
      </c>
    </row>
    <row r="242">
      <c r="A242" s="613"/>
      <c r="B242" s="614" t="s">
        <v>414</v>
      </c>
      <c r="C242" s="614" t="s">
        <v>392</v>
      </c>
      <c r="D242" s="615">
        <v>4235.59</v>
      </c>
      <c r="E242" s="616">
        <v>7</v>
      </c>
      <c r="F242" s="616">
        <v>7</v>
      </c>
      <c r="G242" s="643">
        <v>7085.1</v>
      </c>
      <c r="H242" s="617">
        <f t="shared" si="145"/>
      </c>
      <c r="I242" s="617">
        <f t="shared" si="84"/>
      </c>
      <c r="J242" s="617">
        <f t="shared" si="264"/>
      </c>
      <c r="K242" s="617">
        <f t="shared" si="202"/>
      </c>
      <c r="L242" s="617">
        <f t="shared" si="330"/>
      </c>
      <c r="M242" s="618">
        <f t="shared" si="297"/>
      </c>
      <c r="N242" s="618">
        <f t="shared" si="21"/>
      </c>
      <c r="O242" s="619">
        <f t="shared" si="360"/>
      </c>
      <c r="P242" s="619">
        <f t="shared" si="114"/>
      </c>
      <c r="Q242" s="595">
        <f t="shared" si="51"/>
      </c>
      <c r="R242" s="620">
        <v>0.0236</v>
      </c>
      <c r="S242" s="621">
        <v>35</v>
      </c>
      <c r="T242" s="622">
        <f t="shared" si="232"/>
      </c>
      <c r="U242" s="595">
        <v>24239</v>
      </c>
      <c r="V242" s="595">
        <v>1473</v>
      </c>
      <c r="W242" s="595">
        <v>110</v>
      </c>
      <c r="X242" s="595">
        <v>2104</v>
      </c>
      <c r="Y242" s="595">
        <v>137</v>
      </c>
      <c r="Z242" s="595">
        <v>12</v>
      </c>
      <c r="AA242" s="595">
        <v>5</v>
      </c>
      <c r="AB242" s="595">
        <v>35</v>
      </c>
      <c r="AC242" s="572">
        <f t="shared" si="169"/>
      </c>
      <c r="AD242" s="623" t="s">
        <v>399</v>
      </c>
      <c r="AE242" s="646" t="s">
        <v>418</v>
      </c>
      <c r="AF242" s="624">
        <v>76</v>
      </c>
    </row>
    <row r="243">
      <c r="A243" s="613"/>
      <c r="B243" s="614" t="s">
        <v>414</v>
      </c>
      <c r="C243" s="614" t="s">
        <v>393</v>
      </c>
      <c r="D243" s="643">
        <v>2484.44</v>
      </c>
      <c r="E243" s="616">
        <v>5</v>
      </c>
      <c r="F243" s="616">
        <v>3</v>
      </c>
      <c r="G243" s="643">
        <v>6087.4</v>
      </c>
      <c r="H243" s="617">
        <f t="shared" si="145"/>
      </c>
      <c r="I243" s="617">
        <f t="shared" si="84"/>
      </c>
      <c r="J243" s="617">
        <f t="shared" si="264"/>
      </c>
      <c r="K243" s="617">
        <f t="shared" si="202"/>
      </c>
      <c r="L243" s="617">
        <f t="shared" si="330"/>
      </c>
      <c r="M243" s="618">
        <f t="shared" si="297"/>
      </c>
      <c r="N243" s="618">
        <f t="shared" si="21"/>
      </c>
      <c r="O243" s="619">
        <f t="shared" si="360"/>
      </c>
      <c r="P243" s="619">
        <f t="shared" si="114"/>
      </c>
      <c r="Q243" s="595">
        <f t="shared" si="51"/>
      </c>
      <c r="R243" s="620">
        <v>0.031</v>
      </c>
      <c r="S243" s="621">
        <v>36</v>
      </c>
      <c r="T243" s="622">
        <f t="shared" si="232"/>
      </c>
      <c r="U243" s="595">
        <v>15894</v>
      </c>
      <c r="V243" s="595">
        <v>948</v>
      </c>
      <c r="W243" s="595">
        <v>96</v>
      </c>
      <c r="X243" s="595">
        <v>1264</v>
      </c>
      <c r="Y243" s="595">
        <v>115</v>
      </c>
      <c r="Z243" s="595">
        <v>8</v>
      </c>
      <c r="AA243" s="595">
        <v>1</v>
      </c>
      <c r="AB243" s="595">
        <v>27</v>
      </c>
      <c r="AC243" s="572">
        <f t="shared" si="169"/>
      </c>
      <c r="AD243" s="623" t="s">
        <v>399</v>
      </c>
      <c r="AE243" s="646" t="s">
        <v>418</v>
      </c>
      <c r="AF243" s="624">
        <v>28</v>
      </c>
    </row>
    <row r="244">
      <c r="A244" s="613"/>
      <c r="B244" s="626" t="s">
        <v>388</v>
      </c>
      <c r="C244" s="626"/>
      <c r="D244" s="627">
        <f>D242+D243</f>
      </c>
      <c r="E244" s="628">
        <f>E242+E243</f>
      </c>
      <c r="F244" s="628">
        <f>F242+F243</f>
      </c>
      <c r="G244" s="627">
        <f>G242+G243</f>
      </c>
      <c r="H244" s="629">
        <f t="shared" si="145"/>
      </c>
      <c r="I244" s="629">
        <f t="shared" si="84"/>
      </c>
      <c r="J244" s="629">
        <f t="shared" si="264"/>
      </c>
      <c r="K244" s="629">
        <f t="shared" si="202"/>
      </c>
      <c r="L244" s="629">
        <f t="shared" si="330"/>
      </c>
      <c r="M244" s="630">
        <f t="shared" si="297"/>
      </c>
      <c r="N244" s="630">
        <f t="shared" si="21"/>
      </c>
      <c r="O244" s="630">
        <f t="shared" si="360"/>
      </c>
      <c r="P244" s="630">
        <f t="shared" si="114"/>
      </c>
      <c r="Q244" s="597">
        <f t="shared" si="51"/>
      </c>
      <c r="R244" s="630">
        <f>AVERAGE(R241:R243)</f>
      </c>
      <c r="S244" s="627">
        <f>AVERAGE(S241:S243)</f>
      </c>
      <c r="T244" s="629">
        <f t="shared" si="232"/>
      </c>
      <c r="U244" s="597">
        <f>U242+U243</f>
      </c>
      <c r="V244" s="597">
        <f>V242+V243</f>
      </c>
      <c r="W244" s="597">
        <f>W242+W243</f>
      </c>
      <c r="X244" s="597">
        <f>X242+X243</f>
      </c>
      <c r="Y244" s="597">
        <f>Y242+Y243</f>
      </c>
      <c r="Z244" s="597">
        <f>Z242+Z243</f>
      </c>
      <c r="AA244" s="597">
        <f>AA242+AA243</f>
      </c>
      <c r="AB244" s="597">
        <f>AB242+AB243</f>
      </c>
      <c r="AC244" s="647">
        <f t="shared" si="169"/>
      </c>
      <c r="AD244" s="631"/>
      <c r="AE244" s="631"/>
      <c r="AF244" s="597">
        <f>AF242+AF243</f>
      </c>
    </row>
    <row r="245">
      <c r="A245" s="613"/>
      <c r="B245" s="642" t="s">
        <v>394</v>
      </c>
      <c r="C245" s="642"/>
      <c r="D245" s="634">
        <f>D237+D241+D244</f>
      </c>
      <c r="E245" s="635">
        <f>E237+E241+E244</f>
      </c>
      <c r="F245" s="635">
        <f>F237+F241+F244</f>
      </c>
      <c r="G245" s="634">
        <f>G237+G241+G244</f>
      </c>
      <c r="H245" s="636">
        <f t="shared" si="145"/>
      </c>
      <c r="I245" s="636">
        <f t="shared" si="84"/>
      </c>
      <c r="J245" s="636">
        <f t="shared" si="264"/>
      </c>
      <c r="K245" s="636">
        <f t="shared" si="202"/>
      </c>
      <c r="L245" s="636">
        <f t="shared" si="330"/>
      </c>
      <c r="M245" s="637">
        <f t="shared" si="297"/>
      </c>
      <c r="N245" s="637">
        <f t="shared" si="21"/>
      </c>
      <c r="O245" s="637">
        <f t="shared" si="360"/>
      </c>
      <c r="P245" s="637">
        <f t="shared" si="114"/>
      </c>
      <c r="Q245" s="645">
        <f t="shared" si="51"/>
      </c>
      <c r="R245" s="637">
        <f>(R237+R241)/2</f>
      </c>
      <c r="S245" s="634">
        <f>(S241+S237)/2</f>
      </c>
      <c r="T245" s="634">
        <f t="shared" si="232"/>
      </c>
      <c r="U245" s="645">
        <f>U237+U241+U244</f>
      </c>
      <c r="V245" s="645">
        <f>V237+V241+V244</f>
      </c>
      <c r="W245" s="645">
        <f>W237+W241+W244</f>
      </c>
      <c r="X245" s="645">
        <f>X237+X241+X244</f>
      </c>
      <c r="Y245" s="645">
        <f>Y237+Y241+Y244</f>
      </c>
      <c r="Z245" s="645">
        <f>Z237+Z241+Z244</f>
      </c>
      <c r="AA245" s="645">
        <f>AA237+AA241+AA244</f>
      </c>
      <c r="AB245" s="645">
        <f>AB237+AB241+AB244</f>
      </c>
      <c r="AC245" s="636">
        <f>AC237</f>
      </c>
      <c r="AD245" s="642"/>
      <c r="AE245" s="642"/>
      <c r="AF245" s="645">
        <f>AF237+AF241+AF244</f>
      </c>
    </row>
    <row r="246">
      <c r="A246" s="599" t="s">
        <v>395</v>
      </c>
      <c r="B246" s="599" t="s">
        <v>346</v>
      </c>
      <c r="C246" s="599"/>
      <c r="D246" s="600" t="s">
        <v>347</v>
      </c>
      <c r="E246" s="600"/>
      <c r="F246" s="600"/>
      <c r="G246" s="600"/>
      <c r="H246" s="600"/>
      <c r="I246" s="600"/>
      <c r="J246" s="600"/>
      <c r="K246" s="600"/>
      <c r="L246" s="601" t="s">
        <v>348</v>
      </c>
      <c r="M246" s="601"/>
      <c r="N246" s="601"/>
      <c r="O246" s="601"/>
      <c r="P246" s="601"/>
      <c r="Q246" s="601"/>
      <c r="R246" s="601"/>
      <c r="S246" s="601"/>
      <c r="T246" s="601"/>
      <c r="U246" s="601"/>
      <c r="V246" s="601"/>
      <c r="W246" s="601"/>
      <c r="X246" s="601"/>
      <c r="Y246" s="601"/>
      <c r="Z246" s="601"/>
      <c r="AA246" s="601"/>
      <c r="AB246" s="601"/>
      <c r="AC246" s="601"/>
      <c r="AD246" s="601"/>
      <c r="AE246" s="601"/>
      <c r="AF246" s="602"/>
    </row>
    <row r="247">
      <c r="A247" s="599"/>
      <c r="B247" s="603" t="s">
        <v>349</v>
      </c>
      <c r="C247" s="603" t="s">
        <v>350</v>
      </c>
      <c r="D247" s="604" t="s">
        <v>351</v>
      </c>
      <c r="E247" s="605" t="s">
        <v>352</v>
      </c>
      <c r="F247" s="605" t="s">
        <v>353</v>
      </c>
      <c r="G247" s="604" t="s">
        <v>354</v>
      </c>
      <c r="H247" s="606" t="s">
        <v>355</v>
      </c>
      <c r="I247" s="606" t="s">
        <v>356</v>
      </c>
      <c r="J247" s="606" t="s">
        <v>357</v>
      </c>
      <c r="K247" s="606" t="s">
        <v>358</v>
      </c>
      <c r="L247" s="607" t="s">
        <v>359</v>
      </c>
      <c r="M247" s="608" t="s">
        <v>360</v>
      </c>
      <c r="N247" s="608" t="s">
        <v>361</v>
      </c>
      <c r="O247" s="608" t="s">
        <v>362</v>
      </c>
      <c r="P247" s="608" t="s">
        <v>363</v>
      </c>
      <c r="Q247" s="609" t="s">
        <v>364</v>
      </c>
      <c r="R247" s="608" t="s">
        <v>365</v>
      </c>
      <c r="S247" s="609" t="s">
        <v>366</v>
      </c>
      <c r="T247" s="610" t="s">
        <v>367</v>
      </c>
      <c r="U247" s="611" t="s">
        <v>368</v>
      </c>
      <c r="V247" s="611" t="s">
        <v>369</v>
      </c>
      <c r="W247" s="611" t="s">
        <v>370</v>
      </c>
      <c r="X247" s="611" t="s">
        <v>371</v>
      </c>
      <c r="Y247" s="611" t="s">
        <v>372</v>
      </c>
      <c r="Z247" s="611" t="s">
        <v>373</v>
      </c>
      <c r="AA247" s="611" t="s">
        <v>374</v>
      </c>
      <c r="AB247" s="611" t="s">
        <v>375</v>
      </c>
      <c r="AC247" s="601" t="s">
        <v>376</v>
      </c>
      <c r="AD247" s="612" t="s">
        <v>377</v>
      </c>
      <c r="AE247" s="612" t="s">
        <v>378</v>
      </c>
      <c r="AF247" s="602" t="s">
        <v>379</v>
      </c>
    </row>
    <row r="248">
      <c r="A248" s="613" t="s">
        <v>419</v>
      </c>
      <c r="B248" s="614" t="s">
        <v>389</v>
      </c>
      <c r="C248" s="614" t="s">
        <v>382</v>
      </c>
      <c r="D248" s="615">
        <v>2985.93</v>
      </c>
      <c r="E248" s="616">
        <v>3</v>
      </c>
      <c r="F248" s="616">
        <v>3</v>
      </c>
      <c r="G248" s="643">
        <v>2385.9</v>
      </c>
      <c r="H248" s="617">
        <f t="shared" ref="H248:H259" si="146">G248/D248</f>
      </c>
      <c r="I248" s="617">
        <f t="shared" ref="I248:I259" si="85">D248/E248</f>
      </c>
      <c r="J248" s="617">
        <f t="shared" ref="J248:J259" si="265">D248/F248</f>
      </c>
      <c r="K248" s="617">
        <f t="shared" ref="K248:K259" si="203">G248/E248</f>
      </c>
      <c r="L248" s="617">
        <f t="shared" ref="L248:L259" si="331">D248/V248</f>
      </c>
      <c r="M248" s="618">
        <f t="shared" ref="M248:M259" si="298">Q248/U248*1</f>
      </c>
      <c r="N248" s="618">
        <f t="shared" ref="N248:N259" si="22">V248/U248</f>
      </c>
      <c r="O248" s="619">
        <f t="shared" ref="O248:O259" si="361">X248/U248</f>
      </c>
      <c r="P248" s="619">
        <f t="shared" ref="P248:P259" si="115">Y248/X248</f>
      </c>
      <c r="Q248" s="595">
        <f t="shared" ref="Q248:Q259" si="52">W248/R248</f>
      </c>
      <c r="R248" s="620">
        <v>0.0133</v>
      </c>
      <c r="S248" s="621">
        <v>25</v>
      </c>
      <c r="T248" s="622">
        <f t="shared" ref="T248:T259" si="233">(D248/U248)*1000</f>
      </c>
      <c r="U248" s="595">
        <v>14735</v>
      </c>
      <c r="V248" s="595">
        <v>1585</v>
      </c>
      <c r="W248" s="595">
        <v>79</v>
      </c>
      <c r="X248" s="595">
        <v>2980</v>
      </c>
      <c r="Y248" s="595">
        <v>78</v>
      </c>
      <c r="Z248" s="595">
        <v>17</v>
      </c>
      <c r="AA248" s="595">
        <v>1</v>
      </c>
      <c r="AB248" s="595">
        <v>13</v>
      </c>
      <c r="AC248" s="572">
        <f t="shared" ref="AC248:AC258" si="170">AF248*1000/D248</f>
      </c>
      <c r="AD248" s="623" t="s">
        <v>399</v>
      </c>
      <c r="AE248" s="646" t="s">
        <v>400</v>
      </c>
      <c r="AF248" s="624">
        <v>44</v>
      </c>
    </row>
    <row r="249">
      <c r="A249" s="613"/>
      <c r="B249" s="614" t="s">
        <v>389</v>
      </c>
      <c r="C249" s="614" t="s">
        <v>385</v>
      </c>
      <c r="D249" s="615">
        <v>1443.03</v>
      </c>
      <c r="E249" s="616">
        <v>1</v>
      </c>
      <c r="F249" s="616">
        <v>1</v>
      </c>
      <c r="G249" s="643">
        <v>451</v>
      </c>
      <c r="H249" s="617">
        <f t="shared" si="146"/>
      </c>
      <c r="I249" s="617">
        <f t="shared" si="85"/>
      </c>
      <c r="J249" s="617">
        <f t="shared" si="265"/>
      </c>
      <c r="K249" s="617">
        <f t="shared" si="203"/>
      </c>
      <c r="L249" s="617">
        <f t="shared" si="331"/>
      </c>
      <c r="M249" s="618">
        <f t="shared" si="298"/>
      </c>
      <c r="N249" s="618">
        <f t="shared" si="22"/>
      </c>
      <c r="O249" s="619">
        <f t="shared" si="361"/>
      </c>
      <c r="P249" s="619">
        <f t="shared" si="115"/>
      </c>
      <c r="Q249" s="595">
        <f t="shared" si="52"/>
      </c>
      <c r="R249" s="620">
        <v>0.016</v>
      </c>
      <c r="S249" s="621">
        <v>29</v>
      </c>
      <c r="T249" s="622">
        <f t="shared" si="233"/>
      </c>
      <c r="U249" s="595">
        <v>8757</v>
      </c>
      <c r="V249" s="595">
        <v>917</v>
      </c>
      <c r="W249" s="595">
        <v>57</v>
      </c>
      <c r="X249" s="595">
        <v>1621</v>
      </c>
      <c r="Y249" s="595">
        <v>79</v>
      </c>
      <c r="Z249" s="595">
        <v>13</v>
      </c>
      <c r="AA249" s="595">
        <v>2</v>
      </c>
      <c r="AB249" s="595">
        <v>5</v>
      </c>
      <c r="AC249" s="572">
        <f t="shared" si="170"/>
      </c>
      <c r="AD249" s="623" t="s">
        <v>399</v>
      </c>
      <c r="AE249" s="646" t="s">
        <v>400</v>
      </c>
      <c r="AF249" s="624">
        <v>26</v>
      </c>
    </row>
    <row r="250">
      <c r="A250" s="613"/>
      <c r="B250" s="614" t="s">
        <v>389</v>
      </c>
      <c r="C250" s="614" t="s">
        <v>386</v>
      </c>
      <c r="D250" s="615">
        <v>1425.45</v>
      </c>
      <c r="E250" s="616">
        <v>4</v>
      </c>
      <c r="F250" s="616">
        <v>2</v>
      </c>
      <c r="G250" s="643">
        <v>3164.7000000000003</v>
      </c>
      <c r="H250" s="617">
        <f t="shared" si="146"/>
      </c>
      <c r="I250" s="617">
        <f t="shared" si="85"/>
      </c>
      <c r="J250" s="617">
        <f t="shared" si="265"/>
      </c>
      <c r="K250" s="617">
        <f t="shared" si="203"/>
      </c>
      <c r="L250" s="617">
        <f t="shared" si="331"/>
      </c>
      <c r="M250" s="618">
        <f t="shared" si="298"/>
      </c>
      <c r="N250" s="618">
        <f t="shared" si="22"/>
      </c>
      <c r="O250" s="619">
        <f t="shared" si="361"/>
      </c>
      <c r="P250" s="619">
        <f t="shared" si="115"/>
      </c>
      <c r="Q250" s="595">
        <f t="shared" si="52"/>
      </c>
      <c r="R250" s="620">
        <v>0.014</v>
      </c>
      <c r="S250" s="621">
        <v>29</v>
      </c>
      <c r="T250" s="622">
        <f t="shared" si="233"/>
      </c>
      <c r="U250" s="595">
        <v>8955</v>
      </c>
      <c r="V250" s="595">
        <v>964</v>
      </c>
      <c r="W250" s="595">
        <v>41</v>
      </c>
      <c r="X250" s="595">
        <v>1653</v>
      </c>
      <c r="Y250" s="595">
        <v>84</v>
      </c>
      <c r="Z250" s="595">
        <v>7</v>
      </c>
      <c r="AA250" s="595">
        <v>1</v>
      </c>
      <c r="AB250" s="595">
        <v>8</v>
      </c>
      <c r="AC250" s="572">
        <f t="shared" si="170"/>
      </c>
      <c r="AD250" s="623" t="s">
        <v>399</v>
      </c>
      <c r="AE250" s="646" t="s">
        <v>400</v>
      </c>
      <c r="AF250" s="624">
        <v>23</v>
      </c>
    </row>
    <row r="251">
      <c r="A251" s="613"/>
      <c r="B251" s="626" t="s">
        <v>388</v>
      </c>
      <c r="C251" s="626"/>
      <c r="D251" s="627">
        <f>SUM(D248:D250)</f>
      </c>
      <c r="E251" s="628">
        <f>SUM(E248:E250)</f>
      </c>
      <c r="F251" s="628">
        <f>SUM(F248:F250)</f>
      </c>
      <c r="G251" s="627">
        <f>SUM(G248:G250)</f>
      </c>
      <c r="H251" s="629">
        <f t="shared" si="146"/>
      </c>
      <c r="I251" s="629">
        <f t="shared" si="85"/>
      </c>
      <c r="J251" s="629">
        <f t="shared" si="265"/>
      </c>
      <c r="K251" s="629">
        <f t="shared" si="203"/>
      </c>
      <c r="L251" s="629">
        <f t="shared" si="331"/>
      </c>
      <c r="M251" s="630">
        <f t="shared" si="298"/>
      </c>
      <c r="N251" s="630">
        <f t="shared" si="22"/>
      </c>
      <c r="O251" s="630">
        <f t="shared" si="361"/>
      </c>
      <c r="P251" s="630">
        <f t="shared" si="115"/>
      </c>
      <c r="Q251" s="597">
        <f t="shared" si="52"/>
      </c>
      <c r="R251" s="630">
        <f>AVERAGE(R248:R250)</f>
      </c>
      <c r="S251" s="627">
        <f>AVERAGE(S248:S250)</f>
      </c>
      <c r="T251" s="629">
        <f t="shared" si="233"/>
      </c>
      <c r="U251" s="597">
        <f>SUM(U248:U250)</f>
      </c>
      <c r="V251" s="597">
        <f>SUM(V248:V250)</f>
      </c>
      <c r="W251" s="597">
        <f>SUM(W248:W250)</f>
      </c>
      <c r="X251" s="597">
        <f>SUM(X248:X250)</f>
      </c>
      <c r="Y251" s="597">
        <f>SUM(Y248:Y250)</f>
      </c>
      <c r="Z251" s="597">
        <f>SUM(Z248:Z250)</f>
      </c>
      <c r="AA251" s="597">
        <f>SUM(AA248:AA250)</f>
      </c>
      <c r="AB251" s="597">
        <f>SUM(AB248:AB250)</f>
      </c>
      <c r="AC251" s="647">
        <f t="shared" si="170"/>
      </c>
      <c r="AD251" s="631"/>
      <c r="AE251" s="631"/>
      <c r="AF251" s="632">
        <f>SUM(AF248:AF250)</f>
      </c>
    </row>
    <row r="252">
      <c r="A252" s="613"/>
      <c r="B252" s="614" t="s">
        <v>381</v>
      </c>
      <c r="C252" s="614" t="s">
        <v>387</v>
      </c>
      <c r="D252" s="615">
        <v>1818.78</v>
      </c>
      <c r="E252" s="616">
        <v>3</v>
      </c>
      <c r="F252" s="616">
        <v>3</v>
      </c>
      <c r="G252" s="643">
        <v>2088.8999999999996</v>
      </c>
      <c r="H252" s="617">
        <f t="shared" si="146"/>
      </c>
      <c r="I252" s="617">
        <f t="shared" si="85"/>
      </c>
      <c r="J252" s="617">
        <f t="shared" si="265"/>
      </c>
      <c r="K252" s="617">
        <f t="shared" si="203"/>
      </c>
      <c r="L252" s="617">
        <f t="shared" si="331"/>
      </c>
      <c r="M252" s="618">
        <f t="shared" si="298"/>
      </c>
      <c r="N252" s="618">
        <f t="shared" si="22"/>
      </c>
      <c r="O252" s="619">
        <f t="shared" si="361"/>
      </c>
      <c r="P252" s="619">
        <f t="shared" si="115"/>
      </c>
      <c r="Q252" s="595">
        <f t="shared" si="52"/>
      </c>
      <c r="R252" s="620">
        <v>0.0168</v>
      </c>
      <c r="S252" s="621">
        <v>30</v>
      </c>
      <c r="T252" s="622">
        <f t="shared" si="233"/>
      </c>
      <c r="U252" s="595">
        <v>11014</v>
      </c>
      <c r="V252" s="595">
        <v>1096</v>
      </c>
      <c r="W252" s="595">
        <v>60</v>
      </c>
      <c r="X252" s="595">
        <v>1785</v>
      </c>
      <c r="Y252" s="595">
        <v>32</v>
      </c>
      <c r="Z252" s="595">
        <v>8</v>
      </c>
      <c r="AA252" s="595">
        <v>4</v>
      </c>
      <c r="AB252" s="595">
        <v>8</v>
      </c>
      <c r="AC252" s="572">
        <f t="shared" si="170"/>
      </c>
      <c r="AD252" s="623" t="s">
        <v>399</v>
      </c>
      <c r="AE252" s="646" t="s">
        <v>400</v>
      </c>
      <c r="AF252" s="624">
        <v>19</v>
      </c>
    </row>
    <row r="253">
      <c r="A253" s="613"/>
      <c r="B253" s="614" t="s">
        <v>381</v>
      </c>
      <c r="C253" s="614" t="s">
        <v>390</v>
      </c>
      <c r="D253" s="615">
        <v>2068.7</v>
      </c>
      <c r="E253" s="616">
        <v>6</v>
      </c>
      <c r="F253" s="616">
        <v>5</v>
      </c>
      <c r="G253" s="643">
        <v>5085.299999999999</v>
      </c>
      <c r="H253" s="617">
        <f t="shared" si="146"/>
      </c>
      <c r="I253" s="617">
        <f t="shared" si="85"/>
      </c>
      <c r="J253" s="617">
        <f t="shared" si="265"/>
      </c>
      <c r="K253" s="617">
        <f t="shared" si="203"/>
      </c>
      <c r="L253" s="617">
        <f t="shared" si="331"/>
      </c>
      <c r="M253" s="618">
        <f t="shared" si="298"/>
      </c>
      <c r="N253" s="618">
        <f t="shared" si="22"/>
      </c>
      <c r="O253" s="619">
        <f t="shared" si="361"/>
      </c>
      <c r="P253" s="619">
        <f t="shared" si="115"/>
      </c>
      <c r="Q253" s="595">
        <f t="shared" si="52"/>
      </c>
      <c r="R253" s="620">
        <v>0.0128</v>
      </c>
      <c r="S253" s="621">
        <v>30</v>
      </c>
      <c r="T253" s="622">
        <f t="shared" si="233"/>
      </c>
      <c r="U253" s="595">
        <v>12009</v>
      </c>
      <c r="V253" s="595">
        <v>1120</v>
      </c>
      <c r="W253" s="595">
        <v>64</v>
      </c>
      <c r="X253" s="595">
        <v>1885</v>
      </c>
      <c r="Y253" s="595">
        <v>53</v>
      </c>
      <c r="Z253" s="595">
        <v>7</v>
      </c>
      <c r="AA253" s="595">
        <v>3</v>
      </c>
      <c r="AB253" s="595">
        <v>11</v>
      </c>
      <c r="AC253" s="572">
        <f t="shared" si="170"/>
      </c>
      <c r="AD253" s="623" t="s">
        <v>399</v>
      </c>
      <c r="AE253" s="646" t="s">
        <v>400</v>
      </c>
      <c r="AF253" s="624">
        <v>24</v>
      </c>
    </row>
    <row r="254">
      <c r="A254" s="613"/>
      <c r="B254" s="614" t="s">
        <v>381</v>
      </c>
      <c r="C254" s="614" t="s">
        <v>391</v>
      </c>
      <c r="D254" s="615">
        <v>1800.4</v>
      </c>
      <c r="E254" s="616">
        <v>1</v>
      </c>
      <c r="F254" s="616">
        <v>1</v>
      </c>
      <c r="G254" s="643">
        <v>856.9000000000015</v>
      </c>
      <c r="H254" s="617">
        <f t="shared" si="146"/>
      </c>
      <c r="I254" s="617">
        <f t="shared" si="85"/>
      </c>
      <c r="J254" s="617">
        <f t="shared" si="265"/>
      </c>
      <c r="K254" s="617">
        <f t="shared" si="203"/>
      </c>
      <c r="L254" s="617">
        <f t="shared" si="331"/>
      </c>
      <c r="M254" s="618">
        <f t="shared" si="298"/>
      </c>
      <c r="N254" s="618">
        <f t="shared" si="22"/>
      </c>
      <c r="O254" s="619">
        <f t="shared" si="361"/>
      </c>
      <c r="P254" s="619">
        <f t="shared" si="115"/>
      </c>
      <c r="Q254" s="595">
        <f t="shared" si="52"/>
      </c>
      <c r="R254" s="620">
        <v>0.0122</v>
      </c>
      <c r="S254" s="621">
        <v>29</v>
      </c>
      <c r="T254" s="622">
        <f t="shared" si="233"/>
      </c>
      <c r="U254" s="595">
        <v>11054</v>
      </c>
      <c r="V254" s="595">
        <v>1100</v>
      </c>
      <c r="W254" s="595">
        <v>54</v>
      </c>
      <c r="X254" s="595">
        <v>1854</v>
      </c>
      <c r="Y254" s="595">
        <v>43</v>
      </c>
      <c r="Z254" s="595">
        <v>6</v>
      </c>
      <c r="AA254" s="595">
        <v>1</v>
      </c>
      <c r="AB254" s="595">
        <v>9</v>
      </c>
      <c r="AC254" s="572">
        <f t="shared" si="170"/>
      </c>
      <c r="AD254" s="623" t="s">
        <v>399</v>
      </c>
      <c r="AE254" s="646" t="s">
        <v>400</v>
      </c>
      <c r="AF254" s="624">
        <v>16</v>
      </c>
    </row>
    <row r="255">
      <c r="A255" s="613"/>
      <c r="B255" s="626" t="s">
        <v>388</v>
      </c>
      <c r="C255" s="626"/>
      <c r="D255" s="627">
        <f>SUM(D252:D254)</f>
      </c>
      <c r="E255" s="628">
        <f>SUM(E252:E254)</f>
      </c>
      <c r="F255" s="628">
        <f>SUM(F252:F254)</f>
      </c>
      <c r="G255" s="627">
        <f>SUM(G252:G254)</f>
      </c>
      <c r="H255" s="629">
        <f t="shared" si="146"/>
      </c>
      <c r="I255" s="629">
        <f t="shared" si="85"/>
      </c>
      <c r="J255" s="629">
        <f t="shared" si="265"/>
      </c>
      <c r="K255" s="629">
        <f t="shared" si="203"/>
      </c>
      <c r="L255" s="629">
        <f t="shared" si="331"/>
      </c>
      <c r="M255" s="630">
        <f t="shared" si="298"/>
      </c>
      <c r="N255" s="630">
        <f t="shared" si="22"/>
      </c>
      <c r="O255" s="630">
        <f t="shared" si="361"/>
      </c>
      <c r="P255" s="630">
        <f t="shared" si="115"/>
      </c>
      <c r="Q255" s="597">
        <f t="shared" si="52"/>
      </c>
      <c r="R255" s="630">
        <f>AVERAGE(R252:R254)</f>
      </c>
      <c r="S255" s="627">
        <f>AVERAGE(S252:S254)</f>
      </c>
      <c r="T255" s="629">
        <f t="shared" si="233"/>
      </c>
      <c r="U255" s="597">
        <f>SUM(U252:U254)</f>
      </c>
      <c r="V255" s="597">
        <f>SUM(V252:V254)</f>
      </c>
      <c r="W255" s="597">
        <f>SUM(W252:W254)</f>
      </c>
      <c r="X255" s="597">
        <f>SUM(X252:X254)</f>
      </c>
      <c r="Y255" s="597">
        <f>SUM(Y252:Y254)</f>
      </c>
      <c r="Z255" s="597">
        <f>SUM(Z252:Z254)</f>
      </c>
      <c r="AA255" s="597">
        <f>SUM(AA252:AA254)</f>
      </c>
      <c r="AB255" s="597">
        <f>SUM(AB252:AB254)</f>
      </c>
      <c r="AC255" s="647">
        <f t="shared" si="170"/>
      </c>
      <c r="AD255" s="631"/>
      <c r="AE255" s="631"/>
      <c r="AF255" s="597">
        <f>SUM(AF252:AF254)</f>
      </c>
    </row>
    <row r="256">
      <c r="A256" s="613"/>
      <c r="B256" s="614" t="s">
        <v>414</v>
      </c>
      <c r="C256" s="614" t="s">
        <v>392</v>
      </c>
      <c r="D256" s="615">
        <v>1652.75</v>
      </c>
      <c r="E256" s="616">
        <v>5</v>
      </c>
      <c r="F256" s="616">
        <v>4</v>
      </c>
      <c r="G256" s="643">
        <v>4712.399999999998</v>
      </c>
      <c r="H256" s="617">
        <f t="shared" si="146"/>
      </c>
      <c r="I256" s="617">
        <f t="shared" si="85"/>
      </c>
      <c r="J256" s="617">
        <f t="shared" si="265"/>
      </c>
      <c r="K256" s="617">
        <f t="shared" si="203"/>
      </c>
      <c r="L256" s="617">
        <f t="shared" si="331"/>
      </c>
      <c r="M256" s="618">
        <f t="shared" si="298"/>
      </c>
      <c r="N256" s="618">
        <f t="shared" si="22"/>
      </c>
      <c r="O256" s="619">
        <f t="shared" si="361"/>
      </c>
      <c r="P256" s="619">
        <f t="shared" si="115"/>
      </c>
      <c r="Q256" s="595">
        <f t="shared" si="52"/>
      </c>
      <c r="R256" s="620">
        <v>0.0163</v>
      </c>
      <c r="S256" s="621">
        <v>30</v>
      </c>
      <c r="T256" s="622">
        <f t="shared" si="233"/>
      </c>
      <c r="U256" s="595">
        <v>9087</v>
      </c>
      <c r="V256" s="595">
        <v>1059</v>
      </c>
      <c r="W256" s="595">
        <v>61</v>
      </c>
      <c r="X256" s="595">
        <v>1728</v>
      </c>
      <c r="Y256" s="595">
        <v>61</v>
      </c>
      <c r="Z256" s="595">
        <v>7</v>
      </c>
      <c r="AA256" s="595">
        <v>1</v>
      </c>
      <c r="AB256" s="595">
        <v>5</v>
      </c>
      <c r="AC256" s="572">
        <f t="shared" si="170"/>
      </c>
      <c r="AD256" s="623" t="s">
        <v>399</v>
      </c>
      <c r="AE256" s="646" t="s">
        <v>400</v>
      </c>
      <c r="AF256" s="624">
        <v>25</v>
      </c>
    </row>
    <row r="257">
      <c r="A257" s="613"/>
      <c r="B257" s="614" t="s">
        <v>414</v>
      </c>
      <c r="C257" s="614" t="s">
        <v>393</v>
      </c>
      <c r="D257" s="643">
        <v>1024.26</v>
      </c>
      <c r="E257" s="616">
        <v>2</v>
      </c>
      <c r="F257" s="616">
        <v>2</v>
      </c>
      <c r="G257" s="643">
        <v>902</v>
      </c>
      <c r="H257" s="617">
        <f t="shared" si="146"/>
      </c>
      <c r="I257" s="617">
        <f t="shared" si="85"/>
      </c>
      <c r="J257" s="617">
        <f t="shared" si="265"/>
      </c>
      <c r="K257" s="617">
        <f t="shared" si="203"/>
      </c>
      <c r="L257" s="617">
        <f t="shared" si="331"/>
      </c>
      <c r="M257" s="618">
        <f t="shared" si="298"/>
      </c>
      <c r="N257" s="618">
        <f t="shared" si="22"/>
      </c>
      <c r="O257" s="619">
        <f t="shared" si="361"/>
      </c>
      <c r="P257" s="619">
        <f t="shared" si="115"/>
      </c>
      <c r="Q257" s="595">
        <f t="shared" si="52"/>
      </c>
      <c r="R257" s="620">
        <v>0.013</v>
      </c>
      <c r="S257" s="621">
        <v>31</v>
      </c>
      <c r="T257" s="622">
        <f t="shared" si="233"/>
      </c>
      <c r="U257" s="595">
        <v>6276</v>
      </c>
      <c r="V257" s="595">
        <v>668</v>
      </c>
      <c r="W257" s="595">
        <v>34</v>
      </c>
      <c r="X257" s="595">
        <v>1132</v>
      </c>
      <c r="Y257" s="595">
        <v>38</v>
      </c>
      <c r="Z257" s="595">
        <v>5</v>
      </c>
      <c r="AA257" s="595">
        <v>0</v>
      </c>
      <c r="AB257" s="595">
        <v>6</v>
      </c>
      <c r="AC257" s="572">
        <f t="shared" si="170"/>
      </c>
      <c r="AD257" s="623" t="s">
        <v>399</v>
      </c>
      <c r="AE257" s="646" t="s">
        <v>400</v>
      </c>
      <c r="AF257" s="624">
        <v>11</v>
      </c>
    </row>
    <row r="258">
      <c r="A258" s="613"/>
      <c r="B258" s="626" t="s">
        <v>388</v>
      </c>
      <c r="C258" s="626"/>
      <c r="D258" s="627">
        <f>D256+D257</f>
      </c>
      <c r="E258" s="628">
        <f>E256+E257</f>
      </c>
      <c r="F258" s="628">
        <f>F256+F257</f>
      </c>
      <c r="G258" s="627">
        <f>G256+G257</f>
      </c>
      <c r="H258" s="629">
        <f t="shared" si="146"/>
      </c>
      <c r="I258" s="629">
        <f t="shared" si="85"/>
      </c>
      <c r="J258" s="629">
        <f t="shared" si="265"/>
      </c>
      <c r="K258" s="629">
        <f t="shared" si="203"/>
      </c>
      <c r="L258" s="629">
        <f t="shared" si="331"/>
      </c>
      <c r="M258" s="630">
        <f t="shared" si="298"/>
      </c>
      <c r="N258" s="630">
        <f t="shared" si="22"/>
      </c>
      <c r="O258" s="630">
        <f t="shared" si="361"/>
      </c>
      <c r="P258" s="630">
        <f t="shared" si="115"/>
      </c>
      <c r="Q258" s="597">
        <f t="shared" si="52"/>
      </c>
      <c r="R258" s="630">
        <f>AVERAGE(R255:R257)</f>
      </c>
      <c r="S258" s="627">
        <f>AVERAGE(S255:S257)</f>
      </c>
      <c r="T258" s="629">
        <f t="shared" si="233"/>
      </c>
      <c r="U258" s="597">
        <f>U256+U257</f>
      </c>
      <c r="V258" s="597">
        <f>V256+V257</f>
      </c>
      <c r="W258" s="597">
        <f>W256+W257</f>
      </c>
      <c r="X258" s="597">
        <f>X256+X257</f>
      </c>
      <c r="Y258" s="597">
        <f>Y256+Y257</f>
      </c>
      <c r="Z258" s="597">
        <f>Z256+Z257</f>
      </c>
      <c r="AA258" s="597">
        <f>AA256+AA257</f>
      </c>
      <c r="AB258" s="597">
        <f>AB256+AB257</f>
      </c>
      <c r="AC258" s="647">
        <f t="shared" si="170"/>
      </c>
      <c r="AD258" s="631"/>
      <c r="AE258" s="631"/>
      <c r="AF258" s="597">
        <f>AF256+AF257</f>
      </c>
    </row>
    <row r="259">
      <c r="A259" s="613"/>
      <c r="B259" s="642" t="s">
        <v>394</v>
      </c>
      <c r="C259" s="642"/>
      <c r="D259" s="634">
        <f>D251+D255+D258</f>
      </c>
      <c r="E259" s="635">
        <f>E251+E255+E258</f>
      </c>
      <c r="F259" s="635">
        <f>F251+F255+F258</f>
      </c>
      <c r="G259" s="634">
        <f>G251+G255+G258</f>
      </c>
      <c r="H259" s="636">
        <f t="shared" si="146"/>
      </c>
      <c r="I259" s="636">
        <f t="shared" si="85"/>
      </c>
      <c r="J259" s="636">
        <f t="shared" si="265"/>
      </c>
      <c r="K259" s="636">
        <f t="shared" si="203"/>
      </c>
      <c r="L259" s="636">
        <f t="shared" si="331"/>
      </c>
      <c r="M259" s="637">
        <f t="shared" si="298"/>
      </c>
      <c r="N259" s="637">
        <f t="shared" si="22"/>
      </c>
      <c r="O259" s="637">
        <f t="shared" si="361"/>
      </c>
      <c r="P259" s="637">
        <f t="shared" si="115"/>
      </c>
      <c r="Q259" s="645">
        <f t="shared" si="52"/>
      </c>
      <c r="R259" s="637">
        <f>(R251+R255)/2</f>
      </c>
      <c r="S259" s="634">
        <f>(S255+S251)/2</f>
      </c>
      <c r="T259" s="634">
        <f t="shared" si="233"/>
      </c>
      <c r="U259" s="645">
        <f>U251+U255+U258</f>
      </c>
      <c r="V259" s="645">
        <f>V251+V255+V258</f>
      </c>
      <c r="W259" s="645">
        <f>W251+W255+W258</f>
      </c>
      <c r="X259" s="645">
        <f>X251+X255+X258</f>
      </c>
      <c r="Y259" s="645">
        <f>Y251+Y255+Y258</f>
      </c>
      <c r="Z259" s="645">
        <f>Z251+Z255+Z258</f>
      </c>
      <c r="AA259" s="645">
        <f>AA251+AA255+AA258</f>
      </c>
      <c r="AB259" s="645">
        <f>AB251+AB255+AB258</f>
      </c>
      <c r="AC259" s="636">
        <f>AC251</f>
      </c>
      <c r="AD259" s="642"/>
      <c r="AE259" s="642"/>
      <c r="AF259" s="645">
        <f>AF251+AF255+AF258</f>
      </c>
    </row>
    <row r="260">
      <c r="A260" s="599" t="s">
        <v>395</v>
      </c>
      <c r="B260" s="599" t="s">
        <v>346</v>
      </c>
      <c r="C260" s="599"/>
      <c r="D260" s="600" t="s">
        <v>347</v>
      </c>
      <c r="E260" s="600"/>
      <c r="F260" s="600"/>
      <c r="G260" s="600"/>
      <c r="H260" s="600"/>
      <c r="I260" s="600"/>
      <c r="J260" s="600"/>
      <c r="K260" s="600"/>
      <c r="L260" s="601" t="s">
        <v>348</v>
      </c>
      <c r="M260" s="601"/>
      <c r="N260" s="601"/>
      <c r="O260" s="601"/>
      <c r="P260" s="601"/>
      <c r="Q260" s="601"/>
      <c r="R260" s="601"/>
      <c r="S260" s="601"/>
      <c r="T260" s="601"/>
      <c r="U260" s="601"/>
      <c r="V260" s="601"/>
      <c r="W260" s="601"/>
      <c r="X260" s="601"/>
      <c r="Y260" s="601"/>
      <c r="Z260" s="601"/>
      <c r="AA260" s="601"/>
      <c r="AB260" s="601"/>
      <c r="AC260" s="601"/>
      <c r="AD260" s="601"/>
      <c r="AE260" s="601"/>
      <c r="AF260" s="602"/>
    </row>
    <row r="261">
      <c r="A261" s="599"/>
      <c r="B261" s="603" t="s">
        <v>349</v>
      </c>
      <c r="C261" s="603" t="s">
        <v>350</v>
      </c>
      <c r="D261" s="604" t="s">
        <v>351</v>
      </c>
      <c r="E261" s="605" t="s">
        <v>352</v>
      </c>
      <c r="F261" s="605" t="s">
        <v>353</v>
      </c>
      <c r="G261" s="604" t="s">
        <v>354</v>
      </c>
      <c r="H261" s="606" t="s">
        <v>355</v>
      </c>
      <c r="I261" s="606" t="s">
        <v>356</v>
      </c>
      <c r="J261" s="606" t="s">
        <v>357</v>
      </c>
      <c r="K261" s="606" t="s">
        <v>358</v>
      </c>
      <c r="L261" s="607" t="s">
        <v>359</v>
      </c>
      <c r="M261" s="608" t="s">
        <v>360</v>
      </c>
      <c r="N261" s="608" t="s">
        <v>361</v>
      </c>
      <c r="O261" s="608" t="s">
        <v>362</v>
      </c>
      <c r="P261" s="608" t="s">
        <v>363</v>
      </c>
      <c r="Q261" s="609" t="s">
        <v>364</v>
      </c>
      <c r="R261" s="608" t="s">
        <v>365</v>
      </c>
      <c r="S261" s="609" t="s">
        <v>366</v>
      </c>
      <c r="T261" s="610" t="s">
        <v>367</v>
      </c>
      <c r="U261" s="611" t="s">
        <v>368</v>
      </c>
      <c r="V261" s="611" t="s">
        <v>369</v>
      </c>
      <c r="W261" s="611" t="s">
        <v>370</v>
      </c>
      <c r="X261" s="611" t="s">
        <v>371</v>
      </c>
      <c r="Y261" s="611" t="s">
        <v>372</v>
      </c>
      <c r="Z261" s="611" t="s">
        <v>373</v>
      </c>
      <c r="AA261" s="611" t="s">
        <v>374</v>
      </c>
      <c r="AB261" s="611" t="s">
        <v>375</v>
      </c>
      <c r="AC261" s="601" t="s">
        <v>376</v>
      </c>
      <c r="AD261" s="612" t="s">
        <v>377</v>
      </c>
      <c r="AE261" s="612" t="s">
        <v>378</v>
      </c>
      <c r="AF261" s="602" t="s">
        <v>379</v>
      </c>
    </row>
    <row r="262">
      <c r="A262" s="613" t="s">
        <v>420</v>
      </c>
      <c r="B262" s="614" t="s">
        <v>389</v>
      </c>
      <c r="C262" s="614" t="s">
        <v>382</v>
      </c>
      <c r="D262" s="615">
        <v>3000</v>
      </c>
      <c r="E262" s="616">
        <v>8</v>
      </c>
      <c r="F262" s="616">
        <v>5</v>
      </c>
      <c r="G262" s="615">
        <v>4419.8</v>
      </c>
      <c r="H262" s="617">
        <f t="shared" ref="H262:H272" si="147">G262/D262</f>
      </c>
      <c r="I262" s="617">
        <f t="shared" ref="I262:I272" si="86">D262/E262</f>
      </c>
      <c r="J262" s="617">
        <f t="shared" ref="J262:J272" si="266">D262/F262</f>
      </c>
      <c r="K262" s="617">
        <f t="shared" ref="K262:K272" si="204">G262/E262</f>
      </c>
      <c r="L262" s="617">
        <f t="shared" ref="L262:L272" si="332">D262/V262</f>
      </c>
      <c r="M262" s="618">
        <f t="shared" ref="M262:M272" si="299">Q262/U262*1</f>
      </c>
      <c r="N262" s="618">
        <f t="shared" ref="N262:N272" si="23">V262/U262</f>
      </c>
      <c r="O262" s="619">
        <f t="shared" ref="O262:O272" si="362">X262/U262</f>
      </c>
      <c r="P262" s="619">
        <f t="shared" ref="P262:P272" si="116">Y262/X262</f>
      </c>
      <c r="Q262" s="595">
        <f t="shared" ref="Q262:Q272" si="53">W262/R262</f>
      </c>
      <c r="R262" s="620">
        <v>0.0185</v>
      </c>
      <c r="S262" s="621">
        <v>39</v>
      </c>
      <c r="T262" s="622">
        <f t="shared" ref="T262:T272" si="234">(D262/U262)*1000</f>
      </c>
      <c r="U262" s="595">
        <v>15159</v>
      </c>
      <c r="V262" s="595">
        <v>1300</v>
      </c>
      <c r="W262" s="595">
        <v>98</v>
      </c>
      <c r="X262" s="595">
        <v>2049</v>
      </c>
      <c r="Y262" s="595">
        <v>92</v>
      </c>
      <c r="Z262" s="595">
        <v>13</v>
      </c>
      <c r="AA262" s="595">
        <v>1</v>
      </c>
      <c r="AB262" s="595">
        <v>10</v>
      </c>
      <c r="AC262" s="572">
        <f t="shared" ref="AC262:AC271" si="171">AF262*1000/D262</f>
      </c>
      <c r="AD262" s="623" t="s">
        <v>399</v>
      </c>
      <c r="AE262" s="646" t="s">
        <v>400</v>
      </c>
      <c r="AF262" s="624">
        <v>41</v>
      </c>
    </row>
    <row r="263">
      <c r="A263" s="613"/>
      <c r="B263" s="614" t="s">
        <v>389</v>
      </c>
      <c r="C263" s="614" t="s">
        <v>385</v>
      </c>
      <c r="D263" s="615">
        <v>1996.81</v>
      </c>
      <c r="E263" s="616">
        <v>9</v>
      </c>
      <c r="F263" s="616">
        <v>6</v>
      </c>
      <c r="G263" s="615">
        <v>8261</v>
      </c>
      <c r="H263" s="617">
        <f t="shared" si="147"/>
      </c>
      <c r="I263" s="617">
        <f t="shared" si="86"/>
      </c>
      <c r="J263" s="617">
        <f t="shared" si="266"/>
      </c>
      <c r="K263" s="617">
        <f t="shared" si="204"/>
      </c>
      <c r="L263" s="617">
        <f t="shared" si="332"/>
      </c>
      <c r="M263" s="618">
        <f t="shared" si="299"/>
      </c>
      <c r="N263" s="618">
        <f t="shared" si="23"/>
      </c>
      <c r="O263" s="619">
        <f t="shared" si="362"/>
      </c>
      <c r="P263" s="619">
        <f t="shared" si="116"/>
      </c>
      <c r="Q263" s="595">
        <f t="shared" si="53"/>
      </c>
      <c r="R263" s="620">
        <v>0.0157</v>
      </c>
      <c r="S263" s="621">
        <v>39</v>
      </c>
      <c r="T263" s="622">
        <f t="shared" si="234"/>
      </c>
      <c r="U263" s="595">
        <v>10839</v>
      </c>
      <c r="V263" s="595">
        <v>704</v>
      </c>
      <c r="W263" s="595">
        <v>58</v>
      </c>
      <c r="X263" s="595">
        <v>1194</v>
      </c>
      <c r="Y263" s="595">
        <v>89</v>
      </c>
      <c r="Z263" s="595">
        <v>12</v>
      </c>
      <c r="AA263" s="595">
        <v>1</v>
      </c>
      <c r="AB263" s="595">
        <v>3</v>
      </c>
      <c r="AC263" s="572">
        <f t="shared" si="171"/>
      </c>
      <c r="AD263" s="623" t="s">
        <v>399</v>
      </c>
      <c r="AE263" s="646" t="s">
        <v>400</v>
      </c>
      <c r="AF263" s="624">
        <v>33</v>
      </c>
    </row>
    <row r="264">
      <c r="A264" s="613"/>
      <c r="B264" s="614" t="s">
        <v>389</v>
      </c>
      <c r="C264" s="614" t="s">
        <v>386</v>
      </c>
      <c r="D264" s="615">
        <v>2049.81</v>
      </c>
      <c r="E264" s="616">
        <v>4</v>
      </c>
      <c r="F264" s="616">
        <v>4</v>
      </c>
      <c r="G264" s="615">
        <v>3570.5999999999985</v>
      </c>
      <c r="H264" s="617">
        <f t="shared" si="147"/>
      </c>
      <c r="I264" s="617">
        <f t="shared" si="86"/>
      </c>
      <c r="J264" s="617">
        <f t="shared" si="266"/>
      </c>
      <c r="K264" s="617">
        <f t="shared" si="204"/>
      </c>
      <c r="L264" s="617">
        <f t="shared" si="332"/>
      </c>
      <c r="M264" s="618">
        <f t="shared" si="299"/>
      </c>
      <c r="N264" s="618">
        <f t="shared" si="23"/>
      </c>
      <c r="O264" s="619">
        <f t="shared" si="362"/>
      </c>
      <c r="P264" s="619">
        <f t="shared" si="116"/>
      </c>
      <c r="Q264" s="595">
        <f t="shared" si="53"/>
      </c>
      <c r="R264" s="620">
        <v>0.0183</v>
      </c>
      <c r="S264" s="621">
        <v>37</v>
      </c>
      <c r="T264" s="622">
        <f t="shared" si="234"/>
      </c>
      <c r="U264" s="595">
        <v>11625</v>
      </c>
      <c r="V264" s="595">
        <v>1033</v>
      </c>
      <c r="W264" s="595">
        <v>69</v>
      </c>
      <c r="X264" s="595">
        <v>1968</v>
      </c>
      <c r="Y264" s="595">
        <v>77</v>
      </c>
      <c r="Z264" s="595">
        <v>10</v>
      </c>
      <c r="AA264" s="595">
        <v>4</v>
      </c>
      <c r="AB264" s="595">
        <v>6</v>
      </c>
      <c r="AC264" s="572">
        <f t="shared" si="171"/>
      </c>
      <c r="AD264" s="623" t="s">
        <v>399</v>
      </c>
      <c r="AE264" s="646" t="s">
        <v>400</v>
      </c>
      <c r="AF264" s="624">
        <v>29</v>
      </c>
    </row>
    <row r="265">
      <c r="A265" s="613"/>
      <c r="B265" s="614" t="s">
        <v>389</v>
      </c>
      <c r="C265" s="614" t="s">
        <v>387</v>
      </c>
      <c r="D265" s="615">
        <v>1528.2</v>
      </c>
      <c r="E265" s="616">
        <v>4</v>
      </c>
      <c r="F265" s="616">
        <v>1</v>
      </c>
      <c r="G265" s="615">
        <v>4810.299999999999</v>
      </c>
      <c r="H265" s="617">
        <f t="shared" si="147"/>
      </c>
      <c r="I265" s="617">
        <f t="shared" si="86"/>
      </c>
      <c r="J265" s="617">
        <f t="shared" si="266"/>
      </c>
      <c r="K265" s="617">
        <f t="shared" si="204"/>
      </c>
      <c r="L265" s="617">
        <f t="shared" si="332"/>
      </c>
      <c r="M265" s="618">
        <f t="shared" si="299"/>
      </c>
      <c r="N265" s="618">
        <f t="shared" si="23"/>
      </c>
      <c r="O265" s="619">
        <f t="shared" si="362"/>
      </c>
      <c r="P265" s="619">
        <f t="shared" si="116"/>
      </c>
      <c r="Q265" s="595">
        <f t="shared" si="53"/>
      </c>
      <c r="R265" s="620">
        <v>0.0165</v>
      </c>
      <c r="S265" s="621">
        <v>37</v>
      </c>
      <c r="T265" s="622">
        <f t="shared" si="234"/>
      </c>
      <c r="U265" s="595">
        <v>9678</v>
      </c>
      <c r="V265" s="595">
        <v>820</v>
      </c>
      <c r="W265" s="595">
        <v>51</v>
      </c>
      <c r="X265" s="595">
        <v>1467</v>
      </c>
      <c r="Y265" s="595">
        <v>68</v>
      </c>
      <c r="Z265" s="595">
        <v>9</v>
      </c>
      <c r="AA265" s="595">
        <v>1</v>
      </c>
      <c r="AB265" s="595">
        <v>6</v>
      </c>
      <c r="AC265" s="572">
        <f t="shared" si="171"/>
      </c>
      <c r="AD265" s="623" t="s">
        <v>399</v>
      </c>
      <c r="AE265" s="646" t="s">
        <v>400</v>
      </c>
      <c r="AF265" s="624">
        <v>26</v>
      </c>
    </row>
    <row r="266">
      <c r="A266" s="613"/>
      <c r="B266" s="626" t="s">
        <v>388</v>
      </c>
      <c r="C266" s="626"/>
      <c r="D266" s="627">
        <f>SUM(D262:D265)</f>
      </c>
      <c r="E266" s="628">
        <f>SUM(E262:E265)</f>
      </c>
      <c r="F266" s="628">
        <f>SUM(F262:F265)</f>
      </c>
      <c r="G266" s="627">
        <f>SUM(G262:G265)</f>
      </c>
      <c r="H266" s="629">
        <f t="shared" si="147"/>
      </c>
      <c r="I266" s="629">
        <f t="shared" si="86"/>
      </c>
      <c r="J266" s="629">
        <f t="shared" si="266"/>
      </c>
      <c r="K266" s="629">
        <f t="shared" si="204"/>
      </c>
      <c r="L266" s="629">
        <f t="shared" si="332"/>
      </c>
      <c r="M266" s="630">
        <f t="shared" si="299"/>
      </c>
      <c r="N266" s="630">
        <f t="shared" si="23"/>
      </c>
      <c r="O266" s="630">
        <f t="shared" si="362"/>
      </c>
      <c r="P266" s="630">
        <f t="shared" si="116"/>
      </c>
      <c r="Q266" s="597">
        <f t="shared" si="53"/>
      </c>
      <c r="R266" s="630">
        <f>AVERAGE(R262:R265)</f>
      </c>
      <c r="S266" s="627">
        <f>AVERAGE(S262:S265)</f>
      </c>
      <c r="T266" s="629">
        <f t="shared" si="234"/>
      </c>
      <c r="U266" s="597">
        <f>SUM(U262:U265)</f>
      </c>
      <c r="V266" s="597">
        <f>SUM(V262:V265)</f>
      </c>
      <c r="W266" s="597">
        <f>SUM(W262:W265)</f>
      </c>
      <c r="X266" s="597">
        <f>SUM(X262:X265)</f>
      </c>
      <c r="Y266" s="597">
        <f>SUM(Y262:Y265)</f>
      </c>
      <c r="Z266" s="597">
        <f>SUM(Z262:Z265)</f>
      </c>
      <c r="AA266" s="597">
        <f>SUM(AA262:AA265)</f>
      </c>
      <c r="AB266" s="597">
        <f>SUM(AB262:AB265)</f>
      </c>
      <c r="AC266" s="647">
        <f t="shared" si="171"/>
      </c>
      <c r="AD266" s="631"/>
      <c r="AE266" s="631"/>
      <c r="AF266" s="632">
        <f>SUM(AF262:AF265)</f>
      </c>
    </row>
    <row r="267">
      <c r="A267" s="613"/>
      <c r="B267" s="614" t="s">
        <v>414</v>
      </c>
      <c r="C267" s="614" t="s">
        <v>390</v>
      </c>
      <c r="D267" s="615">
        <v>2029.01</v>
      </c>
      <c r="E267" s="616">
        <v>5</v>
      </c>
      <c r="F267" s="616">
        <v>6</v>
      </c>
      <c r="G267" s="615">
        <v>4040.2999999999993</v>
      </c>
      <c r="H267" s="617">
        <f t="shared" si="147"/>
      </c>
      <c r="I267" s="617">
        <f t="shared" si="86"/>
      </c>
      <c r="J267" s="617">
        <f t="shared" si="266"/>
      </c>
      <c r="K267" s="617">
        <f t="shared" si="204"/>
      </c>
      <c r="L267" s="617">
        <f t="shared" si="332"/>
      </c>
      <c r="M267" s="618">
        <f t="shared" si="299"/>
      </c>
      <c r="N267" s="618">
        <f t="shared" si="23"/>
      </c>
      <c r="O267" s="619">
        <f t="shared" si="362"/>
      </c>
      <c r="P267" s="619">
        <f t="shared" si="116"/>
      </c>
      <c r="Q267" s="595">
        <f t="shared" si="53"/>
      </c>
      <c r="R267" s="620">
        <v>0.0153</v>
      </c>
      <c r="S267" s="621">
        <v>37</v>
      </c>
      <c r="T267" s="622">
        <f t="shared" si="234"/>
      </c>
      <c r="U267" s="595">
        <v>12967</v>
      </c>
      <c r="V267" s="595">
        <v>863</v>
      </c>
      <c r="W267" s="595">
        <v>57</v>
      </c>
      <c r="X267" s="595">
        <v>1441</v>
      </c>
      <c r="Y267" s="595">
        <v>42</v>
      </c>
      <c r="Z267" s="595">
        <v>10</v>
      </c>
      <c r="AA267" s="595">
        <v>2</v>
      </c>
      <c r="AB267" s="595">
        <v>8</v>
      </c>
      <c r="AC267" s="572">
        <f t="shared" si="171"/>
      </c>
      <c r="AD267" s="623" t="s">
        <v>399</v>
      </c>
      <c r="AE267" s="646" t="s">
        <v>400</v>
      </c>
      <c r="AF267" s="624">
        <v>19</v>
      </c>
    </row>
    <row r="268">
      <c r="A268" s="613"/>
      <c r="B268" s="614" t="s">
        <v>414</v>
      </c>
      <c r="C268" s="614" t="s">
        <v>391</v>
      </c>
      <c r="D268" s="615">
        <v>2529.58</v>
      </c>
      <c r="E268" s="616">
        <v>7</v>
      </c>
      <c r="F268" s="616">
        <v>5</v>
      </c>
      <c r="G268" s="615">
        <v>4329.600000000002</v>
      </c>
      <c r="H268" s="617">
        <f t="shared" si="147"/>
      </c>
      <c r="I268" s="617">
        <f t="shared" si="86"/>
      </c>
      <c r="J268" s="617">
        <f t="shared" si="266"/>
      </c>
      <c r="K268" s="617">
        <f t="shared" si="204"/>
      </c>
      <c r="L268" s="617">
        <f t="shared" si="332"/>
      </c>
      <c r="M268" s="618">
        <f t="shared" si="299"/>
      </c>
      <c r="N268" s="618">
        <f t="shared" si="23"/>
      </c>
      <c r="O268" s="619">
        <f t="shared" si="362"/>
      </c>
      <c r="P268" s="619">
        <f t="shared" si="116"/>
      </c>
      <c r="Q268" s="595">
        <f t="shared" si="53"/>
      </c>
      <c r="R268" s="620">
        <v>0.0163</v>
      </c>
      <c r="S268" s="621">
        <v>37</v>
      </c>
      <c r="T268" s="622">
        <f t="shared" si="234"/>
      </c>
      <c r="U268" s="595">
        <v>20394</v>
      </c>
      <c r="V268" s="595">
        <v>1166</v>
      </c>
      <c r="W268" s="595">
        <v>78</v>
      </c>
      <c r="X268" s="595">
        <v>1780</v>
      </c>
      <c r="Y268" s="595">
        <v>81</v>
      </c>
      <c r="Z268" s="595">
        <v>12</v>
      </c>
      <c r="AA268" s="595">
        <v>2</v>
      </c>
      <c r="AB268" s="595">
        <v>13</v>
      </c>
      <c r="AC268" s="572">
        <f t="shared" si="171"/>
      </c>
      <c r="AD268" s="623" t="s">
        <v>399</v>
      </c>
      <c r="AE268" s="646" t="s">
        <v>400</v>
      </c>
      <c r="AF268" s="624">
        <v>41</v>
      </c>
    </row>
    <row r="269">
      <c r="A269" s="613"/>
      <c r="B269" s="614" t="s">
        <v>414</v>
      </c>
      <c r="C269" s="614" t="s">
        <v>392</v>
      </c>
      <c r="D269" s="615">
        <v>1914.62</v>
      </c>
      <c r="E269" s="616">
        <v>2</v>
      </c>
      <c r="F269" s="616">
        <v>0</v>
      </c>
      <c r="G269" s="615">
        <v>1307.8999999999978</v>
      </c>
      <c r="H269" s="617">
        <f t="shared" si="147"/>
      </c>
      <c r="I269" s="617">
        <f t="shared" si="86"/>
      </c>
      <c r="J269" s="617">
        <f t="shared" si="266"/>
      </c>
      <c r="K269" s="617">
        <f t="shared" si="204"/>
      </c>
      <c r="L269" s="617">
        <f t="shared" si="332"/>
      </c>
      <c r="M269" s="618">
        <f t="shared" si="299"/>
      </c>
      <c r="N269" s="618">
        <f t="shared" si="23"/>
      </c>
      <c r="O269" s="619">
        <f t="shared" si="362"/>
      </c>
      <c r="P269" s="619">
        <f t="shared" si="116"/>
      </c>
      <c r="Q269" s="595">
        <f t="shared" si="53"/>
      </c>
      <c r="R269" s="620">
        <v>0.0164</v>
      </c>
      <c r="S269" s="621">
        <v>37</v>
      </c>
      <c r="T269" s="622">
        <f t="shared" si="234"/>
      </c>
      <c r="U269" s="595">
        <v>15517</v>
      </c>
      <c r="V269" s="595">
        <v>1094</v>
      </c>
      <c r="W269" s="595">
        <v>73</v>
      </c>
      <c r="X269" s="595">
        <v>1662</v>
      </c>
      <c r="Y269" s="595">
        <v>48</v>
      </c>
      <c r="Z269" s="595">
        <v>13</v>
      </c>
      <c r="AA269" s="595">
        <v>0</v>
      </c>
      <c r="AB269" s="595">
        <v>7</v>
      </c>
      <c r="AC269" s="572">
        <f t="shared" si="171"/>
      </c>
      <c r="AD269" s="623" t="s">
        <v>399</v>
      </c>
      <c r="AE269" s="646" t="s">
        <v>400</v>
      </c>
      <c r="AF269" s="624">
        <v>19</v>
      </c>
    </row>
    <row r="270">
      <c r="A270" s="613"/>
      <c r="B270" s="614" t="s">
        <v>414</v>
      </c>
      <c r="C270" s="614" t="s">
        <v>393</v>
      </c>
      <c r="D270" s="615">
        <v>788.26</v>
      </c>
      <c r="E270" s="616">
        <v>4</v>
      </c>
      <c r="F270" s="616">
        <v>4</v>
      </c>
      <c r="G270" s="643">
        <v>6068.700000000008</v>
      </c>
      <c r="H270" s="617">
        <f t="shared" si="147"/>
      </c>
      <c r="I270" s="617">
        <f t="shared" si="86"/>
      </c>
      <c r="J270" s="617">
        <f t="shared" si="266"/>
      </c>
      <c r="K270" s="617">
        <f t="shared" si="204"/>
      </c>
      <c r="L270" s="617">
        <f t="shared" si="332"/>
      </c>
      <c r="M270" s="618">
        <f t="shared" si="299"/>
      </c>
      <c r="N270" s="618">
        <f t="shared" si="23"/>
      </c>
      <c r="O270" s="619">
        <f t="shared" si="362"/>
      </c>
      <c r="P270" s="619">
        <f t="shared" si="116"/>
      </c>
      <c r="Q270" s="595">
        <f t="shared" si="53"/>
      </c>
      <c r="R270" s="620">
        <v>0.0235</v>
      </c>
      <c r="S270" s="621">
        <v>39</v>
      </c>
      <c r="T270" s="622">
        <f t="shared" si="234"/>
      </c>
      <c r="U270" s="595">
        <v>6838</v>
      </c>
      <c r="V270" s="595">
        <v>519</v>
      </c>
      <c r="W270" s="595">
        <v>49</v>
      </c>
      <c r="X270" s="595">
        <v>832</v>
      </c>
      <c r="Y270" s="595">
        <v>64</v>
      </c>
      <c r="Z270" s="595">
        <v>2</v>
      </c>
      <c r="AA270" s="595">
        <v>2</v>
      </c>
      <c r="AB270" s="595">
        <v>1</v>
      </c>
      <c r="AC270" s="572">
        <f t="shared" si="171"/>
      </c>
      <c r="AD270" s="623" t="s">
        <v>399</v>
      </c>
      <c r="AE270" s="646" t="s">
        <v>400</v>
      </c>
      <c r="AF270" s="624">
        <v>15</v>
      </c>
    </row>
    <row r="271">
      <c r="A271" s="613"/>
      <c r="B271" s="626" t="s">
        <v>388</v>
      </c>
      <c r="C271" s="626"/>
      <c r="D271" s="627">
        <f>SUM(D267:D270)</f>
      </c>
      <c r="E271" s="628">
        <f>SUM(E267:E270)</f>
      </c>
      <c r="F271" s="628">
        <f>SUM(F267:F270)</f>
      </c>
      <c r="G271" s="627">
        <f>SUM(G267:G270)</f>
      </c>
      <c r="H271" s="629">
        <f t="shared" si="147"/>
      </c>
      <c r="I271" s="629">
        <f t="shared" si="86"/>
      </c>
      <c r="J271" s="629">
        <f t="shared" si="266"/>
      </c>
      <c r="K271" s="629">
        <f t="shared" si="204"/>
      </c>
      <c r="L271" s="629">
        <f t="shared" si="332"/>
      </c>
      <c r="M271" s="630">
        <f t="shared" si="299"/>
      </c>
      <c r="N271" s="630">
        <f t="shared" si="23"/>
      </c>
      <c r="O271" s="630">
        <f t="shared" si="362"/>
      </c>
      <c r="P271" s="630">
        <f t="shared" si="116"/>
      </c>
      <c r="Q271" s="597">
        <f t="shared" si="53"/>
      </c>
      <c r="R271" s="630">
        <f>AVERAGE(R267:R270)</f>
      </c>
      <c r="S271" s="627">
        <f>AVERAGE(S267:S270)</f>
      </c>
      <c r="T271" s="629">
        <f t="shared" si="234"/>
      </c>
      <c r="U271" s="597">
        <f>SUM(U267:U270)</f>
      </c>
      <c r="V271" s="597">
        <f>SUM(V267:V270)</f>
      </c>
      <c r="W271" s="597">
        <f>SUM(W267:W270)</f>
      </c>
      <c r="X271" s="597">
        <f>SUM(X267:X270)</f>
      </c>
      <c r="Y271" s="597">
        <f>SUM(Y267:Y270)</f>
      </c>
      <c r="Z271" s="597">
        <f>SUM(Z267:Z270)</f>
      </c>
      <c r="AA271" s="597">
        <f>SUM(AA267:AA270)</f>
      </c>
      <c r="AB271" s="597">
        <f>SUM(AB267:AB270)</f>
      </c>
      <c r="AC271" s="647">
        <f t="shared" si="171"/>
      </c>
      <c r="AD271" s="631"/>
      <c r="AE271" s="631"/>
      <c r="AF271" s="597">
        <f>SUM(AF267:AF270)</f>
      </c>
    </row>
    <row r="272">
      <c r="A272" s="613"/>
      <c r="B272" s="642" t="s">
        <v>394</v>
      </c>
      <c r="C272" s="642"/>
      <c r="D272" s="634">
        <f>D266+D271</f>
      </c>
      <c r="E272" s="635">
        <f>E266+E271</f>
      </c>
      <c r="F272" s="635">
        <f>F266+F271</f>
      </c>
      <c r="G272" s="634">
        <f>G266+G271</f>
      </c>
      <c r="H272" s="636">
        <f t="shared" si="147"/>
      </c>
      <c r="I272" s="636">
        <f t="shared" si="86"/>
      </c>
      <c r="J272" s="636">
        <f t="shared" si="266"/>
      </c>
      <c r="K272" s="636">
        <f t="shared" si="204"/>
      </c>
      <c r="L272" s="636">
        <f t="shared" si="332"/>
      </c>
      <c r="M272" s="637">
        <f t="shared" si="299"/>
      </c>
      <c r="N272" s="637">
        <f t="shared" si="23"/>
      </c>
      <c r="O272" s="637">
        <f t="shared" si="362"/>
      </c>
      <c r="P272" s="637">
        <f t="shared" si="116"/>
      </c>
      <c r="Q272" s="645">
        <f t="shared" si="53"/>
      </c>
      <c r="R272" s="637">
        <f>(R266+R271)/2</f>
      </c>
      <c r="S272" s="634">
        <f>(S271+S266)/2</f>
      </c>
      <c r="T272" s="634">
        <f t="shared" si="234"/>
      </c>
      <c r="U272" s="645">
        <f>U266+U271</f>
      </c>
      <c r="V272" s="645">
        <f>V266+V271</f>
      </c>
      <c r="W272" s="645">
        <f>W266+W271</f>
      </c>
      <c r="X272" s="645">
        <f>X266+X271</f>
      </c>
      <c r="Y272" s="645">
        <f>Y266+Y271</f>
      </c>
      <c r="Z272" s="645">
        <f>Z266+Z271</f>
      </c>
      <c r="AA272" s="645">
        <f>AA266+AA271</f>
      </c>
      <c r="AB272" s="645">
        <f>AB266+AB271</f>
      </c>
      <c r="AC272" s="636">
        <f>AC266</f>
      </c>
      <c r="AD272" s="642"/>
      <c r="AE272" s="642"/>
      <c r="AF272" s="645">
        <f>AF266+AF271</f>
      </c>
    </row>
    <row r="273">
      <c r="A273" s="599" t="s">
        <v>395</v>
      </c>
      <c r="B273" s="599" t="s">
        <v>346</v>
      </c>
      <c r="C273" s="599"/>
      <c r="D273" s="600" t="s">
        <v>347</v>
      </c>
      <c r="E273" s="600"/>
      <c r="F273" s="600"/>
      <c r="G273" s="600"/>
      <c r="H273" s="600"/>
      <c r="I273" s="600"/>
      <c r="J273" s="600"/>
      <c r="K273" s="600"/>
      <c r="L273" s="601" t="s">
        <v>348</v>
      </c>
      <c r="M273" s="601"/>
      <c r="N273" s="601"/>
      <c r="O273" s="601"/>
      <c r="P273" s="601"/>
      <c r="Q273" s="601"/>
      <c r="R273" s="601"/>
      <c r="S273" s="601"/>
      <c r="T273" s="601"/>
      <c r="U273" s="601"/>
      <c r="V273" s="601"/>
      <c r="W273" s="601"/>
      <c r="X273" s="601"/>
      <c r="Y273" s="601"/>
      <c r="Z273" s="601"/>
      <c r="AA273" s="601"/>
      <c r="AB273" s="601"/>
      <c r="AC273" s="601"/>
      <c r="AD273" s="601"/>
      <c r="AE273" s="601"/>
      <c r="AF273" s="602"/>
    </row>
    <row r="274">
      <c r="A274" s="599"/>
      <c r="B274" s="603" t="s">
        <v>349</v>
      </c>
      <c r="C274" s="603" t="s">
        <v>350</v>
      </c>
      <c r="D274" s="604" t="s">
        <v>351</v>
      </c>
      <c r="E274" s="605" t="s">
        <v>352</v>
      </c>
      <c r="F274" s="605" t="s">
        <v>353</v>
      </c>
      <c r="G274" s="604" t="s">
        <v>354</v>
      </c>
      <c r="H274" s="606" t="s">
        <v>355</v>
      </c>
      <c r="I274" s="606" t="s">
        <v>356</v>
      </c>
      <c r="J274" s="606" t="s">
        <v>357</v>
      </c>
      <c r="K274" s="606" t="s">
        <v>358</v>
      </c>
      <c r="L274" s="607" t="s">
        <v>359</v>
      </c>
      <c r="M274" s="608" t="s">
        <v>360</v>
      </c>
      <c r="N274" s="608" t="s">
        <v>361</v>
      </c>
      <c r="O274" s="608" t="s">
        <v>362</v>
      </c>
      <c r="P274" s="608" t="s">
        <v>363</v>
      </c>
      <c r="Q274" s="609" t="s">
        <v>364</v>
      </c>
      <c r="R274" s="608" t="s">
        <v>365</v>
      </c>
      <c r="S274" s="609" t="s">
        <v>366</v>
      </c>
      <c r="T274" s="610" t="s">
        <v>367</v>
      </c>
      <c r="U274" s="611" t="s">
        <v>368</v>
      </c>
      <c r="V274" s="611" t="s">
        <v>369</v>
      </c>
      <c r="W274" s="611" t="s">
        <v>370</v>
      </c>
      <c r="X274" s="611" t="s">
        <v>371</v>
      </c>
      <c r="Y274" s="611" t="s">
        <v>372</v>
      </c>
      <c r="Z274" s="611" t="s">
        <v>373</v>
      </c>
      <c r="AA274" s="611" t="s">
        <v>374</v>
      </c>
      <c r="AB274" s="611" t="s">
        <v>375</v>
      </c>
      <c r="AC274" s="601" t="s">
        <v>376</v>
      </c>
      <c r="AD274" s="612" t="s">
        <v>377</v>
      </c>
      <c r="AE274" s="612" t="s">
        <v>378</v>
      </c>
      <c r="AF274" s="602" t="s">
        <v>379</v>
      </c>
    </row>
    <row r="275">
      <c r="A275" s="613" t="s">
        <v>421</v>
      </c>
      <c r="B275" s="614" t="s">
        <v>389</v>
      </c>
      <c r="C275" s="614" t="s">
        <v>382</v>
      </c>
      <c r="D275" s="615">
        <v>2761.49</v>
      </c>
      <c r="E275" s="616">
        <v>8</v>
      </c>
      <c r="F275" s="616">
        <v>7</v>
      </c>
      <c r="G275" s="615">
        <v>5723.3</v>
      </c>
      <c r="H275" s="617">
        <f t="shared" ref="H275:H285" si="148">G275/D275</f>
      </c>
      <c r="I275" s="617">
        <f t="shared" ref="I275:I285" si="87">D275/E275</f>
      </c>
      <c r="J275" s="617">
        <f t="shared" ref="J275:J285" si="267">D275/F275</f>
      </c>
      <c r="K275" s="617">
        <f t="shared" ref="K275:K285" si="205">G275/E275</f>
      </c>
      <c r="L275" s="617">
        <f t="shared" ref="L275:L285" si="333">D275/V275</f>
      </c>
      <c r="M275" s="618">
        <f t="shared" ref="M275:M285" si="300">Q275/U275*1</f>
      </c>
      <c r="N275" s="618">
        <f t="shared" ref="N275:N285" si="24">V275/U275</f>
      </c>
      <c r="O275" s="619">
        <f t="shared" ref="O275:O285" si="363">X275/U275</f>
      </c>
      <c r="P275" s="619">
        <f t="shared" ref="P275:P285" si="117">Y275/X275</f>
      </c>
      <c r="Q275" s="595">
        <f t="shared" ref="Q275:Q285" si="54">W275/R275</f>
      </c>
      <c r="R275" s="620">
        <v>0.0198</v>
      </c>
      <c r="S275" s="621">
        <v>29</v>
      </c>
      <c r="T275" s="622">
        <f t="shared" ref="T275:T285" si="235">(D275/U275)*1000</f>
      </c>
      <c r="U275" s="595">
        <v>13829</v>
      </c>
      <c r="V275" s="595">
        <v>1471</v>
      </c>
      <c r="W275" s="595">
        <v>98</v>
      </c>
      <c r="X275" s="595">
        <v>2167</v>
      </c>
      <c r="Y275" s="595">
        <v>66</v>
      </c>
      <c r="Z275" s="595">
        <v>14</v>
      </c>
      <c r="AA275" s="595">
        <v>2</v>
      </c>
      <c r="AB275" s="595">
        <v>9</v>
      </c>
      <c r="AC275" s="572">
        <f t="shared" ref="AC275:AC284" si="172">AF275*1000/D275</f>
      </c>
      <c r="AD275" s="623" t="s">
        <v>399</v>
      </c>
      <c r="AE275" s="646" t="s">
        <v>400</v>
      </c>
      <c r="AF275" s="624">
        <v>38</v>
      </c>
    </row>
    <row r="276">
      <c r="A276" s="613"/>
      <c r="B276" s="614" t="s">
        <v>389</v>
      </c>
      <c r="C276" s="614" t="s">
        <v>385</v>
      </c>
      <c r="D276" s="615">
        <v>2035.79</v>
      </c>
      <c r="E276" s="616">
        <v>4</v>
      </c>
      <c r="F276" s="616">
        <v>4</v>
      </c>
      <c r="G276" s="615">
        <v>2134</v>
      </c>
      <c r="H276" s="617">
        <f t="shared" si="148"/>
      </c>
      <c r="I276" s="617">
        <f t="shared" si="87"/>
      </c>
      <c r="J276" s="617">
        <f t="shared" si="267"/>
      </c>
      <c r="K276" s="617">
        <f t="shared" si="205"/>
      </c>
      <c r="L276" s="617">
        <f t="shared" si="333"/>
      </c>
      <c r="M276" s="618">
        <f t="shared" si="300"/>
      </c>
      <c r="N276" s="618">
        <f t="shared" si="24"/>
      </c>
      <c r="O276" s="619">
        <f t="shared" si="363"/>
      </c>
      <c r="P276" s="619">
        <f t="shared" si="117"/>
      </c>
      <c r="Q276" s="595">
        <f t="shared" si="54"/>
      </c>
      <c r="R276" s="620">
        <v>0.0199</v>
      </c>
      <c r="S276" s="621">
        <v>30</v>
      </c>
      <c r="T276" s="622">
        <f t="shared" si="235"/>
      </c>
      <c r="U276" s="595">
        <v>10908</v>
      </c>
      <c r="V276" s="595">
        <v>1081</v>
      </c>
      <c r="W276" s="595">
        <v>90</v>
      </c>
      <c r="X276" s="595">
        <v>1615</v>
      </c>
      <c r="Y276" s="595">
        <v>92</v>
      </c>
      <c r="Z276" s="595">
        <v>8</v>
      </c>
      <c r="AA276" s="595">
        <v>4</v>
      </c>
      <c r="AB276" s="595">
        <v>7</v>
      </c>
      <c r="AC276" s="572">
        <f t="shared" si="172"/>
      </c>
      <c r="AD276" s="623" t="s">
        <v>399</v>
      </c>
      <c r="AE276" s="646" t="s">
        <v>400</v>
      </c>
      <c r="AF276" s="624">
        <v>42</v>
      </c>
    </row>
    <row r="277">
      <c r="A277" s="613"/>
      <c r="B277" s="614" t="s">
        <v>389</v>
      </c>
      <c r="C277" s="614" t="s">
        <v>386</v>
      </c>
      <c r="D277" s="615">
        <v>2468.92</v>
      </c>
      <c r="E277" s="616">
        <v>4</v>
      </c>
      <c r="F277" s="616">
        <v>4</v>
      </c>
      <c r="G277" s="615">
        <v>2133.999999999999</v>
      </c>
      <c r="H277" s="617">
        <f t="shared" si="148"/>
      </c>
      <c r="I277" s="617">
        <f t="shared" si="87"/>
      </c>
      <c r="J277" s="617">
        <f t="shared" si="267"/>
      </c>
      <c r="K277" s="617">
        <f t="shared" si="205"/>
      </c>
      <c r="L277" s="617">
        <f t="shared" si="333"/>
      </c>
      <c r="M277" s="618">
        <f t="shared" si="300"/>
      </c>
      <c r="N277" s="618">
        <f t="shared" si="24"/>
      </c>
      <c r="O277" s="619">
        <f t="shared" si="363"/>
      </c>
      <c r="P277" s="619">
        <f t="shared" si="117"/>
      </c>
      <c r="Q277" s="595">
        <f t="shared" si="54"/>
      </c>
      <c r="R277" s="620">
        <v>0.0178</v>
      </c>
      <c r="S277" s="621">
        <v>31</v>
      </c>
      <c r="T277" s="622">
        <f t="shared" si="235"/>
      </c>
      <c r="U277" s="595">
        <v>12790</v>
      </c>
      <c r="V277" s="595">
        <v>1470</v>
      </c>
      <c r="W277" s="595">
        <v>88</v>
      </c>
      <c r="X277" s="595">
        <v>2092</v>
      </c>
      <c r="Y277" s="595">
        <v>95</v>
      </c>
      <c r="Z277" s="595">
        <v>12</v>
      </c>
      <c r="AA277" s="595">
        <v>4</v>
      </c>
      <c r="AB277" s="595">
        <v>12</v>
      </c>
      <c r="AC277" s="572">
        <f t="shared" si="172"/>
      </c>
      <c r="AD277" s="623" t="s">
        <v>399</v>
      </c>
      <c r="AE277" s="646" t="s">
        <v>400</v>
      </c>
      <c r="AF277" s="624">
        <v>37</v>
      </c>
    </row>
    <row r="278">
      <c r="A278" s="613"/>
      <c r="B278" s="614" t="s">
        <v>389</v>
      </c>
      <c r="C278" s="614" t="s">
        <v>387</v>
      </c>
      <c r="D278" s="615">
        <v>2640.99</v>
      </c>
      <c r="E278" s="616">
        <v>6</v>
      </c>
      <c r="F278" s="616">
        <v>6</v>
      </c>
      <c r="G278" s="615">
        <v>3036</v>
      </c>
      <c r="H278" s="617">
        <f t="shared" si="148"/>
      </c>
      <c r="I278" s="617">
        <f t="shared" si="87"/>
      </c>
      <c r="J278" s="617">
        <f t="shared" si="267"/>
      </c>
      <c r="K278" s="617">
        <f t="shared" si="205"/>
      </c>
      <c r="L278" s="617">
        <f t="shared" si="333"/>
      </c>
      <c r="M278" s="618">
        <f t="shared" si="300"/>
      </c>
      <c r="N278" s="618">
        <f t="shared" si="24"/>
      </c>
      <c r="O278" s="619">
        <f t="shared" si="363"/>
      </c>
      <c r="P278" s="619">
        <f t="shared" si="117"/>
      </c>
      <c r="Q278" s="595">
        <f t="shared" si="54"/>
      </c>
      <c r="R278" s="620">
        <v>0.0151</v>
      </c>
      <c r="S278" s="621">
        <v>31</v>
      </c>
      <c r="T278" s="622">
        <f t="shared" si="235"/>
      </c>
      <c r="U278" s="595">
        <v>14538</v>
      </c>
      <c r="V278" s="595">
        <v>1478</v>
      </c>
      <c r="W278" s="595">
        <v>84</v>
      </c>
      <c r="X278" s="595">
        <v>2184</v>
      </c>
      <c r="Y278" s="595">
        <v>78</v>
      </c>
      <c r="Z278" s="595">
        <v>10</v>
      </c>
      <c r="AA278" s="595">
        <v>3</v>
      </c>
      <c r="AB278" s="595">
        <v>7</v>
      </c>
      <c r="AC278" s="572">
        <f t="shared" si="172"/>
      </c>
      <c r="AD278" s="623" t="s">
        <v>399</v>
      </c>
      <c r="AE278" s="646" t="s">
        <v>400</v>
      </c>
      <c r="AF278" s="624">
        <v>41</v>
      </c>
    </row>
    <row r="279">
      <c r="A279" s="613"/>
      <c r="B279" s="626" t="s">
        <v>388</v>
      </c>
      <c r="C279" s="626"/>
      <c r="D279" s="627">
        <f>SUM(D275:D278)</f>
      </c>
      <c r="E279" s="628">
        <f>SUM(E275:E278)</f>
      </c>
      <c r="F279" s="628">
        <f>SUM(F275:F278)</f>
      </c>
      <c r="G279" s="627">
        <f>SUM(G275:G278)</f>
      </c>
      <c r="H279" s="629">
        <f t="shared" si="148"/>
      </c>
      <c r="I279" s="629">
        <f t="shared" si="87"/>
      </c>
      <c r="J279" s="629">
        <f t="shared" si="267"/>
      </c>
      <c r="K279" s="629">
        <f t="shared" si="205"/>
      </c>
      <c r="L279" s="629">
        <f t="shared" si="333"/>
      </c>
      <c r="M279" s="630">
        <f t="shared" si="300"/>
      </c>
      <c r="N279" s="630">
        <f t="shared" si="24"/>
      </c>
      <c r="O279" s="630">
        <f t="shared" si="363"/>
      </c>
      <c r="P279" s="630">
        <f t="shared" si="117"/>
      </c>
      <c r="Q279" s="597">
        <f t="shared" si="54"/>
      </c>
      <c r="R279" s="630">
        <f>AVERAGE(R275:R278)</f>
      </c>
      <c r="S279" s="627">
        <f>AVERAGE(S275:S278)</f>
      </c>
      <c r="T279" s="629">
        <f t="shared" si="235"/>
      </c>
      <c r="U279" s="597">
        <f>SUM(U275:U278)</f>
      </c>
      <c r="V279" s="597">
        <f>SUM(V275:V278)</f>
      </c>
      <c r="W279" s="597">
        <f>SUM(W275:W278)</f>
      </c>
      <c r="X279" s="597">
        <f>SUM(X275:X278)</f>
      </c>
      <c r="Y279" s="597">
        <f>SUM(Y275:Y278)</f>
      </c>
      <c r="Z279" s="597">
        <f>SUM(Z275:Z278)</f>
      </c>
      <c r="AA279" s="597">
        <f>SUM(AA275:AA278)</f>
      </c>
      <c r="AB279" s="597">
        <f>SUM(AB275:AB278)</f>
      </c>
      <c r="AC279" s="647">
        <f t="shared" si="172"/>
      </c>
      <c r="AD279" s="631"/>
      <c r="AE279" s="631"/>
      <c r="AF279" s="632">
        <f>SUM(AF275:AF278)</f>
      </c>
    </row>
    <row r="280">
      <c r="A280" s="613"/>
      <c r="B280" s="614" t="s">
        <v>414</v>
      </c>
      <c r="C280" s="614" t="s">
        <v>390</v>
      </c>
      <c r="D280" s="615">
        <v>3441.5</v>
      </c>
      <c r="E280" s="616">
        <v>7</v>
      </c>
      <c r="F280" s="616">
        <v>6</v>
      </c>
      <c r="G280" s="615">
        <v>4569.399999999998</v>
      </c>
      <c r="H280" s="617">
        <f t="shared" si="148"/>
      </c>
      <c r="I280" s="617">
        <f t="shared" si="87"/>
      </c>
      <c r="J280" s="617">
        <f t="shared" si="267"/>
      </c>
      <c r="K280" s="617">
        <f t="shared" si="205"/>
      </c>
      <c r="L280" s="617">
        <f t="shared" si="333"/>
      </c>
      <c r="M280" s="618">
        <f t="shared" si="300"/>
      </c>
      <c r="N280" s="618">
        <f t="shared" si="24"/>
      </c>
      <c r="O280" s="619">
        <f t="shared" si="363"/>
      </c>
      <c r="P280" s="619">
        <f t="shared" si="117"/>
      </c>
      <c r="Q280" s="595">
        <f t="shared" si="54"/>
      </c>
      <c r="R280" s="620">
        <v>0.0176</v>
      </c>
      <c r="S280" s="621">
        <v>33</v>
      </c>
      <c r="T280" s="622">
        <f t="shared" si="235"/>
      </c>
      <c r="U280" s="595">
        <v>21702</v>
      </c>
      <c r="V280" s="595">
        <v>1566</v>
      </c>
      <c r="W280" s="595">
        <v>109</v>
      </c>
      <c r="X280" s="595">
        <v>2305</v>
      </c>
      <c r="Y280" s="595">
        <v>116</v>
      </c>
      <c r="Z280" s="595">
        <v>15</v>
      </c>
      <c r="AA280" s="595">
        <v>2</v>
      </c>
      <c r="AB280" s="595">
        <v>20</v>
      </c>
      <c r="AC280" s="572">
        <f t="shared" si="172"/>
      </c>
      <c r="AD280" s="623" t="s">
        <v>399</v>
      </c>
      <c r="AE280" s="646" t="s">
        <v>400</v>
      </c>
      <c r="AF280" s="624">
        <v>39</v>
      </c>
    </row>
    <row r="281">
      <c r="A281" s="613"/>
      <c r="B281" s="614" t="s">
        <v>414</v>
      </c>
      <c r="C281" s="614" t="s">
        <v>391</v>
      </c>
      <c r="D281" s="615">
        <v>4470.69</v>
      </c>
      <c r="E281" s="616">
        <v>12</v>
      </c>
      <c r="F281" s="616">
        <v>11</v>
      </c>
      <c r="G281" s="615">
        <v>8650.400000000001</v>
      </c>
      <c r="H281" s="617">
        <f t="shared" si="148"/>
      </c>
      <c r="I281" s="617">
        <f t="shared" si="87"/>
      </c>
      <c r="J281" s="617">
        <f t="shared" si="267"/>
      </c>
      <c r="K281" s="617">
        <f t="shared" si="205"/>
      </c>
      <c r="L281" s="617">
        <f t="shared" si="333"/>
      </c>
      <c r="M281" s="618">
        <f t="shared" si="300"/>
      </c>
      <c r="N281" s="618">
        <f t="shared" si="24"/>
      </c>
      <c r="O281" s="619">
        <f t="shared" si="363"/>
      </c>
      <c r="P281" s="619">
        <f t="shared" si="117"/>
      </c>
      <c r="Q281" s="595">
        <f t="shared" si="54"/>
      </c>
      <c r="R281" s="620">
        <v>0.0138</v>
      </c>
      <c r="S281" s="621">
        <v>34</v>
      </c>
      <c r="T281" s="622">
        <f t="shared" si="235"/>
      </c>
      <c r="U281" s="595">
        <v>30874</v>
      </c>
      <c r="V281" s="595">
        <v>2307</v>
      </c>
      <c r="W281" s="595">
        <v>137</v>
      </c>
      <c r="X281" s="595">
        <v>3171</v>
      </c>
      <c r="Y281" s="595">
        <v>169</v>
      </c>
      <c r="Z281" s="595">
        <v>21</v>
      </c>
      <c r="AA281" s="595">
        <v>2</v>
      </c>
      <c r="AB281" s="595">
        <v>30</v>
      </c>
      <c r="AC281" s="572">
        <f t="shared" si="172"/>
      </c>
      <c r="AD281" s="623" t="s">
        <v>399</v>
      </c>
      <c r="AE281" s="646" t="s">
        <v>400</v>
      </c>
      <c r="AF281" s="624">
        <v>50</v>
      </c>
    </row>
    <row r="282">
      <c r="A282" s="613"/>
      <c r="B282" s="614" t="s">
        <v>414</v>
      </c>
      <c r="C282" s="614" t="s">
        <v>392</v>
      </c>
      <c r="D282" s="615">
        <v>5446.99</v>
      </c>
      <c r="E282" s="616">
        <v>8</v>
      </c>
      <c r="F282" s="616">
        <v>7</v>
      </c>
      <c r="G282" s="615">
        <v>6003.800000000003</v>
      </c>
      <c r="H282" s="617">
        <f t="shared" si="148"/>
      </c>
      <c r="I282" s="617">
        <f t="shared" si="87"/>
      </c>
      <c r="J282" s="617">
        <f t="shared" si="267"/>
      </c>
      <c r="K282" s="617">
        <f t="shared" si="205"/>
      </c>
      <c r="L282" s="617">
        <f t="shared" si="333"/>
      </c>
      <c r="M282" s="618">
        <f t="shared" si="300"/>
      </c>
      <c r="N282" s="618">
        <f t="shared" si="24"/>
      </c>
      <c r="O282" s="619">
        <f t="shared" si="363"/>
      </c>
      <c r="P282" s="619">
        <f t="shared" si="117"/>
      </c>
      <c r="Q282" s="595">
        <f t="shared" si="54"/>
      </c>
      <c r="R282" s="620">
        <v>0.0106</v>
      </c>
      <c r="S282" s="621">
        <v>34</v>
      </c>
      <c r="T282" s="622">
        <f t="shared" si="235"/>
      </c>
      <c r="U282" s="595">
        <v>35561</v>
      </c>
      <c r="V282" s="595">
        <v>2724</v>
      </c>
      <c r="W282" s="595">
        <v>153</v>
      </c>
      <c r="X282" s="595">
        <v>3630</v>
      </c>
      <c r="Y282" s="595">
        <v>113</v>
      </c>
      <c r="Z282" s="595">
        <v>15</v>
      </c>
      <c r="AA282" s="595">
        <v>3</v>
      </c>
      <c r="AB282" s="595">
        <v>35</v>
      </c>
      <c r="AC282" s="572">
        <f t="shared" si="172"/>
      </c>
      <c r="AD282" s="623" t="s">
        <v>399</v>
      </c>
      <c r="AE282" s="646" t="s">
        <v>400</v>
      </c>
      <c r="AF282" s="624">
        <v>42</v>
      </c>
    </row>
    <row r="283">
      <c r="A283" s="613"/>
      <c r="B283" s="614" t="s">
        <v>414</v>
      </c>
      <c r="C283" s="614" t="s">
        <v>393</v>
      </c>
      <c r="D283" s="615">
        <v>2701.83</v>
      </c>
      <c r="E283" s="616">
        <v>5</v>
      </c>
      <c r="F283" s="616">
        <v>6</v>
      </c>
      <c r="G283" s="643">
        <v>3648.699999999997</v>
      </c>
      <c r="H283" s="617">
        <f t="shared" si="148"/>
      </c>
      <c r="I283" s="617">
        <f t="shared" si="87"/>
      </c>
      <c r="J283" s="617">
        <f t="shared" si="267"/>
      </c>
      <c r="K283" s="617">
        <f t="shared" si="205"/>
      </c>
      <c r="L283" s="617">
        <f t="shared" si="333"/>
      </c>
      <c r="M283" s="618">
        <f t="shared" si="300"/>
      </c>
      <c r="N283" s="618">
        <f t="shared" si="24"/>
      </c>
      <c r="O283" s="619">
        <f t="shared" si="363"/>
      </c>
      <c r="P283" s="619">
        <f t="shared" si="117"/>
      </c>
      <c r="Q283" s="595">
        <f t="shared" si="54"/>
      </c>
      <c r="R283" s="620">
        <v>0.0086</v>
      </c>
      <c r="S283" s="621">
        <v>35</v>
      </c>
      <c r="T283" s="622">
        <f t="shared" si="235"/>
      </c>
      <c r="U283" s="595">
        <v>20966</v>
      </c>
      <c r="V283" s="595">
        <v>1757</v>
      </c>
      <c r="W283" s="595">
        <v>82</v>
      </c>
      <c r="X283" s="595">
        <v>2288</v>
      </c>
      <c r="Y283" s="595">
        <v>90</v>
      </c>
      <c r="Z283" s="595">
        <v>10</v>
      </c>
      <c r="AA283" s="595">
        <v>1</v>
      </c>
      <c r="AB283" s="595">
        <v>16</v>
      </c>
      <c r="AC283" s="572">
        <f t="shared" si="172"/>
      </c>
      <c r="AD283" s="623" t="s">
        <v>399</v>
      </c>
      <c r="AE283" s="646" t="s">
        <v>400</v>
      </c>
      <c r="AF283" s="624">
        <v>31</v>
      </c>
    </row>
    <row r="284">
      <c r="A284" s="613"/>
      <c r="B284" s="626" t="s">
        <v>388</v>
      </c>
      <c r="C284" s="626"/>
      <c r="D284" s="627">
        <f>SUM(D280:D283)</f>
      </c>
      <c r="E284" s="628">
        <f>SUM(E280:E283)</f>
      </c>
      <c r="F284" s="628">
        <f>SUM(F280:F283)</f>
      </c>
      <c r="G284" s="627">
        <f>SUM(G280:G283)</f>
      </c>
      <c r="H284" s="629">
        <f t="shared" si="148"/>
      </c>
      <c r="I284" s="629">
        <f t="shared" si="87"/>
      </c>
      <c r="J284" s="629">
        <f t="shared" si="267"/>
      </c>
      <c r="K284" s="629">
        <f t="shared" si="205"/>
      </c>
      <c r="L284" s="629">
        <f t="shared" si="333"/>
      </c>
      <c r="M284" s="630">
        <f t="shared" si="300"/>
      </c>
      <c r="N284" s="630">
        <f t="shared" si="24"/>
      </c>
      <c r="O284" s="630">
        <f t="shared" si="363"/>
      </c>
      <c r="P284" s="630">
        <f t="shared" si="117"/>
      </c>
      <c r="Q284" s="597">
        <f t="shared" si="54"/>
      </c>
      <c r="R284" s="630">
        <f>AVERAGE(R280:R283)</f>
      </c>
      <c r="S284" s="627">
        <f>AVERAGE(S280:S283)</f>
      </c>
      <c r="T284" s="629">
        <f t="shared" si="235"/>
      </c>
      <c r="U284" s="597">
        <f>SUM(U280:U283)</f>
      </c>
      <c r="V284" s="597">
        <f>SUM(V280:V283)</f>
      </c>
      <c r="W284" s="597">
        <f>SUM(W280:W283)</f>
      </c>
      <c r="X284" s="597">
        <f>SUM(X280:X283)</f>
      </c>
      <c r="Y284" s="597">
        <f>SUM(Y280:Y283)</f>
      </c>
      <c r="Z284" s="597">
        <f>SUM(Z280:Z283)</f>
      </c>
      <c r="AA284" s="597">
        <f>SUM(AA280:AA283)</f>
      </c>
      <c r="AB284" s="597">
        <f>SUM(AB280:AB283)</f>
      </c>
      <c r="AC284" s="647">
        <f t="shared" si="172"/>
      </c>
      <c r="AD284" s="631"/>
      <c r="AE284" s="631"/>
      <c r="AF284" s="597">
        <f>SUM(AF280:AF283)</f>
      </c>
    </row>
    <row r="285">
      <c r="A285" s="613"/>
      <c r="B285" s="642" t="s">
        <v>394</v>
      </c>
      <c r="C285" s="642"/>
      <c r="D285" s="634">
        <f>D279+D284</f>
      </c>
      <c r="E285" s="635">
        <f>E279+E284</f>
      </c>
      <c r="F285" s="635">
        <f>F279+F284</f>
      </c>
      <c r="G285" s="634">
        <f>G279+G284</f>
      </c>
      <c r="H285" s="636">
        <f t="shared" si="148"/>
      </c>
      <c r="I285" s="636">
        <f t="shared" si="87"/>
      </c>
      <c r="J285" s="636">
        <f t="shared" si="267"/>
      </c>
      <c r="K285" s="636">
        <f t="shared" si="205"/>
      </c>
      <c r="L285" s="636">
        <f t="shared" si="333"/>
      </c>
      <c r="M285" s="637">
        <f t="shared" si="300"/>
      </c>
      <c r="N285" s="637">
        <f t="shared" si="24"/>
      </c>
      <c r="O285" s="637">
        <f t="shared" si="363"/>
      </c>
      <c r="P285" s="637">
        <f t="shared" si="117"/>
      </c>
      <c r="Q285" s="645">
        <f t="shared" si="54"/>
      </c>
      <c r="R285" s="637">
        <f>(R279+R284)/2</f>
      </c>
      <c r="S285" s="634">
        <f>(S284+S279)/2</f>
      </c>
      <c r="T285" s="634">
        <f t="shared" si="235"/>
      </c>
      <c r="U285" s="645">
        <f>U279+U284</f>
      </c>
      <c r="V285" s="645">
        <f>V279+V284</f>
      </c>
      <c r="W285" s="645">
        <f>W279+W284</f>
      </c>
      <c r="X285" s="645">
        <f>X279+X284</f>
      </c>
      <c r="Y285" s="645">
        <f>Y279+Y284</f>
      </c>
      <c r="Z285" s="645">
        <f>Z279+Z284</f>
      </c>
      <c r="AA285" s="645">
        <f>AA279+AA284</f>
      </c>
      <c r="AB285" s="645">
        <f>AB279+AB284</f>
      </c>
      <c r="AC285" s="636">
        <f>AC279</f>
      </c>
      <c r="AD285" s="642"/>
      <c r="AE285" s="642"/>
      <c r="AF285" s="645">
        <f>AF279+AF284</f>
      </c>
    </row>
    <row r="286">
      <c r="A286" s="599" t="s">
        <v>395</v>
      </c>
      <c r="B286" s="599" t="s">
        <v>346</v>
      </c>
      <c r="C286" s="599"/>
      <c r="D286" s="600" t="s">
        <v>347</v>
      </c>
      <c r="E286" s="600"/>
      <c r="F286" s="600"/>
      <c r="G286" s="600"/>
      <c r="H286" s="600"/>
      <c r="I286" s="600"/>
      <c r="J286" s="600"/>
      <c r="K286" s="600"/>
      <c r="L286" s="601" t="s">
        <v>348</v>
      </c>
      <c r="M286" s="601"/>
      <c r="N286" s="601"/>
      <c r="O286" s="601"/>
      <c r="P286" s="601"/>
      <c r="Q286" s="601"/>
      <c r="R286" s="601"/>
      <c r="S286" s="601"/>
      <c r="T286" s="601"/>
      <c r="U286" s="601"/>
      <c r="V286" s="601"/>
      <c r="W286" s="601"/>
      <c r="X286" s="601"/>
      <c r="Y286" s="601"/>
      <c r="Z286" s="601"/>
      <c r="AA286" s="601"/>
      <c r="AB286" s="601"/>
      <c r="AC286" s="601"/>
      <c r="AD286" s="601"/>
      <c r="AE286" s="601"/>
      <c r="AF286" s="602"/>
    </row>
    <row r="287">
      <c r="A287" s="599"/>
      <c r="B287" s="603" t="s">
        <v>349</v>
      </c>
      <c r="C287" s="603" t="s">
        <v>350</v>
      </c>
      <c r="D287" s="604" t="s">
        <v>351</v>
      </c>
      <c r="E287" s="605" t="s">
        <v>352</v>
      </c>
      <c r="F287" s="605" t="s">
        <v>353</v>
      </c>
      <c r="G287" s="604" t="s">
        <v>354</v>
      </c>
      <c r="H287" s="606" t="s">
        <v>355</v>
      </c>
      <c r="I287" s="606" t="s">
        <v>356</v>
      </c>
      <c r="J287" s="606" t="s">
        <v>357</v>
      </c>
      <c r="K287" s="606" t="s">
        <v>358</v>
      </c>
      <c r="L287" s="607" t="s">
        <v>359</v>
      </c>
      <c r="M287" s="608" t="s">
        <v>360</v>
      </c>
      <c r="N287" s="608" t="s">
        <v>361</v>
      </c>
      <c r="O287" s="608" t="s">
        <v>362</v>
      </c>
      <c r="P287" s="608" t="s">
        <v>363</v>
      </c>
      <c r="Q287" s="609" t="s">
        <v>364</v>
      </c>
      <c r="R287" s="608" t="s">
        <v>365</v>
      </c>
      <c r="S287" s="609" t="s">
        <v>366</v>
      </c>
      <c r="T287" s="610" t="s">
        <v>367</v>
      </c>
      <c r="U287" s="611" t="s">
        <v>368</v>
      </c>
      <c r="V287" s="611" t="s">
        <v>369</v>
      </c>
      <c r="W287" s="611" t="s">
        <v>370</v>
      </c>
      <c r="X287" s="611" t="s">
        <v>371</v>
      </c>
      <c r="Y287" s="611" t="s">
        <v>372</v>
      </c>
      <c r="Z287" s="611" t="s">
        <v>373</v>
      </c>
      <c r="AA287" s="611" t="s">
        <v>374</v>
      </c>
      <c r="AB287" s="611" t="s">
        <v>375</v>
      </c>
      <c r="AC287" s="601" t="s">
        <v>376</v>
      </c>
      <c r="AD287" s="612" t="s">
        <v>377</v>
      </c>
      <c r="AE287" s="612" t="s">
        <v>378</v>
      </c>
      <c r="AF287" s="602" t="s">
        <v>379</v>
      </c>
    </row>
    <row r="288">
      <c r="A288" s="613" t="s">
        <v>422</v>
      </c>
      <c r="B288" s="614" t="s">
        <v>389</v>
      </c>
      <c r="C288" s="614" t="s">
        <v>382</v>
      </c>
      <c r="D288" s="615">
        <v>3000</v>
      </c>
      <c r="E288" s="616">
        <v>2</v>
      </c>
      <c r="F288" s="616">
        <v>2</v>
      </c>
      <c r="G288" s="643">
        <v>902</v>
      </c>
      <c r="H288" s="617">
        <f t="shared" ref="H288:H298" si="149">G288/D288</f>
      </c>
      <c r="I288" s="617">
        <f t="shared" ref="I288:I298" si="88">D288/E288</f>
      </c>
      <c r="J288" s="617">
        <f t="shared" ref="J288:J298" si="268">D288/F288</f>
      </c>
      <c r="K288" s="617">
        <f t="shared" ref="K288:K298" si="206">G288/E288</f>
      </c>
      <c r="L288" s="617">
        <f t="shared" ref="L288:L298" si="334">D288/V288</f>
      </c>
      <c r="M288" s="618">
        <f t="shared" ref="M288:M298" si="301">Q288/U288*1</f>
      </c>
      <c r="N288" s="618">
        <f t="shared" ref="N288:N298" si="25">V288/U288</f>
      </c>
      <c r="O288" s="619">
        <f t="shared" ref="O288:O298" si="364">X288/U288</f>
      </c>
      <c r="P288" s="619">
        <f t="shared" ref="P288:P298" si="118">Y288/X288</f>
      </c>
      <c r="Q288" s="595">
        <f t="shared" ref="Q288:Q298" si="55">W288/R288</f>
      </c>
      <c r="R288" s="620">
        <v>0.0115</v>
      </c>
      <c r="S288" s="621">
        <v>25</v>
      </c>
      <c r="T288" s="622">
        <f t="shared" ref="T288:T298" si="236">(D288/U288)*1000</f>
      </c>
      <c r="U288" s="595">
        <v>17847</v>
      </c>
      <c r="V288" s="595">
        <v>1332</v>
      </c>
      <c r="W288" s="595">
        <v>87</v>
      </c>
      <c r="X288" s="595">
        <v>1882</v>
      </c>
      <c r="Y288" s="595">
        <v>54</v>
      </c>
      <c r="Z288" s="595">
        <v>10</v>
      </c>
      <c r="AA288" s="595">
        <v>5</v>
      </c>
      <c r="AB288" s="595">
        <v>13</v>
      </c>
      <c r="AC288" s="572">
        <f t="shared" ref="AC288:AC297" si="173">AF288*1000/D288</f>
      </c>
      <c r="AD288" s="623" t="s">
        <v>399</v>
      </c>
      <c r="AE288" s="646" t="s">
        <v>400</v>
      </c>
      <c r="AF288" s="624">
        <v>35</v>
      </c>
    </row>
    <row r="289">
      <c r="A289" s="613"/>
      <c r="B289" s="614" t="s">
        <v>389</v>
      </c>
      <c r="C289" s="614" t="s">
        <v>385</v>
      </c>
      <c r="D289" s="615">
        <v>2283.16</v>
      </c>
      <c r="E289" s="616">
        <v>3</v>
      </c>
      <c r="F289" s="616">
        <v>3</v>
      </c>
      <c r="G289" s="615">
        <v>2822.6</v>
      </c>
      <c r="H289" s="617">
        <f t="shared" si="149"/>
      </c>
      <c r="I289" s="617">
        <f t="shared" si="88"/>
      </c>
      <c r="J289" s="617">
        <f t="shared" si="268"/>
      </c>
      <c r="K289" s="617">
        <f t="shared" si="206"/>
      </c>
      <c r="L289" s="617">
        <f t="shared" si="334"/>
      </c>
      <c r="M289" s="618">
        <f t="shared" si="301"/>
      </c>
      <c r="N289" s="618">
        <f t="shared" si="25"/>
      </c>
      <c r="O289" s="619">
        <f t="shared" si="364"/>
      </c>
      <c r="P289" s="619">
        <f t="shared" si="118"/>
      </c>
      <c r="Q289" s="595">
        <f t="shared" si="55"/>
      </c>
      <c r="R289" s="620">
        <v>0.0091</v>
      </c>
      <c r="S289" s="621">
        <v>26</v>
      </c>
      <c r="T289" s="622">
        <f t="shared" si="236"/>
      </c>
      <c r="U289" s="595">
        <v>15580</v>
      </c>
      <c r="V289" s="595">
        <v>1182</v>
      </c>
      <c r="W289" s="595">
        <v>73</v>
      </c>
      <c r="X289" s="595">
        <v>1408</v>
      </c>
      <c r="Y289" s="595">
        <v>52</v>
      </c>
      <c r="Z289" s="595">
        <v>17</v>
      </c>
      <c r="AA289" s="595">
        <v>6</v>
      </c>
      <c r="AB289" s="595">
        <v>5</v>
      </c>
      <c r="AC289" s="572">
        <f t="shared" si="173"/>
      </c>
      <c r="AD289" s="623" t="s">
        <v>399</v>
      </c>
      <c r="AE289" s="646" t="s">
        <v>400</v>
      </c>
      <c r="AF289" s="624">
        <v>34</v>
      </c>
    </row>
    <row r="290">
      <c r="A290" s="613"/>
      <c r="B290" s="614" t="s">
        <v>389</v>
      </c>
      <c r="C290" s="614" t="s">
        <v>386</v>
      </c>
      <c r="D290" s="615">
        <v>1925.8</v>
      </c>
      <c r="E290" s="616">
        <v>5</v>
      </c>
      <c r="F290" s="616">
        <v>4</v>
      </c>
      <c r="G290" s="615">
        <v>7051</v>
      </c>
      <c r="H290" s="617">
        <f t="shared" si="149"/>
      </c>
      <c r="I290" s="617">
        <f t="shared" si="88"/>
      </c>
      <c r="J290" s="617">
        <f t="shared" si="268"/>
      </c>
      <c r="K290" s="617">
        <f t="shared" si="206"/>
      </c>
      <c r="L290" s="617">
        <f t="shared" si="334"/>
      </c>
      <c r="M290" s="618">
        <f t="shared" si="301"/>
      </c>
      <c r="N290" s="618">
        <f t="shared" si="25"/>
      </c>
      <c r="O290" s="619">
        <f t="shared" si="364"/>
      </c>
      <c r="P290" s="619">
        <f t="shared" si="118"/>
      </c>
      <c r="Q290" s="595">
        <f t="shared" si="55"/>
      </c>
      <c r="R290" s="620">
        <v>0.0146</v>
      </c>
      <c r="S290" s="621">
        <v>28</v>
      </c>
      <c r="T290" s="622">
        <f t="shared" si="236"/>
      </c>
      <c r="U290" s="595">
        <v>12248</v>
      </c>
      <c r="V290" s="595">
        <v>1497</v>
      </c>
      <c r="W290" s="595">
        <v>78</v>
      </c>
      <c r="X290" s="595">
        <v>1970</v>
      </c>
      <c r="Y290" s="595">
        <v>87</v>
      </c>
      <c r="Z290" s="595">
        <v>19</v>
      </c>
      <c r="AA290" s="595">
        <v>3</v>
      </c>
      <c r="AB290" s="595">
        <v>9</v>
      </c>
      <c r="AC290" s="572">
        <f t="shared" si="173"/>
      </c>
      <c r="AD290" s="623" t="s">
        <v>399</v>
      </c>
      <c r="AE290" s="646" t="s">
        <v>400</v>
      </c>
      <c r="AF290" s="624">
        <v>46</v>
      </c>
    </row>
    <row r="291">
      <c r="A291" s="613"/>
      <c r="B291" s="614" t="s">
        <v>389</v>
      </c>
      <c r="C291" s="614" t="s">
        <v>387</v>
      </c>
      <c r="D291" s="615">
        <v>1698.84</v>
      </c>
      <c r="E291" s="616">
        <v>6</v>
      </c>
      <c r="F291" s="616">
        <v>5</v>
      </c>
      <c r="G291" s="615">
        <v>3738.8999999999996</v>
      </c>
      <c r="H291" s="617">
        <f t="shared" si="149"/>
      </c>
      <c r="I291" s="617">
        <f t="shared" si="88"/>
      </c>
      <c r="J291" s="617">
        <f t="shared" si="268"/>
      </c>
      <c r="K291" s="617">
        <f t="shared" si="206"/>
      </c>
      <c r="L291" s="617">
        <f t="shared" si="334"/>
      </c>
      <c r="M291" s="618">
        <f t="shared" si="301"/>
      </c>
      <c r="N291" s="618">
        <f t="shared" si="25"/>
      </c>
      <c r="O291" s="619">
        <f t="shared" si="364"/>
      </c>
      <c r="P291" s="619">
        <f t="shared" si="118"/>
      </c>
      <c r="Q291" s="595">
        <f t="shared" si="55"/>
      </c>
      <c r="R291" s="620">
        <v>0.0132</v>
      </c>
      <c r="S291" s="621">
        <v>30</v>
      </c>
      <c r="T291" s="622">
        <f t="shared" si="236"/>
      </c>
      <c r="U291" s="595">
        <v>10430</v>
      </c>
      <c r="V291" s="595">
        <v>1221</v>
      </c>
      <c r="W291" s="595">
        <v>63</v>
      </c>
      <c r="X291" s="595">
        <v>1527</v>
      </c>
      <c r="Y291" s="595">
        <v>78</v>
      </c>
      <c r="Z291" s="595">
        <v>10</v>
      </c>
      <c r="AA291" s="595">
        <v>2</v>
      </c>
      <c r="AB291" s="595">
        <v>2</v>
      </c>
      <c r="AC291" s="572">
        <f t="shared" si="173"/>
      </c>
      <c r="AD291" s="623" t="s">
        <v>399</v>
      </c>
      <c r="AE291" s="646" t="s">
        <v>400</v>
      </c>
      <c r="AF291" s="624">
        <v>33</v>
      </c>
    </row>
    <row r="292">
      <c r="A292" s="613"/>
      <c r="B292" s="626" t="s">
        <v>388</v>
      </c>
      <c r="C292" s="626"/>
      <c r="D292" s="627">
        <f>SUM(D288:D291)</f>
      </c>
      <c r="E292" s="628">
        <f>SUM(E288:E291)</f>
      </c>
      <c r="F292" s="628">
        <f>SUM(F288:F291)</f>
      </c>
      <c r="G292" s="627">
        <f>SUM(G288:G291)</f>
      </c>
      <c r="H292" s="629">
        <f t="shared" si="149"/>
      </c>
      <c r="I292" s="629">
        <f t="shared" si="88"/>
      </c>
      <c r="J292" s="629">
        <f t="shared" si="268"/>
      </c>
      <c r="K292" s="629">
        <f t="shared" si="206"/>
      </c>
      <c r="L292" s="629">
        <f t="shared" si="334"/>
      </c>
      <c r="M292" s="630">
        <f t="shared" si="301"/>
      </c>
      <c r="N292" s="630">
        <f t="shared" si="25"/>
      </c>
      <c r="O292" s="630">
        <f t="shared" si="364"/>
      </c>
      <c r="P292" s="630">
        <f t="shared" si="118"/>
      </c>
      <c r="Q292" s="597">
        <f t="shared" si="55"/>
      </c>
      <c r="R292" s="630">
        <f>AVERAGE(R288:R291)</f>
      </c>
      <c r="S292" s="627">
        <f>AVERAGE(S288:S291)</f>
      </c>
      <c r="T292" s="629">
        <f t="shared" si="236"/>
      </c>
      <c r="U292" s="597">
        <f>SUM(U288:U291)</f>
      </c>
      <c r="V292" s="597">
        <f>SUM(V288:V291)</f>
      </c>
      <c r="W292" s="597">
        <f>SUM(W288:W291)</f>
      </c>
      <c r="X292" s="597">
        <f>SUM(X288:X291)</f>
      </c>
      <c r="Y292" s="597">
        <f>SUM(Y288:Y291)</f>
      </c>
      <c r="Z292" s="597">
        <f>SUM(Z288:Z291)</f>
      </c>
      <c r="AA292" s="597">
        <f>SUM(AA288:AA291)</f>
      </c>
      <c r="AB292" s="597">
        <f>SUM(AB288:AB291)</f>
      </c>
      <c r="AC292" s="647">
        <f t="shared" si="173"/>
      </c>
      <c r="AD292" s="631"/>
      <c r="AE292" s="631"/>
      <c r="AF292" s="632">
        <f>SUM(AF288:AF291)</f>
      </c>
    </row>
    <row r="293">
      <c r="A293" s="613"/>
      <c r="B293" s="614" t="s">
        <v>381</v>
      </c>
      <c r="C293" s="614" t="s">
        <v>390</v>
      </c>
      <c r="D293" s="615">
        <v>1607.34</v>
      </c>
      <c r="E293" s="616">
        <v>3</v>
      </c>
      <c r="F293" s="616">
        <v>2</v>
      </c>
      <c r="G293" s="615">
        <v>4627.700000000001</v>
      </c>
      <c r="H293" s="617">
        <f t="shared" si="149"/>
      </c>
      <c r="I293" s="617">
        <f t="shared" si="88"/>
      </c>
      <c r="J293" s="617">
        <f t="shared" si="268"/>
      </c>
      <c r="K293" s="617">
        <f t="shared" si="206"/>
      </c>
      <c r="L293" s="617">
        <f t="shared" si="334"/>
      </c>
      <c r="M293" s="618">
        <f t="shared" si="301"/>
      </c>
      <c r="N293" s="618">
        <f t="shared" si="25"/>
      </c>
      <c r="O293" s="619">
        <f t="shared" si="364"/>
      </c>
      <c r="P293" s="619">
        <f t="shared" si="118"/>
      </c>
      <c r="Q293" s="595">
        <f t="shared" si="55"/>
      </c>
      <c r="R293" s="620">
        <v>0.012</v>
      </c>
      <c r="S293" s="621">
        <v>32</v>
      </c>
      <c r="T293" s="622">
        <f t="shared" si="236"/>
      </c>
      <c r="U293" s="595">
        <v>10679</v>
      </c>
      <c r="V293" s="595">
        <v>1012</v>
      </c>
      <c r="W293" s="595">
        <v>53</v>
      </c>
      <c r="X293" s="595">
        <v>1319</v>
      </c>
      <c r="Y293" s="595">
        <v>67</v>
      </c>
      <c r="Z293" s="595">
        <v>3</v>
      </c>
      <c r="AA293" s="595">
        <v>0</v>
      </c>
      <c r="AB293" s="595">
        <v>1</v>
      </c>
      <c r="AC293" s="572">
        <f t="shared" si="173"/>
      </c>
      <c r="AD293" s="623" t="s">
        <v>399</v>
      </c>
      <c r="AE293" s="646" t="s">
        <v>400</v>
      </c>
      <c r="AF293" s="624">
        <v>32</v>
      </c>
    </row>
    <row r="294">
      <c r="A294" s="613"/>
      <c r="B294" s="614" t="s">
        <v>381</v>
      </c>
      <c r="C294" s="614" t="s">
        <v>391</v>
      </c>
      <c r="D294" s="615">
        <v>1455.42</v>
      </c>
      <c r="E294" s="616">
        <v>3</v>
      </c>
      <c r="F294" s="616">
        <v>3</v>
      </c>
      <c r="G294" s="615">
        <v>2746.7000000000007</v>
      </c>
      <c r="H294" s="617">
        <f t="shared" si="149"/>
      </c>
      <c r="I294" s="617">
        <f t="shared" si="88"/>
      </c>
      <c r="J294" s="617">
        <f t="shared" si="268"/>
      </c>
      <c r="K294" s="617">
        <f t="shared" si="206"/>
      </c>
      <c r="L294" s="617">
        <f t="shared" si="334"/>
      </c>
      <c r="M294" s="618">
        <f t="shared" si="301"/>
      </c>
      <c r="N294" s="618">
        <f t="shared" si="25"/>
      </c>
      <c r="O294" s="619">
        <f t="shared" si="364"/>
      </c>
      <c r="P294" s="619">
        <f t="shared" si="118"/>
      </c>
      <c r="Q294" s="595">
        <f t="shared" si="55"/>
      </c>
      <c r="R294" s="620">
        <v>0.0143</v>
      </c>
      <c r="S294" s="621">
        <v>33</v>
      </c>
      <c r="T294" s="622">
        <f t="shared" si="236"/>
      </c>
      <c r="U294" s="595">
        <v>10732</v>
      </c>
      <c r="V294" s="595">
        <v>931</v>
      </c>
      <c r="W294" s="595">
        <v>69</v>
      </c>
      <c r="X294" s="595">
        <v>1242</v>
      </c>
      <c r="Y294" s="595">
        <v>105</v>
      </c>
      <c r="Z294" s="595">
        <v>9</v>
      </c>
      <c r="AA294" s="595">
        <v>1</v>
      </c>
      <c r="AB294" s="595">
        <v>3</v>
      </c>
      <c r="AC294" s="572">
        <f t="shared" si="173"/>
      </c>
      <c r="AD294" s="623" t="s">
        <v>399</v>
      </c>
      <c r="AE294" s="646" t="s">
        <v>400</v>
      </c>
      <c r="AF294" s="624">
        <v>24</v>
      </c>
    </row>
    <row r="295">
      <c r="A295" s="613"/>
      <c r="B295" s="614" t="s">
        <v>381</v>
      </c>
      <c r="C295" s="614" t="s">
        <v>392</v>
      </c>
      <c r="D295" s="615">
        <v>1246.36</v>
      </c>
      <c r="E295" s="616">
        <v>3</v>
      </c>
      <c r="F295" s="616">
        <v>3</v>
      </c>
      <c r="G295" s="615">
        <v>3326.399999999998</v>
      </c>
      <c r="H295" s="617">
        <f t="shared" si="149"/>
      </c>
      <c r="I295" s="617">
        <f t="shared" si="88"/>
      </c>
      <c r="J295" s="617">
        <f t="shared" si="268"/>
      </c>
      <c r="K295" s="617">
        <f t="shared" si="206"/>
      </c>
      <c r="L295" s="617">
        <f t="shared" si="334"/>
      </c>
      <c r="M295" s="618">
        <f t="shared" si="301"/>
      </c>
      <c r="N295" s="618">
        <f t="shared" si="25"/>
      </c>
      <c r="O295" s="619">
        <f t="shared" si="364"/>
      </c>
      <c r="P295" s="619">
        <f t="shared" si="118"/>
      </c>
      <c r="Q295" s="595">
        <f t="shared" si="55"/>
      </c>
      <c r="R295" s="620">
        <v>0.0169</v>
      </c>
      <c r="S295" s="621">
        <v>34</v>
      </c>
      <c r="T295" s="622">
        <f t="shared" si="236"/>
      </c>
      <c r="U295" s="595">
        <v>8644</v>
      </c>
      <c r="V295" s="595">
        <v>688</v>
      </c>
      <c r="W295" s="595">
        <v>56</v>
      </c>
      <c r="X295" s="595">
        <v>1003</v>
      </c>
      <c r="Y295" s="595">
        <v>75</v>
      </c>
      <c r="Z295" s="595">
        <v>2</v>
      </c>
      <c r="AA295" s="595">
        <v>3</v>
      </c>
      <c r="AB295" s="595">
        <v>2</v>
      </c>
      <c r="AC295" s="572">
        <f t="shared" si="173"/>
      </c>
      <c r="AD295" s="623" t="s">
        <v>399</v>
      </c>
      <c r="AE295" s="646" t="s">
        <v>400</v>
      </c>
      <c r="AF295" s="624">
        <v>15</v>
      </c>
    </row>
    <row r="296">
      <c r="A296" s="613"/>
      <c r="B296" s="614" t="s">
        <v>381</v>
      </c>
      <c r="C296" s="614" t="s">
        <v>393</v>
      </c>
      <c r="D296" s="615">
        <v>1106.42</v>
      </c>
      <c r="E296" s="616">
        <v>8</v>
      </c>
      <c r="F296" s="616">
        <v>4</v>
      </c>
      <c r="G296" s="643">
        <v>7471.2</v>
      </c>
      <c r="H296" s="617">
        <f t="shared" si="149"/>
      </c>
      <c r="I296" s="617">
        <f t="shared" si="88"/>
      </c>
      <c r="J296" s="617">
        <f t="shared" si="268"/>
      </c>
      <c r="K296" s="617">
        <f t="shared" si="206"/>
      </c>
      <c r="L296" s="617">
        <f t="shared" si="334"/>
      </c>
      <c r="M296" s="618">
        <f t="shared" si="301"/>
      </c>
      <c r="N296" s="618">
        <f t="shared" si="25"/>
      </c>
      <c r="O296" s="619">
        <f t="shared" si="364"/>
      </c>
      <c r="P296" s="619">
        <f t="shared" si="118"/>
      </c>
      <c r="Q296" s="595">
        <f t="shared" si="55"/>
      </c>
      <c r="R296" s="620">
        <v>0.015</v>
      </c>
      <c r="S296" s="621">
        <v>35</v>
      </c>
      <c r="T296" s="622">
        <f t="shared" si="236"/>
      </c>
      <c r="U296" s="595">
        <v>7917</v>
      </c>
      <c r="V296" s="595">
        <v>596</v>
      </c>
      <c r="W296" s="595">
        <v>43</v>
      </c>
      <c r="X296" s="595">
        <v>821</v>
      </c>
      <c r="Y296" s="595">
        <v>56</v>
      </c>
      <c r="Z296" s="595">
        <v>5</v>
      </c>
      <c r="AA296" s="595">
        <v>0</v>
      </c>
      <c r="AB296" s="595">
        <v>9</v>
      </c>
      <c r="AC296" s="572">
        <f t="shared" si="173"/>
      </c>
      <c r="AD296" s="623" t="s">
        <v>399</v>
      </c>
      <c r="AE296" s="646" t="s">
        <v>400</v>
      </c>
      <c r="AF296" s="624">
        <v>16</v>
      </c>
    </row>
    <row r="297">
      <c r="A297" s="613"/>
      <c r="B297" s="626" t="s">
        <v>388</v>
      </c>
      <c r="C297" s="626"/>
      <c r="D297" s="627">
        <f>SUM(D293:D296)</f>
      </c>
      <c r="E297" s="628">
        <f>SUM(E293:E296)</f>
      </c>
      <c r="F297" s="628">
        <f>SUM(F293:F296)</f>
      </c>
      <c r="G297" s="627">
        <f>SUM(G293:G296)</f>
      </c>
      <c r="H297" s="629">
        <f t="shared" si="149"/>
      </c>
      <c r="I297" s="629">
        <f t="shared" si="88"/>
      </c>
      <c r="J297" s="629">
        <f t="shared" si="268"/>
      </c>
      <c r="K297" s="629">
        <f t="shared" si="206"/>
      </c>
      <c r="L297" s="629">
        <f t="shared" si="334"/>
      </c>
      <c r="M297" s="630">
        <f t="shared" si="301"/>
      </c>
      <c r="N297" s="630">
        <f t="shared" si="25"/>
      </c>
      <c r="O297" s="630">
        <f t="shared" si="364"/>
      </c>
      <c r="P297" s="630">
        <f t="shared" si="118"/>
      </c>
      <c r="Q297" s="597">
        <f t="shared" si="55"/>
      </c>
      <c r="R297" s="630">
        <f>AVERAGE(R293:R296)</f>
      </c>
      <c r="S297" s="627">
        <f>AVERAGE(S293:S296)</f>
      </c>
      <c r="T297" s="629">
        <f t="shared" si="236"/>
      </c>
      <c r="U297" s="597">
        <f>SUM(U293:U296)</f>
      </c>
      <c r="V297" s="597">
        <f>SUM(V293:V296)</f>
      </c>
      <c r="W297" s="597">
        <f>SUM(W293:W296)</f>
      </c>
      <c r="X297" s="597">
        <f>SUM(X293:X296)</f>
      </c>
      <c r="Y297" s="597">
        <f>SUM(Y293:Y296)</f>
      </c>
      <c r="Z297" s="597">
        <f>SUM(Z293:Z296)</f>
      </c>
      <c r="AA297" s="597">
        <f>SUM(AA293:AA296)</f>
      </c>
      <c r="AB297" s="597">
        <f>SUM(AB293:AB296)</f>
      </c>
      <c r="AC297" s="647">
        <f t="shared" si="173"/>
      </c>
      <c r="AD297" s="631"/>
      <c r="AE297" s="631"/>
      <c r="AF297" s="597">
        <f>SUM(AF293:AF296)</f>
      </c>
    </row>
    <row r="298">
      <c r="A298" s="613"/>
      <c r="B298" s="642" t="s">
        <v>394</v>
      </c>
      <c r="C298" s="642"/>
      <c r="D298" s="634">
        <f>D292+D297</f>
      </c>
      <c r="E298" s="635">
        <f>E292+E297</f>
      </c>
      <c r="F298" s="635">
        <f>F292+F297</f>
      </c>
      <c r="G298" s="634">
        <f>G292+G297</f>
      </c>
      <c r="H298" s="636">
        <f t="shared" si="149"/>
      </c>
      <c r="I298" s="636">
        <f t="shared" si="88"/>
      </c>
      <c r="J298" s="636">
        <f t="shared" si="268"/>
      </c>
      <c r="K298" s="636">
        <f t="shared" si="206"/>
      </c>
      <c r="L298" s="636">
        <f t="shared" si="334"/>
      </c>
      <c r="M298" s="637">
        <f t="shared" si="301"/>
      </c>
      <c r="N298" s="637">
        <f t="shared" si="25"/>
      </c>
      <c r="O298" s="637">
        <f t="shared" si="364"/>
      </c>
      <c r="P298" s="637">
        <f t="shared" si="118"/>
      </c>
      <c r="Q298" s="645">
        <f t="shared" si="55"/>
      </c>
      <c r="R298" s="637">
        <f>(R292+R297)/2</f>
      </c>
      <c r="S298" s="634">
        <f>(S297+S292)/2</f>
      </c>
      <c r="T298" s="634">
        <f t="shared" si="236"/>
      </c>
      <c r="U298" s="645">
        <f>U292+U297</f>
      </c>
      <c r="V298" s="645">
        <f>V292+V297</f>
      </c>
      <c r="W298" s="645">
        <f>W292+W297</f>
      </c>
      <c r="X298" s="645">
        <f>X292+X297</f>
      </c>
      <c r="Y298" s="645">
        <f>Y292+Y297</f>
      </c>
      <c r="Z298" s="645">
        <f>Z292+Z297</f>
      </c>
      <c r="AA298" s="645">
        <f>AA292+AA297</f>
      </c>
      <c r="AB298" s="645">
        <f>AB292+AB297</f>
      </c>
      <c r="AC298" s="636">
        <f>AC292</f>
      </c>
      <c r="AD298" s="642"/>
      <c r="AE298" s="642"/>
      <c r="AF298" s="645">
        <f>AF292+AF297</f>
      </c>
    </row>
    <row r="299">
      <c r="A299" s="599" t="s">
        <v>395</v>
      </c>
      <c r="B299" s="599" t="s">
        <v>346</v>
      </c>
      <c r="C299" s="599"/>
      <c r="D299" s="600" t="s">
        <v>347</v>
      </c>
      <c r="E299" s="600"/>
      <c r="F299" s="600"/>
      <c r="G299" s="600"/>
      <c r="H299" s="600"/>
      <c r="I299" s="600"/>
      <c r="J299" s="600"/>
      <c r="K299" s="600"/>
      <c r="L299" s="601" t="s">
        <v>348</v>
      </c>
      <c r="M299" s="601"/>
      <c r="N299" s="601"/>
      <c r="O299" s="601"/>
      <c r="P299" s="601"/>
      <c r="Q299" s="601"/>
      <c r="R299" s="601"/>
      <c r="S299" s="601"/>
      <c r="T299" s="601"/>
      <c r="U299" s="601"/>
      <c r="V299" s="601"/>
      <c r="W299" s="601"/>
      <c r="X299" s="601"/>
      <c r="Y299" s="601"/>
      <c r="Z299" s="601"/>
      <c r="AA299" s="601"/>
      <c r="AB299" s="601"/>
      <c r="AC299" s="601"/>
      <c r="AD299" s="601"/>
      <c r="AE299" s="601"/>
      <c r="AF299" s="602"/>
    </row>
    <row r="300">
      <c r="A300" s="599"/>
      <c r="B300" s="603" t="s">
        <v>349</v>
      </c>
      <c r="C300" s="603" t="s">
        <v>350</v>
      </c>
      <c r="D300" s="604" t="s">
        <v>351</v>
      </c>
      <c r="E300" s="605" t="s">
        <v>352</v>
      </c>
      <c r="F300" s="605" t="s">
        <v>353</v>
      </c>
      <c r="G300" s="604" t="s">
        <v>354</v>
      </c>
      <c r="H300" s="606" t="s">
        <v>355</v>
      </c>
      <c r="I300" s="606" t="s">
        <v>356</v>
      </c>
      <c r="J300" s="606" t="s">
        <v>357</v>
      </c>
      <c r="K300" s="606" t="s">
        <v>358</v>
      </c>
      <c r="L300" s="607" t="s">
        <v>359</v>
      </c>
      <c r="M300" s="608" t="s">
        <v>360</v>
      </c>
      <c r="N300" s="608" t="s">
        <v>361</v>
      </c>
      <c r="O300" s="608" t="s">
        <v>362</v>
      </c>
      <c r="P300" s="608" t="s">
        <v>363</v>
      </c>
      <c r="Q300" s="609" t="s">
        <v>364</v>
      </c>
      <c r="R300" s="608" t="s">
        <v>365</v>
      </c>
      <c r="S300" s="609" t="s">
        <v>366</v>
      </c>
      <c r="T300" s="610" t="s">
        <v>367</v>
      </c>
      <c r="U300" s="611" t="s">
        <v>368</v>
      </c>
      <c r="V300" s="611" t="s">
        <v>369</v>
      </c>
      <c r="W300" s="611" t="s">
        <v>370</v>
      </c>
      <c r="X300" s="611" t="s">
        <v>371</v>
      </c>
      <c r="Y300" s="611" t="s">
        <v>372</v>
      </c>
      <c r="Z300" s="611" t="s">
        <v>373</v>
      </c>
      <c r="AA300" s="611" t="s">
        <v>374</v>
      </c>
      <c r="AB300" s="611" t="s">
        <v>375</v>
      </c>
      <c r="AC300" s="601" t="s">
        <v>376</v>
      </c>
      <c r="AD300" s="612" t="s">
        <v>377</v>
      </c>
      <c r="AE300" s="612" t="s">
        <v>378</v>
      </c>
      <c r="AF300" s="602" t="s">
        <v>379</v>
      </c>
    </row>
    <row r="301">
      <c r="A301" s="613" t="s">
        <v>423</v>
      </c>
      <c r="B301" s="614" t="s">
        <v>381</v>
      </c>
      <c r="C301" s="614" t="s">
        <v>382</v>
      </c>
      <c r="D301" s="615">
        <v>3000</v>
      </c>
      <c r="E301" s="616">
        <v>4</v>
      </c>
      <c r="F301" s="616">
        <v>3</v>
      </c>
      <c r="G301" s="643">
        <v>2209.9</v>
      </c>
      <c r="H301" s="617">
        <f t="shared" ref="H301:H311" si="150">G301/D301</f>
      </c>
      <c r="I301" s="617">
        <f t="shared" ref="I301:I311" si="89">D301/E301</f>
      </c>
      <c r="J301" s="617">
        <f t="shared" ref="J301:J311" si="269">D301/F301</f>
      </c>
      <c r="K301" s="617">
        <f t="shared" ref="K301:K311" si="207">G301/E301</f>
      </c>
      <c r="L301" s="617">
        <f t="shared" ref="L301:L311" si="335">D301/V301</f>
      </c>
      <c r="M301" s="618">
        <f t="shared" ref="M301:M311" si="302">Q301/U301*1</f>
      </c>
      <c r="N301" s="618">
        <f t="shared" ref="N301:N311" si="26">V301/U301</f>
      </c>
      <c r="O301" s="619">
        <f t="shared" ref="O301:O311" si="365">X301/U301</f>
      </c>
      <c r="P301" s="619">
        <f t="shared" ref="P301:P311" si="119">Y301/X301</f>
      </c>
      <c r="Q301" s="595">
        <f t="shared" ref="Q301:Q311" si="56">W301/R301</f>
      </c>
      <c r="R301" s="620">
        <v>0.0128</v>
      </c>
      <c r="S301" s="621">
        <v>38</v>
      </c>
      <c r="T301" s="622">
        <f t="shared" ref="T301:T311" si="237">(D301/U301)*1000</f>
      </c>
      <c r="U301" s="595">
        <v>18691</v>
      </c>
      <c r="V301" s="595">
        <v>1840</v>
      </c>
      <c r="W301" s="595">
        <v>100</v>
      </c>
      <c r="X301" s="595">
        <v>2357</v>
      </c>
      <c r="Y301" s="595">
        <v>103</v>
      </c>
      <c r="Z301" s="595">
        <v>17</v>
      </c>
      <c r="AA301" s="595">
        <v>1</v>
      </c>
      <c r="AB301" s="595">
        <v>15</v>
      </c>
      <c r="AC301" s="572">
        <f t="shared" ref="AC301:AC310" si="174">AF301*1000/D301</f>
      </c>
      <c r="AD301" s="623" t="s">
        <v>399</v>
      </c>
      <c r="AE301" s="646" t="s">
        <v>400</v>
      </c>
      <c r="AF301" s="624">
        <v>45</v>
      </c>
    </row>
    <row r="302">
      <c r="A302" s="613"/>
      <c r="B302" s="614" t="s">
        <v>381</v>
      </c>
      <c r="C302" s="614" t="s">
        <v>385</v>
      </c>
      <c r="D302" s="615">
        <v>2224.76</v>
      </c>
      <c r="E302" s="616">
        <v>0</v>
      </c>
      <c r="F302" s="616">
        <v>1</v>
      </c>
      <c r="G302" s="643">
        <v>0</v>
      </c>
      <c r="H302" s="617">
        <f t="shared" si="150"/>
      </c>
      <c r="I302" s="617">
        <f t="shared" si="89"/>
      </c>
      <c r="J302" s="617">
        <f t="shared" si="269"/>
      </c>
      <c r="K302" s="617">
        <f t="shared" si="207"/>
      </c>
      <c r="L302" s="617">
        <f t="shared" si="335"/>
      </c>
      <c r="M302" s="618">
        <f t="shared" si="302"/>
      </c>
      <c r="N302" s="618">
        <f t="shared" si="26"/>
      </c>
      <c r="O302" s="619">
        <f t="shared" si="365"/>
      </c>
      <c r="P302" s="619">
        <f t="shared" si="119"/>
      </c>
      <c r="Q302" s="595">
        <f t="shared" si="56"/>
      </c>
      <c r="R302" s="620">
        <v>0.01</v>
      </c>
      <c r="S302" s="621">
        <v>36</v>
      </c>
      <c r="T302" s="622">
        <f t="shared" si="237"/>
      </c>
      <c r="U302" s="595">
        <v>14936</v>
      </c>
      <c r="V302" s="595">
        <v>1028</v>
      </c>
      <c r="W302" s="595">
        <v>66</v>
      </c>
      <c r="X302" s="595">
        <v>1083</v>
      </c>
      <c r="Y302" s="595">
        <v>69</v>
      </c>
      <c r="Z302" s="595">
        <v>9</v>
      </c>
      <c r="AA302" s="595">
        <v>1</v>
      </c>
      <c r="AB302" s="595">
        <v>8</v>
      </c>
      <c r="AC302" s="572">
        <f t="shared" si="174"/>
      </c>
      <c r="AD302" s="623" t="s">
        <v>399</v>
      </c>
      <c r="AE302" s="646" t="s">
        <v>400</v>
      </c>
      <c r="AF302" s="624">
        <v>25</v>
      </c>
    </row>
    <row r="303">
      <c r="A303" s="613"/>
      <c r="B303" s="614" t="s">
        <v>381</v>
      </c>
      <c r="C303" s="614" t="s">
        <v>386</v>
      </c>
      <c r="D303" s="615">
        <v>1293.56</v>
      </c>
      <c r="E303" s="616">
        <v>1</v>
      </c>
      <c r="F303" s="616">
        <v>1</v>
      </c>
      <c r="G303" s="615">
        <v>451</v>
      </c>
      <c r="H303" s="617">
        <f t="shared" si="150"/>
      </c>
      <c r="I303" s="617">
        <f t="shared" si="89"/>
      </c>
      <c r="J303" s="617">
        <f t="shared" si="269"/>
      </c>
      <c r="K303" s="617">
        <f t="shared" si="207"/>
      </c>
      <c r="L303" s="617">
        <f t="shared" si="335"/>
      </c>
      <c r="M303" s="618">
        <f t="shared" si="302"/>
      </c>
      <c r="N303" s="618">
        <f t="shared" si="26"/>
      </c>
      <c r="O303" s="619">
        <f t="shared" si="365"/>
      </c>
      <c r="P303" s="619">
        <f t="shared" si="119"/>
      </c>
      <c r="Q303" s="595">
        <f t="shared" si="56"/>
      </c>
      <c r="R303" s="620">
        <v>0.0143</v>
      </c>
      <c r="S303" s="621">
        <v>34</v>
      </c>
      <c r="T303" s="622">
        <f t="shared" si="237"/>
      </c>
      <c r="U303" s="595">
        <v>7391</v>
      </c>
      <c r="V303" s="595">
        <v>874</v>
      </c>
      <c r="W303" s="595">
        <v>37</v>
      </c>
      <c r="X303" s="595">
        <v>1097</v>
      </c>
      <c r="Y303" s="595">
        <v>28</v>
      </c>
      <c r="Z303" s="595">
        <v>4</v>
      </c>
      <c r="AA303" s="595">
        <v>0</v>
      </c>
      <c r="AB303" s="595">
        <v>5</v>
      </c>
      <c r="AC303" s="572">
        <f t="shared" si="174"/>
      </c>
      <c r="AD303" s="623" t="s">
        <v>399</v>
      </c>
      <c r="AE303" s="646" t="s">
        <v>400</v>
      </c>
      <c r="AF303" s="624">
        <v>15</v>
      </c>
    </row>
    <row r="304">
      <c r="A304" s="613"/>
      <c r="B304" s="614" t="s">
        <v>381</v>
      </c>
      <c r="C304" s="614" t="s">
        <v>387</v>
      </c>
      <c r="D304" s="615">
        <v>1511.2</v>
      </c>
      <c r="E304" s="616">
        <v>1</v>
      </c>
      <c r="F304" s="616">
        <v>0</v>
      </c>
      <c r="G304" s="643">
        <v>451</v>
      </c>
      <c r="H304" s="617">
        <f t="shared" si="150"/>
      </c>
      <c r="I304" s="617">
        <f t="shared" si="89"/>
      </c>
      <c r="J304" s="617">
        <f t="shared" si="269"/>
      </c>
      <c r="K304" s="617">
        <f t="shared" si="207"/>
      </c>
      <c r="L304" s="617">
        <f t="shared" si="335"/>
      </c>
      <c r="M304" s="618">
        <f t="shared" si="302"/>
      </c>
      <c r="N304" s="618">
        <f t="shared" si="26"/>
      </c>
      <c r="O304" s="619">
        <f t="shared" si="365"/>
      </c>
      <c r="P304" s="619">
        <f t="shared" si="119"/>
      </c>
      <c r="Q304" s="595">
        <f t="shared" si="56"/>
      </c>
      <c r="R304" s="620">
        <v>0.0105</v>
      </c>
      <c r="S304" s="621">
        <v>36</v>
      </c>
      <c r="T304" s="622">
        <f t="shared" si="237"/>
      </c>
      <c r="U304" s="595">
        <v>9763</v>
      </c>
      <c r="V304" s="595">
        <v>997</v>
      </c>
      <c r="W304" s="595">
        <v>43</v>
      </c>
      <c r="X304" s="595">
        <v>1237</v>
      </c>
      <c r="Y304" s="595">
        <v>60</v>
      </c>
      <c r="Z304" s="595">
        <v>3</v>
      </c>
      <c r="AA304" s="595">
        <v>2</v>
      </c>
      <c r="AB304" s="595">
        <v>2</v>
      </c>
      <c r="AC304" s="572">
        <f t="shared" si="174"/>
      </c>
      <c r="AD304" s="623" t="s">
        <v>399</v>
      </c>
      <c r="AE304" s="646" t="s">
        <v>400</v>
      </c>
      <c r="AF304" s="624">
        <v>24</v>
      </c>
    </row>
    <row r="305">
      <c r="A305" s="613"/>
      <c r="B305" s="626" t="s">
        <v>388</v>
      </c>
      <c r="C305" s="626"/>
      <c r="D305" s="627">
        <f>SUM(D301:D304)</f>
      </c>
      <c r="E305" s="628">
        <f>SUM(E301:E304)</f>
      </c>
      <c r="F305" s="628">
        <f>SUM(F301:F304)</f>
      </c>
      <c r="G305" s="627">
        <f>SUM(G301:G304)</f>
      </c>
      <c r="H305" s="629">
        <f t="shared" si="150"/>
      </c>
      <c r="I305" s="629">
        <f t="shared" si="89"/>
      </c>
      <c r="J305" s="629">
        <f t="shared" si="269"/>
      </c>
      <c r="K305" s="629">
        <f t="shared" si="207"/>
      </c>
      <c r="L305" s="629">
        <f t="shared" si="335"/>
      </c>
      <c r="M305" s="630">
        <f t="shared" si="302"/>
      </c>
      <c r="N305" s="630">
        <f t="shared" si="26"/>
      </c>
      <c r="O305" s="630">
        <f t="shared" si="365"/>
      </c>
      <c r="P305" s="630">
        <f t="shared" si="119"/>
      </c>
      <c r="Q305" s="597">
        <f t="shared" si="56"/>
      </c>
      <c r="R305" s="630">
        <f>AVERAGE(R301:R304)</f>
      </c>
      <c r="S305" s="627">
        <f>AVERAGE(S301:S304)</f>
      </c>
      <c r="T305" s="629">
        <f t="shared" si="237"/>
      </c>
      <c r="U305" s="597">
        <f>SUM(U301:U304)</f>
      </c>
      <c r="V305" s="597">
        <f>SUM(V301:V304)</f>
      </c>
      <c r="W305" s="597">
        <f>SUM(W301:W304)</f>
      </c>
      <c r="X305" s="597">
        <f>SUM(X301:X304)</f>
      </c>
      <c r="Y305" s="597">
        <f>SUM(Y301:Y304)</f>
      </c>
      <c r="Z305" s="597">
        <f>SUM(Z301:Z304)</f>
      </c>
      <c r="AA305" s="597">
        <f>SUM(AA301:AA304)</f>
      </c>
      <c r="AB305" s="597">
        <f>SUM(AB301:AB304)</f>
      </c>
      <c r="AC305" s="647">
        <f t="shared" si="174"/>
      </c>
      <c r="AD305" s="631"/>
      <c r="AE305" s="631"/>
      <c r="AF305" s="632">
        <f>SUM(AF301:AF304)</f>
      </c>
    </row>
    <row r="306">
      <c r="A306" s="613"/>
      <c r="B306" s="614" t="s">
        <v>414</v>
      </c>
      <c r="C306" s="614" t="s">
        <v>390</v>
      </c>
      <c r="D306" s="615">
        <v>1378.77</v>
      </c>
      <c r="E306" s="616">
        <v>4</v>
      </c>
      <c r="F306" s="616">
        <v>4</v>
      </c>
      <c r="G306" s="615">
        <v>5857.5</v>
      </c>
      <c r="H306" s="617">
        <f t="shared" si="150"/>
      </c>
      <c r="I306" s="617">
        <f t="shared" si="89"/>
      </c>
      <c r="J306" s="617">
        <f t="shared" si="269"/>
      </c>
      <c r="K306" s="617">
        <f t="shared" si="207"/>
      </c>
      <c r="L306" s="617">
        <f t="shared" si="335"/>
      </c>
      <c r="M306" s="618">
        <f t="shared" si="302"/>
      </c>
      <c r="N306" s="618">
        <f t="shared" si="26"/>
      </c>
      <c r="O306" s="619">
        <f t="shared" si="365"/>
      </c>
      <c r="P306" s="619">
        <f t="shared" si="119"/>
      </c>
      <c r="Q306" s="595">
        <f t="shared" si="56"/>
      </c>
      <c r="R306" s="620">
        <v>0.0146</v>
      </c>
      <c r="S306" s="621">
        <v>38</v>
      </c>
      <c r="T306" s="622">
        <f t="shared" si="237"/>
      </c>
      <c r="U306" s="595">
        <v>8539</v>
      </c>
      <c r="V306" s="595">
        <v>907</v>
      </c>
      <c r="W306" s="595">
        <v>41</v>
      </c>
      <c r="X306" s="595">
        <v>1107</v>
      </c>
      <c r="Y306" s="595">
        <v>42</v>
      </c>
      <c r="Z306" s="595">
        <v>4</v>
      </c>
      <c r="AA306" s="595">
        <v>0</v>
      </c>
      <c r="AB306" s="595">
        <v>1</v>
      </c>
      <c r="AC306" s="572">
        <f t="shared" si="174"/>
      </c>
      <c r="AD306" s="623" t="s">
        <v>399</v>
      </c>
      <c r="AE306" s="646" t="s">
        <v>400</v>
      </c>
      <c r="AF306" s="624">
        <v>20</v>
      </c>
    </row>
    <row r="307">
      <c r="A307" s="613"/>
      <c r="B307" s="614" t="s">
        <v>414</v>
      </c>
      <c r="C307" s="614" t="s">
        <v>391</v>
      </c>
      <c r="D307" s="615">
        <v>1115.14</v>
      </c>
      <c r="E307" s="616">
        <v>0</v>
      </c>
      <c r="F307" s="616">
        <v>0</v>
      </c>
      <c r="G307" s="643">
        <v>0</v>
      </c>
      <c r="H307" s="617">
        <f t="shared" si="150"/>
      </c>
      <c r="I307" s="617">
        <f t="shared" si="89"/>
      </c>
      <c r="J307" s="617">
        <f t="shared" si="269"/>
      </c>
      <c r="K307" s="617">
        <f t="shared" si="207"/>
      </c>
      <c r="L307" s="617">
        <f t="shared" si="335"/>
      </c>
      <c r="M307" s="618">
        <f t="shared" si="302"/>
      </c>
      <c r="N307" s="618">
        <f t="shared" si="26"/>
      </c>
      <c r="O307" s="619">
        <f t="shared" si="365"/>
      </c>
      <c r="P307" s="619">
        <f t="shared" si="119"/>
      </c>
      <c r="Q307" s="595">
        <f t="shared" si="56"/>
      </c>
      <c r="R307" s="620">
        <v>0.0144</v>
      </c>
      <c r="S307" s="621">
        <v>36</v>
      </c>
      <c r="T307" s="622">
        <f t="shared" si="237"/>
      </c>
      <c r="U307" s="595">
        <v>8391</v>
      </c>
      <c r="V307" s="595">
        <v>1023</v>
      </c>
      <c r="W307" s="595">
        <v>43</v>
      </c>
      <c r="X307" s="595">
        <v>1251</v>
      </c>
      <c r="Y307" s="595">
        <v>42</v>
      </c>
      <c r="Z307" s="595">
        <v>2</v>
      </c>
      <c r="AA307" s="595">
        <v>0</v>
      </c>
      <c r="AB307" s="595">
        <v>6</v>
      </c>
      <c r="AC307" s="572">
        <f t="shared" si="174"/>
      </c>
      <c r="AD307" s="623" t="s">
        <v>399</v>
      </c>
      <c r="AE307" s="646" t="s">
        <v>400</v>
      </c>
      <c r="AF307" s="624">
        <v>20</v>
      </c>
    </row>
    <row r="308">
      <c r="A308" s="613"/>
      <c r="B308" s="614" t="s">
        <v>414</v>
      </c>
      <c r="C308" s="614" t="s">
        <v>392</v>
      </c>
      <c r="D308" s="615">
        <v>1063.9</v>
      </c>
      <c r="E308" s="616">
        <v>2</v>
      </c>
      <c r="F308" s="616">
        <v>2</v>
      </c>
      <c r="G308" s="615">
        <v>1307.8999999999996</v>
      </c>
      <c r="H308" s="617">
        <f t="shared" si="150"/>
      </c>
      <c r="I308" s="617">
        <f t="shared" si="89"/>
      </c>
      <c r="J308" s="617">
        <f t="shared" si="269"/>
      </c>
      <c r="K308" s="617">
        <f t="shared" si="207"/>
      </c>
      <c r="L308" s="617">
        <f t="shared" si="335"/>
      </c>
      <c r="M308" s="618">
        <f t="shared" si="302"/>
      </c>
      <c r="N308" s="618">
        <f t="shared" si="26"/>
      </c>
      <c r="O308" s="619">
        <f t="shared" si="365"/>
      </c>
      <c r="P308" s="619">
        <f t="shared" si="119"/>
      </c>
      <c r="Q308" s="595">
        <f t="shared" si="56"/>
      </c>
      <c r="R308" s="620">
        <v>0.0109</v>
      </c>
      <c r="S308" s="621">
        <v>34</v>
      </c>
      <c r="T308" s="622">
        <f t="shared" si="237"/>
      </c>
      <c r="U308" s="595">
        <v>8126</v>
      </c>
      <c r="V308" s="595">
        <v>1097</v>
      </c>
      <c r="W308" s="595">
        <v>35</v>
      </c>
      <c r="X308" s="595">
        <v>1352</v>
      </c>
      <c r="Y308" s="595">
        <v>35</v>
      </c>
      <c r="Z308" s="595">
        <v>2</v>
      </c>
      <c r="AA308" s="595">
        <v>2</v>
      </c>
      <c r="AB308" s="595">
        <v>3</v>
      </c>
      <c r="AC308" s="572">
        <f t="shared" si="174"/>
      </c>
      <c r="AD308" s="623" t="s">
        <v>399</v>
      </c>
      <c r="AE308" s="646" t="s">
        <v>400</v>
      </c>
      <c r="AF308" s="624">
        <v>9</v>
      </c>
    </row>
    <row r="309">
      <c r="A309" s="613"/>
      <c r="B309" s="614" t="s">
        <v>414</v>
      </c>
      <c r="C309" s="614" t="s">
        <v>393</v>
      </c>
      <c r="D309" s="615">
        <v>468.92</v>
      </c>
      <c r="E309" s="616">
        <v>0</v>
      </c>
      <c r="F309" s="616">
        <v>0</v>
      </c>
      <c r="G309" s="643">
        <v>0</v>
      </c>
      <c r="H309" s="617">
        <f t="shared" si="150"/>
      </c>
      <c r="I309" s="617">
        <f t="shared" si="89"/>
      </c>
      <c r="J309" s="617">
        <f t="shared" si="269"/>
      </c>
      <c r="K309" s="617">
        <f t="shared" si="207"/>
      </c>
      <c r="L309" s="617">
        <f t="shared" si="335"/>
      </c>
      <c r="M309" s="618">
        <f t="shared" si="302"/>
      </c>
      <c r="N309" s="618">
        <f t="shared" si="26"/>
      </c>
      <c r="O309" s="619">
        <f t="shared" si="365"/>
      </c>
      <c r="P309" s="619">
        <f t="shared" si="119"/>
      </c>
      <c r="Q309" s="595">
        <f t="shared" si="56"/>
      </c>
      <c r="R309" s="620">
        <v>0.0075</v>
      </c>
      <c r="S309" s="621">
        <v>34</v>
      </c>
      <c r="T309" s="622">
        <f t="shared" si="237"/>
      </c>
      <c r="U309" s="595">
        <v>3961</v>
      </c>
      <c r="V309" s="595">
        <v>395</v>
      </c>
      <c r="W309" s="595">
        <v>11</v>
      </c>
      <c r="X309" s="595">
        <v>542</v>
      </c>
      <c r="Y309" s="595">
        <v>7</v>
      </c>
      <c r="Z309" s="595">
        <v>2</v>
      </c>
      <c r="AA309" s="595">
        <v>0</v>
      </c>
      <c r="AB309" s="595">
        <v>6</v>
      </c>
      <c r="AC309" s="572">
        <f t="shared" si="174"/>
      </c>
      <c r="AD309" s="623" t="s">
        <v>399</v>
      </c>
      <c r="AE309" s="646" t="s">
        <v>400</v>
      </c>
      <c r="AF309" s="624">
        <v>2</v>
      </c>
    </row>
    <row r="310">
      <c r="A310" s="613"/>
      <c r="B310" s="626" t="s">
        <v>388</v>
      </c>
      <c r="C310" s="626"/>
      <c r="D310" s="627">
        <f>SUM(D306:D309)</f>
      </c>
      <c r="E310" s="628">
        <f>SUM(E306:E309)</f>
      </c>
      <c r="F310" s="628">
        <f>SUM(F306:F309)</f>
      </c>
      <c r="G310" s="627">
        <f>SUM(G306:G309)</f>
      </c>
      <c r="H310" s="629">
        <f t="shared" si="150"/>
      </c>
      <c r="I310" s="629">
        <f t="shared" si="89"/>
      </c>
      <c r="J310" s="629">
        <f t="shared" si="269"/>
      </c>
      <c r="K310" s="629">
        <f t="shared" si="207"/>
      </c>
      <c r="L310" s="629">
        <f t="shared" si="335"/>
      </c>
      <c r="M310" s="630">
        <f t="shared" si="302"/>
      </c>
      <c r="N310" s="630">
        <f t="shared" si="26"/>
      </c>
      <c r="O310" s="630">
        <f t="shared" si="365"/>
      </c>
      <c r="P310" s="630">
        <f t="shared" si="119"/>
      </c>
      <c r="Q310" s="597">
        <f t="shared" si="56"/>
      </c>
      <c r="R310" s="630">
        <f>AVERAGE(R306:R309)</f>
      </c>
      <c r="S310" s="627">
        <f>AVERAGE(S306:S309)</f>
      </c>
      <c r="T310" s="629">
        <f t="shared" si="237"/>
      </c>
      <c r="U310" s="597">
        <f>SUM(U306:U309)</f>
      </c>
      <c r="V310" s="597">
        <f>SUM(V306:V309)</f>
      </c>
      <c r="W310" s="597">
        <f>SUM(W306:W309)</f>
      </c>
      <c r="X310" s="597">
        <f>SUM(X306:X309)</f>
      </c>
      <c r="Y310" s="597">
        <f>SUM(Y306:Y309)</f>
      </c>
      <c r="Z310" s="597">
        <f>SUM(Z306:Z309)</f>
      </c>
      <c r="AA310" s="597">
        <f>SUM(AA306:AA309)</f>
      </c>
      <c r="AB310" s="597">
        <f>SUM(AB306:AB309)</f>
      </c>
      <c r="AC310" s="647">
        <f t="shared" si="174"/>
      </c>
      <c r="AD310" s="631"/>
      <c r="AE310" s="631"/>
      <c r="AF310" s="597">
        <f>SUM(AF306:AF309)</f>
      </c>
    </row>
    <row r="311">
      <c r="A311" s="613"/>
      <c r="B311" s="642" t="s">
        <v>394</v>
      </c>
      <c r="C311" s="642"/>
      <c r="D311" s="634">
        <f>D305+D310</f>
      </c>
      <c r="E311" s="635">
        <f>E305+E310</f>
      </c>
      <c r="F311" s="635">
        <f>F305+F310</f>
      </c>
      <c r="G311" s="634">
        <f>G305+G310</f>
      </c>
      <c r="H311" s="636">
        <f t="shared" si="150"/>
      </c>
      <c r="I311" s="636">
        <f t="shared" si="89"/>
      </c>
      <c r="J311" s="636">
        <f t="shared" si="269"/>
      </c>
      <c r="K311" s="636">
        <f t="shared" si="207"/>
      </c>
      <c r="L311" s="636">
        <f t="shared" si="335"/>
      </c>
      <c r="M311" s="637">
        <f t="shared" si="302"/>
      </c>
      <c r="N311" s="637">
        <f t="shared" si="26"/>
      </c>
      <c r="O311" s="637">
        <f t="shared" si="365"/>
      </c>
      <c r="P311" s="637">
        <f t="shared" si="119"/>
      </c>
      <c r="Q311" s="645">
        <f t="shared" si="56"/>
      </c>
      <c r="R311" s="637">
        <f>(R305+R310)/2</f>
      </c>
      <c r="S311" s="634">
        <f>(S310+S305)/2</f>
      </c>
      <c r="T311" s="634">
        <f t="shared" si="237"/>
      </c>
      <c r="U311" s="645">
        <f>U305+U310</f>
      </c>
      <c r="V311" s="645">
        <f>V305+V310</f>
      </c>
      <c r="W311" s="645">
        <f>W305+W310</f>
      </c>
      <c r="X311" s="645">
        <f>X305+X310</f>
      </c>
      <c r="Y311" s="645">
        <f>Y305+Y310</f>
      </c>
      <c r="Z311" s="645">
        <f>Z305+Z310</f>
      </c>
      <c r="AA311" s="645">
        <f>AA305+AA310</f>
      </c>
      <c r="AB311" s="645">
        <f>AB305+AB310</f>
      </c>
      <c r="AC311" s="636">
        <f>AC305</f>
      </c>
      <c r="AD311" s="642"/>
      <c r="AE311" s="642"/>
      <c r="AF311" s="645">
        <f>AF305+AF310</f>
      </c>
    </row>
    <row r="312">
      <c r="A312" s="599" t="s">
        <v>395</v>
      </c>
      <c r="B312" s="599" t="s">
        <v>346</v>
      </c>
      <c r="C312" s="599"/>
      <c r="D312" s="600" t="s">
        <v>347</v>
      </c>
      <c r="E312" s="600"/>
      <c r="F312" s="600"/>
      <c r="G312" s="600"/>
      <c r="H312" s="600"/>
      <c r="I312" s="600"/>
      <c r="J312" s="600"/>
      <c r="K312" s="600"/>
      <c r="L312" s="601" t="s">
        <v>348</v>
      </c>
      <c r="M312" s="601"/>
      <c r="N312" s="601"/>
      <c r="O312" s="601"/>
      <c r="P312" s="601"/>
      <c r="Q312" s="601"/>
      <c r="R312" s="601"/>
      <c r="S312" s="601"/>
      <c r="T312" s="601"/>
      <c r="U312" s="601"/>
      <c r="V312" s="601"/>
      <c r="W312" s="601"/>
      <c r="X312" s="601"/>
      <c r="Y312" s="601"/>
      <c r="Z312" s="601"/>
      <c r="AA312" s="601"/>
      <c r="AB312" s="601"/>
      <c r="AC312" s="601"/>
      <c r="AD312" s="601"/>
      <c r="AE312" s="601"/>
      <c r="AF312" s="602"/>
    </row>
    <row r="313">
      <c r="A313" s="599"/>
      <c r="B313" s="603" t="s">
        <v>349</v>
      </c>
      <c r="C313" s="603" t="s">
        <v>350</v>
      </c>
      <c r="D313" s="604" t="s">
        <v>351</v>
      </c>
      <c r="E313" s="605" t="s">
        <v>352</v>
      </c>
      <c r="F313" s="605" t="s">
        <v>353</v>
      </c>
      <c r="G313" s="604" t="s">
        <v>354</v>
      </c>
      <c r="H313" s="606" t="s">
        <v>355</v>
      </c>
      <c r="I313" s="606" t="s">
        <v>356</v>
      </c>
      <c r="J313" s="606" t="s">
        <v>357</v>
      </c>
      <c r="K313" s="606" t="s">
        <v>358</v>
      </c>
      <c r="L313" s="607" t="s">
        <v>359</v>
      </c>
      <c r="M313" s="608" t="s">
        <v>360</v>
      </c>
      <c r="N313" s="608" t="s">
        <v>361</v>
      </c>
      <c r="O313" s="608" t="s">
        <v>362</v>
      </c>
      <c r="P313" s="608" t="s">
        <v>363</v>
      </c>
      <c r="Q313" s="609" t="s">
        <v>364</v>
      </c>
      <c r="R313" s="608" t="s">
        <v>365</v>
      </c>
      <c r="S313" s="609" t="s">
        <v>366</v>
      </c>
      <c r="T313" s="610" t="s">
        <v>367</v>
      </c>
      <c r="U313" s="611" t="s">
        <v>368</v>
      </c>
      <c r="V313" s="611" t="s">
        <v>369</v>
      </c>
      <c r="W313" s="611" t="s">
        <v>370</v>
      </c>
      <c r="X313" s="611" t="s">
        <v>371</v>
      </c>
      <c r="Y313" s="611" t="s">
        <v>372</v>
      </c>
      <c r="Z313" s="611" t="s">
        <v>373</v>
      </c>
      <c r="AA313" s="611" t="s">
        <v>374</v>
      </c>
      <c r="AB313" s="611" t="s">
        <v>375</v>
      </c>
      <c r="AC313" s="601" t="s">
        <v>376</v>
      </c>
      <c r="AD313" s="612" t="s">
        <v>377</v>
      </c>
      <c r="AE313" s="612" t="s">
        <v>378</v>
      </c>
      <c r="AF313" s="602" t="s">
        <v>379</v>
      </c>
    </row>
    <row r="314">
      <c r="A314" s="613" t="s">
        <v>424</v>
      </c>
      <c r="B314" s="644" t="s">
        <v>389</v>
      </c>
      <c r="C314" s="614" t="s">
        <v>382</v>
      </c>
      <c r="D314" s="615">
        <v>3214.23</v>
      </c>
      <c r="E314" s="616">
        <v>3</v>
      </c>
      <c r="F314" s="616">
        <v>3</v>
      </c>
      <c r="G314" s="643">
        <v>2494.8</v>
      </c>
      <c r="H314" s="617">
        <f t="shared" ref="H314:H325" si="151">G314/D314</f>
      </c>
      <c r="I314" s="617">
        <f t="shared" ref="I314:I325" si="90">D314/E314</f>
      </c>
      <c r="J314" s="617">
        <f t="shared" ref="J314:J325" si="270">D314/F314</f>
      </c>
      <c r="K314" s="617">
        <f t="shared" ref="K314:K325" si="208">G314/E314</f>
      </c>
      <c r="L314" s="617">
        <f t="shared" ref="L314:L325" si="336">D314/V314</f>
      </c>
      <c r="M314" s="618">
        <f t="shared" ref="M314:M325" si="303">Q314/U314*1</f>
      </c>
      <c r="N314" s="618">
        <f t="shared" ref="N314:N325" si="27">V314/U314</f>
      </c>
      <c r="O314" s="619">
        <f t="shared" ref="O314:O325" si="366">X314/U314</f>
      </c>
      <c r="P314" s="619">
        <f t="shared" ref="P314:P325" si="120">Y314/X314</f>
      </c>
      <c r="Q314" s="595">
        <f t="shared" ref="Q314:Q325" si="57">W314/R314</f>
      </c>
      <c r="R314" s="620">
        <v>0.0833</v>
      </c>
      <c r="S314" s="621">
        <v>25</v>
      </c>
      <c r="T314" s="622">
        <f t="shared" ref="T314:T325" si="238">(D314/U314)*1000</f>
      </c>
      <c r="U314" s="595">
        <v>20108</v>
      </c>
      <c r="V314" s="595">
        <v>1676</v>
      </c>
      <c r="W314" s="595">
        <v>101</v>
      </c>
      <c r="X314" s="595">
        <v>2283</v>
      </c>
      <c r="Y314" s="595">
        <v>56</v>
      </c>
      <c r="Z314" s="595">
        <v>16</v>
      </c>
      <c r="AA314" s="595">
        <v>2</v>
      </c>
      <c r="AB314" s="621">
        <v>16</v>
      </c>
      <c r="AC314" s="572">
        <f t="shared" ref="AC314:AC324" si="175">AF314*1000/D314</f>
      </c>
      <c r="AD314" s="623" t="s">
        <v>399</v>
      </c>
      <c r="AE314" s="646" t="s">
        <v>425</v>
      </c>
      <c r="AF314" s="624">
        <v>31</v>
      </c>
    </row>
    <row r="315">
      <c r="A315" s="613"/>
      <c r="B315" s="644" t="s">
        <v>389</v>
      </c>
      <c r="C315" s="614" t="s">
        <v>385</v>
      </c>
      <c r="D315" s="615">
        <v>2107.16</v>
      </c>
      <c r="E315" s="616">
        <v>8</v>
      </c>
      <c r="F315" s="616">
        <v>8</v>
      </c>
      <c r="G315" s="643">
        <v>4598</v>
      </c>
      <c r="H315" s="617">
        <f t="shared" si="151"/>
      </c>
      <c r="I315" s="617">
        <f t="shared" si="90"/>
      </c>
      <c r="J315" s="617">
        <f t="shared" si="270"/>
      </c>
      <c r="K315" s="617">
        <f t="shared" si="208"/>
      </c>
      <c r="L315" s="617">
        <f t="shared" si="336"/>
      </c>
      <c r="M315" s="618">
        <f t="shared" si="303"/>
      </c>
      <c r="N315" s="618">
        <f t="shared" si="27"/>
      </c>
      <c r="O315" s="619">
        <f t="shared" si="366"/>
      </c>
      <c r="P315" s="619">
        <f t="shared" si="120"/>
      </c>
      <c r="Q315" s="595">
        <f t="shared" si="57"/>
      </c>
      <c r="R315" s="620">
        <v>0.0734</v>
      </c>
      <c r="S315" s="621">
        <v>31</v>
      </c>
      <c r="T315" s="622">
        <f t="shared" si="238"/>
      </c>
      <c r="U315" s="595">
        <v>14285</v>
      </c>
      <c r="V315" s="595">
        <v>1049</v>
      </c>
      <c r="W315" s="595">
        <v>76</v>
      </c>
      <c r="X315" s="595">
        <v>1534</v>
      </c>
      <c r="Y315" s="595">
        <v>100</v>
      </c>
      <c r="Z315" s="595">
        <v>21</v>
      </c>
      <c r="AA315" s="595">
        <v>2</v>
      </c>
      <c r="AB315" s="595">
        <v>7</v>
      </c>
      <c r="AC315" s="572">
        <f t="shared" si="175"/>
      </c>
      <c r="AD315" s="623" t="s">
        <v>399</v>
      </c>
      <c r="AE315" s="646" t="s">
        <v>425</v>
      </c>
      <c r="AF315" s="624">
        <v>41</v>
      </c>
    </row>
    <row r="316">
      <c r="A316" s="613"/>
      <c r="B316" s="644" t="s">
        <v>389</v>
      </c>
      <c r="C316" s="614" t="s">
        <v>386</v>
      </c>
      <c r="D316" s="615">
        <v>1949.36</v>
      </c>
      <c r="E316" s="616">
        <v>8</v>
      </c>
      <c r="F316" s="616">
        <v>6</v>
      </c>
      <c r="G316" s="615">
        <v>4419.8</v>
      </c>
      <c r="H316" s="617">
        <f t="shared" si="151"/>
      </c>
      <c r="I316" s="617">
        <f t="shared" si="90"/>
      </c>
      <c r="J316" s="617">
        <f t="shared" si="270"/>
      </c>
      <c r="K316" s="617">
        <f t="shared" si="208"/>
      </c>
      <c r="L316" s="617">
        <f t="shared" si="336"/>
      </c>
      <c r="M316" s="618">
        <f t="shared" si="303"/>
      </c>
      <c r="N316" s="618">
        <f t="shared" si="27"/>
      </c>
      <c r="O316" s="619">
        <f t="shared" si="366"/>
      </c>
      <c r="P316" s="619">
        <f t="shared" si="120"/>
      </c>
      <c r="Q316" s="595">
        <f t="shared" si="57"/>
      </c>
      <c r="R316" s="620">
        <v>0.0872</v>
      </c>
      <c r="S316" s="621">
        <v>33</v>
      </c>
      <c r="T316" s="622">
        <f t="shared" si="238"/>
      </c>
      <c r="U316" s="595">
        <v>13018</v>
      </c>
      <c r="V316" s="595">
        <v>1135</v>
      </c>
      <c r="W316" s="595">
        <v>66</v>
      </c>
      <c r="X316" s="595">
        <v>1435</v>
      </c>
      <c r="Y316" s="595">
        <v>73</v>
      </c>
      <c r="Z316" s="595">
        <v>4</v>
      </c>
      <c r="AA316" s="595">
        <v>3</v>
      </c>
      <c r="AB316" s="595">
        <v>15</v>
      </c>
      <c r="AC316" s="572">
        <f t="shared" si="175"/>
      </c>
      <c r="AD316" s="623" t="s">
        <v>399</v>
      </c>
      <c r="AE316" s="646" t="s">
        <v>425</v>
      </c>
      <c r="AF316" s="624">
        <v>26</v>
      </c>
    </row>
    <row r="317">
      <c r="A317" s="613"/>
      <c r="B317" s="626" t="s">
        <v>388</v>
      </c>
      <c r="C317" s="626"/>
      <c r="D317" s="627">
        <f>SUM(D314:D316)</f>
      </c>
      <c r="E317" s="628">
        <f>SUM(E314:E316)</f>
      </c>
      <c r="F317" s="628">
        <f>SUM(F314:F316)</f>
      </c>
      <c r="G317" s="627">
        <f>SUM(G314:G316)</f>
      </c>
      <c r="H317" s="629">
        <f t="shared" si="151"/>
      </c>
      <c r="I317" s="629">
        <f t="shared" si="90"/>
      </c>
      <c r="J317" s="629">
        <f t="shared" si="270"/>
      </c>
      <c r="K317" s="629">
        <f t="shared" si="208"/>
      </c>
      <c r="L317" s="629">
        <f t="shared" si="336"/>
      </c>
      <c r="M317" s="630">
        <f t="shared" si="303"/>
      </c>
      <c r="N317" s="630">
        <f t="shared" si="27"/>
      </c>
      <c r="O317" s="630">
        <f t="shared" si="366"/>
      </c>
      <c r="P317" s="630">
        <f t="shared" si="120"/>
      </c>
      <c r="Q317" s="597">
        <f t="shared" si="57"/>
      </c>
      <c r="R317" s="630">
        <f>AVERAGE(R314:R316)</f>
      </c>
      <c r="S317" s="627">
        <f>AVERAGE(S314:S316)</f>
      </c>
      <c r="T317" s="629">
        <f t="shared" si="238"/>
      </c>
      <c r="U317" s="597">
        <f>SUM(U314:U316)</f>
      </c>
      <c r="V317" s="597">
        <f>SUM(V314:V316)</f>
      </c>
      <c r="W317" s="597">
        <f>SUM(W314:W316)</f>
      </c>
      <c r="X317" s="597">
        <f>SUM(X314:X316)</f>
      </c>
      <c r="Y317" s="597">
        <f>SUM(Y314:Y316)</f>
      </c>
      <c r="Z317" s="597">
        <f>SUM(Z314:Z316)</f>
      </c>
      <c r="AA317" s="597">
        <f>SUM(AA314:AA316)</f>
      </c>
      <c r="AB317" s="597">
        <f>SUM(AB314:AB316)</f>
      </c>
      <c r="AC317" s="647">
        <f t="shared" si="175"/>
      </c>
      <c r="AD317" s="631"/>
      <c r="AE317" s="631"/>
      <c r="AF317" s="632">
        <f>SUM(AF314:AF316)</f>
      </c>
    </row>
    <row customHeight="true" ht="18.452380952380953" r="318">
      <c r="A318" s="613"/>
      <c r="B318" s="614" t="s">
        <v>381</v>
      </c>
      <c r="C318" s="644" t="s">
        <v>387</v>
      </c>
      <c r="D318" s="615">
        <v>2777.35</v>
      </c>
      <c r="E318" s="616">
        <v>3</v>
      </c>
      <c r="F318" s="616">
        <v>3</v>
      </c>
      <c r="G318" s="643">
        <v>2013</v>
      </c>
      <c r="H318" s="617">
        <f t="shared" si="151"/>
      </c>
      <c r="I318" s="617">
        <f t="shared" si="90"/>
      </c>
      <c r="J318" s="617">
        <f t="shared" si="270"/>
      </c>
      <c r="K318" s="617">
        <f t="shared" si="208"/>
      </c>
      <c r="L318" s="617">
        <f t="shared" si="336"/>
      </c>
      <c r="M318" s="618">
        <f t="shared" si="303"/>
      </c>
      <c r="N318" s="618">
        <f t="shared" si="27"/>
      </c>
      <c r="O318" s="619">
        <f t="shared" si="366"/>
      </c>
      <c r="P318" s="619">
        <f t="shared" si="120"/>
      </c>
      <c r="Q318" s="595">
        <f t="shared" si="57"/>
      </c>
      <c r="R318" s="620">
        <v>0.0074</v>
      </c>
      <c r="S318" s="621">
        <v>33</v>
      </c>
      <c r="T318" s="622">
        <f t="shared" si="238"/>
      </c>
      <c r="U318" s="595">
        <v>18240</v>
      </c>
      <c r="V318" s="595">
        <v>1349</v>
      </c>
      <c r="W318" s="595">
        <v>94</v>
      </c>
      <c r="X318" s="595">
        <v>1726</v>
      </c>
      <c r="Y318" s="595">
        <v>73</v>
      </c>
      <c r="Z318" s="595">
        <v>11</v>
      </c>
      <c r="AA318" s="595">
        <v>4</v>
      </c>
      <c r="AB318" s="595">
        <v>20</v>
      </c>
      <c r="AC318" s="572">
        <f t="shared" si="175"/>
      </c>
      <c r="AD318" s="623" t="s">
        <v>399</v>
      </c>
      <c r="AE318" s="646" t="s">
        <v>425</v>
      </c>
      <c r="AF318" s="624">
        <v>31</v>
      </c>
    </row>
    <row customHeight="true" ht="18.452380952380953" r="319">
      <c r="A319" s="613"/>
      <c r="B319" s="614" t="s">
        <v>381</v>
      </c>
      <c r="C319" s="644" t="s">
        <v>390</v>
      </c>
      <c r="D319" s="615">
        <v>1956.26</v>
      </c>
      <c r="E319" s="616">
        <v>5</v>
      </c>
      <c r="F319" s="616">
        <v>4</v>
      </c>
      <c r="G319" s="643">
        <v>6218.9</v>
      </c>
      <c r="H319" s="617">
        <f t="shared" si="151"/>
      </c>
      <c r="I319" s="617">
        <f t="shared" si="90"/>
      </c>
      <c r="J319" s="617">
        <f t="shared" si="270"/>
      </c>
      <c r="K319" s="617">
        <f t="shared" si="208"/>
      </c>
      <c r="L319" s="617">
        <f t="shared" si="336"/>
      </c>
      <c r="M319" s="618">
        <f t="shared" si="303"/>
      </c>
      <c r="N319" s="618">
        <f t="shared" si="27"/>
      </c>
      <c r="O319" s="619">
        <f t="shared" si="366"/>
      </c>
      <c r="P319" s="619">
        <f t="shared" si="120"/>
      </c>
      <c r="Q319" s="595">
        <f t="shared" si="57"/>
      </c>
      <c r="R319" s="620">
        <v>0.0911</v>
      </c>
      <c r="S319" s="621">
        <v>33</v>
      </c>
      <c r="T319" s="622">
        <f t="shared" si="238"/>
      </c>
      <c r="U319" s="595">
        <v>14417</v>
      </c>
      <c r="V319" s="595">
        <v>1313</v>
      </c>
      <c r="W319" s="595">
        <v>71</v>
      </c>
      <c r="X319" s="595">
        <v>1703</v>
      </c>
      <c r="Y319" s="595">
        <v>91</v>
      </c>
      <c r="Z319" s="595">
        <v>10</v>
      </c>
      <c r="AA319" s="595">
        <v>3</v>
      </c>
      <c r="AB319" s="595">
        <v>5</v>
      </c>
      <c r="AC319" s="572">
        <f t="shared" si="175"/>
      </c>
      <c r="AD319" s="623" t="s">
        <v>399</v>
      </c>
      <c r="AE319" s="646" t="s">
        <v>425</v>
      </c>
      <c r="AF319" s="624">
        <v>30</v>
      </c>
    </row>
    <row customHeight="true" ht="18.452380952380953" r="320">
      <c r="A320" s="613"/>
      <c r="B320" s="614" t="s">
        <v>381</v>
      </c>
      <c r="C320" s="644" t="s">
        <v>391</v>
      </c>
      <c r="D320" s="615">
        <v>2540.86</v>
      </c>
      <c r="E320" s="616">
        <v>13</v>
      </c>
      <c r="F320" s="616">
        <v>8</v>
      </c>
      <c r="G320" s="615">
        <v>7648.299999999999</v>
      </c>
      <c r="H320" s="617">
        <f t="shared" si="151"/>
      </c>
      <c r="I320" s="617">
        <f t="shared" si="90"/>
      </c>
      <c r="J320" s="617">
        <f t="shared" si="270"/>
      </c>
      <c r="K320" s="617">
        <f t="shared" si="208"/>
      </c>
      <c r="L320" s="617">
        <f t="shared" si="336"/>
      </c>
      <c r="M320" s="618">
        <f t="shared" si="303"/>
      </c>
      <c r="N320" s="618">
        <f t="shared" si="27"/>
      </c>
      <c r="O320" s="619">
        <f t="shared" si="366"/>
      </c>
      <c r="P320" s="619">
        <f t="shared" si="120"/>
      </c>
      <c r="Q320" s="595">
        <f t="shared" si="57"/>
      </c>
      <c r="R320" s="620">
        <v>0.0816</v>
      </c>
      <c r="S320" s="621">
        <v>33</v>
      </c>
      <c r="T320" s="622">
        <f t="shared" si="238"/>
      </c>
      <c r="U320" s="595">
        <v>19073</v>
      </c>
      <c r="V320" s="595">
        <v>1556</v>
      </c>
      <c r="W320" s="595">
        <v>62</v>
      </c>
      <c r="X320" s="595">
        <v>2062</v>
      </c>
      <c r="Y320" s="595">
        <v>87</v>
      </c>
      <c r="Z320" s="595">
        <v>14</v>
      </c>
      <c r="AA320" s="595">
        <v>2</v>
      </c>
      <c r="AB320" s="595">
        <v>5</v>
      </c>
      <c r="AC320" s="572">
        <f t="shared" si="175"/>
      </c>
      <c r="AD320" s="623" t="s">
        <v>399</v>
      </c>
      <c r="AE320" s="646" t="s">
        <v>425</v>
      </c>
      <c r="AF320" s="624">
        <v>35</v>
      </c>
    </row>
    <row customHeight="true" ht="18.452380952380953" r="321">
      <c r="A321" s="613"/>
      <c r="B321" s="626" t="s">
        <v>388</v>
      </c>
      <c r="C321" s="626"/>
      <c r="D321" s="627">
        <f>SUM(D318:D320)</f>
      </c>
      <c r="E321" s="628">
        <f>SUM(E318:E320)</f>
      </c>
      <c r="F321" s="628">
        <f>SUM(F318:F320)</f>
      </c>
      <c r="G321" s="627">
        <f>SUM(G318:G320)</f>
      </c>
      <c r="H321" s="629">
        <f t="shared" si="151"/>
      </c>
      <c r="I321" s="629">
        <f t="shared" si="90"/>
      </c>
      <c r="J321" s="629">
        <f t="shared" si="270"/>
      </c>
      <c r="K321" s="629">
        <f t="shared" si="208"/>
      </c>
      <c r="L321" s="629">
        <f t="shared" si="336"/>
      </c>
      <c r="M321" s="630">
        <f t="shared" si="303"/>
      </c>
      <c r="N321" s="630">
        <f t="shared" si="27"/>
      </c>
      <c r="O321" s="630">
        <f t="shared" si="366"/>
      </c>
      <c r="P321" s="630">
        <f t="shared" si="120"/>
      </c>
      <c r="Q321" s="597">
        <f t="shared" si="57"/>
      </c>
      <c r="R321" s="630">
        <f>AVERAGE(R318:R320)</f>
      </c>
      <c r="S321" s="627">
        <f>AVERAGE(S318:S320)</f>
      </c>
      <c r="T321" s="629">
        <f t="shared" si="238"/>
      </c>
      <c r="U321" s="597">
        <f>SUM(U318:U320)</f>
      </c>
      <c r="V321" s="597">
        <f>SUM(V318:V320)</f>
      </c>
      <c r="W321" s="597">
        <f>SUM(W318:W320)</f>
      </c>
      <c r="X321" s="597">
        <f>SUM(X318:X320)</f>
      </c>
      <c r="Y321" s="597">
        <f>SUM(Y318:Y320)</f>
      </c>
      <c r="Z321" s="597">
        <f>SUM(Z318:Z320)</f>
      </c>
      <c r="AA321" s="597">
        <f>SUM(AA318:AA320)</f>
      </c>
      <c r="AB321" s="597">
        <f>SUM(AB318:AB320)</f>
      </c>
      <c r="AC321" s="647">
        <f t="shared" si="175"/>
      </c>
      <c r="AD321" s="631"/>
      <c r="AE321" s="631"/>
      <c r="AF321" s="632">
        <f>SUM(AF318:AF320)</f>
      </c>
    </row>
    <row r="322">
      <c r="A322" s="613"/>
      <c r="B322" s="644" t="s">
        <v>426</v>
      </c>
      <c r="C322" s="614" t="s">
        <v>392</v>
      </c>
      <c r="D322" s="615">
        <v>2336.58</v>
      </c>
      <c r="E322" s="616">
        <v>4</v>
      </c>
      <c r="F322" s="616">
        <v>4</v>
      </c>
      <c r="G322" s="615">
        <v>2209.9000000000015</v>
      </c>
      <c r="H322" s="617">
        <f t="shared" si="151"/>
      </c>
      <c r="I322" s="617">
        <f t="shared" si="90"/>
      </c>
      <c r="J322" s="617">
        <f t="shared" si="270"/>
      </c>
      <c r="K322" s="617">
        <f t="shared" si="208"/>
      </c>
      <c r="L322" s="617">
        <f t="shared" si="336"/>
      </c>
      <c r="M322" s="618">
        <f t="shared" si="303"/>
      </c>
      <c r="N322" s="618">
        <f t="shared" si="27"/>
      </c>
      <c r="O322" s="619">
        <f t="shared" si="366"/>
      </c>
      <c r="P322" s="619">
        <f t="shared" si="120"/>
      </c>
      <c r="Q322" s="595">
        <f t="shared" si="57"/>
      </c>
      <c r="R322" s="620">
        <v>0.0994</v>
      </c>
      <c r="S322" s="621">
        <v>33</v>
      </c>
      <c r="T322" s="622">
        <f t="shared" si="238"/>
      </c>
      <c r="U322" s="595">
        <v>15214</v>
      </c>
      <c r="V322" s="595">
        <v>1512</v>
      </c>
      <c r="W322" s="595">
        <v>84</v>
      </c>
      <c r="X322" s="595">
        <v>1992</v>
      </c>
      <c r="Y322" s="595">
        <v>77</v>
      </c>
      <c r="Z322" s="595">
        <v>9</v>
      </c>
      <c r="AA322" s="595">
        <v>0</v>
      </c>
      <c r="AB322" s="595">
        <v>2</v>
      </c>
      <c r="AC322" s="572">
        <f t="shared" si="175"/>
      </c>
      <c r="AD322" s="623" t="s">
        <v>399</v>
      </c>
      <c r="AE322" s="646" t="s">
        <v>425</v>
      </c>
      <c r="AF322" s="624">
        <v>34</v>
      </c>
    </row>
    <row r="323">
      <c r="A323" s="613"/>
      <c r="B323" s="644" t="s">
        <v>426</v>
      </c>
      <c r="C323" s="614" t="s">
        <v>393</v>
      </c>
      <c r="D323" s="615">
        <v>1562.73</v>
      </c>
      <c r="E323" s="616">
        <v>2</v>
      </c>
      <c r="F323" s="616">
        <v>2</v>
      </c>
      <c r="G323" s="643">
        <v>902</v>
      </c>
      <c r="H323" s="617">
        <f t="shared" si="151"/>
      </c>
      <c r="I323" s="617">
        <f t="shared" si="90"/>
      </c>
      <c r="J323" s="617">
        <f t="shared" si="270"/>
      </c>
      <c r="K323" s="617">
        <f t="shared" si="208"/>
      </c>
      <c r="L323" s="617">
        <f t="shared" si="336"/>
      </c>
      <c r="M323" s="618">
        <f t="shared" si="303"/>
      </c>
      <c r="N323" s="618">
        <f t="shared" si="27"/>
      </c>
      <c r="O323" s="619">
        <f t="shared" si="366"/>
      </c>
      <c r="P323" s="619">
        <f t="shared" si="120"/>
      </c>
      <c r="Q323" s="595">
        <f t="shared" si="57"/>
      </c>
      <c r="R323" s="620">
        <v>0.1005</v>
      </c>
      <c r="S323" s="621">
        <v>34</v>
      </c>
      <c r="T323" s="622">
        <f t="shared" si="238"/>
      </c>
      <c r="U323" s="595">
        <v>11670</v>
      </c>
      <c r="V323" s="595">
        <v>1173</v>
      </c>
      <c r="W323" s="595">
        <v>62</v>
      </c>
      <c r="X323" s="595">
        <v>1453</v>
      </c>
      <c r="Y323" s="595">
        <v>53</v>
      </c>
      <c r="Z323" s="595">
        <v>10</v>
      </c>
      <c r="AA323" s="595">
        <v>3</v>
      </c>
      <c r="AB323" s="595">
        <v>0</v>
      </c>
      <c r="AC323" s="572">
        <f t="shared" si="175"/>
      </c>
      <c r="AD323" s="623" t="s">
        <v>399</v>
      </c>
      <c r="AE323" s="646" t="s">
        <v>425</v>
      </c>
      <c r="AF323" s="624">
        <v>19</v>
      </c>
    </row>
    <row r="324">
      <c r="A324" s="613"/>
      <c r="B324" s="626" t="s">
        <v>388</v>
      </c>
      <c r="C324" s="626"/>
      <c r="D324" s="627">
        <f>SUM(D322:D323)</f>
      </c>
      <c r="E324" s="628">
        <f>SUM(E322:E323)</f>
      </c>
      <c r="F324" s="628">
        <f>SUM(F322:F323)</f>
      </c>
      <c r="G324" s="627">
        <f>SUM(G322:G323)</f>
      </c>
      <c r="H324" s="629">
        <f t="shared" si="151"/>
      </c>
      <c r="I324" s="629">
        <f t="shared" si="90"/>
      </c>
      <c r="J324" s="629">
        <f t="shared" si="270"/>
      </c>
      <c r="K324" s="629">
        <f t="shared" si="208"/>
      </c>
      <c r="L324" s="629">
        <f t="shared" si="336"/>
      </c>
      <c r="M324" s="630">
        <f t="shared" si="303"/>
      </c>
      <c r="N324" s="630">
        <f t="shared" si="27"/>
      </c>
      <c r="O324" s="630">
        <f t="shared" si="366"/>
      </c>
      <c r="P324" s="630">
        <f t="shared" si="120"/>
      </c>
      <c r="Q324" s="597">
        <f t="shared" si="57"/>
      </c>
      <c r="R324" s="630">
        <f>AVERAGE(R322:R323)</f>
      </c>
      <c r="S324" s="627">
        <f>AVERAGE(S322:S323)</f>
      </c>
      <c r="T324" s="629">
        <f t="shared" si="238"/>
      </c>
      <c r="U324" s="597">
        <f>SUM(U322:U323)</f>
      </c>
      <c r="V324" s="597">
        <f>SUM(V322:V323)</f>
      </c>
      <c r="W324" s="597">
        <f>SUM(W322:W323)</f>
      </c>
      <c r="X324" s="597">
        <f>SUM(X322:X323)</f>
      </c>
      <c r="Y324" s="597">
        <f>SUM(Y322:Y323)</f>
      </c>
      <c r="Z324" s="597">
        <f>SUM(Z322:Z323)</f>
      </c>
      <c r="AA324" s="597">
        <f>SUM(AA322:AA323)</f>
      </c>
      <c r="AB324" s="597">
        <f>SUM(AB322:AB323)</f>
      </c>
      <c r="AC324" s="647">
        <f t="shared" si="175"/>
      </c>
      <c r="AD324" s="631"/>
      <c r="AE324" s="631"/>
      <c r="AF324" s="597">
        <f>SUM(AF322:AF323)</f>
      </c>
    </row>
    <row r="325">
      <c r="A325" s="613"/>
      <c r="B325" s="642" t="s">
        <v>394</v>
      </c>
      <c r="C325" s="642"/>
      <c r="D325" s="634">
        <f>D317+D324+D321</f>
      </c>
      <c r="E325" s="634">
        <f>E317+E324+E321</f>
      </c>
      <c r="F325" s="634">
        <f>F317+F324+F321</f>
      </c>
      <c r="G325" s="634">
        <f>G317+G324+G321</f>
      </c>
      <c r="H325" s="636">
        <f t="shared" si="151"/>
      </c>
      <c r="I325" s="636">
        <f t="shared" si="90"/>
      </c>
      <c r="J325" s="636">
        <f t="shared" si="270"/>
      </c>
      <c r="K325" s="636">
        <f t="shared" si="208"/>
      </c>
      <c r="L325" s="636">
        <f t="shared" si="336"/>
      </c>
      <c r="M325" s="637">
        <f t="shared" si="303"/>
      </c>
      <c r="N325" s="637">
        <f t="shared" si="27"/>
      </c>
      <c r="O325" s="637">
        <f t="shared" si="366"/>
      </c>
      <c r="P325" s="637">
        <f t="shared" si="120"/>
      </c>
      <c r="Q325" s="645">
        <f t="shared" si="57"/>
      </c>
      <c r="R325" s="637">
        <f>(R317+R324)/2</f>
      </c>
      <c r="S325" s="634">
        <f>(S324+S317)/2</f>
      </c>
      <c r="T325" s="634">
        <f t="shared" si="238"/>
      </c>
      <c r="U325" s="634">
        <f>U317+U324+U321</f>
      </c>
      <c r="V325" s="634">
        <f>V317+V324+V321</f>
      </c>
      <c r="W325" s="634">
        <f>W317+W324+W321</f>
      </c>
      <c r="X325" s="634">
        <f>X317+X324+X321</f>
      </c>
      <c r="Y325" s="634">
        <f>Y317+Y324+Y321</f>
      </c>
      <c r="Z325" s="634">
        <f>Z317+Z324+Z321</f>
      </c>
      <c r="AA325" s="634">
        <f>AA317+AA324+AA321</f>
      </c>
      <c r="AB325" s="634">
        <f>AB317+AB324+AB321</f>
      </c>
      <c r="AC325" s="636">
        <f>AC317</f>
      </c>
      <c r="AD325" s="642"/>
      <c r="AE325" s="642"/>
      <c r="AF325" s="634">
        <f>AF317+AF324+AF321</f>
      </c>
    </row>
    <row r="326">
      <c r="A326" s="599" t="s">
        <v>395</v>
      </c>
      <c r="B326" s="599" t="s">
        <v>346</v>
      </c>
      <c r="C326" s="599"/>
      <c r="D326" s="600" t="s">
        <v>347</v>
      </c>
      <c r="E326" s="600"/>
      <c r="F326" s="600"/>
      <c r="G326" s="600"/>
      <c r="H326" s="600"/>
      <c r="I326" s="600"/>
      <c r="J326" s="600"/>
      <c r="K326" s="600"/>
      <c r="L326" s="601" t="s">
        <v>348</v>
      </c>
      <c r="M326" s="601"/>
      <c r="N326" s="601"/>
      <c r="O326" s="601"/>
      <c r="P326" s="601"/>
      <c r="Q326" s="601"/>
      <c r="R326" s="601"/>
      <c r="S326" s="601"/>
      <c r="T326" s="601"/>
      <c r="U326" s="601"/>
      <c r="V326" s="601"/>
      <c r="W326" s="601"/>
      <c r="X326" s="601"/>
      <c r="Y326" s="601"/>
      <c r="Z326" s="601"/>
      <c r="AA326" s="601"/>
      <c r="AB326" s="601"/>
      <c r="AC326" s="601"/>
      <c r="AD326" s="601"/>
      <c r="AE326" s="601"/>
      <c r="AF326" s="602"/>
    </row>
    <row r="327">
      <c r="A327" s="599"/>
      <c r="B327" s="603" t="s">
        <v>349</v>
      </c>
      <c r="C327" s="603" t="s">
        <v>350</v>
      </c>
      <c r="D327" s="604" t="s">
        <v>351</v>
      </c>
      <c r="E327" s="605" t="s">
        <v>352</v>
      </c>
      <c r="F327" s="605" t="s">
        <v>353</v>
      </c>
      <c r="G327" s="604" t="s">
        <v>354</v>
      </c>
      <c r="H327" s="606" t="s">
        <v>355</v>
      </c>
      <c r="I327" s="606" t="s">
        <v>356</v>
      </c>
      <c r="J327" s="606" t="s">
        <v>357</v>
      </c>
      <c r="K327" s="606" t="s">
        <v>358</v>
      </c>
      <c r="L327" s="607" t="s">
        <v>359</v>
      </c>
      <c r="M327" s="608" t="s">
        <v>360</v>
      </c>
      <c r="N327" s="608" t="s">
        <v>361</v>
      </c>
      <c r="O327" s="608" t="s">
        <v>362</v>
      </c>
      <c r="P327" s="608" t="s">
        <v>363</v>
      </c>
      <c r="Q327" s="609" t="s">
        <v>364</v>
      </c>
      <c r="R327" s="608" t="s">
        <v>365</v>
      </c>
      <c r="S327" s="609" t="s">
        <v>366</v>
      </c>
      <c r="T327" s="610" t="s">
        <v>367</v>
      </c>
      <c r="U327" s="611" t="s">
        <v>368</v>
      </c>
      <c r="V327" s="611" t="s">
        <v>369</v>
      </c>
      <c r="W327" s="611" t="s">
        <v>370</v>
      </c>
      <c r="X327" s="611" t="s">
        <v>371</v>
      </c>
      <c r="Y327" s="611" t="s">
        <v>372</v>
      </c>
      <c r="Z327" s="611" t="s">
        <v>373</v>
      </c>
      <c r="AA327" s="611" t="s">
        <v>374</v>
      </c>
      <c r="AB327" s="611" t="s">
        <v>375</v>
      </c>
      <c r="AC327" s="601" t="s">
        <v>376</v>
      </c>
      <c r="AD327" s="612" t="s">
        <v>377</v>
      </c>
      <c r="AE327" s="612" t="s">
        <v>378</v>
      </c>
      <c r="AF327" s="602" t="s">
        <v>379</v>
      </c>
    </row>
    <row r="328">
      <c r="A328" s="613" t="s">
        <v>427</v>
      </c>
      <c r="B328" s="614" t="s">
        <v>381</v>
      </c>
      <c r="C328" s="614" t="s">
        <v>382</v>
      </c>
      <c r="D328" s="643">
        <v>3001.14</v>
      </c>
      <c r="E328" s="616">
        <v>6</v>
      </c>
      <c r="F328" s="616">
        <v>5</v>
      </c>
      <c r="G328" s="643">
        <v>5134.8</v>
      </c>
      <c r="H328" s="617">
        <f t="shared" ref="H328:H339" si="152">G328/D328</f>
      </c>
      <c r="I328" s="617">
        <f t="shared" ref="I328:I339" si="91">D328/E328</f>
      </c>
      <c r="J328" s="617">
        <f t="shared" ref="J328:J339" si="271">D328/F328</f>
      </c>
      <c r="K328" s="617">
        <f t="shared" ref="K328:K339" si="209">G328/E328</f>
      </c>
      <c r="L328" s="617">
        <f t="shared" ref="L328:L339" si="337">D328/V328</f>
      </c>
      <c r="M328" s="618">
        <f t="shared" ref="M328:M339" si="304">Q328/U328*1</f>
      </c>
      <c r="N328" s="618">
        <f t="shared" ref="N328:N339" si="28">V328/U328</f>
      </c>
      <c r="O328" s="619">
        <f t="shared" ref="O328:O339" si="367">X328/U328</f>
      </c>
      <c r="P328" s="619">
        <f t="shared" ref="P328:P339" si="121">Y328/X328</f>
      </c>
      <c r="Q328" s="595">
        <f t="shared" ref="Q328:Q339" si="58">W328/R328</f>
      </c>
      <c r="R328" s="620">
        <v>0.0129</v>
      </c>
      <c r="S328" s="621">
        <v>33</v>
      </c>
      <c r="T328" s="622">
        <f t="shared" ref="T328:T339" si="239">(D328/U328)*1000</f>
      </c>
      <c r="U328" s="595">
        <v>20568</v>
      </c>
      <c r="V328" s="595">
        <v>1897</v>
      </c>
      <c r="W328" s="595">
        <v>121</v>
      </c>
      <c r="X328" s="595">
        <v>2478</v>
      </c>
      <c r="Y328" s="595">
        <v>69</v>
      </c>
      <c r="Z328" s="595">
        <v>14</v>
      </c>
      <c r="AA328" s="595">
        <v>7</v>
      </c>
      <c r="AB328" s="621">
        <v>19</v>
      </c>
      <c r="AC328" s="572">
        <f t="shared" ref="AC328:AC338" si="176">AF328*1000/D328</f>
      </c>
      <c r="AD328" s="623" t="s">
        <v>399</v>
      </c>
      <c r="AE328" s="646" t="s">
        <v>428</v>
      </c>
      <c r="AF328" s="624">
        <v>38</v>
      </c>
    </row>
    <row r="329">
      <c r="A329" s="613"/>
      <c r="B329" s="614" t="s">
        <v>381</v>
      </c>
      <c r="C329" s="614" t="s">
        <v>385</v>
      </c>
      <c r="D329" s="643">
        <v>3759.22</v>
      </c>
      <c r="E329" s="616">
        <v>8</v>
      </c>
      <c r="F329" s="616">
        <v>7</v>
      </c>
      <c r="G329" s="643">
        <v>6065.5</v>
      </c>
      <c r="H329" s="617">
        <f t="shared" si="152"/>
      </c>
      <c r="I329" s="617">
        <f t="shared" si="91"/>
      </c>
      <c r="J329" s="617">
        <f t="shared" si="271"/>
      </c>
      <c r="K329" s="617">
        <f t="shared" si="209"/>
      </c>
      <c r="L329" s="617">
        <f t="shared" si="337"/>
      </c>
      <c r="M329" s="618">
        <f t="shared" si="304"/>
      </c>
      <c r="N329" s="618">
        <f t="shared" si="28"/>
      </c>
      <c r="O329" s="619">
        <f t="shared" si="367"/>
      </c>
      <c r="P329" s="619">
        <f t="shared" si="121"/>
      </c>
      <c r="Q329" s="595">
        <f t="shared" si="58"/>
      </c>
      <c r="R329" s="620">
        <v>0.0163</v>
      </c>
      <c r="S329" s="621">
        <v>36</v>
      </c>
      <c r="T329" s="622">
        <f t="shared" si="239"/>
      </c>
      <c r="U329" s="595">
        <v>25513</v>
      </c>
      <c r="V329" s="595">
        <v>1338</v>
      </c>
      <c r="W329" s="595">
        <v>133</v>
      </c>
      <c r="X329" s="595">
        <v>1513</v>
      </c>
      <c r="Y329" s="595">
        <v>89</v>
      </c>
      <c r="Z329" s="595">
        <v>19</v>
      </c>
      <c r="AA329" s="595">
        <v>6</v>
      </c>
      <c r="AB329" s="595">
        <v>31</v>
      </c>
      <c r="AC329" s="572">
        <f t="shared" si="176"/>
      </c>
      <c r="AD329" s="623" t="s">
        <v>399</v>
      </c>
      <c r="AE329" s="646" t="s">
        <v>428</v>
      </c>
      <c r="AF329" s="624">
        <v>43</v>
      </c>
    </row>
    <row r="330">
      <c r="A330" s="613"/>
      <c r="B330" s="614" t="s">
        <v>381</v>
      </c>
      <c r="C330" s="614" t="s">
        <v>386</v>
      </c>
      <c r="D330" s="643">
        <v>5237.73</v>
      </c>
      <c r="E330" s="616">
        <v>7</v>
      </c>
      <c r="F330" s="616">
        <v>6</v>
      </c>
      <c r="G330" s="643">
        <v>3968.8</v>
      </c>
      <c r="H330" s="617">
        <f t="shared" si="152"/>
      </c>
      <c r="I330" s="617">
        <f t="shared" si="91"/>
      </c>
      <c r="J330" s="617">
        <f t="shared" si="271"/>
      </c>
      <c r="K330" s="617">
        <f t="shared" si="209"/>
      </c>
      <c r="L330" s="617">
        <f t="shared" si="337"/>
      </c>
      <c r="M330" s="618">
        <f t="shared" si="304"/>
      </c>
      <c r="N330" s="618">
        <f t="shared" si="28"/>
      </c>
      <c r="O330" s="619">
        <f t="shared" si="367"/>
      </c>
      <c r="P330" s="619">
        <f t="shared" si="121"/>
      </c>
      <c r="Q330" s="595">
        <f t="shared" si="58"/>
      </c>
      <c r="R330" s="620">
        <v>0.0263</v>
      </c>
      <c r="S330" s="621">
        <v>40</v>
      </c>
      <c r="T330" s="622">
        <f t="shared" si="239"/>
      </c>
      <c r="U330" s="595">
        <v>29376</v>
      </c>
      <c r="V330" s="595">
        <v>1531</v>
      </c>
      <c r="W330" s="595">
        <v>143</v>
      </c>
      <c r="X330" s="595">
        <v>1874</v>
      </c>
      <c r="Y330" s="595">
        <v>112</v>
      </c>
      <c r="Z330" s="595">
        <v>18</v>
      </c>
      <c r="AA330" s="595">
        <v>5</v>
      </c>
      <c r="AB330" s="595">
        <v>54</v>
      </c>
      <c r="AC330" s="572">
        <f t="shared" si="176"/>
      </c>
      <c r="AD330" s="623" t="s">
        <v>399</v>
      </c>
      <c r="AE330" s="646" t="s">
        <v>428</v>
      </c>
      <c r="AF330" s="624">
        <v>44</v>
      </c>
    </row>
    <row r="331">
      <c r="A331" s="613"/>
      <c r="B331" s="626" t="s">
        <v>388</v>
      </c>
      <c r="C331" s="626"/>
      <c r="D331" s="627">
        <f>SUM(D328:D330)</f>
      </c>
      <c r="E331" s="628">
        <f>SUM(E328:E330)</f>
      </c>
      <c r="F331" s="628">
        <f>SUM(F328:F330)</f>
      </c>
      <c r="G331" s="627">
        <f>SUM(G328:G330)</f>
      </c>
      <c r="H331" s="629">
        <f t="shared" si="152"/>
      </c>
      <c r="I331" s="629">
        <f t="shared" si="91"/>
      </c>
      <c r="J331" s="629">
        <f t="shared" si="271"/>
      </c>
      <c r="K331" s="629">
        <f t="shared" si="209"/>
      </c>
      <c r="L331" s="629">
        <f t="shared" si="337"/>
      </c>
      <c r="M331" s="630">
        <f t="shared" si="304"/>
      </c>
      <c r="N331" s="630">
        <f t="shared" si="28"/>
      </c>
      <c r="O331" s="630">
        <f t="shared" si="367"/>
      </c>
      <c r="P331" s="630">
        <f t="shared" si="121"/>
      </c>
      <c r="Q331" s="597">
        <f t="shared" si="58"/>
      </c>
      <c r="R331" s="630">
        <f>AVERAGE(R328:R330)</f>
      </c>
      <c r="S331" s="627">
        <f>AVERAGE(S328:S330)</f>
      </c>
      <c r="T331" s="629">
        <f t="shared" si="239"/>
      </c>
      <c r="U331" s="597">
        <f>SUM(U328:U330)</f>
      </c>
      <c r="V331" s="597">
        <f>SUM(V328:V330)</f>
      </c>
      <c r="W331" s="597">
        <f>SUM(W328:W330)</f>
      </c>
      <c r="X331" s="597">
        <f>SUM(X328:X330)</f>
      </c>
      <c r="Y331" s="597">
        <f>SUM(Y328:Y330)</f>
      </c>
      <c r="Z331" s="597">
        <f>SUM(Z328:Z330)</f>
      </c>
      <c r="AA331" s="597">
        <f>SUM(AA328:AA330)</f>
      </c>
      <c r="AB331" s="597">
        <f>SUM(AB328:AB330)</f>
      </c>
      <c r="AC331" s="647">
        <f t="shared" si="176"/>
      </c>
      <c r="AD331" s="631"/>
      <c r="AE331" s="631"/>
      <c r="AF331" s="632">
        <f>SUM(AF328:AF330)</f>
      </c>
    </row>
    <row r="332">
      <c r="A332" s="613"/>
      <c r="B332" s="614" t="s">
        <v>414</v>
      </c>
      <c r="C332" s="644" t="s">
        <v>387</v>
      </c>
      <c r="D332" s="643">
        <v>2938.21</v>
      </c>
      <c r="E332" s="616">
        <v>10</v>
      </c>
      <c r="F332" s="616">
        <v>6</v>
      </c>
      <c r="G332" s="643">
        <v>8534.3</v>
      </c>
      <c r="H332" s="617">
        <f t="shared" si="152"/>
      </c>
      <c r="I332" s="617">
        <f t="shared" si="91"/>
      </c>
      <c r="J332" s="617">
        <f t="shared" si="271"/>
      </c>
      <c r="K332" s="617">
        <f t="shared" si="209"/>
      </c>
      <c r="L332" s="617">
        <f t="shared" si="337"/>
      </c>
      <c r="M332" s="618">
        <f t="shared" si="304"/>
      </c>
      <c r="N332" s="618">
        <f t="shared" si="28"/>
      </c>
      <c r="O332" s="619">
        <f t="shared" si="367"/>
      </c>
      <c r="P332" s="619">
        <f t="shared" si="121"/>
      </c>
      <c r="Q332" s="595">
        <f t="shared" si="58"/>
      </c>
      <c r="R332" s="620">
        <v>0.0143</v>
      </c>
      <c r="S332" s="621">
        <v>42</v>
      </c>
      <c r="T332" s="622">
        <f t="shared" si="239"/>
      </c>
      <c r="U332" s="595">
        <v>20239</v>
      </c>
      <c r="V332" s="595">
        <v>1413</v>
      </c>
      <c r="W332" s="595">
        <v>117</v>
      </c>
      <c r="X332" s="595">
        <v>1752</v>
      </c>
      <c r="Y332" s="595">
        <v>113</v>
      </c>
      <c r="Z332" s="595">
        <v>11</v>
      </c>
      <c r="AA332" s="595">
        <v>5</v>
      </c>
      <c r="AB332" s="595">
        <v>11</v>
      </c>
      <c r="AC332" s="572">
        <f t="shared" si="176"/>
      </c>
      <c r="AD332" s="623" t="s">
        <v>399</v>
      </c>
      <c r="AE332" s="646" t="s">
        <v>428</v>
      </c>
      <c r="AF332" s="624">
        <v>40</v>
      </c>
    </row>
    <row r="333">
      <c r="A333" s="613"/>
      <c r="B333" s="614" t="s">
        <v>414</v>
      </c>
      <c r="C333" s="644" t="s">
        <v>390</v>
      </c>
      <c r="D333" s="643">
        <v>1573.37</v>
      </c>
      <c r="E333" s="616">
        <v>3</v>
      </c>
      <c r="F333" s="616">
        <v>4</v>
      </c>
      <c r="G333" s="643">
        <v>1683</v>
      </c>
      <c r="H333" s="617">
        <f t="shared" si="152"/>
      </c>
      <c r="I333" s="617">
        <f t="shared" si="91"/>
      </c>
      <c r="J333" s="617">
        <f t="shared" si="271"/>
      </c>
      <c r="K333" s="617">
        <f t="shared" si="209"/>
      </c>
      <c r="L333" s="617">
        <f t="shared" si="337"/>
      </c>
      <c r="M333" s="618">
        <f t="shared" si="304"/>
      </c>
      <c r="N333" s="618">
        <f t="shared" si="28"/>
      </c>
      <c r="O333" s="619">
        <f t="shared" si="367"/>
      </c>
      <c r="P333" s="619">
        <f t="shared" si="121"/>
      </c>
      <c r="Q333" s="595">
        <f t="shared" si="58"/>
      </c>
      <c r="R333" s="620">
        <v>0.0097</v>
      </c>
      <c r="S333" s="621">
        <v>42</v>
      </c>
      <c r="T333" s="622">
        <f t="shared" si="239"/>
      </c>
      <c r="U333" s="595">
        <v>12755</v>
      </c>
      <c r="V333" s="595">
        <v>600</v>
      </c>
      <c r="W333" s="595">
        <v>56</v>
      </c>
      <c r="X333" s="595">
        <v>769</v>
      </c>
      <c r="Y333" s="595">
        <v>61</v>
      </c>
      <c r="Z333" s="595">
        <v>6</v>
      </c>
      <c r="AA333" s="595">
        <v>3</v>
      </c>
      <c r="AB333" s="595">
        <v>2</v>
      </c>
      <c r="AC333" s="572">
        <f t="shared" si="176"/>
      </c>
      <c r="AD333" s="623" t="s">
        <v>399</v>
      </c>
      <c r="AE333" s="646" t="s">
        <v>428</v>
      </c>
      <c r="AF333" s="624">
        <v>15</v>
      </c>
    </row>
    <row r="334">
      <c r="A334" s="613"/>
      <c r="B334" s="614" t="s">
        <v>414</v>
      </c>
      <c r="C334" s="644" t="s">
        <v>391</v>
      </c>
      <c r="D334" s="643">
        <v>3532.86</v>
      </c>
      <c r="E334" s="616">
        <v>12</v>
      </c>
      <c r="F334" s="616">
        <v>12</v>
      </c>
      <c r="G334" s="643">
        <v>9652.5</v>
      </c>
      <c r="H334" s="617">
        <f t="shared" si="152"/>
      </c>
      <c r="I334" s="617">
        <f t="shared" si="91"/>
      </c>
      <c r="J334" s="617">
        <f t="shared" si="271"/>
      </c>
      <c r="K334" s="617">
        <f t="shared" si="209"/>
      </c>
      <c r="L334" s="617">
        <f t="shared" si="337"/>
      </c>
      <c r="M334" s="618">
        <f t="shared" si="304"/>
      </c>
      <c r="N334" s="618">
        <f t="shared" si="28"/>
      </c>
      <c r="O334" s="619">
        <f t="shared" si="367"/>
      </c>
      <c r="P334" s="619">
        <f t="shared" si="121"/>
      </c>
      <c r="Q334" s="595">
        <f t="shared" si="58"/>
      </c>
      <c r="R334" s="620">
        <v>0.007</v>
      </c>
      <c r="S334" s="621">
        <v>41</v>
      </c>
      <c r="T334" s="622">
        <f t="shared" si="239"/>
      </c>
      <c r="U334" s="595">
        <v>28097</v>
      </c>
      <c r="V334" s="595">
        <v>2473</v>
      </c>
      <c r="W334" s="595">
        <v>106</v>
      </c>
      <c r="X334" s="595">
        <v>2934</v>
      </c>
      <c r="Y334" s="595">
        <v>117</v>
      </c>
      <c r="Z334" s="595">
        <v>17</v>
      </c>
      <c r="AA334" s="595">
        <v>2</v>
      </c>
      <c r="AB334" s="595">
        <v>9</v>
      </c>
      <c r="AC334" s="572">
        <f t="shared" si="176"/>
      </c>
      <c r="AD334" s="623" t="s">
        <v>399</v>
      </c>
      <c r="AE334" s="646" t="s">
        <v>428</v>
      </c>
      <c r="AF334" s="624">
        <v>44</v>
      </c>
    </row>
    <row r="335">
      <c r="A335" s="613"/>
      <c r="B335" s="626" t="s">
        <v>388</v>
      </c>
      <c r="C335" s="626"/>
      <c r="D335" s="627">
        <f>SUM(D332:D334)</f>
      </c>
      <c r="E335" s="628">
        <f>SUM(E332:E334)</f>
      </c>
      <c r="F335" s="628">
        <f>SUM(F332:F334)</f>
      </c>
      <c r="G335" s="627">
        <f>SUM(G332:G334)</f>
      </c>
      <c r="H335" s="629">
        <f t="shared" si="152"/>
      </c>
      <c r="I335" s="629">
        <f t="shared" si="91"/>
      </c>
      <c r="J335" s="629">
        <f t="shared" si="271"/>
      </c>
      <c r="K335" s="629">
        <f t="shared" si="209"/>
      </c>
      <c r="L335" s="629">
        <f t="shared" si="337"/>
      </c>
      <c r="M335" s="630">
        <f t="shared" si="304"/>
      </c>
      <c r="N335" s="630">
        <f t="shared" si="28"/>
      </c>
      <c r="O335" s="630">
        <f t="shared" si="367"/>
      </c>
      <c r="P335" s="630">
        <f t="shared" si="121"/>
      </c>
      <c r="Q335" s="597">
        <f t="shared" si="58"/>
      </c>
      <c r="R335" s="630">
        <f>AVERAGE(R332:R334)</f>
      </c>
      <c r="S335" s="627">
        <f>AVERAGE(S332:S334)</f>
      </c>
      <c r="T335" s="629">
        <f t="shared" si="239"/>
      </c>
      <c r="U335" s="597">
        <f>SUM(U332:U334)</f>
      </c>
      <c r="V335" s="597">
        <f>SUM(V332:V334)</f>
      </c>
      <c r="W335" s="597">
        <f>SUM(W332:W334)</f>
      </c>
      <c r="X335" s="597">
        <f>SUM(X332:X334)</f>
      </c>
      <c r="Y335" s="597">
        <f>SUM(Y332:Y334)</f>
      </c>
      <c r="Z335" s="597">
        <f>SUM(Z332:Z334)</f>
      </c>
      <c r="AA335" s="597">
        <f>SUM(AA332:AA334)</f>
      </c>
      <c r="AB335" s="597">
        <f>SUM(AB332:AB334)</f>
      </c>
      <c r="AC335" s="647">
        <f t="shared" si="176"/>
      </c>
      <c r="AD335" s="631"/>
      <c r="AE335" s="631"/>
      <c r="AF335" s="632">
        <f>SUM(AF332:AF334)</f>
      </c>
    </row>
    <row r="336">
      <c r="A336" s="613"/>
      <c r="B336" s="644" t="s">
        <v>426</v>
      </c>
      <c r="C336" s="614" t="s">
        <v>392</v>
      </c>
      <c r="D336" s="643">
        <v>2645.56</v>
      </c>
      <c r="E336" s="616">
        <v>6</v>
      </c>
      <c r="F336" s="616">
        <v>3</v>
      </c>
      <c r="G336" s="643">
        <v>4161.3</v>
      </c>
      <c r="H336" s="617">
        <f t="shared" si="152"/>
      </c>
      <c r="I336" s="617">
        <f t="shared" si="91"/>
      </c>
      <c r="J336" s="617">
        <f t="shared" si="271"/>
      </c>
      <c r="K336" s="617">
        <f t="shared" si="209"/>
      </c>
      <c r="L336" s="617">
        <f t="shared" si="337"/>
      </c>
      <c r="M336" s="618">
        <f t="shared" si="304"/>
      </c>
      <c r="N336" s="618">
        <f t="shared" si="28"/>
      </c>
      <c r="O336" s="619">
        <f t="shared" si="367"/>
      </c>
      <c r="P336" s="619">
        <f t="shared" si="121"/>
      </c>
      <c r="Q336" s="595">
        <f t="shared" si="58"/>
      </c>
      <c r="R336" s="620">
        <v>0.011</v>
      </c>
      <c r="S336" s="621">
        <v>40</v>
      </c>
      <c r="T336" s="622">
        <f t="shared" si="239"/>
      </c>
      <c r="U336" s="595">
        <v>17396</v>
      </c>
      <c r="V336" s="595">
        <v>1739</v>
      </c>
      <c r="W336" s="595">
        <v>78</v>
      </c>
      <c r="X336" s="595">
        <v>2056</v>
      </c>
      <c r="Y336" s="595">
        <v>104</v>
      </c>
      <c r="Z336" s="595">
        <v>19</v>
      </c>
      <c r="AA336" s="595">
        <v>0</v>
      </c>
      <c r="AB336" s="595">
        <v>13</v>
      </c>
      <c r="AC336" s="572">
        <f t="shared" si="176"/>
      </c>
      <c r="AD336" s="623" t="s">
        <v>399</v>
      </c>
      <c r="AE336" s="646" t="s">
        <v>428</v>
      </c>
      <c r="AF336" s="624">
        <v>27</v>
      </c>
    </row>
    <row r="337">
      <c r="A337" s="613"/>
      <c r="B337" s="644" t="s">
        <v>426</v>
      </c>
      <c r="C337" s="614" t="s">
        <v>393</v>
      </c>
      <c r="D337" s="643">
        <v>1985.88</v>
      </c>
      <c r="E337" s="616">
        <v>6</v>
      </c>
      <c r="F337" s="616">
        <v>5</v>
      </c>
      <c r="G337" s="643">
        <v>3771.9</v>
      </c>
      <c r="H337" s="617">
        <f t="shared" si="152"/>
      </c>
      <c r="I337" s="617">
        <f t="shared" si="91"/>
      </c>
      <c r="J337" s="617">
        <f t="shared" si="271"/>
      </c>
      <c r="K337" s="617">
        <f t="shared" si="209"/>
      </c>
      <c r="L337" s="617">
        <f t="shared" si="337"/>
      </c>
      <c r="M337" s="618">
        <f t="shared" si="304"/>
      </c>
      <c r="N337" s="618">
        <f t="shared" si="28"/>
      </c>
      <c r="O337" s="619">
        <f t="shared" si="367"/>
      </c>
      <c r="P337" s="619">
        <f t="shared" si="121"/>
      </c>
      <c r="Q337" s="595">
        <f t="shared" si="58"/>
      </c>
      <c r="R337" s="620">
        <v>0.0111</v>
      </c>
      <c r="S337" s="621">
        <v>41</v>
      </c>
      <c r="T337" s="622">
        <f t="shared" si="239"/>
      </c>
      <c r="U337" s="595">
        <v>12827</v>
      </c>
      <c r="V337" s="595">
        <v>1470</v>
      </c>
      <c r="W337" s="595">
        <v>70</v>
      </c>
      <c r="X337" s="595">
        <v>1717</v>
      </c>
      <c r="Y337" s="595">
        <v>96</v>
      </c>
      <c r="Z337" s="595">
        <v>7</v>
      </c>
      <c r="AA337" s="595">
        <v>2</v>
      </c>
      <c r="AB337" s="595">
        <v>5</v>
      </c>
      <c r="AC337" s="572">
        <f t="shared" si="176"/>
      </c>
      <c r="AD337" s="623" t="s">
        <v>399</v>
      </c>
      <c r="AE337" s="646" t="s">
        <v>428</v>
      </c>
      <c r="AF337" s="624">
        <v>27</v>
      </c>
    </row>
    <row r="338">
      <c r="A338" s="613"/>
      <c r="B338" s="626" t="s">
        <v>388</v>
      </c>
      <c r="C338" s="626"/>
      <c r="D338" s="627">
        <f>SUM(D336:D337)</f>
      </c>
      <c r="E338" s="628">
        <f>SUM(E336:E337)</f>
      </c>
      <c r="F338" s="628">
        <f>SUM(F336:F337)</f>
      </c>
      <c r="G338" s="627">
        <f>SUM(G336:G337)</f>
      </c>
      <c r="H338" s="629">
        <f t="shared" si="152"/>
      </c>
      <c r="I338" s="629">
        <f t="shared" si="91"/>
      </c>
      <c r="J338" s="629">
        <f t="shared" si="271"/>
      </c>
      <c r="K338" s="629">
        <f t="shared" si="209"/>
      </c>
      <c r="L338" s="629">
        <f t="shared" si="337"/>
      </c>
      <c r="M338" s="630">
        <f t="shared" si="304"/>
      </c>
      <c r="N338" s="630">
        <f t="shared" si="28"/>
      </c>
      <c r="O338" s="630">
        <f t="shared" si="367"/>
      </c>
      <c r="P338" s="630">
        <f t="shared" si="121"/>
      </c>
      <c r="Q338" s="597">
        <f t="shared" si="58"/>
      </c>
      <c r="R338" s="630">
        <f>AVERAGE(R336:R337)</f>
      </c>
      <c r="S338" s="627">
        <f>AVERAGE(S336:S337)</f>
      </c>
      <c r="T338" s="629">
        <f t="shared" si="239"/>
      </c>
      <c r="U338" s="597">
        <f>SUM(U336:U337)</f>
      </c>
      <c r="V338" s="597">
        <f>SUM(V336:V337)</f>
      </c>
      <c r="W338" s="597">
        <f>SUM(W336:W337)</f>
      </c>
      <c r="X338" s="597">
        <f>SUM(X336:X337)</f>
      </c>
      <c r="Y338" s="597">
        <f>SUM(Y336:Y337)</f>
      </c>
      <c r="Z338" s="597">
        <f>SUM(Z336:Z337)</f>
      </c>
      <c r="AA338" s="597">
        <f>SUM(AA336:AA337)</f>
      </c>
      <c r="AB338" s="597">
        <f>SUM(AB336:AB337)</f>
      </c>
      <c r="AC338" s="647">
        <f t="shared" si="176"/>
      </c>
      <c r="AD338" s="631"/>
      <c r="AE338" s="631"/>
      <c r="AF338" s="597">
        <f>SUM(AF336:AF337)</f>
      </c>
    </row>
    <row r="339">
      <c r="A339" s="613"/>
      <c r="B339" s="642" t="s">
        <v>394</v>
      </c>
      <c r="C339" s="642"/>
      <c r="D339" s="634">
        <f>D331+D338+D335</f>
      </c>
      <c r="E339" s="634">
        <f>E331+E338+E335</f>
      </c>
      <c r="F339" s="634">
        <f>F331+F338+F335</f>
      </c>
      <c r="G339" s="634">
        <f>G331+G338+G335</f>
      </c>
      <c r="H339" s="636">
        <f t="shared" si="152"/>
      </c>
      <c r="I339" s="636">
        <f t="shared" si="91"/>
      </c>
      <c r="J339" s="636">
        <f t="shared" si="271"/>
      </c>
      <c r="K339" s="636">
        <f t="shared" si="209"/>
      </c>
      <c r="L339" s="636">
        <f t="shared" si="337"/>
      </c>
      <c r="M339" s="637">
        <f t="shared" si="304"/>
      </c>
      <c r="N339" s="637">
        <f t="shared" si="28"/>
      </c>
      <c r="O339" s="637">
        <f t="shared" si="367"/>
      </c>
      <c r="P339" s="637">
        <f t="shared" si="121"/>
      </c>
      <c r="Q339" s="645">
        <f t="shared" si="58"/>
      </c>
      <c r="R339" s="637">
        <f>(R331+R338)/2</f>
      </c>
      <c r="S339" s="634">
        <f>(S338+S331)/2</f>
      </c>
      <c r="T339" s="634">
        <f t="shared" si="239"/>
      </c>
      <c r="U339" s="634">
        <f>U331+U338+U335</f>
      </c>
      <c r="V339" s="634">
        <f>V331+V338+V335</f>
      </c>
      <c r="W339" s="634">
        <f>W331+W338+W335</f>
      </c>
      <c r="X339" s="634">
        <f>X331+X338+X335</f>
      </c>
      <c r="Y339" s="634">
        <f>Y331+Y338+Y335</f>
      </c>
      <c r="Z339" s="634">
        <f>Z331+Z338+Z335</f>
      </c>
      <c r="AA339" s="634">
        <f>AA331+AA338+AA335</f>
      </c>
      <c r="AB339" s="634">
        <f>AB331+AB338+AB335</f>
      </c>
      <c r="AC339" s="636">
        <f>AC331</f>
      </c>
      <c r="AD339" s="642"/>
      <c r="AE339" s="642"/>
      <c r="AF339" s="634">
        <f>AF331+AF338+AF335</f>
      </c>
    </row>
    <row r="340">
      <c r="A340" s="599" t="s">
        <v>395</v>
      </c>
      <c r="B340" s="599" t="s">
        <v>346</v>
      </c>
      <c r="C340" s="599"/>
      <c r="D340" s="600" t="s">
        <v>347</v>
      </c>
      <c r="E340" s="600"/>
      <c r="F340" s="600"/>
      <c r="G340" s="600"/>
      <c r="H340" s="600"/>
      <c r="I340" s="600"/>
      <c r="J340" s="600"/>
      <c r="K340" s="600"/>
      <c r="L340" s="601" t="s">
        <v>348</v>
      </c>
      <c r="M340" s="601"/>
      <c r="N340" s="601"/>
      <c r="O340" s="601"/>
      <c r="P340" s="601"/>
      <c r="Q340" s="601"/>
      <c r="R340" s="601"/>
      <c r="S340" s="601"/>
      <c r="T340" s="601"/>
      <c r="U340" s="601"/>
      <c r="V340" s="601"/>
      <c r="W340" s="601"/>
      <c r="X340" s="601"/>
      <c r="Y340" s="601"/>
      <c r="Z340" s="601"/>
      <c r="AA340" s="601"/>
      <c r="AB340" s="601"/>
      <c r="AC340" s="601"/>
      <c r="AD340" s="601"/>
      <c r="AE340" s="601"/>
      <c r="AF340" s="602"/>
    </row>
    <row r="341">
      <c r="A341" s="599"/>
      <c r="B341" s="603" t="s">
        <v>349</v>
      </c>
      <c r="C341" s="603" t="s">
        <v>350</v>
      </c>
      <c r="D341" s="604" t="s">
        <v>351</v>
      </c>
      <c r="E341" s="605" t="s">
        <v>352</v>
      </c>
      <c r="F341" s="605" t="s">
        <v>353</v>
      </c>
      <c r="G341" s="604" t="s">
        <v>354</v>
      </c>
      <c r="H341" s="606" t="s">
        <v>355</v>
      </c>
      <c r="I341" s="606" t="s">
        <v>356</v>
      </c>
      <c r="J341" s="606" t="s">
        <v>357</v>
      </c>
      <c r="K341" s="606" t="s">
        <v>358</v>
      </c>
      <c r="L341" s="607" t="s">
        <v>359</v>
      </c>
      <c r="M341" s="608" t="s">
        <v>360</v>
      </c>
      <c r="N341" s="608" t="s">
        <v>361</v>
      </c>
      <c r="O341" s="608" t="s">
        <v>362</v>
      </c>
      <c r="P341" s="608" t="s">
        <v>363</v>
      </c>
      <c r="Q341" s="609" t="s">
        <v>364</v>
      </c>
      <c r="R341" s="608" t="s">
        <v>365</v>
      </c>
      <c r="S341" s="609" t="s">
        <v>366</v>
      </c>
      <c r="T341" s="610" t="s">
        <v>367</v>
      </c>
      <c r="U341" s="611" t="s">
        <v>368</v>
      </c>
      <c r="V341" s="611" t="s">
        <v>369</v>
      </c>
      <c r="W341" s="611" t="s">
        <v>370</v>
      </c>
      <c r="X341" s="611" t="s">
        <v>371</v>
      </c>
      <c r="Y341" s="611" t="s">
        <v>372</v>
      </c>
      <c r="Z341" s="611" t="s">
        <v>373</v>
      </c>
      <c r="AA341" s="611" t="s">
        <v>374</v>
      </c>
      <c r="AB341" s="611" t="s">
        <v>375</v>
      </c>
      <c r="AC341" s="601" t="s">
        <v>376</v>
      </c>
      <c r="AD341" s="612" t="s">
        <v>377</v>
      </c>
      <c r="AE341" s="612" t="s">
        <v>378</v>
      </c>
      <c r="AF341" s="602" t="s">
        <v>379</v>
      </c>
    </row>
    <row r="342">
      <c r="A342" s="613" t="s">
        <v>429</v>
      </c>
      <c r="B342" s="644" t="s">
        <v>389</v>
      </c>
      <c r="C342" s="614" t="s">
        <v>382</v>
      </c>
      <c r="D342" s="643">
        <v>3000.01</v>
      </c>
      <c r="E342" s="616">
        <v>1</v>
      </c>
      <c r="F342" s="616">
        <v>1</v>
      </c>
      <c r="G342" s="643">
        <v>1514.7</v>
      </c>
      <c r="H342" s="617">
        <f t="shared" ref="H342:H353" si="153">G342/D342</f>
      </c>
      <c r="I342" s="617">
        <f t="shared" ref="I342:I353" si="92">D342/E342</f>
      </c>
      <c r="J342" s="617">
        <f t="shared" ref="J342:J353" si="272">D342/F342</f>
      </c>
      <c r="K342" s="617">
        <f t="shared" ref="K342:K353" si="210">G342/E342</f>
      </c>
      <c r="L342" s="617">
        <f t="shared" ref="L342:L353" si="338">D342/V342</f>
      </c>
      <c r="M342" s="618">
        <f t="shared" ref="M342:M353" si="305">Q342/U342*1</f>
      </c>
      <c r="N342" s="618">
        <f t="shared" ref="N342:N353" si="29">V342/U342</f>
      </c>
      <c r="O342" s="619">
        <f t="shared" ref="O342:O353" si="368">X342/U342</f>
      </c>
      <c r="P342" s="619">
        <f t="shared" ref="P342:P353" si="122">Y342/X342</f>
      </c>
      <c r="Q342" s="595">
        <f t="shared" ref="Q342:Q353" si="59">W342/R342</f>
      </c>
      <c r="R342" s="620">
        <v>0.0111</v>
      </c>
      <c r="S342" s="621">
        <v>31</v>
      </c>
      <c r="T342" s="622">
        <f t="shared" ref="T342:T353" si="240">(D342/U342)*1000</f>
      </c>
      <c r="U342" s="595">
        <v>20087</v>
      </c>
      <c r="V342" s="595">
        <v>1542</v>
      </c>
      <c r="W342" s="595">
        <v>99</v>
      </c>
      <c r="X342" s="595">
        <v>1987</v>
      </c>
      <c r="Y342" s="595">
        <v>76</v>
      </c>
      <c r="Z342" s="595">
        <v>16</v>
      </c>
      <c r="AA342" s="595">
        <v>5</v>
      </c>
      <c r="AB342" s="621">
        <v>12</v>
      </c>
      <c r="AC342" s="572">
        <f t="shared" ref="AC342:AC352" si="177">AF342*1000/D342</f>
      </c>
      <c r="AD342" s="623" t="s">
        <v>399</v>
      </c>
      <c r="AE342" s="646" t="s">
        <v>428</v>
      </c>
      <c r="AF342" s="624">
        <v>47</v>
      </c>
    </row>
    <row r="343">
      <c r="A343" s="613"/>
      <c r="B343" s="644" t="s">
        <v>389</v>
      </c>
      <c r="C343" s="614" t="s">
        <v>385</v>
      </c>
      <c r="D343" s="643">
        <v>1589.19</v>
      </c>
      <c r="E343" s="616">
        <v>1</v>
      </c>
      <c r="F343" s="616">
        <v>1</v>
      </c>
      <c r="G343" s="643">
        <v>451</v>
      </c>
      <c r="H343" s="617">
        <f t="shared" si="153"/>
      </c>
      <c r="I343" s="617">
        <f t="shared" si="92"/>
      </c>
      <c r="J343" s="617">
        <f t="shared" si="272"/>
      </c>
      <c r="K343" s="617">
        <f t="shared" si="210"/>
      </c>
      <c r="L343" s="617">
        <f t="shared" si="338"/>
      </c>
      <c r="M343" s="618">
        <f t="shared" si="305"/>
      </c>
      <c r="N343" s="618">
        <f t="shared" si="29"/>
      </c>
      <c r="O343" s="619">
        <f t="shared" si="368"/>
      </c>
      <c r="P343" s="619">
        <f t="shared" si="122"/>
      </c>
      <c r="Q343" s="595">
        <f t="shared" si="59"/>
      </c>
      <c r="R343" s="620">
        <v>0.0147</v>
      </c>
      <c r="S343" s="621">
        <v>35</v>
      </c>
      <c r="T343" s="622">
        <f t="shared" si="240"/>
      </c>
      <c r="U343" s="595">
        <v>10356</v>
      </c>
      <c r="V343" s="595">
        <v>708</v>
      </c>
      <c r="W343" s="595">
        <v>63</v>
      </c>
      <c r="X343" s="595">
        <v>907</v>
      </c>
      <c r="Y343" s="595">
        <v>37</v>
      </c>
      <c r="Z343" s="595">
        <v>7</v>
      </c>
      <c r="AA343" s="595">
        <v>1</v>
      </c>
      <c r="AB343" s="595">
        <v>5</v>
      </c>
      <c r="AC343" s="572">
        <f t="shared" si="177"/>
      </c>
      <c r="AD343" s="623" t="s">
        <v>399</v>
      </c>
      <c r="AE343" s="646" t="s">
        <v>428</v>
      </c>
      <c r="AF343" s="624">
        <v>22</v>
      </c>
    </row>
    <row r="344">
      <c r="A344" s="613"/>
      <c r="B344" s="644" t="s">
        <v>389</v>
      </c>
      <c r="C344" s="614" t="s">
        <v>386</v>
      </c>
      <c r="D344" s="643">
        <v>942.31</v>
      </c>
      <c r="E344" s="616">
        <v>3</v>
      </c>
      <c r="F344" s="616">
        <v>2</v>
      </c>
      <c r="G344" s="643">
        <v>1353</v>
      </c>
      <c r="H344" s="617">
        <f t="shared" si="153"/>
      </c>
      <c r="I344" s="617">
        <f t="shared" si="92"/>
      </c>
      <c r="J344" s="617">
        <f t="shared" si="272"/>
      </c>
      <c r="K344" s="617">
        <f t="shared" si="210"/>
      </c>
      <c r="L344" s="617">
        <f t="shared" si="338"/>
      </c>
      <c r="M344" s="618">
        <f t="shared" si="305"/>
      </c>
      <c r="N344" s="618">
        <f t="shared" si="29"/>
      </c>
      <c r="O344" s="619">
        <f t="shared" si="368"/>
      </c>
      <c r="P344" s="619">
        <f t="shared" si="122"/>
      </c>
      <c r="Q344" s="595">
        <f t="shared" si="59"/>
      </c>
      <c r="R344" s="620">
        <v>0.0157</v>
      </c>
      <c r="S344" s="621">
        <v>37</v>
      </c>
      <c r="T344" s="622">
        <f t="shared" si="240"/>
      </c>
      <c r="U344" s="595">
        <v>6147</v>
      </c>
      <c r="V344" s="595">
        <v>516</v>
      </c>
      <c r="W344" s="595">
        <v>37</v>
      </c>
      <c r="X344" s="595">
        <v>801</v>
      </c>
      <c r="Y344" s="595">
        <v>29</v>
      </c>
      <c r="Z344" s="595">
        <v>3</v>
      </c>
      <c r="AA344" s="595">
        <v>0</v>
      </c>
      <c r="AB344" s="595">
        <v>2</v>
      </c>
      <c r="AC344" s="572">
        <f t="shared" si="177"/>
      </c>
      <c r="AD344" s="623" t="s">
        <v>399</v>
      </c>
      <c r="AE344" s="646" t="s">
        <v>428</v>
      </c>
      <c r="AF344" s="624">
        <v>16</v>
      </c>
    </row>
    <row r="345">
      <c r="A345" s="613"/>
      <c r="B345" s="626" t="s">
        <v>388</v>
      </c>
      <c r="C345" s="626"/>
      <c r="D345" s="627">
        <f>SUM(D342:D344)</f>
      </c>
      <c r="E345" s="628">
        <f>SUM(E342:E344)</f>
      </c>
      <c r="F345" s="628">
        <f>SUM(F342:F344)</f>
      </c>
      <c r="G345" s="627">
        <f>SUM(G342:G344)</f>
      </c>
      <c r="H345" s="629">
        <f t="shared" si="153"/>
      </c>
      <c r="I345" s="629">
        <f t="shared" si="92"/>
      </c>
      <c r="J345" s="629">
        <f t="shared" si="272"/>
      </c>
      <c r="K345" s="629">
        <f t="shared" si="210"/>
      </c>
      <c r="L345" s="629">
        <f t="shared" si="338"/>
      </c>
      <c r="M345" s="630">
        <f t="shared" si="305"/>
      </c>
      <c r="N345" s="630">
        <f t="shared" si="29"/>
      </c>
      <c r="O345" s="630">
        <f t="shared" si="368"/>
      </c>
      <c r="P345" s="630">
        <f t="shared" si="122"/>
      </c>
      <c r="Q345" s="597">
        <f t="shared" si="59"/>
      </c>
      <c r="R345" s="630">
        <f>AVERAGE(R342:R344)</f>
      </c>
      <c r="S345" s="627">
        <f>AVERAGE(S342:S344)</f>
      </c>
      <c r="T345" s="629">
        <f t="shared" si="240"/>
      </c>
      <c r="U345" s="597">
        <f>SUM(U342:U344)</f>
      </c>
      <c r="V345" s="597">
        <f>SUM(V342:V344)</f>
      </c>
      <c r="W345" s="597">
        <f>SUM(W342:W344)</f>
      </c>
      <c r="X345" s="597">
        <f>SUM(X342:X344)</f>
      </c>
      <c r="Y345" s="597">
        <f>SUM(Y342:Y344)</f>
      </c>
      <c r="Z345" s="597">
        <f>SUM(Z342:Z344)</f>
      </c>
      <c r="AA345" s="597">
        <f>SUM(AA342:AA344)</f>
      </c>
      <c r="AB345" s="597">
        <f>SUM(AB342:AB344)</f>
      </c>
      <c r="AC345" s="647">
        <f t="shared" si="177"/>
      </c>
      <c r="AD345" s="631"/>
      <c r="AE345" s="631"/>
      <c r="AF345" s="632">
        <f>SUM(AF342:AF344)</f>
      </c>
    </row>
    <row r="346">
      <c r="A346" s="613"/>
      <c r="B346" s="614" t="s">
        <v>381</v>
      </c>
      <c r="C346" s="644" t="s">
        <v>387</v>
      </c>
      <c r="D346" s="643">
        <v>1265.59</v>
      </c>
      <c r="E346" s="616">
        <v>3</v>
      </c>
      <c r="F346" s="616">
        <v>2</v>
      </c>
      <c r="G346" s="643">
        <v>1353</v>
      </c>
      <c r="H346" s="617">
        <f t="shared" si="153"/>
      </c>
      <c r="I346" s="617">
        <f t="shared" si="92"/>
      </c>
      <c r="J346" s="617">
        <f t="shared" si="272"/>
      </c>
      <c r="K346" s="617">
        <f t="shared" si="210"/>
      </c>
      <c r="L346" s="617">
        <f t="shared" si="338"/>
      </c>
      <c r="M346" s="618">
        <f t="shared" si="305"/>
      </c>
      <c r="N346" s="618">
        <f t="shared" si="29"/>
      </c>
      <c r="O346" s="619">
        <f t="shared" si="368"/>
      </c>
      <c r="P346" s="619">
        <f t="shared" si="122"/>
      </c>
      <c r="Q346" s="595">
        <f t="shared" si="59"/>
      </c>
      <c r="R346" s="620">
        <v>0.0143</v>
      </c>
      <c r="S346" s="621">
        <v>37</v>
      </c>
      <c r="T346" s="622">
        <f t="shared" si="240"/>
      </c>
      <c r="U346" s="595">
        <v>8353</v>
      </c>
      <c r="V346" s="595">
        <v>756</v>
      </c>
      <c r="W346" s="595">
        <v>54</v>
      </c>
      <c r="X346" s="595">
        <v>1022</v>
      </c>
      <c r="Y346" s="595">
        <v>28</v>
      </c>
      <c r="Z346" s="595">
        <v>7</v>
      </c>
      <c r="AA346" s="595">
        <v>0</v>
      </c>
      <c r="AB346" s="595">
        <v>3</v>
      </c>
      <c r="AC346" s="572">
        <f t="shared" si="177"/>
      </c>
      <c r="AD346" s="623" t="s">
        <v>399</v>
      </c>
      <c r="AE346" s="646" t="s">
        <v>428</v>
      </c>
      <c r="AF346" s="624">
        <v>17</v>
      </c>
    </row>
    <row r="347">
      <c r="A347" s="613"/>
      <c r="B347" s="614" t="s">
        <v>381</v>
      </c>
      <c r="C347" s="644" t="s">
        <v>390</v>
      </c>
      <c r="D347" s="643">
        <v>1725.95</v>
      </c>
      <c r="E347" s="616">
        <v>3</v>
      </c>
      <c r="F347" s="616">
        <v>3</v>
      </c>
      <c r="G347" s="643">
        <v>3594.7999999999993</v>
      </c>
      <c r="H347" s="617">
        <f t="shared" si="153"/>
      </c>
      <c r="I347" s="617">
        <f t="shared" si="92"/>
      </c>
      <c r="J347" s="617">
        <f t="shared" si="272"/>
      </c>
      <c r="K347" s="617">
        <f t="shared" si="210"/>
      </c>
      <c r="L347" s="617">
        <f t="shared" si="338"/>
      </c>
      <c r="M347" s="618">
        <f t="shared" si="305"/>
      </c>
      <c r="N347" s="618">
        <f t="shared" si="29"/>
      </c>
      <c r="O347" s="619">
        <f t="shared" si="368"/>
      </c>
      <c r="P347" s="619">
        <f t="shared" si="122"/>
      </c>
      <c r="Q347" s="595">
        <f t="shared" si="59"/>
      </c>
      <c r="R347" s="620">
        <v>0.0113</v>
      </c>
      <c r="S347" s="621">
        <v>38</v>
      </c>
      <c r="T347" s="622">
        <f t="shared" si="240"/>
      </c>
      <c r="U347" s="595">
        <v>10871</v>
      </c>
      <c r="V347" s="595">
        <v>840</v>
      </c>
      <c r="W347" s="595">
        <v>56</v>
      </c>
      <c r="X347" s="595">
        <v>1135</v>
      </c>
      <c r="Y347" s="595">
        <v>61</v>
      </c>
      <c r="Z347" s="595">
        <v>5</v>
      </c>
      <c r="AA347" s="595">
        <v>0</v>
      </c>
      <c r="AB347" s="595">
        <v>6</v>
      </c>
      <c r="AC347" s="572">
        <f t="shared" si="177"/>
      </c>
      <c r="AD347" s="623" t="s">
        <v>399</v>
      </c>
      <c r="AE347" s="646" t="s">
        <v>428</v>
      </c>
      <c r="AF347" s="624">
        <v>18</v>
      </c>
    </row>
    <row r="348">
      <c r="A348" s="613"/>
      <c r="B348" s="614" t="s">
        <v>381</v>
      </c>
      <c r="C348" s="644" t="s">
        <v>391</v>
      </c>
      <c r="D348" s="643">
        <v>1388.85</v>
      </c>
      <c r="E348" s="616">
        <v>2</v>
      </c>
      <c r="F348" s="616">
        <v>1</v>
      </c>
      <c r="G348" s="643">
        <v>1232</v>
      </c>
      <c r="H348" s="617">
        <f t="shared" si="153"/>
      </c>
      <c r="I348" s="617">
        <f t="shared" si="92"/>
      </c>
      <c r="J348" s="617">
        <f t="shared" si="272"/>
      </c>
      <c r="K348" s="617">
        <f t="shared" si="210"/>
      </c>
      <c r="L348" s="617">
        <f t="shared" si="338"/>
      </c>
      <c r="M348" s="618">
        <f t="shared" si="305"/>
      </c>
      <c r="N348" s="618">
        <f t="shared" si="29"/>
      </c>
      <c r="O348" s="619">
        <f t="shared" si="368"/>
      </c>
      <c r="P348" s="619">
        <f t="shared" si="122"/>
      </c>
      <c r="Q348" s="595">
        <f t="shared" si="59"/>
      </c>
      <c r="R348" s="620">
        <v>0.013</v>
      </c>
      <c r="S348" s="621">
        <v>39</v>
      </c>
      <c r="T348" s="622">
        <f t="shared" si="240"/>
      </c>
      <c r="U348" s="595">
        <v>11992</v>
      </c>
      <c r="V348" s="595">
        <v>908</v>
      </c>
      <c r="W348" s="595">
        <v>67</v>
      </c>
      <c r="X348" s="595">
        <v>1230</v>
      </c>
      <c r="Y348" s="595">
        <v>27</v>
      </c>
      <c r="Z348" s="595">
        <v>9</v>
      </c>
      <c r="AA348" s="595">
        <v>1</v>
      </c>
      <c r="AB348" s="595">
        <v>8</v>
      </c>
      <c r="AC348" s="572">
        <f t="shared" si="177"/>
      </c>
      <c r="AD348" s="623" t="s">
        <v>399</v>
      </c>
      <c r="AE348" s="646" t="s">
        <v>428</v>
      </c>
      <c r="AF348" s="624">
        <v>20</v>
      </c>
    </row>
    <row r="349">
      <c r="A349" s="613"/>
      <c r="B349" s="626" t="s">
        <v>388</v>
      </c>
      <c r="C349" s="626"/>
      <c r="D349" s="627">
        <f>SUM(D346:D348)</f>
      </c>
      <c r="E349" s="628">
        <f>SUM(E346:E348)</f>
      </c>
      <c r="F349" s="628">
        <f>SUM(F346:F348)</f>
      </c>
      <c r="G349" s="627">
        <f>SUM(G346:G348)</f>
      </c>
      <c r="H349" s="629">
        <f t="shared" si="153"/>
      </c>
      <c r="I349" s="629">
        <f t="shared" si="92"/>
      </c>
      <c r="J349" s="629">
        <f t="shared" si="272"/>
      </c>
      <c r="K349" s="629">
        <f t="shared" si="210"/>
      </c>
      <c r="L349" s="629">
        <f t="shared" si="338"/>
      </c>
      <c r="M349" s="630">
        <f t="shared" si="305"/>
      </c>
      <c r="N349" s="630">
        <f t="shared" si="29"/>
      </c>
      <c r="O349" s="630">
        <f t="shared" si="368"/>
      </c>
      <c r="P349" s="630">
        <f t="shared" si="122"/>
      </c>
      <c r="Q349" s="597">
        <f t="shared" si="59"/>
      </c>
      <c r="R349" s="630">
        <f>AVERAGE(R346:R348)</f>
      </c>
      <c r="S349" s="627">
        <f>AVERAGE(S346:S348)</f>
      </c>
      <c r="T349" s="629">
        <f t="shared" si="240"/>
      </c>
      <c r="U349" s="597">
        <f>SUM(U346:U348)</f>
      </c>
      <c r="V349" s="597">
        <f>SUM(V346:V348)</f>
      </c>
      <c r="W349" s="597">
        <f>SUM(W346:W348)</f>
      </c>
      <c r="X349" s="597">
        <f>SUM(X346:X348)</f>
      </c>
      <c r="Y349" s="597">
        <f>SUM(Y346:Y348)</f>
      </c>
      <c r="Z349" s="597">
        <f>SUM(Z346:Z348)</f>
      </c>
      <c r="AA349" s="597">
        <f>SUM(AA346:AA348)</f>
      </c>
      <c r="AB349" s="597">
        <f>SUM(AB346:AB348)</f>
      </c>
      <c r="AC349" s="647">
        <f t="shared" si="177"/>
      </c>
      <c r="AD349" s="631"/>
      <c r="AE349" s="631"/>
      <c r="AF349" s="632">
        <f>SUM(AF346:AF348)</f>
      </c>
    </row>
    <row r="350">
      <c r="A350" s="613"/>
      <c r="B350" s="644" t="s">
        <v>426</v>
      </c>
      <c r="C350" s="614" t="s">
        <v>392</v>
      </c>
      <c r="D350" s="643">
        <v>1118.4</v>
      </c>
      <c r="E350" s="616">
        <v>0</v>
      </c>
      <c r="F350" s="616">
        <v>0</v>
      </c>
      <c r="G350" s="643">
        <v>0</v>
      </c>
      <c r="H350" s="617">
        <f t="shared" si="153"/>
      </c>
      <c r="I350" s="617">
        <f t="shared" si="92"/>
      </c>
      <c r="J350" s="617">
        <f t="shared" si="272"/>
      </c>
      <c r="K350" s="617">
        <f t="shared" si="210"/>
      </c>
      <c r="L350" s="617">
        <f t="shared" si="338"/>
      </c>
      <c r="M350" s="618">
        <f t="shared" si="305"/>
      </c>
      <c r="N350" s="618">
        <f t="shared" si="29"/>
      </c>
      <c r="O350" s="619">
        <f t="shared" si="368"/>
      </c>
      <c r="P350" s="619">
        <f t="shared" si="122"/>
      </c>
      <c r="Q350" s="595">
        <f t="shared" si="59"/>
      </c>
      <c r="R350" s="620">
        <v>0.0164</v>
      </c>
      <c r="S350" s="621">
        <v>39</v>
      </c>
      <c r="T350" s="622">
        <f t="shared" si="240"/>
      </c>
      <c r="U350" s="595">
        <v>7737</v>
      </c>
      <c r="V350" s="595">
        <v>791</v>
      </c>
      <c r="W350" s="595">
        <v>48</v>
      </c>
      <c r="X350" s="595">
        <v>1089</v>
      </c>
      <c r="Y350" s="595">
        <v>58</v>
      </c>
      <c r="Z350" s="595">
        <v>3</v>
      </c>
      <c r="AA350" s="595">
        <v>0</v>
      </c>
      <c r="AB350" s="595">
        <v>12</v>
      </c>
      <c r="AC350" s="572">
        <f t="shared" si="177"/>
      </c>
      <c r="AD350" s="623" t="s">
        <v>399</v>
      </c>
      <c r="AE350" s="646" t="s">
        <v>428</v>
      </c>
      <c r="AF350" s="624">
        <v>24</v>
      </c>
    </row>
    <row r="351">
      <c r="A351" s="613"/>
      <c r="B351" s="644" t="s">
        <v>426</v>
      </c>
      <c r="C351" s="614" t="s">
        <v>393</v>
      </c>
      <c r="D351" s="643">
        <v>451.27</v>
      </c>
      <c r="E351" s="616">
        <v>0</v>
      </c>
      <c r="F351" s="616">
        <v>0</v>
      </c>
      <c r="G351" s="643">
        <v>0</v>
      </c>
      <c r="H351" s="617">
        <f t="shared" si="153"/>
      </c>
      <c r="I351" s="617">
        <f t="shared" si="92"/>
      </c>
      <c r="J351" s="617">
        <f t="shared" si="272"/>
      </c>
      <c r="K351" s="617">
        <f t="shared" si="210"/>
      </c>
      <c r="L351" s="617">
        <f t="shared" si="338"/>
      </c>
      <c r="M351" s="618">
        <f t="shared" si="305"/>
      </c>
      <c r="N351" s="618">
        <f t="shared" si="29"/>
      </c>
      <c r="O351" s="619">
        <f t="shared" si="368"/>
      </c>
      <c r="P351" s="619">
        <f t="shared" si="122"/>
      </c>
      <c r="Q351" s="595">
        <f t="shared" si="59"/>
      </c>
      <c r="R351" s="620">
        <v>0.0153</v>
      </c>
      <c r="S351" s="621">
        <v>39</v>
      </c>
      <c r="T351" s="622">
        <f t="shared" si="240"/>
      </c>
      <c r="U351" s="595">
        <v>3798</v>
      </c>
      <c r="V351" s="595">
        <v>341</v>
      </c>
      <c r="W351" s="595">
        <v>21</v>
      </c>
      <c r="X351" s="595">
        <v>472</v>
      </c>
      <c r="Y351" s="595">
        <v>18</v>
      </c>
      <c r="Z351" s="595">
        <v>1</v>
      </c>
      <c r="AA351" s="595">
        <v>1</v>
      </c>
      <c r="AB351" s="595">
        <v>1</v>
      </c>
      <c r="AC351" s="572">
        <f t="shared" si="177"/>
      </c>
      <c r="AD351" s="623" t="s">
        <v>399</v>
      </c>
      <c r="AE351" s="646" t="s">
        <v>428</v>
      </c>
      <c r="AF351" s="624">
        <v>6</v>
      </c>
    </row>
    <row r="352">
      <c r="A352" s="613"/>
      <c r="B352" s="626" t="s">
        <v>388</v>
      </c>
      <c r="C352" s="626"/>
      <c r="D352" s="627">
        <f>SUM(D350:D351)</f>
      </c>
      <c r="E352" s="628">
        <f>SUM(E350:E351)</f>
      </c>
      <c r="F352" s="628">
        <f>SUM(F350:F351)</f>
      </c>
      <c r="G352" s="627">
        <f>SUM(G350:G351)</f>
      </c>
      <c r="H352" s="629">
        <f t="shared" si="153"/>
      </c>
      <c r="I352" s="629">
        <f t="shared" si="92"/>
      </c>
      <c r="J352" s="629">
        <f t="shared" si="272"/>
      </c>
      <c r="K352" s="629">
        <f t="shared" si="210"/>
      </c>
      <c r="L352" s="629">
        <f t="shared" si="338"/>
      </c>
      <c r="M352" s="630">
        <f t="shared" si="305"/>
      </c>
      <c r="N352" s="630">
        <f t="shared" si="29"/>
      </c>
      <c r="O352" s="630">
        <f t="shared" si="368"/>
      </c>
      <c r="P352" s="630">
        <f t="shared" si="122"/>
      </c>
      <c r="Q352" s="597">
        <f t="shared" si="59"/>
      </c>
      <c r="R352" s="630">
        <f>AVERAGE(R350:R351)</f>
      </c>
      <c r="S352" s="627">
        <f>AVERAGE(S350:S351)</f>
      </c>
      <c r="T352" s="629">
        <f t="shared" si="240"/>
      </c>
      <c r="U352" s="597">
        <f>SUM(U350:U351)</f>
      </c>
      <c r="V352" s="597">
        <f>SUM(V350:V351)</f>
      </c>
      <c r="W352" s="597">
        <f>SUM(W350:W351)</f>
      </c>
      <c r="X352" s="597">
        <f>SUM(X350:X351)</f>
      </c>
      <c r="Y352" s="597">
        <f>SUM(Y350:Y351)</f>
      </c>
      <c r="Z352" s="597">
        <f>SUM(Z350:Z351)</f>
      </c>
      <c r="AA352" s="597">
        <f>SUM(AA350:AA351)</f>
      </c>
      <c r="AB352" s="597">
        <f>SUM(AB350:AB351)</f>
      </c>
      <c r="AC352" s="647">
        <f t="shared" si="177"/>
      </c>
      <c r="AD352" s="631"/>
      <c r="AE352" s="631"/>
      <c r="AF352" s="597">
        <f>SUM(AF350:AF351)</f>
      </c>
    </row>
    <row r="353">
      <c r="A353" s="613"/>
      <c r="B353" s="642" t="s">
        <v>394</v>
      </c>
      <c r="C353" s="642"/>
      <c r="D353" s="634">
        <f>D345+D352+D349</f>
      </c>
      <c r="E353" s="634">
        <f>E345+E352+E349</f>
      </c>
      <c r="F353" s="634">
        <f>F345+F352+F349</f>
      </c>
      <c r="G353" s="634">
        <f>G345+G352+G349</f>
      </c>
      <c r="H353" s="636">
        <f t="shared" si="153"/>
      </c>
      <c r="I353" s="636">
        <f t="shared" si="92"/>
      </c>
      <c r="J353" s="636">
        <f t="shared" si="272"/>
      </c>
      <c r="K353" s="636">
        <f t="shared" si="210"/>
      </c>
      <c r="L353" s="636">
        <f t="shared" si="338"/>
      </c>
      <c r="M353" s="637">
        <f t="shared" si="305"/>
      </c>
      <c r="N353" s="637">
        <f t="shared" si="29"/>
      </c>
      <c r="O353" s="637">
        <f t="shared" si="368"/>
      </c>
      <c r="P353" s="637">
        <f t="shared" si="122"/>
      </c>
      <c r="Q353" s="645">
        <f t="shared" si="59"/>
      </c>
      <c r="R353" s="637">
        <f>(R345+R352)/2</f>
      </c>
      <c r="S353" s="634">
        <f>(S352+S345)/2</f>
      </c>
      <c r="T353" s="634">
        <f t="shared" si="240"/>
      </c>
      <c r="U353" s="634">
        <f>U345+U352+U349</f>
      </c>
      <c r="V353" s="634">
        <f>V345+V352+V349</f>
      </c>
      <c r="W353" s="634">
        <f>W345+W352+W349</f>
      </c>
      <c r="X353" s="634">
        <f>X345+X352+X349</f>
      </c>
      <c r="Y353" s="634">
        <f>Y345+Y352+Y349</f>
      </c>
      <c r="Z353" s="634">
        <f>Z345+Z352+Z349</f>
      </c>
      <c r="AA353" s="634">
        <f>AA345+AA352+AA349</f>
      </c>
      <c r="AB353" s="634">
        <f>AB345+AB352+AB349</f>
      </c>
      <c r="AC353" s="636">
        <f>AC345</f>
      </c>
      <c r="AD353" s="642"/>
      <c r="AE353" s="642"/>
      <c r="AF353" s="634">
        <f>AF345+AF352+AF349</f>
      </c>
    </row>
    <row r="354">
      <c r="A354" s="599" t="s">
        <v>395</v>
      </c>
      <c r="B354" s="599" t="s">
        <v>346</v>
      </c>
      <c r="C354" s="599"/>
      <c r="D354" s="600" t="s">
        <v>347</v>
      </c>
      <c r="E354" s="600"/>
      <c r="F354" s="600"/>
      <c r="G354" s="600"/>
      <c r="H354" s="600"/>
      <c r="I354" s="600"/>
      <c r="J354" s="600"/>
      <c r="K354" s="600"/>
      <c r="L354" s="601" t="s">
        <v>348</v>
      </c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01"/>
      <c r="AB354" s="601"/>
      <c r="AC354" s="601"/>
      <c r="AD354" s="601"/>
      <c r="AE354" s="601"/>
      <c r="AF354" s="602"/>
    </row>
    <row r="355">
      <c r="A355" s="599"/>
      <c r="B355" s="603" t="s">
        <v>349</v>
      </c>
      <c r="C355" s="603" t="s">
        <v>350</v>
      </c>
      <c r="D355" s="604" t="s">
        <v>351</v>
      </c>
      <c r="E355" s="605" t="s">
        <v>352</v>
      </c>
      <c r="F355" s="605" t="s">
        <v>353</v>
      </c>
      <c r="G355" s="604" t="s">
        <v>354</v>
      </c>
      <c r="H355" s="606" t="s">
        <v>355</v>
      </c>
      <c r="I355" s="606" t="s">
        <v>356</v>
      </c>
      <c r="J355" s="606" t="s">
        <v>357</v>
      </c>
      <c r="K355" s="606" t="s">
        <v>358</v>
      </c>
      <c r="L355" s="607" t="s">
        <v>359</v>
      </c>
      <c r="M355" s="608" t="s">
        <v>360</v>
      </c>
      <c r="N355" s="608" t="s">
        <v>361</v>
      </c>
      <c r="O355" s="608" t="s">
        <v>362</v>
      </c>
      <c r="P355" s="608" t="s">
        <v>363</v>
      </c>
      <c r="Q355" s="609" t="s">
        <v>364</v>
      </c>
      <c r="R355" s="608" t="s">
        <v>365</v>
      </c>
      <c r="S355" s="609" t="s">
        <v>366</v>
      </c>
      <c r="T355" s="610" t="s">
        <v>367</v>
      </c>
      <c r="U355" s="611" t="s">
        <v>368</v>
      </c>
      <c r="V355" s="611" t="s">
        <v>369</v>
      </c>
      <c r="W355" s="611" t="s">
        <v>370</v>
      </c>
      <c r="X355" s="611" t="s">
        <v>371</v>
      </c>
      <c r="Y355" s="611" t="s">
        <v>372</v>
      </c>
      <c r="Z355" s="611" t="s">
        <v>373</v>
      </c>
      <c r="AA355" s="611" t="s">
        <v>374</v>
      </c>
      <c r="AB355" s="611" t="s">
        <v>375</v>
      </c>
      <c r="AC355" s="601" t="s">
        <v>376</v>
      </c>
      <c r="AD355" s="612" t="s">
        <v>377</v>
      </c>
      <c r="AE355" s="612" t="s">
        <v>378</v>
      </c>
      <c r="AF355" s="602" t="s">
        <v>379</v>
      </c>
    </row>
    <row r="356">
      <c r="A356" s="613" t="s">
        <v>430</v>
      </c>
      <c r="B356" s="644" t="s">
        <v>389</v>
      </c>
      <c r="C356" s="614" t="s">
        <v>382</v>
      </c>
      <c r="D356" s="615">
        <v>2915.7</v>
      </c>
      <c r="E356" s="616">
        <v>4</v>
      </c>
      <c r="F356" s="616">
        <v>2</v>
      </c>
      <c r="G356" s="643">
        <v>1804</v>
      </c>
      <c r="H356" s="617">
        <f t="shared" ref="H356:H366" si="154">G356/D356</f>
      </c>
      <c r="I356" s="617">
        <f t="shared" ref="I356:I366" si="93">D356/E356</f>
      </c>
      <c r="J356" s="617">
        <f t="shared" ref="J356:J366" si="273">D356/F356</f>
      </c>
      <c r="K356" s="617">
        <f t="shared" ref="K356:K366" si="211">G356/E356</f>
      </c>
      <c r="L356" s="617">
        <f t="shared" ref="L356:L366" si="339">D356/V356</f>
      </c>
      <c r="M356" s="618">
        <f t="shared" ref="M356:M366" si="306">Q356/U356*1</f>
      </c>
      <c r="N356" s="618">
        <f t="shared" ref="N356:N366" si="30">V356/U356</f>
      </c>
      <c r="O356" s="619">
        <f t="shared" ref="O356:O366" si="369">X356/U356</f>
      </c>
      <c r="P356" s="619">
        <f t="shared" ref="P356:P366" si="123">Y356/X356</f>
      </c>
      <c r="Q356" s="595">
        <f t="shared" ref="Q356:Q366" si="60">W356/R356</f>
      </c>
      <c r="R356" s="620">
        <v>0.0176</v>
      </c>
      <c r="S356" s="621">
        <v>28</v>
      </c>
      <c r="T356" s="622">
        <f t="shared" ref="T356:T366" si="241">(D356/U356)*1000</f>
      </c>
      <c r="U356" s="595">
        <v>19680</v>
      </c>
      <c r="V356" s="595">
        <v>1603</v>
      </c>
      <c r="W356" s="595">
        <v>109</v>
      </c>
      <c r="X356" s="595">
        <v>2141</v>
      </c>
      <c r="Y356" s="595">
        <v>66</v>
      </c>
      <c r="Z356" s="595">
        <v>18</v>
      </c>
      <c r="AA356" s="595">
        <v>2</v>
      </c>
      <c r="AB356" s="595">
        <v>13</v>
      </c>
      <c r="AC356" s="572">
        <f t="shared" ref="AC356:AC365" si="178">AF356*1000/D356</f>
      </c>
      <c r="AD356" s="623" t="s">
        <v>399</v>
      </c>
      <c r="AE356" s="646" t="s">
        <v>400</v>
      </c>
      <c r="AF356" s="624">
        <v>32</v>
      </c>
    </row>
    <row r="357">
      <c r="A357" s="613"/>
      <c r="B357" s="644" t="s">
        <v>389</v>
      </c>
      <c r="C357" s="614" t="s">
        <v>385</v>
      </c>
      <c r="D357" s="615">
        <v>3084.3</v>
      </c>
      <c r="E357" s="616">
        <v>6</v>
      </c>
      <c r="F357" s="616">
        <v>7</v>
      </c>
      <c r="G357" s="643">
        <v>4161.3</v>
      </c>
      <c r="H357" s="617">
        <f t="shared" si="154"/>
      </c>
      <c r="I357" s="617">
        <f t="shared" si="93"/>
      </c>
      <c r="J357" s="617">
        <f t="shared" si="273"/>
      </c>
      <c r="K357" s="617">
        <f t="shared" si="211"/>
      </c>
      <c r="L357" s="617">
        <f t="shared" si="339"/>
      </c>
      <c r="M357" s="618">
        <f t="shared" si="306"/>
      </c>
      <c r="N357" s="618">
        <f t="shared" si="30"/>
      </c>
      <c r="O357" s="619">
        <f t="shared" si="369"/>
      </c>
      <c r="P357" s="619">
        <f t="shared" si="123"/>
      </c>
      <c r="Q357" s="595">
        <f t="shared" si="60"/>
      </c>
      <c r="R357" s="620">
        <v>0.0168</v>
      </c>
      <c r="S357" s="621">
        <v>33</v>
      </c>
      <c r="T357" s="622">
        <f t="shared" si="241"/>
      </c>
      <c r="U357" s="595">
        <v>20542</v>
      </c>
      <c r="V357" s="595">
        <v>1389</v>
      </c>
      <c r="W357" s="595">
        <v>125</v>
      </c>
      <c r="X357" s="595">
        <v>1748</v>
      </c>
      <c r="Y357" s="595">
        <v>114</v>
      </c>
      <c r="Z357" s="595">
        <v>19</v>
      </c>
      <c r="AA357" s="595">
        <v>6</v>
      </c>
      <c r="AB357" s="595">
        <v>23</v>
      </c>
      <c r="AC357" s="572">
        <f t="shared" si="178"/>
      </c>
      <c r="AD357" s="623" t="s">
        <v>399</v>
      </c>
      <c r="AE357" s="646" t="s">
        <v>400</v>
      </c>
      <c r="AF357" s="624">
        <v>36</v>
      </c>
    </row>
    <row r="358">
      <c r="A358" s="613"/>
      <c r="B358" s="644" t="s">
        <v>389</v>
      </c>
      <c r="C358" s="614" t="s">
        <v>386</v>
      </c>
      <c r="D358" s="615">
        <v>1294.28</v>
      </c>
      <c r="E358" s="616">
        <v>4</v>
      </c>
      <c r="F358" s="616">
        <v>3</v>
      </c>
      <c r="G358" s="615">
        <v>2134</v>
      </c>
      <c r="H358" s="617">
        <f t="shared" si="154"/>
      </c>
      <c r="I358" s="617">
        <f t="shared" si="93"/>
      </c>
      <c r="J358" s="617">
        <f t="shared" si="273"/>
      </c>
      <c r="K358" s="617">
        <f t="shared" si="211"/>
      </c>
      <c r="L358" s="617">
        <f t="shared" si="339"/>
      </c>
      <c r="M358" s="618">
        <f t="shared" si="306"/>
      </c>
      <c r="N358" s="618">
        <f t="shared" si="30"/>
      </c>
      <c r="O358" s="619">
        <f t="shared" si="369"/>
      </c>
      <c r="P358" s="619">
        <f t="shared" si="123"/>
      </c>
      <c r="Q358" s="595">
        <f t="shared" si="60"/>
      </c>
      <c r="R358" s="620">
        <v>0.0179</v>
      </c>
      <c r="S358" s="621">
        <v>35</v>
      </c>
      <c r="T358" s="622">
        <f t="shared" si="241"/>
      </c>
      <c r="U358" s="595">
        <v>9530</v>
      </c>
      <c r="V358" s="595">
        <v>481</v>
      </c>
      <c r="W358" s="595">
        <v>68</v>
      </c>
      <c r="X358" s="595">
        <v>530</v>
      </c>
      <c r="Y358" s="595">
        <v>52</v>
      </c>
      <c r="Z358" s="595">
        <v>2</v>
      </c>
      <c r="AA358" s="595">
        <v>1</v>
      </c>
      <c r="AB358" s="595">
        <v>8</v>
      </c>
      <c r="AC358" s="572">
        <f t="shared" si="178"/>
      </c>
      <c r="AD358" s="623" t="s">
        <v>399</v>
      </c>
      <c r="AE358" s="646" t="s">
        <v>400</v>
      </c>
      <c r="AF358" s="624">
        <v>28</v>
      </c>
    </row>
    <row r="359">
      <c r="A359" s="613"/>
      <c r="B359" s="644" t="s">
        <v>389</v>
      </c>
      <c r="C359" s="614" t="s">
        <v>387</v>
      </c>
      <c r="D359" s="615">
        <v>3169.77</v>
      </c>
      <c r="E359" s="616">
        <v>9</v>
      </c>
      <c r="F359" s="616">
        <v>6</v>
      </c>
      <c r="G359" s="643">
        <v>5768.399999999999</v>
      </c>
      <c r="H359" s="617">
        <f t="shared" si="154"/>
      </c>
      <c r="I359" s="617">
        <f t="shared" si="93"/>
      </c>
      <c r="J359" s="617">
        <f t="shared" si="273"/>
      </c>
      <c r="K359" s="617">
        <f t="shared" si="211"/>
      </c>
      <c r="L359" s="617">
        <f t="shared" si="339"/>
      </c>
      <c r="M359" s="618">
        <f t="shared" si="306"/>
      </c>
      <c r="N359" s="618">
        <f t="shared" si="30"/>
      </c>
      <c r="O359" s="619">
        <f t="shared" si="369"/>
      </c>
      <c r="P359" s="619">
        <f t="shared" si="123"/>
      </c>
      <c r="Q359" s="595">
        <f t="shared" si="60"/>
      </c>
      <c r="R359" s="620">
        <v>0.0157</v>
      </c>
      <c r="S359" s="621">
        <v>36</v>
      </c>
      <c r="T359" s="622">
        <f t="shared" si="241"/>
      </c>
      <c r="U359" s="595">
        <v>23229</v>
      </c>
      <c r="V359" s="595">
        <v>1208</v>
      </c>
      <c r="W359" s="595">
        <v>107</v>
      </c>
      <c r="X359" s="595">
        <v>1579</v>
      </c>
      <c r="Y359" s="595">
        <v>55</v>
      </c>
      <c r="Z359" s="595">
        <v>12</v>
      </c>
      <c r="AA359" s="595">
        <v>5</v>
      </c>
      <c r="AB359" s="595">
        <v>19</v>
      </c>
      <c r="AC359" s="572">
        <f t="shared" si="178"/>
      </c>
      <c r="AD359" s="623" t="s">
        <v>399</v>
      </c>
      <c r="AE359" s="646" t="s">
        <v>400</v>
      </c>
      <c r="AF359" s="624">
        <v>41</v>
      </c>
    </row>
    <row r="360">
      <c r="A360" s="613"/>
      <c r="B360" s="626" t="s">
        <v>388</v>
      </c>
      <c r="C360" s="626"/>
      <c r="D360" s="627">
        <f>SUM(D356:D359)</f>
      </c>
      <c r="E360" s="628">
        <f>SUM(E356:E359)</f>
      </c>
      <c r="F360" s="628">
        <f>SUM(F356:F359)</f>
      </c>
      <c r="G360" s="627">
        <f>SUM(G356:G359)</f>
      </c>
      <c r="H360" s="629">
        <f t="shared" si="154"/>
      </c>
      <c r="I360" s="629">
        <f t="shared" si="93"/>
      </c>
      <c r="J360" s="629">
        <f t="shared" si="273"/>
      </c>
      <c r="K360" s="629">
        <f t="shared" si="211"/>
      </c>
      <c r="L360" s="629">
        <f t="shared" si="339"/>
      </c>
      <c r="M360" s="630">
        <f t="shared" si="306"/>
      </c>
      <c r="N360" s="630">
        <f t="shared" si="30"/>
      </c>
      <c r="O360" s="630">
        <f t="shared" si="369"/>
      </c>
      <c r="P360" s="630">
        <f t="shared" si="123"/>
      </c>
      <c r="Q360" s="597">
        <f t="shared" si="60"/>
      </c>
      <c r="R360" s="630">
        <f>AVERAGE(R356:R359)</f>
      </c>
      <c r="S360" s="627">
        <f>AVERAGE(S356:S359)</f>
      </c>
      <c r="T360" s="629">
        <f t="shared" si="241"/>
      </c>
      <c r="U360" s="597">
        <f>SUM(U356:U359)</f>
      </c>
      <c r="V360" s="597">
        <f>SUM(V356:V359)</f>
      </c>
      <c r="W360" s="597">
        <f>SUM(W356:W359)</f>
      </c>
      <c r="X360" s="597">
        <f>SUM(X356:X359)</f>
      </c>
      <c r="Y360" s="597">
        <f>SUM(Y356:Y359)</f>
      </c>
      <c r="Z360" s="597">
        <f>SUM(Z356:Z359)</f>
      </c>
      <c r="AA360" s="597">
        <f>SUM(AA356:AA359)</f>
      </c>
      <c r="AB360" s="597">
        <f>SUM(AB356:AB359)</f>
      </c>
      <c r="AC360" s="647">
        <f t="shared" si="178"/>
      </c>
      <c r="AD360" s="631"/>
      <c r="AE360" s="631"/>
      <c r="AF360" s="632">
        <f>SUM(AF356:AF359)</f>
      </c>
    </row>
    <row r="361">
      <c r="A361" s="613"/>
      <c r="B361" s="614" t="s">
        <v>414</v>
      </c>
      <c r="C361" s="614" t="s">
        <v>390</v>
      </c>
      <c r="D361" s="615">
        <v>3040.27</v>
      </c>
      <c r="E361" s="616">
        <v>6</v>
      </c>
      <c r="F361" s="616">
        <v>5</v>
      </c>
      <c r="G361" s="615">
        <v>5198.6</v>
      </c>
      <c r="H361" s="617">
        <f t="shared" si="154"/>
      </c>
      <c r="I361" s="617">
        <f t="shared" si="93"/>
      </c>
      <c r="J361" s="617">
        <f t="shared" si="273"/>
      </c>
      <c r="K361" s="617">
        <f t="shared" si="211"/>
      </c>
      <c r="L361" s="617">
        <f t="shared" si="339"/>
      </c>
      <c r="M361" s="618">
        <f t="shared" si="306"/>
      </c>
      <c r="N361" s="618">
        <f t="shared" si="30"/>
      </c>
      <c r="O361" s="619">
        <f t="shared" si="369"/>
      </c>
      <c r="P361" s="619">
        <f t="shared" si="123"/>
      </c>
      <c r="Q361" s="595">
        <f t="shared" si="60"/>
      </c>
      <c r="R361" s="620">
        <v>0.0187</v>
      </c>
      <c r="S361" s="621">
        <v>38</v>
      </c>
      <c r="T361" s="622">
        <f t="shared" si="241"/>
      </c>
      <c r="U361" s="595">
        <v>20800</v>
      </c>
      <c r="V361" s="595">
        <v>1212</v>
      </c>
      <c r="W361" s="595">
        <v>99</v>
      </c>
      <c r="X361" s="595">
        <v>1621</v>
      </c>
      <c r="Y361" s="595">
        <v>92</v>
      </c>
      <c r="Z361" s="595">
        <v>14</v>
      </c>
      <c r="AA361" s="595">
        <v>4</v>
      </c>
      <c r="AB361" s="595">
        <v>14</v>
      </c>
      <c r="AC361" s="572">
        <f t="shared" si="178"/>
      </c>
      <c r="AD361" s="623" t="s">
        <v>399</v>
      </c>
      <c r="AE361" s="646" t="s">
        <v>400</v>
      </c>
      <c r="AF361" s="624">
        <v>32</v>
      </c>
    </row>
    <row r="362">
      <c r="A362" s="613"/>
      <c r="B362" s="614" t="s">
        <v>414</v>
      </c>
      <c r="C362" s="614" t="s">
        <v>391</v>
      </c>
      <c r="D362" s="615">
        <v>3686.21</v>
      </c>
      <c r="E362" s="616">
        <v>9</v>
      </c>
      <c r="F362" s="616">
        <v>8</v>
      </c>
      <c r="G362" s="643">
        <v>7313.899999999998</v>
      </c>
      <c r="H362" s="617">
        <f t="shared" si="154"/>
      </c>
      <c r="I362" s="617">
        <f t="shared" si="93"/>
      </c>
      <c r="J362" s="617">
        <f t="shared" si="273"/>
      </c>
      <c r="K362" s="617">
        <f t="shared" si="211"/>
      </c>
      <c r="L362" s="617">
        <f t="shared" si="339"/>
      </c>
      <c r="M362" s="618">
        <f t="shared" si="306"/>
      </c>
      <c r="N362" s="618">
        <f t="shared" si="30"/>
      </c>
      <c r="O362" s="619">
        <f t="shared" si="369"/>
      </c>
      <c r="P362" s="619">
        <f t="shared" si="123"/>
      </c>
      <c r="Q362" s="595">
        <f t="shared" si="60"/>
      </c>
      <c r="R362" s="620">
        <v>0.0138</v>
      </c>
      <c r="S362" s="621">
        <v>38</v>
      </c>
      <c r="T362" s="622">
        <f t="shared" si="241"/>
      </c>
      <c r="U362" s="595">
        <v>27925</v>
      </c>
      <c r="V362" s="595">
        <v>1743</v>
      </c>
      <c r="W362" s="595">
        <v>127</v>
      </c>
      <c r="X362" s="595">
        <v>2279</v>
      </c>
      <c r="Y362" s="595">
        <v>88</v>
      </c>
      <c r="Z362" s="595">
        <v>14</v>
      </c>
      <c r="AA362" s="595">
        <v>4</v>
      </c>
      <c r="AB362" s="595">
        <v>22</v>
      </c>
      <c r="AC362" s="572">
        <f t="shared" si="178"/>
      </c>
      <c r="AD362" s="623" t="s">
        <v>399</v>
      </c>
      <c r="AE362" s="646" t="s">
        <v>400</v>
      </c>
      <c r="AF362" s="624">
        <v>42</v>
      </c>
    </row>
    <row r="363">
      <c r="A363" s="613"/>
      <c r="B363" s="614" t="s">
        <v>414</v>
      </c>
      <c r="C363" s="614" t="s">
        <v>392</v>
      </c>
      <c r="D363" s="615">
        <v>3215.85</v>
      </c>
      <c r="E363" s="616">
        <v>5</v>
      </c>
      <c r="F363" s="616">
        <v>4</v>
      </c>
      <c r="G363" s="615">
        <v>4056.800000000003</v>
      </c>
      <c r="H363" s="617">
        <f t="shared" si="154"/>
      </c>
      <c r="I363" s="617">
        <f t="shared" si="93"/>
      </c>
      <c r="J363" s="617">
        <f t="shared" si="273"/>
      </c>
      <c r="K363" s="617">
        <f t="shared" si="211"/>
      </c>
      <c r="L363" s="617">
        <f t="shared" si="339"/>
      </c>
      <c r="M363" s="618">
        <f t="shared" si="306"/>
      </c>
      <c r="N363" s="618">
        <f t="shared" si="30"/>
      </c>
      <c r="O363" s="619">
        <f t="shared" si="369"/>
      </c>
      <c r="P363" s="619">
        <f t="shared" si="123"/>
      </c>
      <c r="Q363" s="595">
        <f t="shared" si="60"/>
      </c>
      <c r="R363" s="620">
        <v>0.0239</v>
      </c>
      <c r="S363" s="621">
        <v>40</v>
      </c>
      <c r="T363" s="622">
        <f t="shared" si="241"/>
      </c>
      <c r="U363" s="595">
        <v>27703</v>
      </c>
      <c r="V363" s="595">
        <v>1277</v>
      </c>
      <c r="W363" s="595">
        <v>128</v>
      </c>
      <c r="X363" s="595">
        <v>1729</v>
      </c>
      <c r="Y363" s="595">
        <v>95</v>
      </c>
      <c r="Z363" s="595">
        <v>11</v>
      </c>
      <c r="AA363" s="595">
        <v>5</v>
      </c>
      <c r="AB363" s="595">
        <v>34</v>
      </c>
      <c r="AC363" s="572">
        <f t="shared" si="178"/>
      </c>
      <c r="AD363" s="623" t="s">
        <v>399</v>
      </c>
      <c r="AE363" s="646" t="s">
        <v>400</v>
      </c>
      <c r="AF363" s="624">
        <v>39</v>
      </c>
    </row>
    <row r="364">
      <c r="A364" s="613"/>
      <c r="B364" s="614" t="s">
        <v>414</v>
      </c>
      <c r="C364" s="614" t="s">
        <v>393</v>
      </c>
      <c r="D364" s="615">
        <v>1467.75</v>
      </c>
      <c r="E364" s="616">
        <v>4</v>
      </c>
      <c r="F364" s="616">
        <v>3</v>
      </c>
      <c r="G364" s="643">
        <v>2853.4000000000015</v>
      </c>
      <c r="H364" s="617">
        <f t="shared" si="154"/>
      </c>
      <c r="I364" s="617">
        <f t="shared" si="93"/>
      </c>
      <c r="J364" s="617">
        <f t="shared" si="273"/>
      </c>
      <c r="K364" s="617">
        <f t="shared" si="211"/>
      </c>
      <c r="L364" s="617">
        <f t="shared" si="339"/>
      </c>
      <c r="M364" s="618">
        <f t="shared" si="306"/>
      </c>
      <c r="N364" s="618">
        <f t="shared" si="30"/>
      </c>
      <c r="O364" s="619">
        <f t="shared" si="369"/>
      </c>
      <c r="P364" s="619">
        <f t="shared" si="123"/>
      </c>
      <c r="Q364" s="595">
        <f t="shared" si="60"/>
      </c>
      <c r="R364" s="620">
        <v>0.0291</v>
      </c>
      <c r="S364" s="621">
        <v>39</v>
      </c>
      <c r="T364" s="622">
        <f t="shared" si="241"/>
      </c>
      <c r="U364" s="595">
        <v>14246</v>
      </c>
      <c r="V364" s="595">
        <v>749</v>
      </c>
      <c r="W364" s="595">
        <v>85</v>
      </c>
      <c r="X364" s="595">
        <v>968</v>
      </c>
      <c r="Y364" s="595">
        <v>47</v>
      </c>
      <c r="Z364" s="595">
        <v>7</v>
      </c>
      <c r="AA364" s="595">
        <v>2</v>
      </c>
      <c r="AB364" s="595">
        <v>10</v>
      </c>
      <c r="AC364" s="572">
        <f t="shared" si="178"/>
      </c>
      <c r="AD364" s="623" t="s">
        <v>399</v>
      </c>
      <c r="AE364" s="646" t="s">
        <v>400</v>
      </c>
      <c r="AF364" s="624">
        <v>19</v>
      </c>
    </row>
    <row r="365">
      <c r="A365" s="613"/>
      <c r="B365" s="626" t="s">
        <v>388</v>
      </c>
      <c r="C365" s="626"/>
      <c r="D365" s="627">
        <f>SUM(D361:D364)</f>
      </c>
      <c r="E365" s="628">
        <f>SUM(E361:E364)</f>
      </c>
      <c r="F365" s="628">
        <f>SUM(F361:F364)</f>
      </c>
      <c r="G365" s="627">
        <f>SUM(G361:G364)</f>
      </c>
      <c r="H365" s="629">
        <f t="shared" si="154"/>
      </c>
      <c r="I365" s="629">
        <f t="shared" si="93"/>
      </c>
      <c r="J365" s="629">
        <f t="shared" si="273"/>
      </c>
      <c r="K365" s="629">
        <f t="shared" si="211"/>
      </c>
      <c r="L365" s="629">
        <f t="shared" si="339"/>
      </c>
      <c r="M365" s="630">
        <f t="shared" si="306"/>
      </c>
      <c r="N365" s="630">
        <f t="shared" si="30"/>
      </c>
      <c r="O365" s="630">
        <f t="shared" si="369"/>
      </c>
      <c r="P365" s="630">
        <f t="shared" si="123"/>
      </c>
      <c r="Q365" s="597">
        <f t="shared" si="60"/>
      </c>
      <c r="R365" s="630">
        <f>AVERAGE(R361:R364)</f>
      </c>
      <c r="S365" s="627">
        <f>AVERAGE(S361:S364)</f>
      </c>
      <c r="T365" s="629">
        <f t="shared" si="241"/>
      </c>
      <c r="U365" s="597">
        <f>SUM(U361:U364)</f>
      </c>
      <c r="V365" s="597">
        <f>SUM(V361:V364)</f>
      </c>
      <c r="W365" s="597">
        <f>SUM(W361:W364)</f>
      </c>
      <c r="X365" s="597">
        <f>SUM(X361:X364)</f>
      </c>
      <c r="Y365" s="597">
        <f>SUM(Y361:Y364)</f>
      </c>
      <c r="Z365" s="597">
        <f>SUM(Z361:Z364)</f>
      </c>
      <c r="AA365" s="597">
        <f>SUM(AA361:AA364)</f>
      </c>
      <c r="AB365" s="597">
        <f>SUM(AB361:AB364)</f>
      </c>
      <c r="AC365" s="647">
        <f t="shared" si="178"/>
      </c>
      <c r="AD365" s="631"/>
      <c r="AE365" s="631"/>
      <c r="AF365" s="597">
        <f>SUM(AF361:AF364)</f>
      </c>
    </row>
    <row r="366">
      <c r="A366" s="613"/>
      <c r="B366" s="642" t="s">
        <v>394</v>
      </c>
      <c r="C366" s="642"/>
      <c r="D366" s="634">
        <f>D360+D365</f>
      </c>
      <c r="E366" s="635">
        <f>E360+E365</f>
      </c>
      <c r="F366" s="635">
        <f>F360+F365</f>
      </c>
      <c r="G366" s="634">
        <f>G360+G365</f>
      </c>
      <c r="H366" s="636">
        <f t="shared" si="154"/>
      </c>
      <c r="I366" s="636">
        <f t="shared" si="93"/>
      </c>
      <c r="J366" s="636">
        <f t="shared" si="273"/>
      </c>
      <c r="K366" s="636">
        <f t="shared" si="211"/>
      </c>
      <c r="L366" s="636">
        <f t="shared" si="339"/>
      </c>
      <c r="M366" s="637">
        <f t="shared" si="306"/>
      </c>
      <c r="N366" s="637">
        <f t="shared" si="30"/>
      </c>
      <c r="O366" s="637">
        <f t="shared" si="369"/>
      </c>
      <c r="P366" s="637">
        <f t="shared" si="123"/>
      </c>
      <c r="Q366" s="645">
        <f t="shared" si="60"/>
      </c>
      <c r="R366" s="637">
        <f>(R360+R365)/2</f>
      </c>
      <c r="S366" s="634">
        <f>(S365+S360)/2</f>
      </c>
      <c r="T366" s="634">
        <f t="shared" si="241"/>
      </c>
      <c r="U366" s="645">
        <f>U360+U365</f>
      </c>
      <c r="V366" s="645">
        <f>V360+V365</f>
      </c>
      <c r="W366" s="645">
        <f>W360+W365</f>
      </c>
      <c r="X366" s="645">
        <f>X360+X365</f>
      </c>
      <c r="Y366" s="645">
        <f>Y360+Y365</f>
      </c>
      <c r="Z366" s="645">
        <f>Z360+Z365</f>
      </c>
      <c r="AA366" s="645">
        <f>AA360+AA365</f>
      </c>
      <c r="AB366" s="645">
        <f>AB360+AB365</f>
      </c>
      <c r="AC366" s="636">
        <f>AC360</f>
      </c>
      <c r="AD366" s="642"/>
      <c r="AE366" s="642"/>
      <c r="AF366" s="645">
        <f>AF360+AF365</f>
      </c>
    </row>
    <row r="367">
      <c r="A367" s="599" t="s">
        <v>395</v>
      </c>
      <c r="B367" s="599" t="s">
        <v>346</v>
      </c>
      <c r="C367" s="599"/>
      <c r="D367" s="600" t="s">
        <v>347</v>
      </c>
      <c r="E367" s="600"/>
      <c r="F367" s="600"/>
      <c r="G367" s="600"/>
      <c r="H367" s="600"/>
      <c r="I367" s="600"/>
      <c r="J367" s="600"/>
      <c r="K367" s="600"/>
      <c r="L367" s="601" t="s">
        <v>348</v>
      </c>
      <c r="M367" s="601"/>
      <c r="N367" s="601"/>
      <c r="O367" s="601"/>
      <c r="P367" s="601"/>
      <c r="Q367" s="601"/>
      <c r="R367" s="601"/>
      <c r="S367" s="601"/>
      <c r="T367" s="601"/>
      <c r="U367" s="601"/>
      <c r="V367" s="601"/>
      <c r="W367" s="601"/>
      <c r="X367" s="601"/>
      <c r="Y367" s="601"/>
      <c r="Z367" s="601"/>
      <c r="AA367" s="601"/>
      <c r="AB367" s="601"/>
      <c r="AC367" s="601"/>
      <c r="AD367" s="601"/>
      <c r="AE367" s="601"/>
      <c r="AF367" s="602"/>
    </row>
    <row r="368">
      <c r="A368" s="599"/>
      <c r="B368" s="603" t="s">
        <v>349</v>
      </c>
      <c r="C368" s="603" t="s">
        <v>350</v>
      </c>
      <c r="D368" s="604" t="s">
        <v>351</v>
      </c>
      <c r="E368" s="605" t="s">
        <v>352</v>
      </c>
      <c r="F368" s="605" t="s">
        <v>353</v>
      </c>
      <c r="G368" s="604" t="s">
        <v>354</v>
      </c>
      <c r="H368" s="606" t="s">
        <v>355</v>
      </c>
      <c r="I368" s="606" t="s">
        <v>356</v>
      </c>
      <c r="J368" s="606" t="s">
        <v>357</v>
      </c>
      <c r="K368" s="606" t="s">
        <v>358</v>
      </c>
      <c r="L368" s="607" t="s">
        <v>359</v>
      </c>
      <c r="M368" s="608" t="s">
        <v>360</v>
      </c>
      <c r="N368" s="608" t="s">
        <v>361</v>
      </c>
      <c r="O368" s="608" t="s">
        <v>362</v>
      </c>
      <c r="P368" s="608" t="s">
        <v>363</v>
      </c>
      <c r="Q368" s="609" t="s">
        <v>364</v>
      </c>
      <c r="R368" s="608" t="s">
        <v>365</v>
      </c>
      <c r="S368" s="609" t="s">
        <v>366</v>
      </c>
      <c r="T368" s="610" t="s">
        <v>367</v>
      </c>
      <c r="U368" s="611" t="s">
        <v>368</v>
      </c>
      <c r="V368" s="611" t="s">
        <v>369</v>
      </c>
      <c r="W368" s="611" t="s">
        <v>370</v>
      </c>
      <c r="X368" s="611" t="s">
        <v>371</v>
      </c>
      <c r="Y368" s="611" t="s">
        <v>372</v>
      </c>
      <c r="Z368" s="611" t="s">
        <v>373</v>
      </c>
      <c r="AA368" s="611" t="s">
        <v>374</v>
      </c>
      <c r="AB368" s="611" t="s">
        <v>375</v>
      </c>
      <c r="AC368" s="601" t="s">
        <v>376</v>
      </c>
      <c r="AD368" s="612" t="s">
        <v>377</v>
      </c>
      <c r="AE368" s="612" t="s">
        <v>378</v>
      </c>
      <c r="AF368" s="602" t="s">
        <v>379</v>
      </c>
    </row>
    <row r="369">
      <c r="A369" s="613" t="s">
        <v>431</v>
      </c>
      <c r="B369" s="644" t="s">
        <v>389</v>
      </c>
      <c r="C369" s="614" t="s">
        <v>382</v>
      </c>
      <c r="D369" s="615">
        <v>3005.87</v>
      </c>
      <c r="E369" s="616">
        <v>6</v>
      </c>
      <c r="F369" s="616">
        <v>5</v>
      </c>
      <c r="G369" s="643">
        <v>4208.6</v>
      </c>
      <c r="H369" s="617">
        <f t="shared" ref="H369:H379" si="155">G369/D369</f>
      </c>
      <c r="I369" s="617">
        <f t="shared" ref="I369:I379" si="94">D369/E369</f>
      </c>
      <c r="J369" s="617">
        <f t="shared" ref="J369:J379" si="274">D369/F369</f>
      </c>
      <c r="K369" s="617">
        <f t="shared" ref="K369:K379" si="212">G369/E369</f>
      </c>
      <c r="L369" s="617">
        <f t="shared" ref="L369:L379" si="340">D369/V369</f>
      </c>
      <c r="M369" s="618">
        <f t="shared" ref="M369:M379" si="307">Q369/U369*1</f>
      </c>
      <c r="N369" s="618">
        <f t="shared" ref="N369:N379" si="31">V369/U369</f>
      </c>
      <c r="O369" s="619">
        <f t="shared" ref="O369:O379" si="370">X369/U369</f>
      </c>
      <c r="P369" s="619">
        <f t="shared" ref="P369:P379" si="124">Y369/X369</f>
      </c>
      <c r="Q369" s="595">
        <f t="shared" ref="Q369:Q379" si="61">W369/R369</f>
      </c>
      <c r="R369" s="620">
        <v>0.0145</v>
      </c>
      <c r="S369" s="621">
        <v>38</v>
      </c>
      <c r="T369" s="622">
        <f t="shared" ref="T369:T379" si="242">(D369/U369)*1000</f>
      </c>
      <c r="U369" s="595">
        <v>22109</v>
      </c>
      <c r="V369" s="595">
        <v>1369</v>
      </c>
      <c r="W369" s="595">
        <v>121</v>
      </c>
      <c r="X369" s="595">
        <v>1815</v>
      </c>
      <c r="Y369" s="595">
        <v>76</v>
      </c>
      <c r="Z369" s="595">
        <v>19</v>
      </c>
      <c r="AA369" s="595">
        <v>1</v>
      </c>
      <c r="AB369" s="595">
        <v>12</v>
      </c>
      <c r="AC369" s="572">
        <f t="shared" ref="AC369:AC378" si="179">AF369*1000/D369</f>
      </c>
      <c r="AD369" s="623" t="s">
        <v>399</v>
      </c>
      <c r="AE369" s="646" t="s">
        <v>400</v>
      </c>
      <c r="AF369" s="624">
        <v>36</v>
      </c>
    </row>
    <row r="370">
      <c r="A370" s="613"/>
      <c r="B370" s="644" t="s">
        <v>389</v>
      </c>
      <c r="C370" s="614" t="s">
        <v>385</v>
      </c>
      <c r="D370" s="615">
        <v>2531.05</v>
      </c>
      <c r="E370" s="616">
        <v>8</v>
      </c>
      <c r="F370" s="616">
        <v>5</v>
      </c>
      <c r="G370" s="643">
        <v>6915.699999999999</v>
      </c>
      <c r="H370" s="617">
        <f t="shared" si="155"/>
      </c>
      <c r="I370" s="617">
        <f t="shared" si="94"/>
      </c>
      <c r="J370" s="617">
        <f t="shared" si="274"/>
      </c>
      <c r="K370" s="617">
        <f t="shared" si="212"/>
      </c>
      <c r="L370" s="617">
        <f t="shared" si="340"/>
      </c>
      <c r="M370" s="618">
        <f t="shared" si="307"/>
      </c>
      <c r="N370" s="618">
        <f t="shared" si="31"/>
      </c>
      <c r="O370" s="619">
        <f t="shared" si="370"/>
      </c>
      <c r="P370" s="619">
        <f t="shared" si="124"/>
      </c>
      <c r="Q370" s="595">
        <f t="shared" si="61"/>
      </c>
      <c r="R370" s="620">
        <v>0.0093</v>
      </c>
      <c r="S370" s="621">
        <v>35</v>
      </c>
      <c r="T370" s="622">
        <f t="shared" si="242"/>
      </c>
      <c r="U370" s="595">
        <v>16930</v>
      </c>
      <c r="V370" s="595">
        <v>1172</v>
      </c>
      <c r="W370" s="595">
        <v>74</v>
      </c>
      <c r="X370" s="595">
        <v>1624</v>
      </c>
      <c r="Y370" s="595">
        <v>84</v>
      </c>
      <c r="Z370" s="595">
        <v>15</v>
      </c>
      <c r="AA370" s="595">
        <v>1</v>
      </c>
      <c r="AB370" s="595">
        <v>3</v>
      </c>
      <c r="AC370" s="572">
        <f t="shared" si="179"/>
      </c>
      <c r="AD370" s="623" t="s">
        <v>399</v>
      </c>
      <c r="AE370" s="646" t="s">
        <v>400</v>
      </c>
      <c r="AF370" s="624">
        <v>44</v>
      </c>
    </row>
    <row r="371">
      <c r="A371" s="613"/>
      <c r="B371" s="644" t="s">
        <v>389</v>
      </c>
      <c r="C371" s="614" t="s">
        <v>386</v>
      </c>
      <c r="D371" s="615">
        <v>2198.73</v>
      </c>
      <c r="E371" s="616">
        <v>5</v>
      </c>
      <c r="F371" s="616">
        <v>6</v>
      </c>
      <c r="G371" s="615">
        <v>3304.4000000000015</v>
      </c>
      <c r="H371" s="617">
        <f t="shared" si="155"/>
      </c>
      <c r="I371" s="617">
        <f t="shared" si="94"/>
      </c>
      <c r="J371" s="617">
        <f t="shared" si="274"/>
      </c>
      <c r="K371" s="617">
        <f t="shared" si="212"/>
      </c>
      <c r="L371" s="617">
        <f t="shared" si="340"/>
      </c>
      <c r="M371" s="618">
        <f t="shared" si="307"/>
      </c>
      <c r="N371" s="618">
        <f t="shared" si="31"/>
      </c>
      <c r="O371" s="619">
        <f t="shared" si="370"/>
      </c>
      <c r="P371" s="619">
        <f t="shared" si="124"/>
      </c>
      <c r="Q371" s="595">
        <f t="shared" si="61"/>
      </c>
      <c r="R371" s="620">
        <v>0.0093</v>
      </c>
      <c r="S371" s="621">
        <v>35</v>
      </c>
      <c r="T371" s="622">
        <f t="shared" si="242"/>
      </c>
      <c r="U371" s="595">
        <v>15436</v>
      </c>
      <c r="V371" s="595">
        <v>1414</v>
      </c>
      <c r="W371" s="595">
        <v>65</v>
      </c>
      <c r="X371" s="595">
        <v>2216</v>
      </c>
      <c r="Y371" s="595">
        <v>75</v>
      </c>
      <c r="Z371" s="595">
        <v>18</v>
      </c>
      <c r="AA371" s="595">
        <v>0</v>
      </c>
      <c r="AB371" s="595">
        <v>6</v>
      </c>
      <c r="AC371" s="572">
        <f t="shared" si="179"/>
      </c>
      <c r="AD371" s="623" t="s">
        <v>399</v>
      </c>
      <c r="AE371" s="646" t="s">
        <v>400</v>
      </c>
      <c r="AF371" s="624">
        <v>43</v>
      </c>
    </row>
    <row r="372">
      <c r="A372" s="613"/>
      <c r="B372" s="644" t="s">
        <v>389</v>
      </c>
      <c r="C372" s="614" t="s">
        <v>387</v>
      </c>
      <c r="D372" s="615">
        <v>2523.2</v>
      </c>
      <c r="E372" s="616">
        <v>7</v>
      </c>
      <c r="F372" s="616">
        <v>5</v>
      </c>
      <c r="G372" s="643">
        <v>3156.9999999999964</v>
      </c>
      <c r="H372" s="617">
        <f t="shared" si="155"/>
      </c>
      <c r="I372" s="617">
        <f t="shared" si="94"/>
      </c>
      <c r="J372" s="617">
        <f t="shared" si="274"/>
      </c>
      <c r="K372" s="617">
        <f t="shared" si="212"/>
      </c>
      <c r="L372" s="617">
        <f t="shared" si="340"/>
      </c>
      <c r="M372" s="618">
        <f t="shared" si="307"/>
      </c>
      <c r="N372" s="618">
        <f t="shared" si="31"/>
      </c>
      <c r="O372" s="619">
        <f t="shared" si="370"/>
      </c>
      <c r="P372" s="619">
        <f t="shared" si="124"/>
      </c>
      <c r="Q372" s="595">
        <f t="shared" si="61"/>
      </c>
      <c r="R372" s="620">
        <v>0.0116</v>
      </c>
      <c r="S372" s="621">
        <v>35</v>
      </c>
      <c r="T372" s="622">
        <f t="shared" si="242"/>
      </c>
      <c r="U372" s="595">
        <v>17462</v>
      </c>
      <c r="V372" s="595">
        <v>1605</v>
      </c>
      <c r="W372" s="595">
        <v>95</v>
      </c>
      <c r="X372" s="595">
        <v>2344</v>
      </c>
      <c r="Y372" s="595">
        <v>77</v>
      </c>
      <c r="Z372" s="595">
        <v>12</v>
      </c>
      <c r="AA372" s="595">
        <v>1</v>
      </c>
      <c r="AB372" s="595">
        <v>11</v>
      </c>
      <c r="AC372" s="572">
        <f t="shared" si="179"/>
      </c>
      <c r="AD372" s="623" t="s">
        <v>399</v>
      </c>
      <c r="AE372" s="646" t="s">
        <v>400</v>
      </c>
      <c r="AF372" s="624">
        <v>36</v>
      </c>
    </row>
    <row r="373">
      <c r="A373" s="613"/>
      <c r="B373" s="626" t="s">
        <v>388</v>
      </c>
      <c r="C373" s="626"/>
      <c r="D373" s="627">
        <f>SUM(D369:D372)</f>
      </c>
      <c r="E373" s="628">
        <f>SUM(E369:E372)</f>
      </c>
      <c r="F373" s="628">
        <f>SUM(F369:F372)</f>
      </c>
      <c r="G373" s="627">
        <f>SUM(G369:G372)</f>
      </c>
      <c r="H373" s="629">
        <f t="shared" si="155"/>
      </c>
      <c r="I373" s="629">
        <f t="shared" si="94"/>
      </c>
      <c r="J373" s="629">
        <f t="shared" si="274"/>
      </c>
      <c r="K373" s="629">
        <f t="shared" si="212"/>
      </c>
      <c r="L373" s="629">
        <f t="shared" si="340"/>
      </c>
      <c r="M373" s="630">
        <f t="shared" si="307"/>
      </c>
      <c r="N373" s="630">
        <f t="shared" si="31"/>
      </c>
      <c r="O373" s="630">
        <f t="shared" si="370"/>
      </c>
      <c r="P373" s="630">
        <f t="shared" si="124"/>
      </c>
      <c r="Q373" s="597">
        <f t="shared" si="61"/>
      </c>
      <c r="R373" s="630">
        <f>AVERAGE(R369:R372)</f>
      </c>
      <c r="S373" s="627">
        <f>AVERAGE(S369:S372)</f>
      </c>
      <c r="T373" s="629">
        <f t="shared" si="242"/>
      </c>
      <c r="U373" s="597">
        <f>SUM(U369:U372)</f>
      </c>
      <c r="V373" s="597">
        <f>SUM(V369:V372)</f>
      </c>
      <c r="W373" s="597">
        <f>SUM(W369:W372)</f>
      </c>
      <c r="X373" s="597">
        <f>SUM(X369:X372)</f>
      </c>
      <c r="Y373" s="597">
        <f>SUM(Y369:Y372)</f>
      </c>
      <c r="Z373" s="597">
        <f>SUM(Z369:Z372)</f>
      </c>
      <c r="AA373" s="597">
        <f>SUM(AA369:AA372)</f>
      </c>
      <c r="AB373" s="597">
        <f>SUM(AB369:AB372)</f>
      </c>
      <c r="AC373" s="647">
        <f t="shared" si="179"/>
      </c>
      <c r="AD373" s="631"/>
      <c r="AE373" s="631"/>
      <c r="AF373" s="632">
        <f>SUM(AF369:AF372)</f>
      </c>
    </row>
    <row r="374">
      <c r="A374" s="613"/>
      <c r="B374" s="614" t="s">
        <v>414</v>
      </c>
      <c r="C374" s="614" t="s">
        <v>390</v>
      </c>
      <c r="D374" s="615">
        <v>2539.25</v>
      </c>
      <c r="E374" s="616">
        <v>5</v>
      </c>
      <c r="F374" s="616">
        <v>4</v>
      </c>
      <c r="G374" s="615">
        <v>3886.300000000003</v>
      </c>
      <c r="H374" s="617">
        <f t="shared" si="155"/>
      </c>
      <c r="I374" s="617">
        <f t="shared" si="94"/>
      </c>
      <c r="J374" s="617">
        <f t="shared" si="274"/>
      </c>
      <c r="K374" s="617">
        <f t="shared" si="212"/>
      </c>
      <c r="L374" s="617">
        <f t="shared" si="340"/>
      </c>
      <c r="M374" s="618">
        <f t="shared" si="307"/>
      </c>
      <c r="N374" s="618">
        <f t="shared" si="31"/>
      </c>
      <c r="O374" s="619">
        <f t="shared" si="370"/>
      </c>
      <c r="P374" s="619">
        <f t="shared" si="124"/>
      </c>
      <c r="Q374" s="595">
        <f t="shared" si="61"/>
      </c>
      <c r="R374" s="620">
        <v>0.0103</v>
      </c>
      <c r="S374" s="621">
        <v>36</v>
      </c>
      <c r="T374" s="622">
        <f t="shared" si="242"/>
      </c>
      <c r="U374" s="595">
        <v>17854</v>
      </c>
      <c r="V374" s="595">
        <v>1586</v>
      </c>
      <c r="W374" s="595">
        <v>94</v>
      </c>
      <c r="X374" s="595">
        <v>2082</v>
      </c>
      <c r="Y374" s="595">
        <v>101</v>
      </c>
      <c r="Z374" s="595">
        <v>10</v>
      </c>
      <c r="AA374" s="595">
        <v>2</v>
      </c>
      <c r="AB374" s="595">
        <v>12</v>
      </c>
      <c r="AC374" s="572">
        <f t="shared" si="179"/>
      </c>
      <c r="AD374" s="623" t="s">
        <v>399</v>
      </c>
      <c r="AE374" s="646" t="s">
        <v>400</v>
      </c>
      <c r="AF374" s="624">
        <v>39</v>
      </c>
    </row>
    <row r="375">
      <c r="A375" s="613"/>
      <c r="B375" s="614" t="s">
        <v>414</v>
      </c>
      <c r="C375" s="614" t="s">
        <v>391</v>
      </c>
      <c r="D375" s="615">
        <v>2389.93</v>
      </c>
      <c r="E375" s="616">
        <v>3</v>
      </c>
      <c r="F375" s="616">
        <v>2</v>
      </c>
      <c r="G375" s="643">
        <v>3892.9000000000015</v>
      </c>
      <c r="H375" s="617">
        <f t="shared" si="155"/>
      </c>
      <c r="I375" s="617">
        <f t="shared" si="94"/>
      </c>
      <c r="J375" s="617">
        <f t="shared" si="274"/>
      </c>
      <c r="K375" s="617">
        <f t="shared" si="212"/>
      </c>
      <c r="L375" s="617">
        <f t="shared" si="340"/>
      </c>
      <c r="M375" s="618">
        <f t="shared" si="307"/>
      </c>
      <c r="N375" s="618">
        <f t="shared" si="31"/>
      </c>
      <c r="O375" s="619">
        <f t="shared" si="370"/>
      </c>
      <c r="P375" s="619">
        <f t="shared" si="124"/>
      </c>
      <c r="Q375" s="595">
        <f t="shared" si="61"/>
      </c>
      <c r="R375" s="620">
        <v>0.0087</v>
      </c>
      <c r="S375" s="621">
        <v>36</v>
      </c>
      <c r="T375" s="622">
        <f t="shared" si="242"/>
      </c>
      <c r="U375" s="595">
        <v>18706</v>
      </c>
      <c r="V375" s="595">
        <v>1572</v>
      </c>
      <c r="W375" s="595">
        <v>71</v>
      </c>
      <c r="X375" s="595">
        <v>2200</v>
      </c>
      <c r="Y375" s="595">
        <v>99</v>
      </c>
      <c r="Z375" s="595">
        <v>12</v>
      </c>
      <c r="AA375" s="595">
        <v>3</v>
      </c>
      <c r="AB375" s="595">
        <v>13</v>
      </c>
      <c r="AC375" s="572">
        <f t="shared" si="179"/>
      </c>
      <c r="AD375" s="623" t="s">
        <v>399</v>
      </c>
      <c r="AE375" s="646" t="s">
        <v>400</v>
      </c>
      <c r="AF375" s="624">
        <v>38</v>
      </c>
    </row>
    <row r="376">
      <c r="A376" s="613"/>
      <c r="B376" s="614" t="s">
        <v>414</v>
      </c>
      <c r="C376" s="614" t="s">
        <v>392</v>
      </c>
      <c r="D376" s="615">
        <v>2280.99</v>
      </c>
      <c r="E376" s="616">
        <v>8</v>
      </c>
      <c r="F376" s="616">
        <v>6</v>
      </c>
      <c r="G376" s="615">
        <v>10066.099999999999</v>
      </c>
      <c r="H376" s="617">
        <f t="shared" si="155"/>
      </c>
      <c r="I376" s="617">
        <f t="shared" si="94"/>
      </c>
      <c r="J376" s="617">
        <f t="shared" si="274"/>
      </c>
      <c r="K376" s="617">
        <f t="shared" si="212"/>
      </c>
      <c r="L376" s="617">
        <f t="shared" si="340"/>
      </c>
      <c r="M376" s="618">
        <f t="shared" si="307"/>
      </c>
      <c r="N376" s="618">
        <f t="shared" si="31"/>
      </c>
      <c r="O376" s="619">
        <f t="shared" si="370"/>
      </c>
      <c r="P376" s="619">
        <f t="shared" si="124"/>
      </c>
      <c r="Q376" s="595">
        <f t="shared" si="61"/>
      </c>
      <c r="R376" s="620">
        <v>0.0102</v>
      </c>
      <c r="S376" s="621">
        <v>36</v>
      </c>
      <c r="T376" s="622">
        <f t="shared" si="242"/>
      </c>
      <c r="U376" s="595">
        <v>16967</v>
      </c>
      <c r="V376" s="595">
        <v>1501</v>
      </c>
      <c r="W376" s="595">
        <v>77</v>
      </c>
      <c r="X376" s="595">
        <v>2148</v>
      </c>
      <c r="Y376" s="595">
        <v>78</v>
      </c>
      <c r="Z376" s="595">
        <v>14</v>
      </c>
      <c r="AA376" s="595">
        <v>6</v>
      </c>
      <c r="AB376" s="595">
        <v>9</v>
      </c>
      <c r="AC376" s="572">
        <f t="shared" si="179"/>
      </c>
      <c r="AD376" s="623" t="s">
        <v>399</v>
      </c>
      <c r="AE376" s="646" t="s">
        <v>400</v>
      </c>
      <c r="AF376" s="624">
        <v>34</v>
      </c>
    </row>
    <row r="377">
      <c r="A377" s="613"/>
      <c r="B377" s="614" t="s">
        <v>414</v>
      </c>
      <c r="C377" s="614" t="s">
        <v>393</v>
      </c>
      <c r="D377" s="615">
        <v>1500.33</v>
      </c>
      <c r="E377" s="616">
        <v>8</v>
      </c>
      <c r="F377" s="616">
        <v>8</v>
      </c>
      <c r="G377" s="643">
        <v>5440.5999999999985</v>
      </c>
      <c r="H377" s="617">
        <f t="shared" si="155"/>
      </c>
      <c r="I377" s="617">
        <f t="shared" si="94"/>
      </c>
      <c r="J377" s="617">
        <f t="shared" si="274"/>
      </c>
      <c r="K377" s="617">
        <f t="shared" si="212"/>
      </c>
      <c r="L377" s="617">
        <f t="shared" si="340"/>
      </c>
      <c r="M377" s="618">
        <f t="shared" si="307"/>
      </c>
      <c r="N377" s="618">
        <f t="shared" si="31"/>
      </c>
      <c r="O377" s="619">
        <f t="shared" si="370"/>
      </c>
      <c r="P377" s="619">
        <f t="shared" si="124"/>
      </c>
      <c r="Q377" s="595">
        <f t="shared" si="61"/>
      </c>
      <c r="R377" s="620">
        <v>0.0101</v>
      </c>
      <c r="S377" s="621">
        <v>36</v>
      </c>
      <c r="T377" s="622">
        <f t="shared" si="242"/>
      </c>
      <c r="U377" s="595">
        <v>11405</v>
      </c>
      <c r="V377" s="595">
        <v>1053</v>
      </c>
      <c r="W377" s="595">
        <v>54</v>
      </c>
      <c r="X377" s="595">
        <v>1363</v>
      </c>
      <c r="Y377" s="595">
        <v>93</v>
      </c>
      <c r="Z377" s="595">
        <v>11</v>
      </c>
      <c r="AA377" s="595">
        <v>0</v>
      </c>
      <c r="AB377" s="595">
        <v>2</v>
      </c>
      <c r="AC377" s="572">
        <f t="shared" si="179"/>
      </c>
      <c r="AD377" s="623" t="s">
        <v>399</v>
      </c>
      <c r="AE377" s="646" t="s">
        <v>400</v>
      </c>
      <c r="AF377" s="624">
        <v>21</v>
      </c>
    </row>
    <row r="378">
      <c r="A378" s="613"/>
      <c r="B378" s="626" t="s">
        <v>388</v>
      </c>
      <c r="C378" s="626"/>
      <c r="D378" s="627">
        <f>SUM(D374:D377)</f>
      </c>
      <c r="E378" s="628">
        <f>SUM(E374:E377)</f>
      </c>
      <c r="F378" s="628">
        <f>SUM(F374:F377)</f>
      </c>
      <c r="G378" s="627">
        <f>SUM(G374:G377)</f>
      </c>
      <c r="H378" s="629">
        <f t="shared" si="155"/>
      </c>
      <c r="I378" s="629">
        <f t="shared" si="94"/>
      </c>
      <c r="J378" s="629">
        <f t="shared" si="274"/>
      </c>
      <c r="K378" s="629">
        <f t="shared" si="212"/>
      </c>
      <c r="L378" s="629">
        <f t="shared" si="340"/>
      </c>
      <c r="M378" s="630">
        <f t="shared" si="307"/>
      </c>
      <c r="N378" s="630">
        <f t="shared" si="31"/>
      </c>
      <c r="O378" s="630">
        <f t="shared" si="370"/>
      </c>
      <c r="P378" s="630">
        <f t="shared" si="124"/>
      </c>
      <c r="Q378" s="597">
        <f t="shared" si="61"/>
      </c>
      <c r="R378" s="630">
        <f>AVERAGE(R374:R377)</f>
      </c>
      <c r="S378" s="627">
        <f>AVERAGE(S374:S377)</f>
      </c>
      <c r="T378" s="629">
        <f t="shared" si="242"/>
      </c>
      <c r="U378" s="597">
        <f>SUM(U374:U377)</f>
      </c>
      <c r="V378" s="597">
        <f>SUM(V374:V377)</f>
      </c>
      <c r="W378" s="597">
        <f>SUM(W374:W377)</f>
      </c>
      <c r="X378" s="597">
        <f>SUM(X374:X377)</f>
      </c>
      <c r="Y378" s="597">
        <f>SUM(Y374:Y377)</f>
      </c>
      <c r="Z378" s="597">
        <f>SUM(Z374:Z377)</f>
      </c>
      <c r="AA378" s="597">
        <f>SUM(AA374:AA377)</f>
      </c>
      <c r="AB378" s="597">
        <f>SUM(AB374:AB377)</f>
      </c>
      <c r="AC378" s="647">
        <f t="shared" si="179"/>
      </c>
      <c r="AD378" s="631"/>
      <c r="AE378" s="631"/>
      <c r="AF378" s="597">
        <f>SUM(AF374:AF377)</f>
      </c>
    </row>
    <row r="379">
      <c r="A379" s="613"/>
      <c r="B379" s="642" t="s">
        <v>394</v>
      </c>
      <c r="C379" s="642"/>
      <c r="D379" s="634">
        <f>D373+D378</f>
      </c>
      <c r="E379" s="635">
        <f>E373+E378</f>
      </c>
      <c r="F379" s="635">
        <f>F373+F378</f>
      </c>
      <c r="G379" s="634">
        <f>G373+G378</f>
      </c>
      <c r="H379" s="636">
        <f t="shared" si="155"/>
      </c>
      <c r="I379" s="636">
        <f t="shared" si="94"/>
      </c>
      <c r="J379" s="636">
        <f t="shared" si="274"/>
      </c>
      <c r="K379" s="636">
        <f t="shared" si="212"/>
      </c>
      <c r="L379" s="636">
        <f t="shared" si="340"/>
      </c>
      <c r="M379" s="637">
        <f t="shared" si="307"/>
      </c>
      <c r="N379" s="637">
        <f t="shared" si="31"/>
      </c>
      <c r="O379" s="637">
        <f t="shared" si="370"/>
      </c>
      <c r="P379" s="637">
        <f t="shared" si="124"/>
      </c>
      <c r="Q379" s="645">
        <f t="shared" si="61"/>
      </c>
      <c r="R379" s="637">
        <f>(R373+R378)/2</f>
      </c>
      <c r="S379" s="634">
        <f>(S378+S373)/2</f>
      </c>
      <c r="T379" s="634">
        <f t="shared" si="242"/>
      </c>
      <c r="U379" s="645">
        <f>U373+U378</f>
      </c>
      <c r="V379" s="645">
        <f>V373+V378</f>
      </c>
      <c r="W379" s="645">
        <f>W373+W378</f>
      </c>
      <c r="X379" s="645">
        <f>X373+X378</f>
      </c>
      <c r="Y379" s="645">
        <f>Y373+Y378</f>
      </c>
      <c r="Z379" s="645">
        <f>Z373+Z378</f>
      </c>
      <c r="AA379" s="645">
        <f>AA373+AA378</f>
      </c>
      <c r="AB379" s="645">
        <f>AB373+AB378</f>
      </c>
      <c r="AC379" s="636">
        <f>AC373</f>
      </c>
      <c r="AD379" s="642"/>
      <c r="AE379" s="642"/>
      <c r="AF379" s="645">
        <f>AF373+AF378</f>
      </c>
    </row>
    <row r="380">
      <c r="A380" s="599" t="s">
        <v>395</v>
      </c>
      <c r="B380" s="599" t="s">
        <v>346</v>
      </c>
      <c r="C380" s="599"/>
      <c r="D380" s="600" t="s">
        <v>347</v>
      </c>
      <c r="E380" s="600"/>
      <c r="F380" s="600"/>
      <c r="G380" s="600"/>
      <c r="H380" s="600"/>
      <c r="I380" s="600"/>
      <c r="J380" s="600"/>
      <c r="K380" s="600"/>
      <c r="L380" s="601" t="s">
        <v>348</v>
      </c>
      <c r="M380" s="601"/>
      <c r="N380" s="601"/>
      <c r="O380" s="601"/>
      <c r="P380" s="601"/>
      <c r="Q380" s="601"/>
      <c r="R380" s="601"/>
      <c r="S380" s="601"/>
      <c r="T380" s="601"/>
      <c r="U380" s="601"/>
      <c r="V380" s="601"/>
      <c r="W380" s="601"/>
      <c r="X380" s="601"/>
      <c r="Y380" s="601"/>
      <c r="Z380" s="601"/>
      <c r="AA380" s="601"/>
      <c r="AB380" s="601"/>
      <c r="AC380" s="601"/>
      <c r="AD380" s="601"/>
      <c r="AE380" s="601"/>
      <c r="AF380" s="602"/>
    </row>
    <row r="381">
      <c r="A381" s="599"/>
      <c r="B381" s="603" t="s">
        <v>349</v>
      </c>
      <c r="C381" s="603" t="s">
        <v>350</v>
      </c>
      <c r="D381" s="604" t="s">
        <v>351</v>
      </c>
      <c r="E381" s="605" t="s">
        <v>352</v>
      </c>
      <c r="F381" s="605" t="s">
        <v>353</v>
      </c>
      <c r="G381" s="604" t="s">
        <v>354</v>
      </c>
      <c r="H381" s="606" t="s">
        <v>355</v>
      </c>
      <c r="I381" s="606" t="s">
        <v>356</v>
      </c>
      <c r="J381" s="606" t="s">
        <v>357</v>
      </c>
      <c r="K381" s="606" t="s">
        <v>358</v>
      </c>
      <c r="L381" s="607" t="s">
        <v>359</v>
      </c>
      <c r="M381" s="608" t="s">
        <v>360</v>
      </c>
      <c r="N381" s="608" t="s">
        <v>361</v>
      </c>
      <c r="O381" s="608" t="s">
        <v>362</v>
      </c>
      <c r="P381" s="608" t="s">
        <v>363</v>
      </c>
      <c r="Q381" s="609" t="s">
        <v>364</v>
      </c>
      <c r="R381" s="608" t="s">
        <v>365</v>
      </c>
      <c r="S381" s="609" t="s">
        <v>366</v>
      </c>
      <c r="T381" s="610" t="s">
        <v>367</v>
      </c>
      <c r="U381" s="611" t="s">
        <v>368</v>
      </c>
      <c r="V381" s="611" t="s">
        <v>369</v>
      </c>
      <c r="W381" s="611" t="s">
        <v>370</v>
      </c>
      <c r="X381" s="611" t="s">
        <v>371</v>
      </c>
      <c r="Y381" s="611" t="s">
        <v>372</v>
      </c>
      <c r="Z381" s="611" t="s">
        <v>373</v>
      </c>
      <c r="AA381" s="611" t="s">
        <v>374</v>
      </c>
      <c r="AB381" s="611" t="s">
        <v>375</v>
      </c>
      <c r="AC381" s="601" t="s">
        <v>376</v>
      </c>
      <c r="AD381" s="612" t="s">
        <v>377</v>
      </c>
      <c r="AE381" s="612" t="s">
        <v>378</v>
      </c>
      <c r="AF381" s="602" t="s">
        <v>379</v>
      </c>
    </row>
    <row r="382">
      <c r="A382" s="613" t="s">
        <v>432</v>
      </c>
      <c r="B382" s="644" t="s">
        <v>389</v>
      </c>
      <c r="C382" s="614" t="s">
        <v>382</v>
      </c>
      <c r="D382" s="615">
        <v>3000</v>
      </c>
      <c r="E382" s="616">
        <v>5</v>
      </c>
      <c r="F382" s="616">
        <v>4</v>
      </c>
      <c r="G382" s="643">
        <v>3693.8</v>
      </c>
      <c r="H382" s="617">
        <f t="shared" ref="H382:H392" si="156">G382/D382</f>
      </c>
      <c r="I382" s="617">
        <f t="shared" ref="I382:I392" si="95">D382/E382</f>
      </c>
      <c r="J382" s="617">
        <f t="shared" ref="J382:J392" si="275">D382/F382</f>
      </c>
      <c r="K382" s="617">
        <f t="shared" ref="K382:K392" si="213">G382/E382</f>
      </c>
      <c r="L382" s="617">
        <f t="shared" ref="L382:L392" si="341">D382/V382</f>
      </c>
      <c r="M382" s="618">
        <f t="shared" ref="M382:M392" si="308">Q382/U382*1</f>
      </c>
      <c r="N382" s="618">
        <f t="shared" ref="N382:N392" si="32">V382/U382</f>
      </c>
      <c r="O382" s="619">
        <f t="shared" ref="O382:O392" si="371">X382/U382</f>
      </c>
      <c r="P382" s="619">
        <f t="shared" ref="P382:P392" si="125">Y382/X382</f>
      </c>
      <c r="Q382" s="595">
        <f t="shared" ref="Q382:Q392" si="62">W382/R382</f>
      </c>
      <c r="R382" s="620">
        <v>0.0079</v>
      </c>
      <c r="S382" s="621">
        <v>31</v>
      </c>
      <c r="T382" s="622">
        <f t="shared" ref="T382:T392" si="243">(D382/U382)*1000</f>
      </c>
      <c r="U382" s="595">
        <v>25261</v>
      </c>
      <c r="V382" s="595">
        <v>1895</v>
      </c>
      <c r="W382" s="595">
        <v>95</v>
      </c>
      <c r="X382" s="595">
        <v>2385</v>
      </c>
      <c r="Y382" s="595">
        <v>88</v>
      </c>
      <c r="Z382" s="595">
        <v>20</v>
      </c>
      <c r="AA382" s="595">
        <v>14</v>
      </c>
      <c r="AB382" s="595">
        <v>20</v>
      </c>
      <c r="AC382" s="572">
        <f t="shared" ref="AC382:AC391" si="180">AF382*1000/D382</f>
      </c>
      <c r="AD382" s="623" t="s">
        <v>399</v>
      </c>
      <c r="AE382" s="646" t="s">
        <v>400</v>
      </c>
      <c r="AF382" s="624">
        <v>34</v>
      </c>
    </row>
    <row r="383">
      <c r="A383" s="613"/>
      <c r="B383" s="644" t="s">
        <v>389</v>
      </c>
      <c r="C383" s="614" t="s">
        <v>385</v>
      </c>
      <c r="D383" s="615">
        <v>1563.66</v>
      </c>
      <c r="E383" s="616">
        <v>5</v>
      </c>
      <c r="F383" s="616">
        <v>2</v>
      </c>
      <c r="G383" s="643">
        <v>4136</v>
      </c>
      <c r="H383" s="617">
        <f t="shared" si="156"/>
      </c>
      <c r="I383" s="617">
        <f t="shared" si="95"/>
      </c>
      <c r="J383" s="617">
        <f t="shared" si="275"/>
      </c>
      <c r="K383" s="617">
        <f t="shared" si="213"/>
      </c>
      <c r="L383" s="617">
        <f t="shared" si="341"/>
      </c>
      <c r="M383" s="618">
        <f t="shared" si="308"/>
      </c>
      <c r="N383" s="618">
        <f t="shared" si="32"/>
      </c>
      <c r="O383" s="619">
        <f t="shared" si="371"/>
      </c>
      <c r="P383" s="619">
        <f t="shared" si="125"/>
      </c>
      <c r="Q383" s="595">
        <f t="shared" si="62"/>
      </c>
      <c r="R383" s="620">
        <v>0.0071</v>
      </c>
      <c r="S383" s="621">
        <v>31</v>
      </c>
      <c r="T383" s="622">
        <f t="shared" si="243"/>
      </c>
      <c r="U383" s="595">
        <v>12443</v>
      </c>
      <c r="V383" s="595">
        <v>592</v>
      </c>
      <c r="W383" s="595">
        <v>45</v>
      </c>
      <c r="X383" s="595">
        <v>675</v>
      </c>
      <c r="Y383" s="595">
        <v>28</v>
      </c>
      <c r="Z383" s="595">
        <v>4</v>
      </c>
      <c r="AA383" s="595">
        <v>0</v>
      </c>
      <c r="AB383" s="595">
        <v>3</v>
      </c>
      <c r="AC383" s="572">
        <f t="shared" si="180"/>
      </c>
      <c r="AD383" s="623" t="s">
        <v>399</v>
      </c>
      <c r="AE383" s="646" t="s">
        <v>400</v>
      </c>
      <c r="AF383" s="624">
        <v>15</v>
      </c>
    </row>
    <row r="384">
      <c r="A384" s="613"/>
      <c r="B384" s="644" t="s">
        <v>389</v>
      </c>
      <c r="C384" s="614" t="s">
        <v>386</v>
      </c>
      <c r="D384" s="615">
        <v>3016.08</v>
      </c>
      <c r="E384" s="616">
        <v>4</v>
      </c>
      <c r="F384" s="616">
        <v>3</v>
      </c>
      <c r="G384" s="615">
        <v>2945.7999999999984</v>
      </c>
      <c r="H384" s="617">
        <f t="shared" si="156"/>
      </c>
      <c r="I384" s="617">
        <f t="shared" si="95"/>
      </c>
      <c r="J384" s="617">
        <f t="shared" si="275"/>
      </c>
      <c r="K384" s="617">
        <f t="shared" si="213"/>
      </c>
      <c r="L384" s="617">
        <f t="shared" si="341"/>
      </c>
      <c r="M384" s="618">
        <f t="shared" si="308"/>
      </c>
      <c r="N384" s="618">
        <f t="shared" si="32"/>
      </c>
      <c r="O384" s="619">
        <f t="shared" si="371"/>
      </c>
      <c r="P384" s="619">
        <f t="shared" si="125"/>
      </c>
      <c r="Q384" s="595">
        <f t="shared" si="62"/>
      </c>
      <c r="R384" s="620">
        <v>0.0162</v>
      </c>
      <c r="S384" s="621">
        <v>31</v>
      </c>
      <c r="T384" s="622">
        <f t="shared" si="243"/>
      </c>
      <c r="U384" s="595">
        <v>21955</v>
      </c>
      <c r="V384" s="595">
        <v>1825</v>
      </c>
      <c r="W384" s="595">
        <v>115</v>
      </c>
      <c r="X384" s="595">
        <v>2537</v>
      </c>
      <c r="Y384" s="595">
        <v>87</v>
      </c>
      <c r="Z384" s="595">
        <v>14</v>
      </c>
      <c r="AA384" s="595">
        <v>5</v>
      </c>
      <c r="AB384" s="595">
        <v>13</v>
      </c>
      <c r="AC384" s="572">
        <f t="shared" si="180"/>
      </c>
      <c r="AD384" s="623" t="s">
        <v>399</v>
      </c>
      <c r="AE384" s="646" t="s">
        <v>400</v>
      </c>
      <c r="AF384" s="624">
        <v>45</v>
      </c>
    </row>
    <row r="385">
      <c r="A385" s="613"/>
      <c r="B385" s="644" t="s">
        <v>389</v>
      </c>
      <c r="C385" s="614" t="s">
        <v>387</v>
      </c>
      <c r="D385" s="615">
        <v>4007.99</v>
      </c>
      <c r="E385" s="616">
        <v>11</v>
      </c>
      <c r="F385" s="616">
        <v>10</v>
      </c>
      <c r="G385" s="643">
        <v>7092.799999999999</v>
      </c>
      <c r="H385" s="617">
        <f t="shared" si="156"/>
      </c>
      <c r="I385" s="617">
        <f t="shared" si="95"/>
      </c>
      <c r="J385" s="617">
        <f t="shared" si="275"/>
      </c>
      <c r="K385" s="617">
        <f t="shared" si="213"/>
      </c>
      <c r="L385" s="617">
        <f t="shared" si="341"/>
      </c>
      <c r="M385" s="618">
        <f t="shared" si="308"/>
      </c>
      <c r="N385" s="618">
        <f t="shared" si="32"/>
      </c>
      <c r="O385" s="619">
        <f t="shared" si="371"/>
      </c>
      <c r="P385" s="619">
        <f t="shared" si="125"/>
      </c>
      <c r="Q385" s="595">
        <f t="shared" si="62"/>
      </c>
      <c r="R385" s="620">
        <v>0.0193</v>
      </c>
      <c r="S385" s="621">
        <v>32</v>
      </c>
      <c r="T385" s="622">
        <f t="shared" si="243"/>
      </c>
      <c r="U385" s="595">
        <v>31936</v>
      </c>
      <c r="V385" s="595">
        <v>1603</v>
      </c>
      <c r="W385" s="595">
        <v>125</v>
      </c>
      <c r="X385" s="595">
        <v>2172</v>
      </c>
      <c r="Y385" s="595">
        <v>122</v>
      </c>
      <c r="Z385" s="595">
        <v>15</v>
      </c>
      <c r="AA385" s="595">
        <v>3</v>
      </c>
      <c r="AB385" s="595">
        <v>38</v>
      </c>
      <c r="AC385" s="572">
        <f t="shared" si="180"/>
      </c>
      <c r="AD385" s="623" t="s">
        <v>399</v>
      </c>
      <c r="AE385" s="646" t="s">
        <v>400</v>
      </c>
      <c r="AF385" s="624">
        <v>46</v>
      </c>
    </row>
    <row r="386">
      <c r="A386" s="613"/>
      <c r="B386" s="626" t="s">
        <v>388</v>
      </c>
      <c r="C386" s="626"/>
      <c r="D386" s="627">
        <f>SUM(D382:D385)</f>
      </c>
      <c r="E386" s="628">
        <f>SUM(E382:E385)</f>
      </c>
      <c r="F386" s="628">
        <f>SUM(F382:F385)</f>
      </c>
      <c r="G386" s="627">
        <f>SUM(G382:G385)</f>
      </c>
      <c r="H386" s="629">
        <f t="shared" si="156"/>
      </c>
      <c r="I386" s="629">
        <f t="shared" si="95"/>
      </c>
      <c r="J386" s="629">
        <f t="shared" si="275"/>
      </c>
      <c r="K386" s="629">
        <f t="shared" si="213"/>
      </c>
      <c r="L386" s="629">
        <f t="shared" si="341"/>
      </c>
      <c r="M386" s="630">
        <f t="shared" si="308"/>
      </c>
      <c r="N386" s="630">
        <f t="shared" si="32"/>
      </c>
      <c r="O386" s="630">
        <f t="shared" si="371"/>
      </c>
      <c r="P386" s="630">
        <f t="shared" si="125"/>
      </c>
      <c r="Q386" s="597">
        <f t="shared" si="62"/>
      </c>
      <c r="R386" s="630">
        <f>AVERAGE(R382:R385)</f>
      </c>
      <c r="S386" s="627">
        <f>AVERAGE(S382:S385)</f>
      </c>
      <c r="T386" s="629">
        <f t="shared" si="243"/>
      </c>
      <c r="U386" s="597">
        <f>SUM(U382:U385)</f>
      </c>
      <c r="V386" s="597">
        <f>SUM(V382:V385)</f>
      </c>
      <c r="W386" s="597">
        <f>SUM(W382:W385)</f>
      </c>
      <c r="X386" s="597">
        <f>SUM(X382:X385)</f>
      </c>
      <c r="Y386" s="597">
        <f>SUM(Y382:Y385)</f>
      </c>
      <c r="Z386" s="597">
        <f>SUM(Z382:Z385)</f>
      </c>
      <c r="AA386" s="597">
        <f>SUM(AA382:AA385)</f>
      </c>
      <c r="AB386" s="597">
        <f>SUM(AB382:AB385)</f>
      </c>
      <c r="AC386" s="647">
        <f t="shared" si="180"/>
      </c>
      <c r="AD386" s="631"/>
      <c r="AE386" s="631"/>
      <c r="AF386" s="632">
        <f>SUM(AF382:AF385)</f>
      </c>
    </row>
    <row r="387">
      <c r="A387" s="613"/>
      <c r="B387" s="614" t="s">
        <v>414</v>
      </c>
      <c r="C387" s="614" t="s">
        <v>390</v>
      </c>
      <c r="D387" s="615">
        <v>3611.79</v>
      </c>
      <c r="E387" s="616">
        <v>7</v>
      </c>
      <c r="F387" s="616">
        <v>7</v>
      </c>
      <c r="G387" s="615">
        <v>6569.200000000001</v>
      </c>
      <c r="H387" s="617">
        <f t="shared" si="156"/>
      </c>
      <c r="I387" s="617">
        <f t="shared" si="95"/>
      </c>
      <c r="J387" s="617">
        <f t="shared" si="275"/>
      </c>
      <c r="K387" s="617">
        <f t="shared" si="213"/>
      </c>
      <c r="L387" s="617">
        <f t="shared" si="341"/>
      </c>
      <c r="M387" s="618">
        <f t="shared" si="308"/>
      </c>
      <c r="N387" s="618">
        <f t="shared" si="32"/>
      </c>
      <c r="O387" s="619">
        <f t="shared" si="371"/>
      </c>
      <c r="P387" s="619">
        <f t="shared" si="125"/>
      </c>
      <c r="Q387" s="595">
        <f t="shared" si="62"/>
      </c>
      <c r="R387" s="620">
        <v>0.0167</v>
      </c>
      <c r="S387" s="621">
        <v>34</v>
      </c>
      <c r="T387" s="622">
        <f t="shared" si="243"/>
      </c>
      <c r="U387" s="595">
        <v>30204</v>
      </c>
      <c r="V387" s="595">
        <v>1613</v>
      </c>
      <c r="W387" s="595">
        <v>118</v>
      </c>
      <c r="X387" s="595">
        <v>2236</v>
      </c>
      <c r="Y387" s="595">
        <v>115</v>
      </c>
      <c r="Z387" s="595">
        <v>12</v>
      </c>
      <c r="AA387" s="595">
        <v>3</v>
      </c>
      <c r="AB387" s="595">
        <v>39</v>
      </c>
      <c r="AC387" s="572">
        <f t="shared" si="180"/>
      </c>
      <c r="AD387" s="623" t="s">
        <v>399</v>
      </c>
      <c r="AE387" s="646" t="s">
        <v>400</v>
      </c>
      <c r="AF387" s="624">
        <v>52</v>
      </c>
    </row>
    <row r="388">
      <c r="A388" s="613"/>
      <c r="B388" s="614" t="s">
        <v>414</v>
      </c>
      <c r="C388" s="614" t="s">
        <v>391</v>
      </c>
      <c r="D388" s="615">
        <v>2275.38</v>
      </c>
      <c r="E388" s="616">
        <v>5</v>
      </c>
      <c r="F388" s="616">
        <v>2</v>
      </c>
      <c r="G388" s="643">
        <v>2915</v>
      </c>
      <c r="H388" s="617">
        <f t="shared" si="156"/>
      </c>
      <c r="I388" s="617">
        <f t="shared" si="95"/>
      </c>
      <c r="J388" s="617">
        <f t="shared" si="275"/>
      </c>
      <c r="K388" s="617">
        <f t="shared" si="213"/>
      </c>
      <c r="L388" s="617">
        <f t="shared" si="341"/>
      </c>
      <c r="M388" s="618">
        <f t="shared" si="308"/>
      </c>
      <c r="N388" s="618">
        <f t="shared" si="32"/>
      </c>
      <c r="O388" s="619">
        <f t="shared" si="371"/>
      </c>
      <c r="P388" s="619">
        <f t="shared" si="125"/>
      </c>
      <c r="Q388" s="595">
        <f t="shared" si="62"/>
      </c>
      <c r="R388" s="620">
        <v>0.0115</v>
      </c>
      <c r="S388" s="621">
        <v>34</v>
      </c>
      <c r="T388" s="622">
        <f t="shared" si="243"/>
      </c>
      <c r="U388" s="595">
        <v>22335</v>
      </c>
      <c r="V388" s="595">
        <v>1536</v>
      </c>
      <c r="W388" s="595">
        <v>89</v>
      </c>
      <c r="X388" s="595">
        <v>2172</v>
      </c>
      <c r="Y388" s="595">
        <v>75</v>
      </c>
      <c r="Z388" s="595">
        <v>16</v>
      </c>
      <c r="AA388" s="595">
        <v>3</v>
      </c>
      <c r="AB388" s="595">
        <v>17</v>
      </c>
      <c r="AC388" s="572">
        <f t="shared" si="180"/>
      </c>
      <c r="AD388" s="623" t="s">
        <v>399</v>
      </c>
      <c r="AE388" s="646" t="s">
        <v>400</v>
      </c>
      <c r="AF388" s="624">
        <v>38</v>
      </c>
    </row>
    <row r="389">
      <c r="A389" s="613"/>
      <c r="B389" s="614" t="s">
        <v>414</v>
      </c>
      <c r="C389" s="614" t="s">
        <v>392</v>
      </c>
      <c r="D389" s="615">
        <v>1716.24</v>
      </c>
      <c r="E389" s="616">
        <v>2</v>
      </c>
      <c r="F389" s="616">
        <v>0</v>
      </c>
      <c r="G389" s="615">
        <v>1562</v>
      </c>
      <c r="H389" s="617">
        <f t="shared" si="156"/>
      </c>
      <c r="I389" s="617">
        <f t="shared" si="95"/>
      </c>
      <c r="J389" s="617">
        <f t="shared" si="275"/>
      </c>
      <c r="K389" s="617">
        <f t="shared" si="213"/>
      </c>
      <c r="L389" s="617">
        <f t="shared" si="341"/>
      </c>
      <c r="M389" s="618">
        <f t="shared" si="308"/>
      </c>
      <c r="N389" s="618">
        <f t="shared" si="32"/>
      </c>
      <c r="O389" s="619">
        <f t="shared" si="371"/>
      </c>
      <c r="P389" s="619">
        <f t="shared" si="125"/>
      </c>
      <c r="Q389" s="595">
        <f t="shared" si="62"/>
      </c>
      <c r="R389" s="620">
        <v>0.0094</v>
      </c>
      <c r="S389" s="621">
        <v>34</v>
      </c>
      <c r="T389" s="622">
        <f t="shared" si="243"/>
      </c>
      <c r="U389" s="595">
        <v>15866</v>
      </c>
      <c r="V389" s="595">
        <v>1468</v>
      </c>
      <c r="W389" s="595">
        <v>69</v>
      </c>
      <c r="X389" s="595">
        <v>2172</v>
      </c>
      <c r="Y389" s="595">
        <v>75</v>
      </c>
      <c r="Z389" s="595">
        <v>7</v>
      </c>
      <c r="AA389" s="595">
        <v>2</v>
      </c>
      <c r="AB389" s="595">
        <v>6</v>
      </c>
      <c r="AC389" s="572">
        <f t="shared" si="180"/>
      </c>
      <c r="AD389" s="623" t="s">
        <v>399</v>
      </c>
      <c r="AE389" s="646" t="s">
        <v>400</v>
      </c>
      <c r="AF389" s="624">
        <v>25</v>
      </c>
    </row>
    <row r="390">
      <c r="A390" s="613"/>
      <c r="B390" s="614" t="s">
        <v>414</v>
      </c>
      <c r="C390" s="614" t="s">
        <v>393</v>
      </c>
      <c r="D390" s="615">
        <v>652.32</v>
      </c>
      <c r="E390" s="616">
        <v>2</v>
      </c>
      <c r="F390" s="616">
        <v>1</v>
      </c>
      <c r="G390" s="643">
        <v>902</v>
      </c>
      <c r="H390" s="617">
        <f t="shared" si="156"/>
      </c>
      <c r="I390" s="617">
        <f t="shared" si="95"/>
      </c>
      <c r="J390" s="617">
        <f t="shared" si="275"/>
      </c>
      <c r="K390" s="617">
        <f t="shared" si="213"/>
      </c>
      <c r="L390" s="617">
        <f t="shared" si="341"/>
      </c>
      <c r="M390" s="618">
        <f t="shared" si="308"/>
      </c>
      <c r="N390" s="618">
        <f t="shared" si="32"/>
      </c>
      <c r="O390" s="619">
        <f t="shared" si="371"/>
      </c>
      <c r="P390" s="619">
        <f t="shared" si="125"/>
      </c>
      <c r="Q390" s="595">
        <f t="shared" si="62"/>
      </c>
      <c r="R390" s="620">
        <v>0.0135</v>
      </c>
      <c r="S390" s="621">
        <v>35</v>
      </c>
      <c r="T390" s="622">
        <f t="shared" si="243"/>
      </c>
      <c r="U390" s="595">
        <v>7163</v>
      </c>
      <c r="V390" s="595">
        <v>577</v>
      </c>
      <c r="W390" s="595">
        <v>42</v>
      </c>
      <c r="X390" s="595">
        <v>917</v>
      </c>
      <c r="Y390" s="595">
        <v>59</v>
      </c>
      <c r="Z390" s="595">
        <v>4</v>
      </c>
      <c r="AA390" s="595">
        <v>2</v>
      </c>
      <c r="AB390" s="595">
        <v>2</v>
      </c>
      <c r="AC390" s="572">
        <f t="shared" si="180"/>
      </c>
      <c r="AD390" s="623" t="s">
        <v>399</v>
      </c>
      <c r="AE390" s="646" t="s">
        <v>400</v>
      </c>
      <c r="AF390" s="624">
        <v>20</v>
      </c>
    </row>
    <row r="391">
      <c r="A391" s="613"/>
      <c r="B391" s="626" t="s">
        <v>388</v>
      </c>
      <c r="C391" s="626"/>
      <c r="D391" s="627">
        <f>SUM(D387:D390)</f>
      </c>
      <c r="E391" s="628">
        <f>SUM(E387:E390)</f>
      </c>
      <c r="F391" s="628">
        <f>SUM(F387:F390)</f>
      </c>
      <c r="G391" s="627">
        <f>SUM(G387:G390)</f>
      </c>
      <c r="H391" s="629">
        <f t="shared" si="156"/>
      </c>
      <c r="I391" s="629">
        <f t="shared" si="95"/>
      </c>
      <c r="J391" s="629">
        <f t="shared" si="275"/>
      </c>
      <c r="K391" s="629">
        <f t="shared" si="213"/>
      </c>
      <c r="L391" s="629">
        <f t="shared" si="341"/>
      </c>
      <c r="M391" s="630">
        <f t="shared" si="308"/>
      </c>
      <c r="N391" s="630">
        <f t="shared" si="32"/>
      </c>
      <c r="O391" s="630">
        <f t="shared" si="371"/>
      </c>
      <c r="P391" s="630">
        <f t="shared" si="125"/>
      </c>
      <c r="Q391" s="597">
        <f t="shared" si="62"/>
      </c>
      <c r="R391" s="630">
        <f>AVERAGE(R387:R390)</f>
      </c>
      <c r="S391" s="627">
        <f>AVERAGE(S387:S390)</f>
      </c>
      <c r="T391" s="629">
        <f t="shared" si="243"/>
      </c>
      <c r="U391" s="597">
        <f>SUM(U387:U390)</f>
      </c>
      <c r="V391" s="597">
        <f>SUM(V387:V390)</f>
      </c>
      <c r="W391" s="597">
        <f>SUM(W387:W390)</f>
      </c>
      <c r="X391" s="597">
        <f>SUM(X387:X390)</f>
      </c>
      <c r="Y391" s="597">
        <f>SUM(Y387:Y390)</f>
      </c>
      <c r="Z391" s="597">
        <f>SUM(Z387:Z390)</f>
      </c>
      <c r="AA391" s="597">
        <f>SUM(AA387:AA390)</f>
      </c>
      <c r="AB391" s="597">
        <f>SUM(AB387:AB390)</f>
      </c>
      <c r="AC391" s="647">
        <f t="shared" si="180"/>
      </c>
      <c r="AD391" s="631"/>
      <c r="AE391" s="631"/>
      <c r="AF391" s="597">
        <f>SUM(AF387:AF390)</f>
      </c>
    </row>
    <row r="392">
      <c r="A392" s="613"/>
      <c r="B392" s="642" t="s">
        <v>394</v>
      </c>
      <c r="C392" s="642"/>
      <c r="D392" s="634">
        <f>D386+D391</f>
      </c>
      <c r="E392" s="635">
        <f>E386+E391</f>
      </c>
      <c r="F392" s="635">
        <f>F386+F391</f>
      </c>
      <c r="G392" s="634">
        <f>G386+G391</f>
      </c>
      <c r="H392" s="636">
        <f t="shared" si="156"/>
      </c>
      <c r="I392" s="636">
        <f t="shared" si="95"/>
      </c>
      <c r="J392" s="636">
        <f t="shared" si="275"/>
      </c>
      <c r="K392" s="636">
        <f t="shared" si="213"/>
      </c>
      <c r="L392" s="636">
        <f t="shared" si="341"/>
      </c>
      <c r="M392" s="637">
        <f t="shared" si="308"/>
      </c>
      <c r="N392" s="637">
        <f t="shared" si="32"/>
      </c>
      <c r="O392" s="637">
        <f t="shared" si="371"/>
      </c>
      <c r="P392" s="637">
        <f t="shared" si="125"/>
      </c>
      <c r="Q392" s="645">
        <f t="shared" si="62"/>
      </c>
      <c r="R392" s="637">
        <f>(R386+R391)/2</f>
      </c>
      <c r="S392" s="634">
        <f>(S391+S386)/2</f>
      </c>
      <c r="T392" s="634">
        <f t="shared" si="243"/>
      </c>
      <c r="U392" s="645">
        <f>U386+U391</f>
      </c>
      <c r="V392" s="645">
        <f>V386+V391</f>
      </c>
      <c r="W392" s="645">
        <f>W386+W391</f>
      </c>
      <c r="X392" s="645">
        <f>X386+X391</f>
      </c>
      <c r="Y392" s="645">
        <f>Y386+Y391</f>
      </c>
      <c r="Z392" s="645">
        <f>Z386+Z391</f>
      </c>
      <c r="AA392" s="645">
        <f>AA386+AA391</f>
      </c>
      <c r="AB392" s="645">
        <f>AB386+AB391</f>
      </c>
      <c r="AC392" s="636">
        <f>AC386</f>
      </c>
      <c r="AD392" s="642"/>
      <c r="AE392" s="642"/>
      <c r="AF392" s="645">
        <f>AF386+AF391</f>
      </c>
    </row>
    <row r="393">
      <c r="G393" s="649">
        <f>G394-G392</f>
      </c>
      <c r="AF393">
        <f>AF394-AF392</f>
      </c>
    </row>
    <row r="394">
      <c r="G394" s="649">
        <v>29816.6</v>
      </c>
      <c r="AF394" s="650">
        <v>275</v>
      </c>
    </row>
  </sheetData>
  <autoFilter ref="A2:AF395"/>
  <mergeCells>
    <mergeCell ref="B321:C321"/>
    <mergeCell ref="B203:C203"/>
    <mergeCell ref="B202:C202"/>
    <mergeCell ref="A198:A203"/>
    <mergeCell ref="L196:AE196"/>
    <mergeCell ref="D196:K196"/>
    <mergeCell ref="B196:C196"/>
    <mergeCell ref="A196:A197"/>
    <mergeCell ref="B194:C194"/>
    <mergeCell ref="A184:A195"/>
    <mergeCell ref="B195:C195"/>
    <mergeCell ref="B191:C191"/>
    <mergeCell ref="B187:C187"/>
    <mergeCell ref="B142:C142"/>
    <mergeCell ref="B141:C141"/>
    <mergeCell ref="B136:C136"/>
    <mergeCell ref="L131:AE131"/>
    <mergeCell ref="D131:K131"/>
    <mergeCell ref="B131:C131"/>
    <mergeCell ref="A131:A132"/>
    <mergeCell ref="B130:C130"/>
    <mergeCell ref="B129:C129"/>
    <mergeCell ref="B124:C124"/>
    <mergeCell ref="A120:A130"/>
    <mergeCell ref="L118:AE118"/>
    <mergeCell ref="D118:K118"/>
    <mergeCell ref="B118:C118"/>
    <mergeCell ref="A118:A119"/>
    <mergeCell ref="B117:C117"/>
    <mergeCell ref="B116:C116"/>
    <mergeCell ref="B111:C111"/>
    <mergeCell ref="A107:A117"/>
    <mergeCell ref="L105:AE105"/>
    <mergeCell ref="D105:K105"/>
    <mergeCell ref="B105:C105"/>
    <mergeCell ref="A105:A106"/>
    <mergeCell ref="B104:C104"/>
    <mergeCell ref="B103:C103"/>
    <mergeCell ref="B98:C98"/>
    <mergeCell ref="A94:A104"/>
    <mergeCell ref="L92:AE92"/>
    <mergeCell ref="D92:K92"/>
    <mergeCell ref="B92:C92"/>
    <mergeCell ref="A92:A93"/>
    <mergeCell ref="B91:C91"/>
    <mergeCell ref="B90:C90"/>
    <mergeCell ref="B85:C85"/>
    <mergeCell ref="A81:A91"/>
    <mergeCell ref="L79:AE79"/>
    <mergeCell ref="D79:K79"/>
    <mergeCell ref="B79:C79"/>
    <mergeCell ref="A79:A80"/>
    <mergeCell ref="B78:C78"/>
    <mergeCell ref="B77:C77"/>
    <mergeCell ref="B72:C72"/>
    <mergeCell ref="A68:A78"/>
    <mergeCell ref="D66:K66"/>
    <mergeCell ref="L66:AE66"/>
    <mergeCell ref="A66:A67"/>
    <mergeCell ref="B66:C66"/>
    <mergeCell ref="B65:C65"/>
    <mergeCell ref="B64:C64"/>
    <mergeCell ref="B59:C59"/>
    <mergeCell ref="A55:A65"/>
    <mergeCell ref="D53:K53"/>
    <mergeCell ref="L53:AE53"/>
    <mergeCell ref="A53:A54"/>
    <mergeCell ref="B53:C53"/>
    <mergeCell ref="B52:C52"/>
    <mergeCell ref="B51:C51"/>
    <mergeCell ref="B46:C46"/>
    <mergeCell ref="A42:A52"/>
    <mergeCell ref="D40:K40"/>
    <mergeCell ref="L40:AE40"/>
    <mergeCell ref="A40:A41"/>
    <mergeCell ref="B40:C40"/>
    <mergeCell ref="D27:K27"/>
    <mergeCell ref="L27:AE27"/>
    <mergeCell ref="A27:A28"/>
    <mergeCell ref="B27:C27"/>
    <mergeCell ref="A29:A39"/>
    <mergeCell ref="B33:C33"/>
    <mergeCell ref="B38:C38"/>
    <mergeCell ref="B39:C39"/>
    <mergeCell ref="D14:K14"/>
    <mergeCell ref="L14:AE14"/>
    <mergeCell ref="A14:A15"/>
    <mergeCell ref="B14:C14"/>
    <mergeCell ref="A16:A26"/>
    <mergeCell ref="B20:C20"/>
    <mergeCell ref="B25:C25"/>
    <mergeCell ref="B26:C26"/>
    <mergeCell ref="D1:K1"/>
    <mergeCell ref="L1:AE1"/>
    <mergeCell ref="A1:A2"/>
    <mergeCell ref="B1:C1"/>
    <mergeCell ref="A3:A13"/>
    <mergeCell ref="B7:C7"/>
    <mergeCell ref="B12:C12"/>
    <mergeCell ref="B13:C13"/>
    <mergeCell ref="A133:A142"/>
    <mergeCell ref="L143:AE143"/>
    <mergeCell ref="D143:K143"/>
    <mergeCell ref="B143:C143"/>
    <mergeCell ref="A143:A144"/>
    <mergeCell ref="A145:A155"/>
    <mergeCell ref="B149:C149"/>
    <mergeCell ref="B154:C154"/>
    <mergeCell ref="B155:C155"/>
    <mergeCell ref="L156:AE156"/>
    <mergeCell ref="D156:K156"/>
    <mergeCell ref="B156:C156"/>
    <mergeCell ref="A156:A157"/>
    <mergeCell ref="A158:A168"/>
    <mergeCell ref="B162:C162"/>
    <mergeCell ref="B167:C167"/>
    <mergeCell ref="B168:C168"/>
    <mergeCell ref="L169:AE169"/>
    <mergeCell ref="D169:K169"/>
    <mergeCell ref="B169:C169"/>
    <mergeCell ref="A169:A170"/>
    <mergeCell ref="A171:A181"/>
    <mergeCell ref="B175:C175"/>
    <mergeCell ref="B180:C180"/>
    <mergeCell ref="B181:C181"/>
    <mergeCell ref="L182:AE182"/>
    <mergeCell ref="D182:K182"/>
    <mergeCell ref="B182:C182"/>
    <mergeCell ref="A182:A183"/>
    <mergeCell ref="L204:AE204"/>
    <mergeCell ref="D204:K204"/>
    <mergeCell ref="B204:C204"/>
    <mergeCell ref="A204:A205"/>
    <mergeCell ref="A206:A217"/>
    <mergeCell ref="B209:C209"/>
    <mergeCell ref="B213:C213"/>
    <mergeCell ref="B216:C216"/>
    <mergeCell ref="B217:C217"/>
    <mergeCell ref="L218:AE218"/>
    <mergeCell ref="D218:K218"/>
    <mergeCell ref="B218:C218"/>
    <mergeCell ref="A218:A219"/>
    <mergeCell ref="A220:A231"/>
    <mergeCell ref="B223:C223"/>
    <mergeCell ref="B227:C227"/>
    <mergeCell ref="B230:C230"/>
    <mergeCell ref="B231:C231"/>
    <mergeCell ref="L232:AE232"/>
    <mergeCell ref="D232:K232"/>
    <mergeCell ref="B232:C232"/>
    <mergeCell ref="A232:A233"/>
    <mergeCell ref="A234:A245"/>
    <mergeCell ref="B237:C237"/>
    <mergeCell ref="B241:C241"/>
    <mergeCell ref="B244:C244"/>
    <mergeCell ref="B245:C245"/>
    <mergeCell ref="L246:AE246"/>
    <mergeCell ref="D246:K246"/>
    <mergeCell ref="B246:C246"/>
    <mergeCell ref="A246:A247"/>
    <mergeCell ref="A248:A259"/>
    <mergeCell ref="B251:C251"/>
    <mergeCell ref="B255:C255"/>
    <mergeCell ref="B258:C258"/>
    <mergeCell ref="B259:C259"/>
    <mergeCell ref="L260:AE260"/>
    <mergeCell ref="D260:K260"/>
    <mergeCell ref="B260:C260"/>
    <mergeCell ref="A260:A261"/>
    <mergeCell ref="A262:A272"/>
    <mergeCell ref="B266:C266"/>
    <mergeCell ref="B271:C271"/>
    <mergeCell ref="B272:C272"/>
    <mergeCell ref="L273:AE273"/>
    <mergeCell ref="D273:K273"/>
    <mergeCell ref="B273:C273"/>
    <mergeCell ref="A273:A274"/>
    <mergeCell ref="A275:A285"/>
    <mergeCell ref="B279:C279"/>
    <mergeCell ref="B284:C284"/>
    <mergeCell ref="B285:C285"/>
    <mergeCell ref="L286:AE286"/>
    <mergeCell ref="D286:K286"/>
    <mergeCell ref="B286:C286"/>
    <mergeCell ref="A286:A287"/>
    <mergeCell ref="A288:A298"/>
    <mergeCell ref="B292:C292"/>
    <mergeCell ref="B297:C297"/>
    <mergeCell ref="B298:C298"/>
    <mergeCell ref="L299:AE299"/>
    <mergeCell ref="D299:K299"/>
    <mergeCell ref="B299:C299"/>
    <mergeCell ref="A299:A300"/>
    <mergeCell ref="A301:A311"/>
    <mergeCell ref="B305:C305"/>
    <mergeCell ref="B310:C310"/>
    <mergeCell ref="B311:C311"/>
    <mergeCell ref="L312:AE312"/>
    <mergeCell ref="D312:K312"/>
    <mergeCell ref="B312:C312"/>
    <mergeCell ref="A312:A313"/>
    <mergeCell ref="B317:C317"/>
    <mergeCell ref="B325:C325"/>
    <mergeCell ref="B324:C324"/>
    <mergeCell ref="A314:A325"/>
    <mergeCell ref="L326:AE326"/>
    <mergeCell ref="D326:K326"/>
    <mergeCell ref="B326:C326"/>
    <mergeCell ref="A326:A327"/>
    <mergeCell ref="A328:A339"/>
    <mergeCell ref="B331:C331"/>
    <mergeCell ref="B335:C335"/>
    <mergeCell ref="B338:C338"/>
    <mergeCell ref="B339:C339"/>
    <mergeCell ref="L340:AE340"/>
    <mergeCell ref="D340:K340"/>
    <mergeCell ref="B340:C340"/>
    <mergeCell ref="A340:A341"/>
    <mergeCell ref="A342:A353"/>
    <mergeCell ref="B345:C345"/>
    <mergeCell ref="B349:C349"/>
    <mergeCell ref="B352:C352"/>
    <mergeCell ref="B353:C353"/>
    <mergeCell ref="L354:AE354"/>
    <mergeCell ref="D354:K354"/>
    <mergeCell ref="B354:C354"/>
    <mergeCell ref="A354:A355"/>
    <mergeCell ref="A356:A366"/>
    <mergeCell ref="B360:C360"/>
    <mergeCell ref="B365:C365"/>
    <mergeCell ref="B366:C366"/>
    <mergeCell ref="L367:AE367"/>
    <mergeCell ref="D367:K367"/>
    <mergeCell ref="B367:C367"/>
    <mergeCell ref="A367:A368"/>
    <mergeCell ref="A369:A379"/>
    <mergeCell ref="B373:C373"/>
    <mergeCell ref="B378:C378"/>
    <mergeCell ref="B379:C379"/>
    <mergeCell ref="L380:AE380"/>
    <mergeCell ref="D380:K380"/>
    <mergeCell ref="B380:C380"/>
    <mergeCell ref="A380:A381"/>
    <mergeCell ref="A382:A392"/>
    <mergeCell ref="B386:C386"/>
    <mergeCell ref="B391:C391"/>
    <mergeCell ref="B392:C39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8" min="18" style="0" width="13.577464788732394"/>
    <col collapsed="false" customWidth="true" hidden="false" max="6" min="6" style="0" width="11.211267605633802"/>
    <col collapsed="false" customWidth="true" hidden="false" max="10" min="10" style="0" width="11.211267605633802"/>
  </cols>
  <sheetData>
    <row r="1">
      <c r="A1" s="651" t="s">
        <v>433</v>
      </c>
      <c r="B1" s="651" t="s">
        <v>434</v>
      </c>
      <c r="C1" s="651"/>
      <c r="D1" s="652" t="s">
        <v>435</v>
      </c>
      <c r="E1" s="653"/>
      <c r="F1" s="653"/>
      <c r="G1" s="652"/>
      <c r="H1" s="652"/>
      <c r="I1" s="652"/>
      <c r="J1" s="652"/>
      <c r="K1" s="652"/>
      <c r="L1" s="654" t="s">
        <v>436</v>
      </c>
      <c r="M1" s="654"/>
      <c r="N1" s="654"/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  <c r="AD1" s="654"/>
      <c r="AE1" s="654"/>
      <c r="AF1" s="655"/>
    </row>
    <row r="2">
      <c r="A2" s="651"/>
      <c r="B2" s="656" t="s">
        <v>437</v>
      </c>
      <c r="C2" s="656" t="s">
        <v>438</v>
      </c>
      <c r="D2" s="657" t="s">
        <v>439</v>
      </c>
      <c r="E2" s="658" t="s">
        <v>440</v>
      </c>
      <c r="F2" s="658"/>
      <c r="G2" s="657" t="s">
        <v>441</v>
      </c>
      <c r="H2" s="659" t="s">
        <v>442</v>
      </c>
      <c r="I2" s="659" t="s">
        <v>443</v>
      </c>
      <c r="J2" s="659"/>
      <c r="K2" s="659" t="s">
        <v>444</v>
      </c>
      <c r="L2" s="660" t="s">
        <v>445</v>
      </c>
      <c r="M2" s="661" t="s">
        <v>446</v>
      </c>
      <c r="N2" s="661" t="s">
        <v>447</v>
      </c>
      <c r="O2" s="661" t="s">
        <v>448</v>
      </c>
      <c r="P2" s="661" t="s">
        <v>449</v>
      </c>
      <c r="Q2" s="662" t="s">
        <v>450</v>
      </c>
      <c r="R2" s="661" t="s">
        <v>451</v>
      </c>
      <c r="S2" s="662" t="s">
        <v>452</v>
      </c>
      <c r="T2" s="663" t="s">
        <v>453</v>
      </c>
      <c r="U2" s="664" t="s">
        <v>454</v>
      </c>
      <c r="V2" s="664" t="s">
        <v>455</v>
      </c>
      <c r="W2" s="664" t="s">
        <v>456</v>
      </c>
      <c r="X2" s="664" t="s">
        <v>457</v>
      </c>
      <c r="Y2" s="664" t="s">
        <v>458</v>
      </c>
      <c r="Z2" s="664" t="s">
        <v>459</v>
      </c>
      <c r="AA2" s="664" t="s">
        <v>460</v>
      </c>
      <c r="AB2" s="664" t="s">
        <v>461</v>
      </c>
      <c r="AC2" s="654" t="s">
        <v>462</v>
      </c>
      <c r="AD2" s="665" t="s">
        <v>463</v>
      </c>
      <c r="AE2" s="665" t="s">
        <v>464</v>
      </c>
      <c r="AF2" s="655" t="s">
        <v>465</v>
      </c>
    </row>
    <row r="3">
      <c r="A3" s="666" t="s">
        <v>466</v>
      </c>
      <c r="B3" s="667" t="s">
        <v>467</v>
      </c>
      <c r="C3" s="668" t="s">
        <v>468</v>
      </c>
      <c r="D3" s="669">
        <v>294.62</v>
      </c>
      <c r="E3" s="670">
        <v>0</v>
      </c>
      <c r="F3" s="670"/>
      <c r="G3" s="671">
        <f t="shared" ref="G3:G6" si="20">E3*700</f>
      </c>
      <c r="H3" s="672">
        <f t="shared" ref="H3:H8" si="47">G3/D3</f>
      </c>
      <c r="I3" s="672">
        <f t="shared" ref="I3:I8" si="83">D3/E3</f>
      </c>
      <c r="J3" s="672"/>
      <c r="K3" s="672">
        <f t="shared" ref="K3:K8" si="119">G3/E3</f>
      </c>
      <c r="L3" s="672">
        <f t="shared" ref="L3:L8" si="23">D3/V3</f>
      </c>
      <c r="M3" s="673">
        <f t="shared" ref="M3:M8" si="59">Q3/U3*1</f>
      </c>
      <c r="N3" s="674">
        <f t="shared" ref="N3:N8" si="95">V3/U3</f>
      </c>
      <c r="O3" s="673">
        <f t="shared" ref="O3:O8" si="131">X3/U3</f>
      </c>
      <c r="P3" s="673">
        <f t="shared" ref="P3:P8" si="0">Y3/X3</f>
      </c>
      <c r="Q3" s="675">
        <f t="shared" ref="Q3:Q8" si="35">W3/R3</f>
      </c>
      <c r="R3" s="676">
        <v>0.0162</v>
      </c>
      <c r="S3" s="677">
        <v>30</v>
      </c>
      <c r="T3" s="672">
        <f t="shared" ref="T3:T7" si="71">(D3/U3)*1000</f>
      </c>
      <c r="U3" s="675">
        <v>2085</v>
      </c>
      <c r="V3" s="675">
        <v>227</v>
      </c>
      <c r="W3" s="675">
        <v>14</v>
      </c>
      <c r="X3" s="675">
        <v>355</v>
      </c>
      <c r="Y3" s="675">
        <v>9</v>
      </c>
      <c r="Z3" s="675">
        <v>2</v>
      </c>
      <c r="AA3" s="675">
        <v>0</v>
      </c>
      <c r="AB3" s="675">
        <v>3</v>
      </c>
      <c r="AC3" s="678">
        <f t="shared" ref="AC3:AC7" si="107">AF3*1000/D3</f>
      </c>
      <c r="AD3" s="679" t="s">
        <v>469</v>
      </c>
      <c r="AE3" s="680" t="s">
        <v>470</v>
      </c>
      <c r="AF3" s="677">
        <v>2</v>
      </c>
    </row>
    <row r="4">
      <c r="A4" s="681"/>
      <c r="B4" s="667" t="s">
        <v>467</v>
      </c>
      <c r="C4" s="668" t="s">
        <v>471</v>
      </c>
      <c r="D4" s="669">
        <v>274.95</v>
      </c>
      <c r="E4" s="670">
        <v>1</v>
      </c>
      <c r="F4" s="670"/>
      <c r="G4" s="671">
        <f t="shared" si="20"/>
      </c>
      <c r="H4" s="672">
        <f t="shared" si="47"/>
      </c>
      <c r="I4" s="672">
        <f t="shared" si="83"/>
      </c>
      <c r="J4" s="672"/>
      <c r="K4" s="672">
        <f t="shared" si="119"/>
      </c>
      <c r="L4" s="672">
        <f t="shared" si="23"/>
      </c>
      <c r="M4" s="673">
        <f t="shared" si="59"/>
      </c>
      <c r="N4" s="673">
        <f t="shared" si="95"/>
      </c>
      <c r="O4" s="682">
        <f t="shared" si="131"/>
      </c>
      <c r="P4" s="682">
        <f t="shared" si="0"/>
      </c>
      <c r="Q4" s="683">
        <f t="shared" si="35"/>
      </c>
      <c r="R4" s="676">
        <v>0.0166</v>
      </c>
      <c r="S4" s="684">
        <v>33</v>
      </c>
      <c r="T4" s="685">
        <f t="shared" si="71"/>
      </c>
      <c r="U4" s="683">
        <v>2166</v>
      </c>
      <c r="V4" s="683">
        <v>292</v>
      </c>
      <c r="W4" s="683">
        <v>15</v>
      </c>
      <c r="X4" s="683">
        <v>417</v>
      </c>
      <c r="Y4" s="683">
        <v>13</v>
      </c>
      <c r="Z4" s="683">
        <v>2</v>
      </c>
      <c r="AA4" s="683">
        <v>0</v>
      </c>
      <c r="AB4" s="683">
        <v>0</v>
      </c>
      <c r="AC4" s="678">
        <f t="shared" si="107"/>
      </c>
      <c r="AD4" s="679" t="s">
        <v>469</v>
      </c>
      <c r="AE4" s="680" t="s">
        <v>470</v>
      </c>
      <c r="AF4" s="677">
        <v>3</v>
      </c>
    </row>
    <row customHeight="true" ht="18.452380952380953" r="5">
      <c r="A5" s="681"/>
      <c r="B5" s="667" t="s">
        <v>467</v>
      </c>
      <c r="C5" s="668" t="s">
        <v>472</v>
      </c>
      <c r="D5" s="669">
        <v>202.69</v>
      </c>
      <c r="E5" s="670">
        <v>0</v>
      </c>
      <c r="F5" s="670"/>
      <c r="G5" s="671">
        <f t="shared" si="20"/>
      </c>
      <c r="H5" s="672">
        <f t="shared" si="47"/>
      </c>
      <c r="I5" s="672">
        <f t="shared" si="83"/>
      </c>
      <c r="J5" s="672"/>
      <c r="K5" s="672">
        <f t="shared" si="119"/>
      </c>
      <c r="L5" s="672">
        <f t="shared" si="23"/>
      </c>
      <c r="M5" s="673">
        <f t="shared" si="59"/>
      </c>
      <c r="N5" s="673">
        <f t="shared" si="95"/>
      </c>
      <c r="O5" s="682">
        <f t="shared" si="131"/>
      </c>
      <c r="P5" s="682">
        <f t="shared" si="0"/>
      </c>
      <c r="Q5" s="683">
        <f t="shared" si="35"/>
      </c>
      <c r="R5" s="676">
        <v>0.019</v>
      </c>
      <c r="S5" s="684">
        <v>33</v>
      </c>
      <c r="T5" s="685">
        <f t="shared" si="71"/>
      </c>
      <c r="U5" s="683">
        <v>1380</v>
      </c>
      <c r="V5" s="683">
        <v>166</v>
      </c>
      <c r="W5" s="683">
        <v>10</v>
      </c>
      <c r="X5" s="683">
        <v>248</v>
      </c>
      <c r="Y5" s="683">
        <v>22</v>
      </c>
      <c r="Z5" s="683">
        <v>0</v>
      </c>
      <c r="AA5" s="683">
        <v>0</v>
      </c>
      <c r="AB5" s="683">
        <v>0</v>
      </c>
      <c r="AC5" s="678">
        <f t="shared" si="107"/>
      </c>
      <c r="AD5" s="679" t="s">
        <v>469</v>
      </c>
      <c r="AE5" s="680" t="s">
        <v>470</v>
      </c>
      <c r="AF5" s="677">
        <v>2</v>
      </c>
    </row>
    <row r="6">
      <c r="A6" s="681"/>
      <c r="B6" s="667" t="s">
        <v>467</v>
      </c>
      <c r="C6" s="668" t="s">
        <v>473</v>
      </c>
      <c r="D6" s="669">
        <v>197.08</v>
      </c>
      <c r="E6" s="670">
        <v>0</v>
      </c>
      <c r="F6" s="670"/>
      <c r="G6" s="671">
        <f t="shared" si="20"/>
      </c>
      <c r="H6" s="672">
        <f t="shared" si="47"/>
      </c>
      <c r="I6" s="672">
        <f t="shared" si="83"/>
      </c>
      <c r="J6" s="672"/>
      <c r="K6" s="672">
        <f t="shared" si="119"/>
      </c>
      <c r="L6" s="672">
        <f t="shared" si="23"/>
      </c>
      <c r="M6" s="673">
        <f t="shared" si="59"/>
      </c>
      <c r="N6" s="673">
        <f t="shared" si="95"/>
      </c>
      <c r="O6" s="682">
        <f t="shared" si="131"/>
      </c>
      <c r="P6" s="682">
        <f t="shared" si="0"/>
      </c>
      <c r="Q6" s="683">
        <f t="shared" si="35"/>
      </c>
      <c r="R6" s="676">
        <v>0.0182</v>
      </c>
      <c r="S6" s="684">
        <v>31</v>
      </c>
      <c r="T6" s="685">
        <f t="shared" si="71"/>
      </c>
      <c r="U6" s="683">
        <v>147</v>
      </c>
      <c r="V6" s="683">
        <v>18</v>
      </c>
      <c r="W6" s="684">
        <v>1</v>
      </c>
      <c r="X6" s="683">
        <v>23</v>
      </c>
      <c r="Y6" s="683">
        <v>2</v>
      </c>
      <c r="Z6" s="683">
        <v>0</v>
      </c>
      <c r="AA6" s="683">
        <v>0</v>
      </c>
      <c r="AB6" s="683">
        <v>0</v>
      </c>
      <c r="AC6" s="678">
        <f t="shared" si="107"/>
      </c>
      <c r="AD6" s="679" t="s">
        <v>469</v>
      </c>
      <c r="AE6" s="680" t="s">
        <v>470</v>
      </c>
      <c r="AF6" s="677">
        <v>1</v>
      </c>
    </row>
    <row r="7">
      <c r="A7" s="681"/>
      <c r="B7" s="686" t="s">
        <v>474</v>
      </c>
      <c r="C7" s="686"/>
      <c r="D7" s="687">
        <f>SUM(D3:D6)</f>
      </c>
      <c r="E7" s="688">
        <f>SUM(E3:E6)</f>
      </c>
      <c r="F7" s="688"/>
      <c r="G7" s="688">
        <f>SUM(G3:G6)</f>
      </c>
      <c r="H7" s="689">
        <f t="shared" si="47"/>
      </c>
      <c r="I7" s="689">
        <f t="shared" si="83"/>
      </c>
      <c r="J7" s="689"/>
      <c r="K7" s="689">
        <f t="shared" si="119"/>
      </c>
      <c r="L7" s="689">
        <f t="shared" si="23"/>
      </c>
      <c r="M7" s="690">
        <f t="shared" si="59"/>
      </c>
      <c r="N7" s="690">
        <f t="shared" si="95"/>
      </c>
      <c r="O7" s="690">
        <f t="shared" si="131"/>
      </c>
      <c r="P7" s="690">
        <f t="shared" si="0"/>
      </c>
      <c r="Q7" s="691">
        <f t="shared" si="35"/>
      </c>
      <c r="R7" s="690">
        <f>AVERAGE(R3:R6)</f>
      </c>
      <c r="S7" s="687">
        <f>AVERAGE(S3:S6)</f>
      </c>
      <c r="T7" s="689">
        <f t="shared" si="71"/>
      </c>
      <c r="U7" s="691">
        <f>SUM(U3:U6)</f>
      </c>
      <c r="V7" s="691">
        <f>SUM(V3:V6)</f>
      </c>
      <c r="W7" s="691">
        <f>SUM(W3:W6)</f>
      </c>
      <c r="X7" s="691">
        <f>SUM(X3:X6)</f>
      </c>
      <c r="Y7" s="691">
        <f>SUM(Y3:Y6)</f>
      </c>
      <c r="Z7" s="691">
        <f>SUM(Z3:Z6)</f>
      </c>
      <c r="AA7" s="691">
        <f>SUM(AA3:AA6)</f>
      </c>
      <c r="AB7" s="691">
        <f>SUM(AB3:AB6)</f>
      </c>
      <c r="AC7" s="692">
        <f t="shared" si="107"/>
      </c>
      <c r="AD7" s="693"/>
      <c r="AE7" s="693"/>
      <c r="AF7" s="694">
        <f>SUM(AF3:AF6)</f>
      </c>
    </row>
    <row r="8">
      <c r="A8" s="681"/>
      <c r="B8" s="695" t="s">
        <v>475</v>
      </c>
      <c r="C8" s="695"/>
      <c r="D8" s="696">
        <f>D7</f>
      </c>
      <c r="E8" s="697">
        <f>E7</f>
      </c>
      <c r="F8" s="697"/>
      <c r="G8" s="696">
        <f>G7</f>
      </c>
      <c r="H8" s="698">
        <f t="shared" si="47"/>
      </c>
      <c r="I8" s="698">
        <f t="shared" si="83"/>
      </c>
      <c r="J8" s="698"/>
      <c r="K8" s="698">
        <f t="shared" si="119"/>
      </c>
      <c r="L8" s="698">
        <f t="shared" si="23"/>
      </c>
      <c r="M8" s="699">
        <f t="shared" si="59"/>
      </c>
      <c r="N8" s="699">
        <f t="shared" si="95"/>
      </c>
      <c r="O8" s="699">
        <f t="shared" si="131"/>
      </c>
      <c r="P8" s="699">
        <f t="shared" si="0"/>
      </c>
      <c r="Q8" s="700">
        <f t="shared" si="35"/>
      </c>
      <c r="R8" s="701">
        <f>R7</f>
      </c>
      <c r="S8" s="702">
        <f>S7</f>
      </c>
      <c r="T8" s="696">
        <f>T7</f>
      </c>
      <c r="U8" s="700">
        <f>U7</f>
      </c>
      <c r="V8" s="700">
        <f>V7</f>
      </c>
      <c r="W8" s="700">
        <f>W7</f>
      </c>
      <c r="X8" s="700">
        <f>X7</f>
      </c>
      <c r="Y8" s="700">
        <f>Y7</f>
      </c>
      <c r="Z8" s="700">
        <f>Z7</f>
      </c>
      <c r="AA8" s="700">
        <f>AA7</f>
      </c>
      <c r="AB8" s="700">
        <f>AB7</f>
      </c>
      <c r="AC8" s="703">
        <f>AC7</f>
      </c>
      <c r="AD8" s="704"/>
      <c r="AE8" s="704"/>
      <c r="AF8" s="700">
        <f>AF7</f>
      </c>
    </row>
    <row r="9">
      <c r="A9" s="651" t="s">
        <v>433</v>
      </c>
      <c r="B9" s="651" t="s">
        <v>434</v>
      </c>
      <c r="C9" s="651"/>
      <c r="D9" s="652" t="s">
        <v>435</v>
      </c>
      <c r="E9" s="653"/>
      <c r="F9" s="653"/>
      <c r="G9" s="652"/>
      <c r="H9" s="652"/>
      <c r="I9" s="652"/>
      <c r="J9" s="652"/>
      <c r="K9" s="652"/>
      <c r="L9" s="654" t="s">
        <v>436</v>
      </c>
      <c r="M9" s="654"/>
      <c r="N9" s="654"/>
      <c r="O9" s="654"/>
      <c r="P9" s="654"/>
      <c r="Q9" s="654"/>
      <c r="R9" s="654"/>
      <c r="S9" s="654"/>
      <c r="T9" s="654"/>
      <c r="U9" s="654"/>
      <c r="V9" s="654"/>
      <c r="W9" s="654"/>
      <c r="X9" s="654"/>
      <c r="Y9" s="654"/>
      <c r="Z9" s="654"/>
      <c r="AA9" s="654"/>
      <c r="AB9" s="654"/>
      <c r="AC9" s="654"/>
      <c r="AD9" s="654"/>
      <c r="AE9" s="654"/>
      <c r="AF9" s="655"/>
    </row>
    <row r="10">
      <c r="A10" s="651"/>
      <c r="B10" s="656" t="s">
        <v>437</v>
      </c>
      <c r="C10" s="656" t="s">
        <v>438</v>
      </c>
      <c r="D10" s="657" t="s">
        <v>439</v>
      </c>
      <c r="E10" s="658" t="s">
        <v>440</v>
      </c>
      <c r="F10" s="658"/>
      <c r="G10" s="657" t="s">
        <v>441</v>
      </c>
      <c r="H10" s="659" t="s">
        <v>442</v>
      </c>
      <c r="I10" s="659" t="s">
        <v>443</v>
      </c>
      <c r="J10" s="659"/>
      <c r="K10" s="659" t="s">
        <v>444</v>
      </c>
      <c r="L10" s="660" t="s">
        <v>445</v>
      </c>
      <c r="M10" s="661" t="s">
        <v>446</v>
      </c>
      <c r="N10" s="661" t="s">
        <v>447</v>
      </c>
      <c r="O10" s="661" t="s">
        <v>448</v>
      </c>
      <c r="P10" s="661" t="s">
        <v>449</v>
      </c>
      <c r="Q10" s="662" t="s">
        <v>450</v>
      </c>
      <c r="R10" s="661" t="s">
        <v>451</v>
      </c>
      <c r="S10" s="662" t="s">
        <v>452</v>
      </c>
      <c r="T10" s="663" t="s">
        <v>453</v>
      </c>
      <c r="U10" s="664" t="s">
        <v>454</v>
      </c>
      <c r="V10" s="664" t="s">
        <v>455</v>
      </c>
      <c r="W10" s="664" t="s">
        <v>456</v>
      </c>
      <c r="X10" s="664" t="s">
        <v>457</v>
      </c>
      <c r="Y10" s="664" t="s">
        <v>458</v>
      </c>
      <c r="Z10" s="664" t="s">
        <v>459</v>
      </c>
      <c r="AA10" s="664" t="s">
        <v>460</v>
      </c>
      <c r="AB10" s="664" t="s">
        <v>461</v>
      </c>
      <c r="AC10" s="654" t="s">
        <v>462</v>
      </c>
      <c r="AD10" s="665" t="s">
        <v>463</v>
      </c>
      <c r="AE10" s="665" t="s">
        <v>464</v>
      </c>
      <c r="AF10" s="655" t="s">
        <v>465</v>
      </c>
    </row>
    <row r="11">
      <c r="A11" s="666" t="s">
        <v>476</v>
      </c>
      <c r="B11" s="667" t="s">
        <v>467</v>
      </c>
      <c r="C11" s="668" t="s">
        <v>477</v>
      </c>
      <c r="D11" s="669">
        <v>255.8</v>
      </c>
      <c r="E11" s="670">
        <v>1</v>
      </c>
      <c r="F11" s="670"/>
      <c r="G11" s="671">
        <v>700</v>
      </c>
      <c r="H11" s="672">
        <f t="shared" ref="H11:H17" si="48">G11/D11</f>
      </c>
      <c r="I11" s="672">
        <f t="shared" ref="I11:I17" si="84">D11/E11</f>
      </c>
      <c r="J11" s="672"/>
      <c r="K11" s="672">
        <f t="shared" ref="K11:K17" si="120">G11/E11</f>
      </c>
      <c r="L11" s="672">
        <f t="shared" ref="L11:L17" si="24">D11/V11</f>
      </c>
      <c r="M11" s="673">
        <f t="shared" ref="M11:M17" si="60">Q11/U11*1</f>
      </c>
      <c r="N11" s="674">
        <f t="shared" ref="N11:N17" si="96">V11/U11</f>
      </c>
      <c r="O11" s="673">
        <f t="shared" ref="O11:O17" si="132">X11/U11</f>
      </c>
      <c r="P11" s="673">
        <f t="shared" ref="P11:P17" si="1">Y11/X11</f>
      </c>
      <c r="Q11" s="675">
        <f t="shared" ref="Q11:Q17" si="36">W11/R11</f>
      </c>
      <c r="R11" s="676">
        <v>0.0284</v>
      </c>
      <c r="S11" s="677">
        <v>27</v>
      </c>
      <c r="T11" s="672">
        <f t="shared" ref="T11:T16" si="72">(D11/U11)*1000</f>
      </c>
      <c r="U11" s="675">
        <v>1989</v>
      </c>
      <c r="V11" s="675">
        <v>231</v>
      </c>
      <c r="W11" s="675">
        <v>23</v>
      </c>
      <c r="X11" s="675">
        <v>371</v>
      </c>
      <c r="Y11" s="675">
        <v>11</v>
      </c>
      <c r="Z11" s="675">
        <v>1</v>
      </c>
      <c r="AA11" s="675">
        <v>0</v>
      </c>
      <c r="AB11" s="675">
        <v>0</v>
      </c>
      <c r="AC11" s="678">
        <f t="shared" ref="AC11:AC16" si="108">AF11*1000/D11</f>
      </c>
      <c r="AD11" s="680" t="s">
        <v>478</v>
      </c>
      <c r="AE11" s="680" t="s">
        <v>479</v>
      </c>
      <c r="AF11" s="677">
        <v>8</v>
      </c>
    </row>
    <row r="12">
      <c r="A12" s="666"/>
      <c r="B12" s="667" t="s">
        <v>467</v>
      </c>
      <c r="C12" s="668" t="s">
        <v>480</v>
      </c>
      <c r="D12" s="669">
        <v>1246.95</v>
      </c>
      <c r="E12" s="670">
        <v>1</v>
      </c>
      <c r="F12" s="670"/>
      <c r="G12" s="671">
        <v>700</v>
      </c>
      <c r="H12" s="672">
        <f t="shared" si="48"/>
      </c>
      <c r="I12" s="672">
        <f t="shared" si="84"/>
      </c>
      <c r="J12" s="672"/>
      <c r="K12" s="672">
        <f t="shared" si="120"/>
      </c>
      <c r="L12" s="672">
        <f t="shared" si="24"/>
      </c>
      <c r="M12" s="673">
        <f t="shared" si="60"/>
      </c>
      <c r="N12" s="673">
        <f t="shared" si="96"/>
      </c>
      <c r="O12" s="682">
        <f t="shared" si="132"/>
      </c>
      <c r="P12" s="682">
        <f t="shared" si="1"/>
      </c>
      <c r="Q12" s="683">
        <f t="shared" si="36"/>
      </c>
      <c r="R12" s="676">
        <v>0.0193</v>
      </c>
      <c r="S12" s="684">
        <v>31</v>
      </c>
      <c r="T12" s="685">
        <f t="shared" si="72"/>
      </c>
      <c r="U12" s="683">
        <v>6944</v>
      </c>
      <c r="V12" s="683">
        <v>944</v>
      </c>
      <c r="W12" s="683">
        <v>43</v>
      </c>
      <c r="X12" s="683">
        <v>1343</v>
      </c>
      <c r="Y12" s="683">
        <v>48</v>
      </c>
      <c r="Z12" s="683">
        <v>10</v>
      </c>
      <c r="AA12" s="683">
        <v>0</v>
      </c>
      <c r="AB12" s="683">
        <v>4</v>
      </c>
      <c r="AC12" s="678">
        <f t="shared" si="108"/>
      </c>
      <c r="AD12" s="680" t="s">
        <v>478</v>
      </c>
      <c r="AE12" s="680" t="s">
        <v>479</v>
      </c>
      <c r="AF12" s="677">
        <v>30</v>
      </c>
    </row>
    <row customHeight="true" ht="18.452380952380953" r="13">
      <c r="A13" s="666"/>
      <c r="B13" s="667" t="s">
        <v>467</v>
      </c>
      <c r="C13" s="668" t="s">
        <v>481</v>
      </c>
      <c r="D13" s="671">
        <v>1131.92</v>
      </c>
      <c r="E13" s="670">
        <v>3</v>
      </c>
      <c r="F13" s="670"/>
      <c r="G13" s="671">
        <v>2100</v>
      </c>
      <c r="H13" s="672">
        <f t="shared" si="48"/>
      </c>
      <c r="I13" s="672">
        <f t="shared" si="84"/>
      </c>
      <c r="J13" s="672"/>
      <c r="K13" s="672">
        <f t="shared" si="120"/>
      </c>
      <c r="L13" s="672">
        <f t="shared" si="24"/>
      </c>
      <c r="M13" s="673">
        <f t="shared" si="60"/>
      </c>
      <c r="N13" s="673">
        <f t="shared" si="96"/>
      </c>
      <c r="O13" s="682">
        <f t="shared" si="132"/>
      </c>
      <c r="P13" s="682">
        <f t="shared" si="1"/>
      </c>
      <c r="Q13" s="683">
        <f t="shared" si="36"/>
      </c>
      <c r="R13" s="676">
        <v>0.0175</v>
      </c>
      <c r="S13" s="684">
        <v>33</v>
      </c>
      <c r="T13" s="685">
        <f t="shared" si="72"/>
      </c>
      <c r="U13" s="683">
        <v>7239</v>
      </c>
      <c r="V13" s="683">
        <v>772</v>
      </c>
      <c r="W13" s="683">
        <v>33</v>
      </c>
      <c r="X13" s="683">
        <v>1250</v>
      </c>
      <c r="Y13" s="683">
        <v>53</v>
      </c>
      <c r="Z13" s="683">
        <v>10</v>
      </c>
      <c r="AA13" s="683">
        <v>0</v>
      </c>
      <c r="AB13" s="683">
        <v>3</v>
      </c>
      <c r="AC13" s="678">
        <f t="shared" si="108"/>
      </c>
      <c r="AD13" s="680" t="s">
        <v>478</v>
      </c>
      <c r="AE13" s="680" t="s">
        <v>479</v>
      </c>
      <c r="AF13" s="677">
        <v>11</v>
      </c>
    </row>
    <row r="14">
      <c r="A14" s="666"/>
      <c r="B14" s="667" t="s">
        <v>467</v>
      </c>
      <c r="C14" s="668" t="s">
        <v>482</v>
      </c>
      <c r="D14" s="669">
        <v>1115.64</v>
      </c>
      <c r="E14" s="670">
        <v>3</v>
      </c>
      <c r="F14" s="670"/>
      <c r="G14" s="671">
        <v>2100</v>
      </c>
      <c r="H14" s="672">
        <f t="shared" si="48"/>
      </c>
      <c r="I14" s="672">
        <f t="shared" si="84"/>
      </c>
      <c r="J14" s="672"/>
      <c r="K14" s="672">
        <f t="shared" si="120"/>
      </c>
      <c r="L14" s="672">
        <f t="shared" si="24"/>
      </c>
      <c r="M14" s="673">
        <f t="shared" si="60"/>
      </c>
      <c r="N14" s="673">
        <f t="shared" si="96"/>
      </c>
      <c r="O14" s="682">
        <f t="shared" si="132"/>
      </c>
      <c r="P14" s="682">
        <f t="shared" si="1"/>
      </c>
      <c r="Q14" s="683">
        <f t="shared" si="36"/>
      </c>
      <c r="R14" s="676">
        <v>0.0136</v>
      </c>
      <c r="S14" s="684">
        <v>36</v>
      </c>
      <c r="T14" s="685">
        <f t="shared" si="72"/>
      </c>
      <c r="U14" s="683">
        <v>7549</v>
      </c>
      <c r="V14" s="683">
        <v>746</v>
      </c>
      <c r="W14" s="683">
        <v>25</v>
      </c>
      <c r="X14" s="683">
        <v>1269</v>
      </c>
      <c r="Y14" s="683">
        <v>64</v>
      </c>
      <c r="Z14" s="683">
        <v>8</v>
      </c>
      <c r="AA14" s="683">
        <v>0</v>
      </c>
      <c r="AB14" s="683">
        <v>2</v>
      </c>
      <c r="AC14" s="678">
        <f t="shared" si="108"/>
      </c>
      <c r="AD14" s="680" t="s">
        <v>478</v>
      </c>
      <c r="AE14" s="680" t="s">
        <v>479</v>
      </c>
      <c r="AF14" s="677">
        <v>16</v>
      </c>
    </row>
    <row r="15">
      <c r="A15" s="666"/>
      <c r="B15" s="667" t="s">
        <v>467</v>
      </c>
      <c r="C15" s="668" t="s">
        <v>473</v>
      </c>
      <c r="D15" s="669">
        <v>562.13</v>
      </c>
      <c r="E15" s="670">
        <v>1</v>
      </c>
      <c r="F15" s="670"/>
      <c r="G15" s="671">
        <v>700</v>
      </c>
      <c r="H15" s="672">
        <f t="shared" si="48"/>
      </c>
      <c r="I15" s="672">
        <f t="shared" si="84"/>
      </c>
      <c r="J15" s="672"/>
      <c r="K15" s="672">
        <f t="shared" si="120"/>
      </c>
      <c r="L15" s="672">
        <f t="shared" si="24"/>
      </c>
      <c r="M15" s="673">
        <f t="shared" si="60"/>
      </c>
      <c r="N15" s="673">
        <f t="shared" si="96"/>
      </c>
      <c r="O15" s="682">
        <f t="shared" si="132"/>
      </c>
      <c r="P15" s="682">
        <f t="shared" si="1"/>
      </c>
      <c r="Q15" s="683">
        <f t="shared" si="36"/>
      </c>
      <c r="R15" s="676">
        <v>0.0215</v>
      </c>
      <c r="S15" s="684">
        <v>38</v>
      </c>
      <c r="T15" s="685">
        <f t="shared" si="72"/>
      </c>
      <c r="U15" s="683">
        <v>4056</v>
      </c>
      <c r="V15" s="683">
        <v>397</v>
      </c>
      <c r="W15" s="684">
        <v>24</v>
      </c>
      <c r="X15" s="683">
        <v>669</v>
      </c>
      <c r="Y15" s="683">
        <v>55</v>
      </c>
      <c r="Z15" s="683">
        <v>3</v>
      </c>
      <c r="AA15" s="683">
        <v>1</v>
      </c>
      <c r="AB15" s="683">
        <v>1</v>
      </c>
      <c r="AC15" s="678">
        <f t="shared" si="108"/>
      </c>
      <c r="AD15" s="680" t="s">
        <v>478</v>
      </c>
      <c r="AE15" s="680" t="s">
        <v>479</v>
      </c>
      <c r="AF15" s="677">
        <v>12</v>
      </c>
    </row>
    <row r="16">
      <c r="A16" s="666"/>
      <c r="B16" s="686" t="s">
        <v>474</v>
      </c>
      <c r="C16" s="686"/>
      <c r="D16" s="687">
        <f>SUM(D11:D15)</f>
      </c>
      <c r="E16" s="688">
        <f>SUM(E11:E15)</f>
      </c>
      <c r="F16" s="688"/>
      <c r="G16" s="688">
        <f>SUM(G11:G15)</f>
      </c>
      <c r="H16" s="689">
        <f t="shared" si="48"/>
      </c>
      <c r="I16" s="689">
        <f t="shared" si="84"/>
      </c>
      <c r="J16" s="689"/>
      <c r="K16" s="689">
        <f t="shared" si="120"/>
      </c>
      <c r="L16" s="689">
        <f t="shared" si="24"/>
      </c>
      <c r="M16" s="690">
        <f t="shared" si="60"/>
      </c>
      <c r="N16" s="690">
        <f t="shared" si="96"/>
      </c>
      <c r="O16" s="690">
        <f t="shared" si="132"/>
      </c>
      <c r="P16" s="690">
        <f t="shared" si="1"/>
      </c>
      <c r="Q16" s="691">
        <f t="shared" si="36"/>
      </c>
      <c r="R16" s="690">
        <f>AVERAGE(R11:R15)</f>
      </c>
      <c r="S16" s="687">
        <f>AVERAGE(S11:S15)</f>
      </c>
      <c r="T16" s="689">
        <f t="shared" si="72"/>
      </c>
      <c r="U16" s="691">
        <f>SUM(U11:U15)</f>
      </c>
      <c r="V16" s="691">
        <f>SUM(V11:V15)</f>
      </c>
      <c r="W16" s="691">
        <f>SUM(W11:W15)</f>
      </c>
      <c r="X16" s="691">
        <f>SUM(X11:X15)</f>
      </c>
      <c r="Y16" s="691">
        <f>SUM(Y11:Y15)</f>
      </c>
      <c r="Z16" s="691">
        <f>SUM(Z11:Z15)</f>
      </c>
      <c r="AA16" s="691">
        <f>SUM(AA11:AA15)</f>
      </c>
      <c r="AB16" s="691">
        <f>SUM(AB11:AB15)</f>
      </c>
      <c r="AC16" s="692">
        <f t="shared" si="108"/>
      </c>
      <c r="AD16" s="693"/>
      <c r="AE16" s="693"/>
      <c r="AF16" s="694">
        <f>SUM(AF11:AF15)</f>
      </c>
    </row>
    <row r="17">
      <c r="A17" s="666"/>
      <c r="B17" s="695" t="s">
        <v>475</v>
      </c>
      <c r="C17" s="695"/>
      <c r="D17" s="696">
        <f>D16</f>
      </c>
      <c r="E17" s="697">
        <f>E16</f>
      </c>
      <c r="F17" s="697"/>
      <c r="G17" s="696">
        <f>G16</f>
      </c>
      <c r="H17" s="698">
        <f t="shared" si="48"/>
      </c>
      <c r="I17" s="698">
        <f t="shared" si="84"/>
      </c>
      <c r="J17" s="698"/>
      <c r="K17" s="698">
        <f t="shared" si="120"/>
      </c>
      <c r="L17" s="698">
        <f t="shared" si="24"/>
      </c>
      <c r="M17" s="699">
        <f t="shared" si="60"/>
      </c>
      <c r="N17" s="699">
        <f t="shared" si="96"/>
      </c>
      <c r="O17" s="699">
        <f t="shared" si="132"/>
      </c>
      <c r="P17" s="699">
        <f t="shared" si="1"/>
      </c>
      <c r="Q17" s="700">
        <f t="shared" si="36"/>
      </c>
      <c r="R17" s="701">
        <f>R16</f>
      </c>
      <c r="S17" s="702">
        <f>S16</f>
      </c>
      <c r="T17" s="696">
        <f>T16</f>
      </c>
      <c r="U17" s="700">
        <f>U16</f>
      </c>
      <c r="V17" s="700">
        <f>V16</f>
      </c>
      <c r="W17" s="700">
        <f>W16</f>
      </c>
      <c r="X17" s="700">
        <f>X16</f>
      </c>
      <c r="Y17" s="700">
        <f>Y16</f>
      </c>
      <c r="Z17" s="700">
        <f>Z16</f>
      </c>
      <c r="AA17" s="700">
        <f>AA16</f>
      </c>
      <c r="AB17" s="700">
        <f>AB16</f>
      </c>
      <c r="AC17" s="703">
        <f>AC16</f>
      </c>
      <c r="AD17" s="704"/>
      <c r="AE17" s="704"/>
      <c r="AF17" s="700">
        <f>AF16</f>
      </c>
    </row>
    <row r="18">
      <c r="A18" s="651" t="s">
        <v>433</v>
      </c>
      <c r="B18" s="651" t="s">
        <v>434</v>
      </c>
      <c r="C18" s="651"/>
      <c r="D18" s="652" t="s">
        <v>435</v>
      </c>
      <c r="E18" s="653"/>
      <c r="F18" s="653"/>
      <c r="G18" s="652"/>
      <c r="H18" s="652"/>
      <c r="I18" s="652"/>
      <c r="J18" s="652"/>
      <c r="K18" s="652"/>
      <c r="L18" s="654" t="s">
        <v>436</v>
      </c>
      <c r="M18" s="654"/>
      <c r="N18" s="654"/>
      <c r="O18" s="654"/>
      <c r="P18" s="654"/>
      <c r="Q18" s="654"/>
      <c r="R18" s="654"/>
      <c r="S18" s="654"/>
      <c r="T18" s="654"/>
      <c r="U18" s="654"/>
      <c r="V18" s="654"/>
      <c r="W18" s="654"/>
      <c r="X18" s="654"/>
      <c r="Y18" s="654"/>
      <c r="Z18" s="654"/>
      <c r="AA18" s="654"/>
      <c r="AB18" s="654"/>
      <c r="AC18" s="654"/>
      <c r="AD18" s="654"/>
      <c r="AE18" s="654"/>
      <c r="AF18" s="655"/>
    </row>
    <row r="19">
      <c r="A19" s="651"/>
      <c r="B19" s="656" t="s">
        <v>437</v>
      </c>
      <c r="C19" s="656" t="s">
        <v>438</v>
      </c>
      <c r="D19" s="657" t="s">
        <v>439</v>
      </c>
      <c r="E19" s="658" t="s">
        <v>440</v>
      </c>
      <c r="F19" s="658"/>
      <c r="G19" s="657" t="s">
        <v>441</v>
      </c>
      <c r="H19" s="659" t="s">
        <v>442</v>
      </c>
      <c r="I19" s="659" t="s">
        <v>443</v>
      </c>
      <c r="J19" s="659"/>
      <c r="K19" s="659" t="s">
        <v>444</v>
      </c>
      <c r="L19" s="660" t="s">
        <v>445</v>
      </c>
      <c r="M19" s="661" t="s">
        <v>446</v>
      </c>
      <c r="N19" s="661" t="s">
        <v>447</v>
      </c>
      <c r="O19" s="661" t="s">
        <v>448</v>
      </c>
      <c r="P19" s="661" t="s">
        <v>449</v>
      </c>
      <c r="Q19" s="662" t="s">
        <v>450</v>
      </c>
      <c r="R19" s="661" t="s">
        <v>451</v>
      </c>
      <c r="S19" s="662" t="s">
        <v>452</v>
      </c>
      <c r="T19" s="663" t="s">
        <v>453</v>
      </c>
      <c r="U19" s="664" t="s">
        <v>454</v>
      </c>
      <c r="V19" s="664" t="s">
        <v>455</v>
      </c>
      <c r="W19" s="664" t="s">
        <v>456</v>
      </c>
      <c r="X19" s="664" t="s">
        <v>457</v>
      </c>
      <c r="Y19" s="664" t="s">
        <v>458</v>
      </c>
      <c r="Z19" s="664" t="s">
        <v>459</v>
      </c>
      <c r="AA19" s="664" t="s">
        <v>460</v>
      </c>
      <c r="AB19" s="664" t="s">
        <v>461</v>
      </c>
      <c r="AC19" s="654" t="s">
        <v>462</v>
      </c>
      <c r="AD19" s="665" t="s">
        <v>463</v>
      </c>
      <c r="AE19" s="665" t="s">
        <v>464</v>
      </c>
      <c r="AF19" s="655" t="s">
        <v>465</v>
      </c>
    </row>
    <row r="20">
      <c r="A20" s="666" t="s">
        <v>483</v>
      </c>
      <c r="B20" s="667" t="s">
        <v>467</v>
      </c>
      <c r="C20" s="668" t="s">
        <v>484</v>
      </c>
      <c r="D20" s="669">
        <v>1158.07</v>
      </c>
      <c r="E20" s="670">
        <v>1</v>
      </c>
      <c r="F20" s="670"/>
      <c r="G20" s="671">
        <f t="shared" ref="G20:G23" si="21">E20*700</f>
      </c>
      <c r="H20" s="672">
        <f t="shared" ref="H20:H25" si="49">G20/D20</f>
      </c>
      <c r="I20" s="672">
        <f t="shared" ref="I20:I25" si="85">D20/E20</f>
      </c>
      <c r="J20" s="672"/>
      <c r="K20" s="672">
        <f t="shared" ref="K20:K25" si="121">G20/E20</f>
      </c>
      <c r="L20" s="672">
        <f t="shared" ref="L20:L25" si="25">D20/V20</f>
      </c>
      <c r="M20" s="673">
        <f t="shared" ref="M20:M25" si="61">Q20/U20*1</f>
      </c>
      <c r="N20" s="674">
        <f t="shared" ref="N20:N25" si="97">V20/U20</f>
      </c>
      <c r="O20" s="673">
        <f t="shared" ref="O20:O25" si="133">X20/U20</f>
      </c>
      <c r="P20" s="673">
        <f t="shared" ref="P20:P25" si="2">Y20/X20</f>
      </c>
      <c r="Q20" s="675">
        <f t="shared" ref="Q20:Q25" si="37">W20/R20</f>
      </c>
      <c r="R20" s="676">
        <v>0.0171</v>
      </c>
      <c r="S20" s="677">
        <v>42</v>
      </c>
      <c r="T20" s="672">
        <f t="shared" ref="T20:T24" si="73">(D20/U20)*1000</f>
      </c>
      <c r="U20" s="675">
        <v>6094</v>
      </c>
      <c r="V20" s="675">
        <v>338</v>
      </c>
      <c r="W20" s="675">
        <v>35</v>
      </c>
      <c r="X20" s="675">
        <v>561</v>
      </c>
      <c r="Y20" s="675">
        <v>42</v>
      </c>
      <c r="Z20" s="675">
        <v>9</v>
      </c>
      <c r="AA20" s="675">
        <v>0</v>
      </c>
      <c r="AB20" s="675">
        <v>9</v>
      </c>
      <c r="AC20" s="678">
        <f t="shared" ref="AC20:AC24" si="109">AF20*1000/D20</f>
      </c>
      <c r="AD20" s="680" t="s">
        <v>478</v>
      </c>
      <c r="AE20" s="680" t="s">
        <v>479</v>
      </c>
      <c r="AF20" s="677">
        <v>19</v>
      </c>
    </row>
    <row r="21">
      <c r="A21" s="666"/>
      <c r="B21" s="667" t="s">
        <v>467</v>
      </c>
      <c r="C21" s="668" t="s">
        <v>482</v>
      </c>
      <c r="D21" s="669">
        <v>2599.77</v>
      </c>
      <c r="E21" s="670">
        <v>4</v>
      </c>
      <c r="F21" s="670"/>
      <c r="G21" s="671">
        <f t="shared" si="21"/>
      </c>
      <c r="H21" s="672">
        <f t="shared" si="49"/>
      </c>
      <c r="I21" s="672">
        <f t="shared" si="85"/>
      </c>
      <c r="J21" s="672"/>
      <c r="K21" s="672">
        <f t="shared" si="121"/>
      </c>
      <c r="L21" s="672">
        <f t="shared" si="25"/>
      </c>
      <c r="M21" s="673">
        <f t="shared" si="61"/>
      </c>
      <c r="N21" s="673">
        <f t="shared" si="97"/>
      </c>
      <c r="O21" s="682">
        <f t="shared" si="133"/>
      </c>
      <c r="P21" s="682">
        <f t="shared" si="2"/>
      </c>
      <c r="Q21" s="683">
        <f t="shared" si="37"/>
      </c>
      <c r="R21" s="676">
        <v>0.0207</v>
      </c>
      <c r="S21" s="684">
        <v>39</v>
      </c>
      <c r="T21" s="685">
        <f t="shared" si="73"/>
      </c>
      <c r="U21" s="683">
        <v>13821</v>
      </c>
      <c r="V21" s="683">
        <v>1127</v>
      </c>
      <c r="W21" s="683">
        <v>79</v>
      </c>
      <c r="X21" s="683">
        <v>1525</v>
      </c>
      <c r="Y21" s="683">
        <v>104</v>
      </c>
      <c r="Z21" s="683">
        <v>11</v>
      </c>
      <c r="AA21" s="683">
        <v>1</v>
      </c>
      <c r="AB21" s="683">
        <v>19</v>
      </c>
      <c r="AC21" s="678">
        <f t="shared" si="109"/>
      </c>
      <c r="AD21" s="680" t="s">
        <v>478</v>
      </c>
      <c r="AE21" s="680" t="s">
        <v>479</v>
      </c>
      <c r="AF21" s="677">
        <v>39</v>
      </c>
    </row>
    <row r="22">
      <c r="A22" s="666"/>
      <c r="B22" s="667" t="s">
        <v>467</v>
      </c>
      <c r="C22" s="668" t="s">
        <v>473</v>
      </c>
      <c r="D22" s="671">
        <v>1428.07</v>
      </c>
      <c r="E22" s="670">
        <v>1</v>
      </c>
      <c r="F22" s="670"/>
      <c r="G22" s="671">
        <f t="shared" si="21"/>
      </c>
      <c r="H22" s="672">
        <f t="shared" si="49"/>
      </c>
      <c r="I22" s="672">
        <f t="shared" si="85"/>
      </c>
      <c r="J22" s="672"/>
      <c r="K22" s="672">
        <f t="shared" si="121"/>
      </c>
      <c r="L22" s="672">
        <f t="shared" si="25"/>
      </c>
      <c r="M22" s="673">
        <f t="shared" si="61"/>
      </c>
      <c r="N22" s="673">
        <f t="shared" si="97"/>
      </c>
      <c r="O22" s="682">
        <f t="shared" si="133"/>
      </c>
      <c r="P22" s="682">
        <f t="shared" si="2"/>
      </c>
      <c r="Q22" s="683">
        <f t="shared" si="37"/>
      </c>
      <c r="R22" s="676">
        <v>0.0143</v>
      </c>
      <c r="S22" s="684">
        <v>39</v>
      </c>
      <c r="T22" s="685">
        <f t="shared" si="73"/>
      </c>
      <c r="U22" s="683">
        <v>7957</v>
      </c>
      <c r="V22" s="683">
        <v>610</v>
      </c>
      <c r="W22" s="683">
        <v>30</v>
      </c>
      <c r="X22" s="683">
        <v>834</v>
      </c>
      <c r="Y22" s="683">
        <v>54</v>
      </c>
      <c r="Z22" s="683">
        <v>4</v>
      </c>
      <c r="AA22" s="683">
        <v>0</v>
      </c>
      <c r="AB22" s="683">
        <v>7</v>
      </c>
      <c r="AC22" s="678">
        <f t="shared" si="109"/>
      </c>
      <c r="AD22" s="680" t="s">
        <v>478</v>
      </c>
      <c r="AE22" s="680" t="s">
        <v>479</v>
      </c>
      <c r="AF22" s="677">
        <v>4</v>
      </c>
    </row>
    <row r="23">
      <c r="A23" s="666"/>
      <c r="B23" s="667" t="s">
        <v>467</v>
      </c>
      <c r="C23" s="668" t="s">
        <v>485</v>
      </c>
      <c r="D23" s="669">
        <v>1.91</v>
      </c>
      <c r="E23" s="670">
        <v>2</v>
      </c>
      <c r="F23" s="670"/>
      <c r="G23" s="671">
        <f t="shared" si="21"/>
      </c>
      <c r="H23" s="672">
        <f t="shared" si="49"/>
      </c>
      <c r="I23" s="672">
        <f t="shared" si="85"/>
      </c>
      <c r="J23" s="672"/>
      <c r="K23" s="672">
        <f t="shared" si="121"/>
      </c>
      <c r="L23" s="672">
        <f t="shared" si="25"/>
      </c>
      <c r="M23" s="673">
        <f t="shared" si="61"/>
      </c>
      <c r="N23" s="673">
        <f t="shared" si="97"/>
      </c>
      <c r="O23" s="682">
        <f t="shared" si="133"/>
      </c>
      <c r="P23" s="682">
        <f t="shared" si="2"/>
      </c>
      <c r="Q23" s="683">
        <f t="shared" si="37"/>
      </c>
      <c r="R23" s="676">
        <v>0</v>
      </c>
      <c r="S23" s="684">
        <v>40</v>
      </c>
      <c r="T23" s="685">
        <f t="shared" si="73"/>
      </c>
      <c r="U23" s="683">
        <v>227</v>
      </c>
      <c r="V23" s="683">
        <v>6</v>
      </c>
      <c r="W23" s="684">
        <v>0</v>
      </c>
      <c r="X23" s="683">
        <v>16</v>
      </c>
      <c r="Y23" s="683">
        <v>15</v>
      </c>
      <c r="Z23" s="683">
        <v>1</v>
      </c>
      <c r="AA23" s="683">
        <v>0</v>
      </c>
      <c r="AB23" s="683">
        <v>1</v>
      </c>
      <c r="AC23" s="678">
        <f t="shared" si="109"/>
      </c>
      <c r="AD23" s="680" t="s">
        <v>478</v>
      </c>
      <c r="AE23" s="680" t="s">
        <v>479</v>
      </c>
      <c r="AF23" s="677">
        <v>0</v>
      </c>
    </row>
    <row r="24">
      <c r="A24" s="666"/>
      <c r="B24" s="686" t="s">
        <v>474</v>
      </c>
      <c r="C24" s="686"/>
      <c r="D24" s="687">
        <f>SUM(D20:D23)</f>
      </c>
      <c r="E24" s="688">
        <f>SUM(E20:E23)</f>
      </c>
      <c r="F24" s="688"/>
      <c r="G24" s="688">
        <f>SUM(G20:G23)</f>
      </c>
      <c r="H24" s="705">
        <f t="shared" si="49"/>
      </c>
      <c r="I24" s="705">
        <f t="shared" si="85"/>
      </c>
      <c r="J24" s="705"/>
      <c r="K24" s="705">
        <f t="shared" si="121"/>
      </c>
      <c r="L24" s="689">
        <f t="shared" si="25"/>
      </c>
      <c r="M24" s="690">
        <f t="shared" si="61"/>
      </c>
      <c r="N24" s="690">
        <f t="shared" si="97"/>
      </c>
      <c r="O24" s="690">
        <f t="shared" si="133"/>
      </c>
      <c r="P24" s="690">
        <f t="shared" si="2"/>
      </c>
      <c r="Q24" s="691">
        <f t="shared" si="37"/>
      </c>
      <c r="R24" s="690">
        <f>AVERAGE(R20:R23)</f>
      </c>
      <c r="S24" s="687">
        <f>AVERAGE(S20:S23)</f>
      </c>
      <c r="T24" s="689">
        <f t="shared" si="73"/>
      </c>
      <c r="U24" s="691">
        <f>SUM(U20:U23)</f>
      </c>
      <c r="V24" s="691">
        <f>SUM(V20:V23)</f>
      </c>
      <c r="W24" s="691">
        <f>SUM(W20:W23)</f>
      </c>
      <c r="X24" s="691">
        <f>SUM(X20:X23)</f>
      </c>
      <c r="Y24" s="691">
        <f>SUM(Y20:Y23)</f>
      </c>
      <c r="Z24" s="691">
        <f>SUM(Z20:Z23)</f>
      </c>
      <c r="AA24" s="691">
        <f>SUM(AA20:AA23)</f>
      </c>
      <c r="AB24" s="691">
        <f>SUM(AB20:AB23)</f>
      </c>
      <c r="AC24" s="692">
        <f t="shared" si="109"/>
      </c>
      <c r="AD24" s="693"/>
      <c r="AE24" s="693"/>
      <c r="AF24" s="694">
        <f>SUM(AF20:AF23)</f>
      </c>
    </row>
    <row r="25">
      <c r="A25" s="666"/>
      <c r="B25" s="695" t="s">
        <v>475</v>
      </c>
      <c r="C25" s="695"/>
      <c r="D25" s="696">
        <f>D24</f>
      </c>
      <c r="E25" s="697">
        <f>E24</f>
      </c>
      <c r="F25" s="697"/>
      <c r="G25" s="696">
        <f>G24</f>
      </c>
      <c r="H25" s="706">
        <f t="shared" si="49"/>
      </c>
      <c r="I25" s="706">
        <f t="shared" si="85"/>
      </c>
      <c r="J25" s="706"/>
      <c r="K25" s="706">
        <f t="shared" si="121"/>
      </c>
      <c r="L25" s="698">
        <f t="shared" si="25"/>
      </c>
      <c r="M25" s="699">
        <f t="shared" si="61"/>
      </c>
      <c r="N25" s="699">
        <f t="shared" si="97"/>
      </c>
      <c r="O25" s="699">
        <f t="shared" si="133"/>
      </c>
      <c r="P25" s="699">
        <f t="shared" si="2"/>
      </c>
      <c r="Q25" s="698">
        <f t="shared" si="37"/>
      </c>
      <c r="R25" s="699">
        <f>R24</f>
      </c>
      <c r="S25" s="698">
        <f>S24</f>
      </c>
      <c r="T25" s="696">
        <f>T24</f>
      </c>
      <c r="U25" s="700">
        <f>U24</f>
      </c>
      <c r="V25" s="700">
        <f>V24</f>
      </c>
      <c r="W25" s="700">
        <f>W24</f>
      </c>
      <c r="X25" s="700">
        <f>X24</f>
      </c>
      <c r="Y25" s="700">
        <f>Y24</f>
      </c>
      <c r="Z25" s="700">
        <f>Z24</f>
      </c>
      <c r="AA25" s="700">
        <f>AA24</f>
      </c>
      <c r="AB25" s="700">
        <f>AB24</f>
      </c>
      <c r="AC25" s="703">
        <f>AC24</f>
      </c>
      <c r="AD25" s="704"/>
      <c r="AE25" s="704"/>
      <c r="AF25" s="700">
        <f>AF24</f>
      </c>
    </row>
    <row r="26">
      <c r="A26" s="651" t="s">
        <v>433</v>
      </c>
      <c r="B26" s="651" t="s">
        <v>434</v>
      </c>
      <c r="C26" s="651"/>
      <c r="D26" s="652" t="s">
        <v>435</v>
      </c>
      <c r="E26" s="652"/>
      <c r="F26" s="652"/>
      <c r="G26" s="652"/>
      <c r="H26" s="652"/>
      <c r="I26" s="652"/>
      <c r="J26" s="652"/>
      <c r="K26" s="652"/>
      <c r="L26" s="654" t="s">
        <v>436</v>
      </c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54"/>
      <c r="AB26" s="654"/>
      <c r="AC26" s="654"/>
      <c r="AD26" s="654"/>
      <c r="AE26" s="654"/>
      <c r="AF26" s="655"/>
    </row>
    <row r="27">
      <c r="A27" s="651"/>
      <c r="B27" s="656" t="s">
        <v>437</v>
      </c>
      <c r="C27" s="656" t="s">
        <v>438</v>
      </c>
      <c r="D27" s="657" t="s">
        <v>439</v>
      </c>
      <c r="E27" s="658" t="s">
        <v>440</v>
      </c>
      <c r="F27" s="658"/>
      <c r="G27" s="657" t="s">
        <v>441</v>
      </c>
      <c r="H27" s="659" t="s">
        <v>442</v>
      </c>
      <c r="I27" s="659" t="s">
        <v>443</v>
      </c>
      <c r="J27" s="659"/>
      <c r="K27" s="659" t="s">
        <v>444</v>
      </c>
      <c r="L27" s="660" t="s">
        <v>445</v>
      </c>
      <c r="M27" s="661" t="s">
        <v>446</v>
      </c>
      <c r="N27" s="661" t="s">
        <v>447</v>
      </c>
      <c r="O27" s="661" t="s">
        <v>448</v>
      </c>
      <c r="P27" s="661" t="s">
        <v>449</v>
      </c>
      <c r="Q27" s="662" t="s">
        <v>450</v>
      </c>
      <c r="R27" s="661" t="s">
        <v>451</v>
      </c>
      <c r="S27" s="662" t="s">
        <v>452</v>
      </c>
      <c r="T27" s="663" t="s">
        <v>453</v>
      </c>
      <c r="U27" s="664" t="s">
        <v>454</v>
      </c>
      <c r="V27" s="664" t="s">
        <v>455</v>
      </c>
      <c r="W27" s="664" t="s">
        <v>456</v>
      </c>
      <c r="X27" s="664" t="s">
        <v>457</v>
      </c>
      <c r="Y27" s="664" t="s">
        <v>458</v>
      </c>
      <c r="Z27" s="664" t="s">
        <v>459</v>
      </c>
      <c r="AA27" s="664" t="s">
        <v>460</v>
      </c>
      <c r="AB27" s="664" t="s">
        <v>461</v>
      </c>
      <c r="AC27" s="654" t="s">
        <v>462</v>
      </c>
      <c r="AD27" s="665" t="s">
        <v>463</v>
      </c>
      <c r="AE27" s="665" t="s">
        <v>464</v>
      </c>
      <c r="AF27" s="655" t="s">
        <v>465</v>
      </c>
    </row>
    <row r="28">
      <c r="A28" s="666" t="s">
        <v>486</v>
      </c>
      <c r="B28" s="667" t="s">
        <v>467</v>
      </c>
      <c r="C28" s="668" t="s">
        <v>487</v>
      </c>
      <c r="D28" s="669">
        <v>1897.41</v>
      </c>
      <c r="E28" s="670">
        <v>1</v>
      </c>
      <c r="F28" s="670"/>
      <c r="G28" s="671">
        <f t="shared" ref="G28:G31" si="22">E28*700</f>
      </c>
      <c r="H28" s="672">
        <f t="shared" ref="H28:H33" si="50">G28/D28</f>
      </c>
      <c r="I28" s="672">
        <f t="shared" ref="I28:I33" si="86">D28/E28</f>
      </c>
      <c r="J28" s="672"/>
      <c r="K28" s="672">
        <f t="shared" ref="K28:K33" si="122">G28/E28</f>
      </c>
      <c r="L28" s="672">
        <f t="shared" ref="L28:L33" si="26">D28/V28</f>
      </c>
      <c r="M28" s="673">
        <f t="shared" ref="M28:M33" si="62">Q28/U28*1</f>
      </c>
      <c r="N28" s="674">
        <f t="shared" ref="N28:N33" si="98">V28/U28</f>
      </c>
      <c r="O28" s="673">
        <f t="shared" ref="O28:O33" si="134">X28/U28</f>
      </c>
      <c r="P28" s="673">
        <f t="shared" ref="P28:P33" si="3">Y28/X28</f>
      </c>
      <c r="Q28" s="675">
        <f t="shared" ref="Q28:Q33" si="38">W28/R28</f>
      </c>
      <c r="R28" s="676">
        <v>0.0138</v>
      </c>
      <c r="S28" s="677">
        <v>31</v>
      </c>
      <c r="T28" s="672">
        <f t="shared" ref="T28:T32" si="74">(D28/U28)*1000</f>
      </c>
      <c r="U28" s="675">
        <v>9044</v>
      </c>
      <c r="V28" s="675">
        <v>660</v>
      </c>
      <c r="W28" s="675">
        <v>43</v>
      </c>
      <c r="X28" s="675">
        <v>1062</v>
      </c>
      <c r="Y28" s="675">
        <v>76</v>
      </c>
      <c r="Z28" s="675">
        <v>9</v>
      </c>
      <c r="AA28" s="675">
        <v>2</v>
      </c>
      <c r="AB28" s="675">
        <v>6</v>
      </c>
      <c r="AC28" s="678">
        <f t="shared" ref="AC28:AC32" si="110">AF28*1000/D28</f>
      </c>
      <c r="AD28" s="680" t="s">
        <v>478</v>
      </c>
      <c r="AE28" s="680" t="s">
        <v>479</v>
      </c>
      <c r="AF28" s="677">
        <v>34</v>
      </c>
    </row>
    <row r="29">
      <c r="A29" s="666"/>
      <c r="B29" s="667" t="s">
        <v>467</v>
      </c>
      <c r="C29" s="668" t="s">
        <v>481</v>
      </c>
      <c r="D29" s="669">
        <v>2711.14</v>
      </c>
      <c r="E29" s="670">
        <v>4</v>
      </c>
      <c r="F29" s="670"/>
      <c r="G29" s="671">
        <f t="shared" si="22"/>
      </c>
      <c r="H29" s="672">
        <f t="shared" si="50"/>
      </c>
      <c r="I29" s="672">
        <f t="shared" si="86"/>
      </c>
      <c r="J29" s="672"/>
      <c r="K29" s="672">
        <f t="shared" si="122"/>
      </c>
      <c r="L29" s="672">
        <f t="shared" si="26"/>
      </c>
      <c r="M29" s="673">
        <f t="shared" si="62"/>
      </c>
      <c r="N29" s="673">
        <f t="shared" si="98"/>
      </c>
      <c r="O29" s="682">
        <f t="shared" si="134"/>
      </c>
      <c r="P29" s="682">
        <f t="shared" si="3"/>
      </c>
      <c r="Q29" s="683">
        <f t="shared" si="38"/>
      </c>
      <c r="R29" s="676">
        <v>0.022</v>
      </c>
      <c r="S29" s="684">
        <v>41</v>
      </c>
      <c r="T29" s="685">
        <f t="shared" si="74"/>
      </c>
      <c r="U29" s="683">
        <v>15564</v>
      </c>
      <c r="V29" s="683">
        <v>1224</v>
      </c>
      <c r="W29" s="683">
        <v>106</v>
      </c>
      <c r="X29" s="683">
        <v>1699</v>
      </c>
      <c r="Y29" s="683">
        <v>140</v>
      </c>
      <c r="Z29" s="683">
        <v>15</v>
      </c>
      <c r="AA29" s="683">
        <v>2</v>
      </c>
      <c r="AB29" s="683">
        <v>16</v>
      </c>
      <c r="AC29" s="678">
        <f t="shared" si="110"/>
      </c>
      <c r="AD29" s="680" t="s">
        <v>478</v>
      </c>
      <c r="AE29" s="680" t="s">
        <v>479</v>
      </c>
      <c r="AF29" s="677">
        <v>29</v>
      </c>
    </row>
    <row r="30">
      <c r="A30" s="666"/>
      <c r="B30" s="667" t="s">
        <v>467</v>
      </c>
      <c r="C30" s="668" t="s">
        <v>482</v>
      </c>
      <c r="D30" s="671">
        <v>1981.52</v>
      </c>
      <c r="E30" s="670">
        <v>4</v>
      </c>
      <c r="F30" s="670"/>
      <c r="G30" s="671">
        <f t="shared" si="22"/>
      </c>
      <c r="H30" s="672">
        <f t="shared" si="50"/>
      </c>
      <c r="I30" s="672">
        <f t="shared" si="86"/>
      </c>
      <c r="J30" s="672"/>
      <c r="K30" s="672">
        <f t="shared" si="122"/>
      </c>
      <c r="L30" s="672">
        <f t="shared" si="26"/>
      </c>
      <c r="M30" s="673">
        <f t="shared" si="62"/>
      </c>
      <c r="N30" s="673">
        <f t="shared" si="98"/>
      </c>
      <c r="O30" s="682">
        <f t="shared" si="134"/>
      </c>
      <c r="P30" s="682">
        <f t="shared" si="3"/>
      </c>
      <c r="Q30" s="683">
        <f t="shared" si="38"/>
      </c>
      <c r="R30" s="676">
        <v>0.023</v>
      </c>
      <c r="S30" s="684">
        <v>40</v>
      </c>
      <c r="T30" s="685">
        <f t="shared" si="74"/>
      </c>
      <c r="U30" s="683">
        <v>8578</v>
      </c>
      <c r="V30" s="683">
        <v>679</v>
      </c>
      <c r="W30" s="683">
        <v>51</v>
      </c>
      <c r="X30" s="683">
        <v>1036</v>
      </c>
      <c r="Y30" s="683">
        <v>79</v>
      </c>
      <c r="Z30" s="683">
        <v>13</v>
      </c>
      <c r="AA30" s="683">
        <v>1</v>
      </c>
      <c r="AB30" s="683">
        <v>6</v>
      </c>
      <c r="AC30" s="678">
        <f t="shared" si="110"/>
      </c>
      <c r="AD30" s="680" t="s">
        <v>478</v>
      </c>
      <c r="AE30" s="680" t="s">
        <v>479</v>
      </c>
      <c r="AF30" s="677">
        <v>30</v>
      </c>
    </row>
    <row r="31">
      <c r="A31" s="666"/>
      <c r="B31" s="667" t="s">
        <v>467</v>
      </c>
      <c r="C31" s="668" t="s">
        <v>473</v>
      </c>
      <c r="D31" s="669">
        <v>2454.7</v>
      </c>
      <c r="E31" s="670">
        <v>2</v>
      </c>
      <c r="F31" s="670"/>
      <c r="G31" s="671">
        <f t="shared" si="22"/>
      </c>
      <c r="H31" s="672">
        <f t="shared" si="50"/>
      </c>
      <c r="I31" s="672">
        <f t="shared" si="86"/>
      </c>
      <c r="J31" s="672"/>
      <c r="K31" s="672">
        <f t="shared" si="122"/>
      </c>
      <c r="L31" s="672">
        <f t="shared" si="26"/>
      </c>
      <c r="M31" s="673">
        <f t="shared" si="62"/>
      </c>
      <c r="N31" s="673">
        <f t="shared" si="98"/>
      </c>
      <c r="O31" s="682">
        <f t="shared" si="134"/>
      </c>
      <c r="P31" s="682">
        <f t="shared" si="3"/>
      </c>
      <c r="Q31" s="683">
        <f t="shared" si="38"/>
      </c>
      <c r="R31" s="676">
        <v>0.0227</v>
      </c>
      <c r="S31" s="684">
        <v>39</v>
      </c>
      <c r="T31" s="685">
        <f t="shared" si="74"/>
      </c>
      <c r="U31" s="683">
        <v>11432</v>
      </c>
      <c r="V31" s="683">
        <v>1009</v>
      </c>
      <c r="W31" s="684">
        <v>66</v>
      </c>
      <c r="X31" s="683">
        <v>1589</v>
      </c>
      <c r="Y31" s="683">
        <v>45</v>
      </c>
      <c r="Z31" s="683">
        <v>10</v>
      </c>
      <c r="AA31" s="683">
        <v>0</v>
      </c>
      <c r="AB31" s="683">
        <v>14</v>
      </c>
      <c r="AC31" s="678">
        <f t="shared" si="110"/>
      </c>
      <c r="AD31" s="680" t="s">
        <v>478</v>
      </c>
      <c r="AE31" s="680" t="s">
        <v>479</v>
      </c>
      <c r="AF31" s="677">
        <v>19</v>
      </c>
    </row>
    <row r="32">
      <c r="A32" s="666"/>
      <c r="B32" s="686" t="s">
        <v>474</v>
      </c>
      <c r="C32" s="686"/>
      <c r="D32" s="687">
        <f>SUM(D28:D31)</f>
      </c>
      <c r="E32" s="688">
        <f>SUM(E28:E31)</f>
      </c>
      <c r="F32" s="688"/>
      <c r="G32" s="688">
        <f>SUM(G28:G31)</f>
      </c>
      <c r="H32" s="705">
        <f t="shared" si="50"/>
      </c>
      <c r="I32" s="705">
        <f t="shared" si="86"/>
      </c>
      <c r="J32" s="705"/>
      <c r="K32" s="705">
        <f t="shared" si="122"/>
      </c>
      <c r="L32" s="689">
        <f t="shared" si="26"/>
      </c>
      <c r="M32" s="690">
        <f t="shared" si="62"/>
      </c>
      <c r="N32" s="690">
        <f t="shared" si="98"/>
      </c>
      <c r="O32" s="690">
        <f t="shared" si="134"/>
      </c>
      <c r="P32" s="690">
        <f t="shared" si="3"/>
      </c>
      <c r="Q32" s="691">
        <f t="shared" si="38"/>
      </c>
      <c r="R32" s="690">
        <f>AVERAGE(R28:R31)</f>
      </c>
      <c r="S32" s="687">
        <f>AVERAGE(S28:S31)</f>
      </c>
      <c r="T32" s="689">
        <f t="shared" si="74"/>
      </c>
      <c r="U32" s="691">
        <f>SUM(U28:U31)</f>
      </c>
      <c r="V32" s="691">
        <f>SUM(V28:V31)</f>
      </c>
      <c r="W32" s="691">
        <f>SUM(W28:W31)</f>
      </c>
      <c r="X32" s="691">
        <f>SUM(X28:X31)</f>
      </c>
      <c r="Y32" s="691">
        <f>SUM(Y28:Y31)</f>
      </c>
      <c r="Z32" s="691">
        <f>SUM(Z28:Z31)</f>
      </c>
      <c r="AA32" s="691">
        <f>SUM(AA28:AA31)</f>
      </c>
      <c r="AB32" s="691">
        <f>SUM(AB28:AB31)</f>
      </c>
      <c r="AC32" s="692">
        <f t="shared" si="110"/>
      </c>
      <c r="AD32" s="693"/>
      <c r="AE32" s="693"/>
      <c r="AF32" s="694">
        <f>SUM(AF28:AF31)</f>
      </c>
    </row>
    <row r="33">
      <c r="A33" s="666"/>
      <c r="B33" s="695" t="s">
        <v>475</v>
      </c>
      <c r="C33" s="695"/>
      <c r="D33" s="696">
        <f>D32</f>
      </c>
      <c r="E33" s="697">
        <f>E32</f>
      </c>
      <c r="F33" s="697"/>
      <c r="G33" s="696">
        <f>G32</f>
      </c>
      <c r="H33" s="706">
        <f t="shared" si="50"/>
      </c>
      <c r="I33" s="706">
        <f t="shared" si="86"/>
      </c>
      <c r="J33" s="706"/>
      <c r="K33" s="706">
        <f t="shared" si="122"/>
      </c>
      <c r="L33" s="698">
        <f t="shared" si="26"/>
      </c>
      <c r="M33" s="699">
        <f t="shared" si="62"/>
      </c>
      <c r="N33" s="699">
        <f t="shared" si="98"/>
      </c>
      <c r="O33" s="699">
        <f t="shared" si="134"/>
      </c>
      <c r="P33" s="699">
        <f t="shared" si="3"/>
      </c>
      <c r="Q33" s="698">
        <f t="shared" si="38"/>
      </c>
      <c r="R33" s="699">
        <f>R32</f>
      </c>
      <c r="S33" s="698">
        <f>S32</f>
      </c>
      <c r="T33" s="696">
        <f>T32</f>
      </c>
      <c r="U33" s="700">
        <f>U32</f>
      </c>
      <c r="V33" s="700">
        <f>V32</f>
      </c>
      <c r="W33" s="700">
        <f>W32</f>
      </c>
      <c r="X33" s="700">
        <f>X32</f>
      </c>
      <c r="Y33" s="700">
        <f>Y32</f>
      </c>
      <c r="Z33" s="700">
        <f>Z32</f>
      </c>
      <c r="AA33" s="700">
        <f>AA32</f>
      </c>
      <c r="AB33" s="700">
        <f>AB32</f>
      </c>
      <c r="AC33" s="703">
        <f>AC32</f>
      </c>
      <c r="AD33" s="704"/>
      <c r="AE33" s="704"/>
      <c r="AF33" s="700">
        <f>AF32</f>
      </c>
    </row>
    <row r="34">
      <c r="A34" s="651" t="s">
        <v>433</v>
      </c>
      <c r="B34" s="651" t="s">
        <v>434</v>
      </c>
      <c r="C34" s="651"/>
      <c r="D34" s="652" t="s">
        <v>435</v>
      </c>
      <c r="E34" s="652"/>
      <c r="F34" s="652"/>
      <c r="G34" s="652"/>
      <c r="H34" s="652"/>
      <c r="I34" s="652"/>
      <c r="J34" s="652"/>
      <c r="K34" s="652"/>
      <c r="L34" s="654" t="s">
        <v>436</v>
      </c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54"/>
      <c r="AB34" s="654"/>
      <c r="AC34" s="654"/>
      <c r="AD34" s="654"/>
      <c r="AE34" s="654"/>
      <c r="AF34" s="655"/>
    </row>
    <row r="35">
      <c r="A35" s="651"/>
      <c r="B35" s="656" t="s">
        <v>437</v>
      </c>
      <c r="C35" s="656" t="s">
        <v>438</v>
      </c>
      <c r="D35" s="657" t="s">
        <v>439</v>
      </c>
      <c r="E35" s="658" t="s">
        <v>440</v>
      </c>
      <c r="F35" s="707" t="s">
        <v>488</v>
      </c>
      <c r="G35" s="657" t="s">
        <v>441</v>
      </c>
      <c r="H35" s="659" t="s">
        <v>442</v>
      </c>
      <c r="I35" s="659" t="s">
        <v>443</v>
      </c>
      <c r="J35" s="708" t="s">
        <v>489</v>
      </c>
      <c r="K35" s="659" t="s">
        <v>444</v>
      </c>
      <c r="L35" s="660" t="s">
        <v>445</v>
      </c>
      <c r="M35" s="661" t="s">
        <v>446</v>
      </c>
      <c r="N35" s="661" t="s">
        <v>447</v>
      </c>
      <c r="O35" s="661" t="s">
        <v>448</v>
      </c>
      <c r="P35" s="661" t="s">
        <v>449</v>
      </c>
      <c r="Q35" s="662" t="s">
        <v>450</v>
      </c>
      <c r="R35" s="661" t="s">
        <v>451</v>
      </c>
      <c r="S35" s="662" t="s">
        <v>452</v>
      </c>
      <c r="T35" s="663" t="s">
        <v>453</v>
      </c>
      <c r="U35" s="664" t="s">
        <v>454</v>
      </c>
      <c r="V35" s="664" t="s">
        <v>455</v>
      </c>
      <c r="W35" s="664" t="s">
        <v>456</v>
      </c>
      <c r="X35" s="664" t="s">
        <v>457</v>
      </c>
      <c r="Y35" s="664" t="s">
        <v>458</v>
      </c>
      <c r="Z35" s="664" t="s">
        <v>459</v>
      </c>
      <c r="AA35" s="664" t="s">
        <v>460</v>
      </c>
      <c r="AB35" s="664" t="s">
        <v>461</v>
      </c>
      <c r="AC35" s="654" t="s">
        <v>462</v>
      </c>
      <c r="AD35" s="665" t="s">
        <v>463</v>
      </c>
      <c r="AE35" s="665" t="s">
        <v>464</v>
      </c>
      <c r="AF35" s="655" t="s">
        <v>465</v>
      </c>
    </row>
    <row r="36">
      <c r="A36" s="666" t="s">
        <v>490</v>
      </c>
      <c r="B36" s="667" t="s">
        <v>467</v>
      </c>
      <c r="C36" s="668" t="s">
        <v>481</v>
      </c>
      <c r="D36" s="669">
        <v>2854.27</v>
      </c>
      <c r="E36" s="670">
        <v>3</v>
      </c>
      <c r="F36" s="670">
        <v>2</v>
      </c>
      <c r="G36" s="671">
        <v>2011.2400000000002</v>
      </c>
      <c r="H36" s="672">
        <f t="shared" ref="H36:H42" si="51">G36/D36</f>
      </c>
      <c r="I36" s="672">
        <f t="shared" ref="I36:I42" si="87">D36/E36</f>
      </c>
      <c r="J36" s="672">
        <f t="shared" ref="J36:J41" si="12">D36/F36</f>
      </c>
      <c r="K36" s="672">
        <f t="shared" ref="K36:K42" si="123">G36/E36</f>
      </c>
      <c r="L36" s="672">
        <f t="shared" ref="L36:L42" si="27">D36/V36</f>
      </c>
      <c r="M36" s="673">
        <f t="shared" ref="M36:M42" si="63">Q36/U36*1</f>
      </c>
      <c r="N36" s="674">
        <f t="shared" ref="N36:N42" si="99">V36/U36</f>
      </c>
      <c r="O36" s="673">
        <f t="shared" ref="O36:O42" si="135">X36/U36</f>
      </c>
      <c r="P36" s="673">
        <f t="shared" ref="P36:P42" si="4">Y36/X36</f>
      </c>
      <c r="Q36" s="675">
        <f t="shared" ref="Q36:Q42" si="39">W36/R36</f>
      </c>
      <c r="R36" s="676">
        <v>0.0284</v>
      </c>
      <c r="S36" s="677">
        <v>27</v>
      </c>
      <c r="T36" s="672">
        <f t="shared" ref="T36:T41" si="75">(D36/U36)*1000</f>
      </c>
      <c r="U36" s="675">
        <v>11379</v>
      </c>
      <c r="V36" s="675">
        <v>877</v>
      </c>
      <c r="W36" s="675">
        <v>77</v>
      </c>
      <c r="X36" s="675">
        <v>1441</v>
      </c>
      <c r="Y36" s="675">
        <v>43</v>
      </c>
      <c r="Z36" s="675">
        <v>19</v>
      </c>
      <c r="AA36" s="675">
        <v>2</v>
      </c>
      <c r="AB36" s="675">
        <v>20</v>
      </c>
      <c r="AC36" s="678">
        <f t="shared" ref="AC36:AC41" si="111">AF36*1000/D36</f>
      </c>
      <c r="AD36" s="680" t="s">
        <v>478</v>
      </c>
      <c r="AE36" s="680" t="s">
        <v>491</v>
      </c>
      <c r="AF36" s="677">
        <v>25</v>
      </c>
    </row>
    <row r="37">
      <c r="A37" s="666"/>
      <c r="B37" s="667" t="s">
        <v>467</v>
      </c>
      <c r="C37" s="668" t="s">
        <v>482</v>
      </c>
      <c r="D37" s="669">
        <v>3897.87</v>
      </c>
      <c r="E37" s="670">
        <v>6</v>
      </c>
      <c r="F37" s="670">
        <v>6</v>
      </c>
      <c r="G37" s="671">
        <v>3767.2799999999993</v>
      </c>
      <c r="H37" s="672">
        <f t="shared" si="51"/>
      </c>
      <c r="I37" s="672">
        <f t="shared" si="87"/>
      </c>
      <c r="J37" s="672">
        <f t="shared" si="12"/>
      </c>
      <c r="K37" s="672">
        <f t="shared" si="123"/>
      </c>
      <c r="L37" s="672">
        <f t="shared" si="27"/>
      </c>
      <c r="M37" s="673">
        <f t="shared" si="63"/>
      </c>
      <c r="N37" s="673">
        <f t="shared" si="99"/>
      </c>
      <c r="O37" s="682">
        <f t="shared" si="135"/>
      </c>
      <c r="P37" s="682">
        <f t="shared" si="4"/>
      </c>
      <c r="Q37" s="683">
        <f t="shared" si="39"/>
      </c>
      <c r="R37" s="676">
        <v>0.0193</v>
      </c>
      <c r="S37" s="684">
        <v>31</v>
      </c>
      <c r="T37" s="685">
        <f t="shared" si="75"/>
      </c>
      <c r="U37" s="683">
        <v>14706</v>
      </c>
      <c r="V37" s="683">
        <v>1188</v>
      </c>
      <c r="W37" s="683">
        <v>95</v>
      </c>
      <c r="X37" s="683">
        <v>1753</v>
      </c>
      <c r="Y37" s="683">
        <v>89</v>
      </c>
      <c r="Z37" s="683">
        <v>12</v>
      </c>
      <c r="AA37" s="683">
        <v>2</v>
      </c>
      <c r="AB37" s="683">
        <v>21</v>
      </c>
      <c r="AC37" s="678">
        <f t="shared" si="111"/>
      </c>
      <c r="AD37" s="680" t="s">
        <v>478</v>
      </c>
      <c r="AE37" s="680" t="s">
        <v>491</v>
      </c>
      <c r="AF37" s="677">
        <v>32</v>
      </c>
    </row>
    <row r="38">
      <c r="A38" s="666"/>
      <c r="B38" s="667" t="s">
        <v>467</v>
      </c>
      <c r="C38" s="668" t="s">
        <v>473</v>
      </c>
      <c r="D38" s="671">
        <v>2252.46</v>
      </c>
      <c r="E38" s="670">
        <v>6</v>
      </c>
      <c r="F38" s="670">
        <v>6</v>
      </c>
      <c r="G38" s="671">
        <v>3921.720000000002</v>
      </c>
      <c r="H38" s="672">
        <f t="shared" si="51"/>
      </c>
      <c r="I38" s="672">
        <f t="shared" si="87"/>
      </c>
      <c r="J38" s="672">
        <f t="shared" si="12"/>
      </c>
      <c r="K38" s="672">
        <f t="shared" si="123"/>
      </c>
      <c r="L38" s="672">
        <f t="shared" si="27"/>
      </c>
      <c r="M38" s="673">
        <f t="shared" si="63"/>
      </c>
      <c r="N38" s="673">
        <f t="shared" si="99"/>
      </c>
      <c r="O38" s="682">
        <f t="shared" si="135"/>
      </c>
      <c r="P38" s="682">
        <f t="shared" si="4"/>
      </c>
      <c r="Q38" s="683">
        <f t="shared" si="39"/>
      </c>
      <c r="R38" s="676">
        <v>0.0175</v>
      </c>
      <c r="S38" s="684">
        <v>33</v>
      </c>
      <c r="T38" s="685">
        <f t="shared" si="75"/>
      </c>
      <c r="U38" s="683">
        <v>11419</v>
      </c>
      <c r="V38" s="683">
        <v>725</v>
      </c>
      <c r="W38" s="683">
        <v>64</v>
      </c>
      <c r="X38" s="683">
        <v>1168</v>
      </c>
      <c r="Y38" s="683">
        <v>61</v>
      </c>
      <c r="Z38" s="683">
        <v>11</v>
      </c>
      <c r="AA38" s="683">
        <v>0</v>
      </c>
      <c r="AB38" s="683">
        <v>17</v>
      </c>
      <c r="AC38" s="678">
        <f t="shared" si="111"/>
      </c>
      <c r="AD38" s="680" t="s">
        <v>478</v>
      </c>
      <c r="AE38" s="680" t="s">
        <v>491</v>
      </c>
      <c r="AF38" s="677">
        <v>19</v>
      </c>
    </row>
    <row r="39">
      <c r="A39" s="666"/>
      <c r="B39" s="667" t="s">
        <v>467</v>
      </c>
      <c r="C39" s="668" t="s">
        <v>492</v>
      </c>
      <c r="D39" s="669">
        <v>5902.93</v>
      </c>
      <c r="E39" s="670">
        <v>6</v>
      </c>
      <c r="F39" s="670">
        <v>6</v>
      </c>
      <c r="G39" s="671">
        <v>5351.279999999999</v>
      </c>
      <c r="H39" s="672">
        <f t="shared" si="51"/>
      </c>
      <c r="I39" s="672">
        <f t="shared" si="87"/>
      </c>
      <c r="J39" s="672">
        <f t="shared" si="12"/>
      </c>
      <c r="K39" s="672">
        <f t="shared" si="123"/>
      </c>
      <c r="L39" s="672">
        <f t="shared" si="27"/>
      </c>
      <c r="M39" s="673">
        <f t="shared" si="63"/>
      </c>
      <c r="N39" s="673">
        <f t="shared" si="99"/>
      </c>
      <c r="O39" s="682">
        <f t="shared" si="135"/>
      </c>
      <c r="P39" s="682">
        <f t="shared" si="4"/>
      </c>
      <c r="Q39" s="683">
        <f t="shared" si="39"/>
      </c>
      <c r="R39" s="676">
        <v>0.0136</v>
      </c>
      <c r="S39" s="684">
        <v>36</v>
      </c>
      <c r="T39" s="685">
        <f t="shared" si="75"/>
      </c>
      <c r="U39" s="683">
        <v>28146</v>
      </c>
      <c r="V39" s="683">
        <v>791</v>
      </c>
      <c r="W39" s="683">
        <v>120</v>
      </c>
      <c r="X39" s="683">
        <v>1328</v>
      </c>
      <c r="Y39" s="683">
        <v>107</v>
      </c>
      <c r="Z39" s="683">
        <v>15</v>
      </c>
      <c r="AA39" s="683">
        <v>0</v>
      </c>
      <c r="AB39" s="683">
        <v>57</v>
      </c>
      <c r="AC39" s="678">
        <f t="shared" si="111"/>
      </c>
      <c r="AD39" s="680" t="s">
        <v>478</v>
      </c>
      <c r="AE39" s="680" t="s">
        <v>491</v>
      </c>
      <c r="AF39" s="677">
        <v>74</v>
      </c>
    </row>
    <row r="40">
      <c r="A40" s="666"/>
      <c r="B40" s="667" t="s">
        <v>467</v>
      </c>
      <c r="C40" s="668" t="s">
        <v>493</v>
      </c>
      <c r="D40" s="669">
        <v>2831.72</v>
      </c>
      <c r="E40" s="670">
        <v>11</v>
      </c>
      <c r="F40" s="670">
        <v>11</v>
      </c>
      <c r="G40" s="671">
        <v>8808.58</v>
      </c>
      <c r="H40" s="672">
        <f t="shared" si="51"/>
      </c>
      <c r="I40" s="672">
        <f t="shared" si="87"/>
      </c>
      <c r="J40" s="672">
        <f t="shared" si="12"/>
      </c>
      <c r="K40" s="672">
        <f t="shared" si="123"/>
      </c>
      <c r="L40" s="672">
        <f t="shared" si="27"/>
      </c>
      <c r="M40" s="673">
        <f t="shared" si="63"/>
      </c>
      <c r="N40" s="673">
        <f t="shared" si="99"/>
      </c>
      <c r="O40" s="682">
        <f t="shared" si="135"/>
      </c>
      <c r="P40" s="682">
        <f t="shared" si="4"/>
      </c>
      <c r="Q40" s="683">
        <f t="shared" si="39"/>
      </c>
      <c r="R40" s="676">
        <v>0.0215</v>
      </c>
      <c r="S40" s="684">
        <v>38</v>
      </c>
      <c r="T40" s="685">
        <f t="shared" si="75"/>
      </c>
      <c r="U40" s="683">
        <v>20006</v>
      </c>
      <c r="V40" s="683">
        <v>765</v>
      </c>
      <c r="W40" s="684">
        <v>101</v>
      </c>
      <c r="X40" s="683">
        <v>1015</v>
      </c>
      <c r="Y40" s="683">
        <v>110</v>
      </c>
      <c r="Z40" s="683">
        <v>23</v>
      </c>
      <c r="AA40" s="683">
        <v>2</v>
      </c>
      <c r="AB40" s="683">
        <v>25</v>
      </c>
      <c r="AC40" s="678">
        <f t="shared" si="111"/>
      </c>
      <c r="AD40" s="680" t="s">
        <v>478</v>
      </c>
      <c r="AE40" s="680" t="s">
        <v>491</v>
      </c>
      <c r="AF40" s="677">
        <v>36</v>
      </c>
    </row>
    <row r="41">
      <c r="A41" s="666"/>
      <c r="B41" s="686" t="s">
        <v>474</v>
      </c>
      <c r="C41" s="686"/>
      <c r="D41" s="687">
        <f>SUM(D36:D40)</f>
      </c>
      <c r="E41" s="688">
        <f>SUM(E36:E40)</f>
      </c>
      <c r="F41" s="688">
        <f>SUM(F36:F40)</f>
      </c>
      <c r="G41" s="688">
        <f>SUM(G36:G40)</f>
      </c>
      <c r="H41" s="689">
        <f t="shared" si="51"/>
      </c>
      <c r="I41" s="689">
        <f t="shared" si="87"/>
      </c>
      <c r="J41" s="689">
        <f t="shared" si="12"/>
      </c>
      <c r="K41" s="689">
        <f t="shared" si="123"/>
      </c>
      <c r="L41" s="689">
        <f t="shared" si="27"/>
      </c>
      <c r="M41" s="690">
        <f t="shared" si="63"/>
      </c>
      <c r="N41" s="690">
        <f t="shared" si="99"/>
      </c>
      <c r="O41" s="690">
        <f t="shared" si="135"/>
      </c>
      <c r="P41" s="690">
        <f t="shared" si="4"/>
      </c>
      <c r="Q41" s="691">
        <f t="shared" si="39"/>
      </c>
      <c r="R41" s="690">
        <f>AVERAGE(R36:R40)</f>
      </c>
      <c r="S41" s="687">
        <f>AVERAGE(S36:S40)</f>
      </c>
      <c r="T41" s="689">
        <f t="shared" si="75"/>
      </c>
      <c r="U41" s="691">
        <f>SUM(U36:U40)</f>
      </c>
      <c r="V41" s="691">
        <f>SUM(V36:V40)</f>
      </c>
      <c r="W41" s="691">
        <f>SUM(W36:W40)</f>
      </c>
      <c r="X41" s="691">
        <f>SUM(X36:X40)</f>
      </c>
      <c r="Y41" s="691">
        <f>SUM(Y36:Y40)</f>
      </c>
      <c r="Z41" s="691">
        <f>SUM(Z36:Z40)</f>
      </c>
      <c r="AA41" s="691">
        <f>SUM(AA36:AA40)</f>
      </c>
      <c r="AB41" s="691">
        <f>SUM(AB36:AB40)</f>
      </c>
      <c r="AC41" s="692">
        <f t="shared" si="111"/>
      </c>
      <c r="AD41" s="693"/>
      <c r="AE41" s="693"/>
      <c r="AF41" s="694">
        <f>SUM(AF36:AF40)</f>
      </c>
    </row>
    <row r="42">
      <c r="A42" s="666"/>
      <c r="B42" s="695" t="s">
        <v>475</v>
      </c>
      <c r="C42" s="695"/>
      <c r="D42" s="696">
        <f>D41</f>
      </c>
      <c r="E42" s="697">
        <f>E41</f>
      </c>
      <c r="F42" s="697">
        <f>F41</f>
      </c>
      <c r="G42" s="696">
        <f>G41</f>
      </c>
      <c r="H42" s="698">
        <f t="shared" si="51"/>
      </c>
      <c r="I42" s="698">
        <f t="shared" si="87"/>
      </c>
      <c r="J42" s="698">
        <v>745.3765</v>
      </c>
      <c r="K42" s="698">
        <f t="shared" si="123"/>
      </c>
      <c r="L42" s="698">
        <f t="shared" si="27"/>
      </c>
      <c r="M42" s="699">
        <f t="shared" si="63"/>
      </c>
      <c r="N42" s="699">
        <f t="shared" si="99"/>
      </c>
      <c r="O42" s="699">
        <f t="shared" si="135"/>
      </c>
      <c r="P42" s="699">
        <f t="shared" si="4"/>
      </c>
      <c r="Q42" s="700">
        <f t="shared" si="39"/>
      </c>
      <c r="R42" s="701">
        <f>R41</f>
      </c>
      <c r="S42" s="702">
        <f>S41</f>
      </c>
      <c r="T42" s="696">
        <f>T41</f>
      </c>
      <c r="U42" s="700">
        <f>U41</f>
      </c>
      <c r="V42" s="700">
        <f>V41</f>
      </c>
      <c r="W42" s="700">
        <f>W41</f>
      </c>
      <c r="X42" s="700">
        <f>X41</f>
      </c>
      <c r="Y42" s="700">
        <f>Y41</f>
      </c>
      <c r="Z42" s="700">
        <f>Z41</f>
      </c>
      <c r="AA42" s="700">
        <f>AA41</f>
      </c>
      <c r="AB42" s="700">
        <f>AB41</f>
      </c>
      <c r="AC42" s="703">
        <f>AC41</f>
      </c>
      <c r="AD42" s="704"/>
      <c r="AE42" s="704"/>
      <c r="AF42" s="700">
        <f>AF41</f>
      </c>
    </row>
    <row customHeight="true" ht="20.739348370927335" r="43">
      <c r="A43" s="651" t="s">
        <v>433</v>
      </c>
      <c r="B43" s="651" t="s">
        <v>434</v>
      </c>
      <c r="C43" s="651"/>
      <c r="D43" s="652" t="s">
        <v>435</v>
      </c>
      <c r="E43" s="652"/>
      <c r="F43" s="652"/>
      <c r="G43" s="652"/>
      <c r="H43" s="652"/>
      <c r="I43" s="652"/>
      <c r="J43" s="652"/>
      <c r="K43" s="652"/>
      <c r="L43" s="654" t="s">
        <v>436</v>
      </c>
      <c r="M43" s="654"/>
      <c r="N43" s="654"/>
      <c r="O43" s="654"/>
      <c r="P43" s="654"/>
      <c r="Q43" s="654"/>
      <c r="R43" s="654"/>
      <c r="S43" s="654"/>
      <c r="T43" s="654"/>
      <c r="U43" s="654"/>
      <c r="V43" s="654"/>
      <c r="W43" s="654"/>
      <c r="X43" s="654"/>
      <c r="Y43" s="654"/>
      <c r="Z43" s="654"/>
      <c r="AA43" s="654"/>
      <c r="AB43" s="654"/>
      <c r="AC43" s="654"/>
      <c r="AD43" s="654"/>
      <c r="AE43" s="654"/>
      <c r="AF43" s="655"/>
    </row>
    <row r="44">
      <c r="A44" s="651"/>
      <c r="B44" s="656" t="s">
        <v>437</v>
      </c>
      <c r="C44" s="656" t="s">
        <v>438</v>
      </c>
      <c r="D44" s="657" t="s">
        <v>439</v>
      </c>
      <c r="E44" s="658" t="s">
        <v>440</v>
      </c>
      <c r="F44" s="707" t="s">
        <v>488</v>
      </c>
      <c r="G44" s="657" t="s">
        <v>441</v>
      </c>
      <c r="H44" s="659" t="s">
        <v>442</v>
      </c>
      <c r="I44" s="659" t="s">
        <v>443</v>
      </c>
      <c r="J44" s="708" t="s">
        <v>489</v>
      </c>
      <c r="K44" s="659" t="s">
        <v>444</v>
      </c>
      <c r="L44" s="660" t="s">
        <v>445</v>
      </c>
      <c r="M44" s="661" t="s">
        <v>446</v>
      </c>
      <c r="N44" s="661" t="s">
        <v>447</v>
      </c>
      <c r="O44" s="661" t="s">
        <v>448</v>
      </c>
      <c r="P44" s="661" t="s">
        <v>449</v>
      </c>
      <c r="Q44" s="662" t="s">
        <v>450</v>
      </c>
      <c r="R44" s="661" t="s">
        <v>451</v>
      </c>
      <c r="S44" s="662" t="s">
        <v>452</v>
      </c>
      <c r="T44" s="663" t="s">
        <v>453</v>
      </c>
      <c r="U44" s="664" t="s">
        <v>454</v>
      </c>
      <c r="V44" s="664" t="s">
        <v>455</v>
      </c>
      <c r="W44" s="664" t="s">
        <v>456</v>
      </c>
      <c r="X44" s="664" t="s">
        <v>457</v>
      </c>
      <c r="Y44" s="664" t="s">
        <v>458</v>
      </c>
      <c r="Z44" s="664" t="s">
        <v>459</v>
      </c>
      <c r="AA44" s="664" t="s">
        <v>460</v>
      </c>
      <c r="AB44" s="664" t="s">
        <v>461</v>
      </c>
      <c r="AC44" s="654" t="s">
        <v>462</v>
      </c>
      <c r="AD44" s="665" t="s">
        <v>463</v>
      </c>
      <c r="AE44" s="665" t="s">
        <v>464</v>
      </c>
      <c r="AF44" s="655" t="s">
        <v>465</v>
      </c>
    </row>
    <row r="45">
      <c r="A45" s="666" t="s">
        <v>494</v>
      </c>
      <c r="B45" s="667" t="s">
        <v>467</v>
      </c>
      <c r="C45" s="668" t="s">
        <v>481</v>
      </c>
      <c r="D45" s="671">
        <v>2000</v>
      </c>
      <c r="E45" s="670">
        <v>6</v>
      </c>
      <c r="F45" s="670">
        <v>6</v>
      </c>
      <c r="G45" s="671">
        <v>4205.08</v>
      </c>
      <c r="H45" s="672">
        <f t="shared" ref="H45:H51" si="52">G45/D45</f>
      </c>
      <c r="I45" s="672">
        <f t="shared" ref="I45:I51" si="88">D45/E45</f>
      </c>
      <c r="J45" s="672">
        <f t="shared" ref="J45:J50" si="13">D45/F45</f>
      </c>
      <c r="K45" s="672">
        <f t="shared" ref="K45:K51" si="124">G45/E45</f>
      </c>
      <c r="L45" s="672">
        <f t="shared" ref="L45:L51" si="28">D45/V45</f>
      </c>
      <c r="M45" s="673">
        <f t="shared" ref="M45:M51" si="64">Q45/U45*1</f>
      </c>
      <c r="N45" s="674">
        <f t="shared" ref="N45:N51" si="100">V45/U45</f>
      </c>
      <c r="O45" s="673">
        <f t="shared" ref="O45:O51" si="136">X45/U45</f>
      </c>
      <c r="P45" s="673">
        <f t="shared" ref="P45:P51" si="5">Y45/X45</f>
      </c>
      <c r="Q45" s="675">
        <f t="shared" ref="Q45:Q51" si="40">W45/R45</f>
      </c>
      <c r="R45" s="676">
        <v>0.0284</v>
      </c>
      <c r="S45" s="677">
        <v>46</v>
      </c>
      <c r="T45" s="672">
        <f t="shared" ref="T45:T50" si="76">(D45/U45)*1000</f>
      </c>
      <c r="U45" s="675">
        <v>10817</v>
      </c>
      <c r="V45" s="675">
        <v>503</v>
      </c>
      <c r="W45" s="675">
        <v>63</v>
      </c>
      <c r="X45" s="675">
        <v>737</v>
      </c>
      <c r="Y45" s="675">
        <v>39</v>
      </c>
      <c r="Z45" s="675">
        <v>10</v>
      </c>
      <c r="AA45" s="675">
        <v>0</v>
      </c>
      <c r="AB45" s="675">
        <v>2</v>
      </c>
      <c r="AC45" s="678">
        <f t="shared" ref="AC45:AC50" si="112">AF45*1000/D45</f>
      </c>
      <c r="AD45" s="680" t="s">
        <v>478</v>
      </c>
      <c r="AE45" s="680" t="s">
        <v>491</v>
      </c>
      <c r="AF45" s="677">
        <v>22</v>
      </c>
    </row>
    <row r="46">
      <c r="A46" s="666"/>
      <c r="B46" s="667" t="s">
        <v>467</v>
      </c>
      <c r="C46" s="668" t="s">
        <v>482</v>
      </c>
      <c r="D46" s="669">
        <v>1985.1</v>
      </c>
      <c r="E46" s="670">
        <v>4</v>
      </c>
      <c r="F46" s="670">
        <v>4</v>
      </c>
      <c r="G46" s="671">
        <v>3559.8199999999997</v>
      </c>
      <c r="H46" s="672">
        <f t="shared" si="52"/>
      </c>
      <c r="I46" s="672">
        <f t="shared" si="88"/>
      </c>
      <c r="J46" s="672">
        <f t="shared" si="13"/>
      </c>
      <c r="K46" s="672">
        <f t="shared" si="124"/>
      </c>
      <c r="L46" s="672">
        <f t="shared" si="28"/>
      </c>
      <c r="M46" s="673">
        <f t="shared" si="64"/>
      </c>
      <c r="N46" s="673">
        <f t="shared" si="100"/>
      </c>
      <c r="O46" s="682">
        <f t="shared" si="136"/>
      </c>
      <c r="P46" s="682">
        <f t="shared" si="5"/>
      </c>
      <c r="Q46" s="683">
        <f t="shared" si="40"/>
      </c>
      <c r="R46" s="676">
        <v>0.0193</v>
      </c>
      <c r="S46" s="684">
        <v>49</v>
      </c>
      <c r="T46" s="685">
        <f t="shared" si="76"/>
      </c>
      <c r="U46" s="683">
        <v>12221</v>
      </c>
      <c r="V46" s="683">
        <v>489</v>
      </c>
      <c r="W46" s="683">
        <v>63</v>
      </c>
      <c r="X46" s="683">
        <v>674</v>
      </c>
      <c r="Y46" s="683">
        <v>65</v>
      </c>
      <c r="Z46" s="683">
        <v>3</v>
      </c>
      <c r="AA46" s="683">
        <v>1</v>
      </c>
      <c r="AB46" s="683">
        <v>7</v>
      </c>
      <c r="AC46" s="678">
        <f t="shared" si="112"/>
      </c>
      <c r="AD46" s="680" t="s">
        <v>478</v>
      </c>
      <c r="AE46" s="680" t="s">
        <v>491</v>
      </c>
      <c r="AF46" s="677">
        <v>0</v>
      </c>
    </row>
    <row r="47">
      <c r="A47" s="666"/>
      <c r="B47" s="667" t="s">
        <v>467</v>
      </c>
      <c r="C47" s="668" t="s">
        <v>473</v>
      </c>
      <c r="D47" s="671">
        <v>2014.9</v>
      </c>
      <c r="E47" s="670">
        <v>2</v>
      </c>
      <c r="F47" s="670">
        <v>2</v>
      </c>
      <c r="G47" s="671">
        <v>2262.7000000000007</v>
      </c>
      <c r="H47" s="672">
        <f t="shared" si="52"/>
      </c>
      <c r="I47" s="672">
        <f t="shared" si="88"/>
      </c>
      <c r="J47" s="672">
        <f t="shared" si="13"/>
      </c>
      <c r="K47" s="672">
        <f t="shared" si="124"/>
      </c>
      <c r="L47" s="672">
        <f t="shared" si="28"/>
      </c>
      <c r="M47" s="673">
        <f t="shared" si="64"/>
      </c>
      <c r="N47" s="673">
        <f t="shared" si="100"/>
      </c>
      <c r="O47" s="682">
        <f t="shared" si="136"/>
      </c>
      <c r="P47" s="682">
        <f t="shared" si="5"/>
      </c>
      <c r="Q47" s="683">
        <f t="shared" si="40"/>
      </c>
      <c r="R47" s="676">
        <v>0.0175</v>
      </c>
      <c r="S47" s="684">
        <v>47</v>
      </c>
      <c r="T47" s="685">
        <f t="shared" si="76"/>
      </c>
      <c r="U47" s="683">
        <v>11917</v>
      </c>
      <c r="V47" s="683">
        <v>521</v>
      </c>
      <c r="W47" s="683">
        <v>80</v>
      </c>
      <c r="X47" s="683">
        <v>723</v>
      </c>
      <c r="Y47" s="683">
        <v>65</v>
      </c>
      <c r="Z47" s="683">
        <v>6</v>
      </c>
      <c r="AA47" s="683">
        <v>0</v>
      </c>
      <c r="AB47" s="683">
        <v>13</v>
      </c>
      <c r="AC47" s="678">
        <f t="shared" si="112"/>
      </c>
      <c r="AD47" s="680" t="s">
        <v>478</v>
      </c>
      <c r="AE47" s="680" t="s">
        <v>491</v>
      </c>
      <c r="AF47" s="677">
        <v>16</v>
      </c>
    </row>
    <row r="48">
      <c r="A48" s="666"/>
      <c r="B48" s="667" t="s">
        <v>467</v>
      </c>
      <c r="C48" s="668" t="s">
        <v>492</v>
      </c>
      <c r="D48" s="669">
        <v>1988.06</v>
      </c>
      <c r="E48" s="670">
        <v>5</v>
      </c>
      <c r="F48" s="670">
        <v>4</v>
      </c>
      <c r="G48" s="671">
        <v>3245</v>
      </c>
      <c r="H48" s="672">
        <f t="shared" si="52"/>
      </c>
      <c r="I48" s="672">
        <f t="shared" si="88"/>
      </c>
      <c r="J48" s="672">
        <f t="shared" si="13"/>
      </c>
      <c r="K48" s="672">
        <f t="shared" si="124"/>
      </c>
      <c r="L48" s="672">
        <f t="shared" si="28"/>
      </c>
      <c r="M48" s="673">
        <f t="shared" si="64"/>
      </c>
      <c r="N48" s="673">
        <f t="shared" si="100"/>
      </c>
      <c r="O48" s="682">
        <f t="shared" si="136"/>
      </c>
      <c r="P48" s="682">
        <f t="shared" si="5"/>
      </c>
      <c r="Q48" s="683">
        <f t="shared" si="40"/>
      </c>
      <c r="R48" s="676">
        <v>0.0136</v>
      </c>
      <c r="S48" s="684">
        <v>52</v>
      </c>
      <c r="T48" s="685">
        <f t="shared" si="76"/>
      </c>
      <c r="U48" s="683">
        <v>11579</v>
      </c>
      <c r="V48" s="683">
        <v>408</v>
      </c>
      <c r="W48" s="683">
        <v>79</v>
      </c>
      <c r="X48" s="683">
        <v>525</v>
      </c>
      <c r="Y48" s="683">
        <v>61</v>
      </c>
      <c r="Z48" s="683">
        <v>8</v>
      </c>
      <c r="AA48" s="683">
        <v>2</v>
      </c>
      <c r="AB48" s="683">
        <v>10</v>
      </c>
      <c r="AC48" s="678">
        <f t="shared" si="112"/>
      </c>
      <c r="AD48" s="680" t="s">
        <v>478</v>
      </c>
      <c r="AE48" s="680" t="s">
        <v>491</v>
      </c>
      <c r="AF48" s="677">
        <v>30</v>
      </c>
    </row>
    <row r="49">
      <c r="A49" s="666"/>
      <c r="B49" s="667" t="s">
        <v>467</v>
      </c>
      <c r="C49" s="668" t="s">
        <v>493</v>
      </c>
      <c r="D49" s="669">
        <v>2001.09</v>
      </c>
      <c r="E49" s="670">
        <v>8</v>
      </c>
      <c r="F49" s="670">
        <v>4</v>
      </c>
      <c r="G49" s="671">
        <v>8611.900000000003</v>
      </c>
      <c r="H49" s="672">
        <f t="shared" si="52"/>
      </c>
      <c r="I49" s="672">
        <f t="shared" si="88"/>
      </c>
      <c r="J49" s="672">
        <f t="shared" si="13"/>
      </c>
      <c r="K49" s="672">
        <f t="shared" si="124"/>
      </c>
      <c r="L49" s="672">
        <f t="shared" si="28"/>
      </c>
      <c r="M49" s="673">
        <f t="shared" si="64"/>
      </c>
      <c r="N49" s="673">
        <f t="shared" si="100"/>
      </c>
      <c r="O49" s="682">
        <f t="shared" si="136"/>
      </c>
      <c r="P49" s="682">
        <f t="shared" si="5"/>
      </c>
      <c r="Q49" s="683">
        <f t="shared" si="40"/>
      </c>
      <c r="R49" s="676">
        <v>0.0215</v>
      </c>
      <c r="S49" s="684">
        <v>57</v>
      </c>
      <c r="T49" s="685">
        <f t="shared" si="76"/>
      </c>
      <c r="U49" s="683">
        <v>14594</v>
      </c>
      <c r="V49" s="683">
        <v>340</v>
      </c>
      <c r="W49" s="684">
        <v>77</v>
      </c>
      <c r="X49" s="683">
        <v>375</v>
      </c>
      <c r="Y49" s="683">
        <v>85</v>
      </c>
      <c r="Z49" s="683">
        <v>5</v>
      </c>
      <c r="AA49" s="683">
        <v>3</v>
      </c>
      <c r="AB49" s="683">
        <v>10</v>
      </c>
      <c r="AC49" s="678">
        <f t="shared" si="112"/>
      </c>
      <c r="AD49" s="680" t="s">
        <v>478</v>
      </c>
      <c r="AE49" s="680" t="s">
        <v>491</v>
      </c>
      <c r="AF49" s="677">
        <v>34</v>
      </c>
    </row>
    <row r="50">
      <c r="A50" s="666"/>
      <c r="B50" s="686" t="s">
        <v>474</v>
      </c>
      <c r="C50" s="686"/>
      <c r="D50" s="687">
        <f>SUM(D45:D49)</f>
      </c>
      <c r="E50" s="688">
        <f>SUM(E45:E49)</f>
      </c>
      <c r="F50" s="688">
        <f>SUM(F45:F49)</f>
      </c>
      <c r="G50" s="687">
        <f>SUM(G45:G49)</f>
      </c>
      <c r="H50" s="689">
        <f t="shared" si="52"/>
      </c>
      <c r="I50" s="689">
        <f t="shared" si="88"/>
      </c>
      <c r="J50" s="689">
        <f t="shared" si="13"/>
      </c>
      <c r="K50" s="689">
        <f t="shared" si="124"/>
      </c>
      <c r="L50" s="689">
        <f t="shared" si="28"/>
      </c>
      <c r="M50" s="690">
        <f t="shared" si="64"/>
      </c>
      <c r="N50" s="690">
        <f t="shared" si="100"/>
      </c>
      <c r="O50" s="690">
        <f t="shared" si="136"/>
      </c>
      <c r="P50" s="690">
        <f t="shared" si="5"/>
      </c>
      <c r="Q50" s="691">
        <f t="shared" si="40"/>
      </c>
      <c r="R50" s="690">
        <f>AVERAGE(R45:R49)</f>
      </c>
      <c r="S50" s="687">
        <f>AVERAGE(S45:S49)</f>
      </c>
      <c r="T50" s="689">
        <f t="shared" si="76"/>
      </c>
      <c r="U50" s="691">
        <f>SUM(U45:U49)</f>
      </c>
      <c r="V50" s="691">
        <f>SUM(V45:V49)</f>
      </c>
      <c r="W50" s="691">
        <f>SUM(W45:W49)</f>
      </c>
      <c r="X50" s="691">
        <f>SUM(X45:X49)</f>
      </c>
      <c r="Y50" s="691">
        <f>SUM(Y45:Y49)</f>
      </c>
      <c r="Z50" s="691">
        <f>SUM(Z45:Z49)</f>
      </c>
      <c r="AA50" s="691">
        <f>SUM(AA45:AA49)</f>
      </c>
      <c r="AB50" s="691">
        <f>SUM(AB45:AB49)</f>
      </c>
      <c r="AC50" s="692">
        <f t="shared" si="112"/>
      </c>
      <c r="AD50" s="693"/>
      <c r="AE50" s="693"/>
      <c r="AF50" s="694">
        <f>SUM(AF45:AF49)</f>
      </c>
    </row>
    <row r="51">
      <c r="A51" s="666"/>
      <c r="B51" s="695" t="s">
        <v>475</v>
      </c>
      <c r="C51" s="695"/>
      <c r="D51" s="696">
        <f>D50</f>
      </c>
      <c r="E51" s="697">
        <f>E50</f>
      </c>
      <c r="F51" s="697">
        <f>F50</f>
      </c>
      <c r="G51" s="696">
        <f>G50</f>
      </c>
      <c r="H51" s="698">
        <f t="shared" si="52"/>
      </c>
      <c r="I51" s="698">
        <f t="shared" si="88"/>
      </c>
      <c r="J51" s="698">
        <v>745.3765</v>
      </c>
      <c r="K51" s="698">
        <f t="shared" si="124"/>
      </c>
      <c r="L51" s="698">
        <f t="shared" si="28"/>
      </c>
      <c r="M51" s="699">
        <f t="shared" si="64"/>
      </c>
      <c r="N51" s="699">
        <f t="shared" si="100"/>
      </c>
      <c r="O51" s="699">
        <f t="shared" si="136"/>
      </c>
      <c r="P51" s="699">
        <f t="shared" si="5"/>
      </c>
      <c r="Q51" s="700">
        <f t="shared" si="40"/>
      </c>
      <c r="R51" s="701">
        <f>R50</f>
      </c>
      <c r="S51" s="702">
        <f>S50</f>
      </c>
      <c r="T51" s="696">
        <f>T50</f>
      </c>
      <c r="U51" s="700">
        <f>U50</f>
      </c>
      <c r="V51" s="700">
        <f>V50</f>
      </c>
      <c r="W51" s="700">
        <f>W50</f>
      </c>
      <c r="X51" s="700">
        <f>X50</f>
      </c>
      <c r="Y51" s="700">
        <f>Y50</f>
      </c>
      <c r="Z51" s="700">
        <f>Z50</f>
      </c>
      <c r="AA51" s="700">
        <f>AA50</f>
      </c>
      <c r="AB51" s="700">
        <f>AB50</f>
      </c>
      <c r="AC51" s="703">
        <f>AC50</f>
      </c>
      <c r="AD51" s="704"/>
      <c r="AE51" s="704"/>
      <c r="AF51" s="700">
        <f>AF50</f>
      </c>
    </row>
    <row r="52">
      <c r="A52" s="651" t="s">
        <v>433</v>
      </c>
      <c r="B52" s="651" t="s">
        <v>434</v>
      </c>
      <c r="C52" s="651"/>
      <c r="D52" s="652" t="s">
        <v>435</v>
      </c>
      <c r="E52" s="652"/>
      <c r="F52" s="652"/>
      <c r="G52" s="652"/>
      <c r="H52" s="652"/>
      <c r="I52" s="652"/>
      <c r="J52" s="652"/>
      <c r="K52" s="652"/>
      <c r="L52" s="654" t="s">
        <v>436</v>
      </c>
      <c r="M52" s="654"/>
      <c r="N52" s="654"/>
      <c r="O52" s="654"/>
      <c r="P52" s="654"/>
      <c r="Q52" s="654"/>
      <c r="R52" s="654"/>
      <c r="S52" s="654"/>
      <c r="T52" s="654"/>
      <c r="U52" s="654"/>
      <c r="V52" s="654"/>
      <c r="W52" s="654"/>
      <c r="X52" s="654"/>
      <c r="Y52" s="654"/>
      <c r="Z52" s="654"/>
      <c r="AA52" s="654"/>
      <c r="AB52" s="654"/>
      <c r="AC52" s="654"/>
      <c r="AD52" s="654"/>
      <c r="AE52" s="654"/>
      <c r="AF52" s="655"/>
    </row>
    <row r="53">
      <c r="A53" s="651"/>
      <c r="B53" s="656" t="s">
        <v>437</v>
      </c>
      <c r="C53" s="656" t="s">
        <v>438</v>
      </c>
      <c r="D53" s="657" t="s">
        <v>439</v>
      </c>
      <c r="E53" s="658" t="s">
        <v>440</v>
      </c>
      <c r="F53" s="707" t="s">
        <v>488</v>
      </c>
      <c r="G53" s="657" t="s">
        <v>441</v>
      </c>
      <c r="H53" s="659" t="s">
        <v>442</v>
      </c>
      <c r="I53" s="659" t="s">
        <v>443</v>
      </c>
      <c r="J53" s="708" t="s">
        <v>489</v>
      </c>
      <c r="K53" s="659" t="s">
        <v>444</v>
      </c>
      <c r="L53" s="660" t="s">
        <v>445</v>
      </c>
      <c r="M53" s="661" t="s">
        <v>446</v>
      </c>
      <c r="N53" s="661" t="s">
        <v>447</v>
      </c>
      <c r="O53" s="661" t="s">
        <v>448</v>
      </c>
      <c r="P53" s="661" t="s">
        <v>449</v>
      </c>
      <c r="Q53" s="662" t="s">
        <v>450</v>
      </c>
      <c r="R53" s="661" t="s">
        <v>451</v>
      </c>
      <c r="S53" s="662" t="s">
        <v>452</v>
      </c>
      <c r="T53" s="663" t="s">
        <v>453</v>
      </c>
      <c r="U53" s="664" t="s">
        <v>454</v>
      </c>
      <c r="V53" s="664" t="s">
        <v>455</v>
      </c>
      <c r="W53" s="664" t="s">
        <v>456</v>
      </c>
      <c r="X53" s="664" t="s">
        <v>457</v>
      </c>
      <c r="Y53" s="664" t="s">
        <v>458</v>
      </c>
      <c r="Z53" s="664" t="s">
        <v>459</v>
      </c>
      <c r="AA53" s="664" t="s">
        <v>460</v>
      </c>
      <c r="AB53" s="664" t="s">
        <v>461</v>
      </c>
      <c r="AC53" s="654" t="s">
        <v>462</v>
      </c>
      <c r="AD53" s="665" t="s">
        <v>463</v>
      </c>
      <c r="AE53" s="665" t="s">
        <v>464</v>
      </c>
      <c r="AF53" s="655" t="s">
        <v>465</v>
      </c>
    </row>
    <row r="54">
      <c r="A54" s="666" t="s">
        <v>495</v>
      </c>
      <c r="B54" s="667" t="s">
        <v>467</v>
      </c>
      <c r="C54" s="668" t="s">
        <v>481</v>
      </c>
      <c r="D54" s="671">
        <v>8096.43</v>
      </c>
      <c r="E54" s="670">
        <v>6</v>
      </c>
      <c r="F54" s="670">
        <v>4</v>
      </c>
      <c r="G54" s="671">
        <v>3441.9</v>
      </c>
      <c r="H54" s="672">
        <f t="shared" ref="H54:H60" si="53">G54/D54</f>
      </c>
      <c r="I54" s="672">
        <f t="shared" ref="I54:I60" si="89">D54/E54</f>
      </c>
      <c r="J54" s="672">
        <f t="shared" ref="J54:J59" si="14">D54/F54</f>
      </c>
      <c r="K54" s="672">
        <f t="shared" ref="K54:K60" si="125">G54/E54</f>
      </c>
      <c r="L54" s="672">
        <f t="shared" ref="L54:L60" si="29">D54/V54</f>
      </c>
      <c r="M54" s="673">
        <f t="shared" ref="M54:M60" si="65">Q54/U54*1</f>
      </c>
      <c r="N54" s="674">
        <f t="shared" ref="N54:N60" si="101">V54/U54</f>
      </c>
      <c r="O54" s="673">
        <f t="shared" ref="O54:O60" si="137">X54/U54</f>
      </c>
      <c r="P54" s="673">
        <f t="shared" ref="P54:P60" si="6">Y54/X54</f>
      </c>
      <c r="Q54" s="675">
        <f t="shared" ref="Q54:Q60" si="41">W54/R54</f>
      </c>
      <c r="R54" s="676">
        <v>0.0284</v>
      </c>
      <c r="S54" s="677">
        <v>45</v>
      </c>
      <c r="T54" s="672">
        <f t="shared" ref="T54:T59" si="77">(D54/U54)*1000</f>
      </c>
      <c r="U54" s="675">
        <v>52960</v>
      </c>
      <c r="V54" s="675">
        <v>1557</v>
      </c>
      <c r="W54" s="675">
        <v>127</v>
      </c>
      <c r="X54" s="675">
        <v>2043</v>
      </c>
      <c r="Y54" s="675">
        <v>142</v>
      </c>
      <c r="Z54" s="675">
        <v>21</v>
      </c>
      <c r="AA54" s="675">
        <v>3</v>
      </c>
      <c r="AB54" s="675">
        <v>80</v>
      </c>
      <c r="AC54" s="678">
        <f t="shared" ref="AC54:AC59" si="113">AF54*1000/D54</f>
      </c>
      <c r="AD54" s="680" t="s">
        <v>478</v>
      </c>
      <c r="AE54" s="680" t="s">
        <v>491</v>
      </c>
      <c r="AF54" s="677">
        <v>55</v>
      </c>
    </row>
    <row r="55">
      <c r="A55" s="666"/>
      <c r="B55" s="667" t="s">
        <v>467</v>
      </c>
      <c r="C55" s="668" t="s">
        <v>482</v>
      </c>
      <c r="D55" s="669">
        <v>2752.47</v>
      </c>
      <c r="E55" s="670">
        <v>3</v>
      </c>
      <c r="F55" s="670">
        <v>2</v>
      </c>
      <c r="G55" s="671">
        <v>2449.6999999999994</v>
      </c>
      <c r="H55" s="672">
        <f t="shared" si="53"/>
      </c>
      <c r="I55" s="672">
        <f t="shared" si="89"/>
      </c>
      <c r="J55" s="672">
        <f t="shared" si="14"/>
      </c>
      <c r="K55" s="672">
        <f t="shared" si="125"/>
      </c>
      <c r="L55" s="672">
        <f t="shared" si="29"/>
      </c>
      <c r="M55" s="673">
        <f t="shared" si="65"/>
      </c>
      <c r="N55" s="673">
        <f t="shared" si="101"/>
      </c>
      <c r="O55" s="682">
        <f t="shared" si="137"/>
      </c>
      <c r="P55" s="682">
        <f t="shared" si="6"/>
      </c>
      <c r="Q55" s="683">
        <f t="shared" si="41"/>
      </c>
      <c r="R55" s="676">
        <v>0.0193</v>
      </c>
      <c r="S55" s="684">
        <v>46</v>
      </c>
      <c r="T55" s="685">
        <f t="shared" si="77"/>
      </c>
      <c r="U55" s="683">
        <v>14104</v>
      </c>
      <c r="V55" s="683">
        <v>756</v>
      </c>
      <c r="W55" s="683">
        <v>86</v>
      </c>
      <c r="X55" s="683">
        <v>1153</v>
      </c>
      <c r="Y55" s="683">
        <v>82</v>
      </c>
      <c r="Z55" s="683">
        <v>13</v>
      </c>
      <c r="AA55" s="683">
        <v>2</v>
      </c>
      <c r="AB55" s="683">
        <v>12</v>
      </c>
      <c r="AC55" s="678">
        <f t="shared" si="113"/>
      </c>
      <c r="AD55" s="680" t="s">
        <v>478</v>
      </c>
      <c r="AE55" s="680" t="s">
        <v>491</v>
      </c>
      <c r="AF55" s="677">
        <v>32</v>
      </c>
    </row>
    <row r="56">
      <c r="A56" s="666"/>
      <c r="B56" s="667" t="s">
        <v>467</v>
      </c>
      <c r="C56" s="668" t="s">
        <v>473</v>
      </c>
      <c r="D56" s="671">
        <v>2293.34</v>
      </c>
      <c r="E56" s="670">
        <v>6</v>
      </c>
      <c r="F56" s="670">
        <v>4</v>
      </c>
      <c r="G56" s="671">
        <v>4825.7</v>
      </c>
      <c r="H56" s="672">
        <f t="shared" si="53"/>
      </c>
      <c r="I56" s="672">
        <f t="shared" si="89"/>
      </c>
      <c r="J56" s="672">
        <f t="shared" si="14"/>
      </c>
      <c r="K56" s="672">
        <f t="shared" si="125"/>
      </c>
      <c r="L56" s="672">
        <f t="shared" si="29"/>
      </c>
      <c r="M56" s="673">
        <f t="shared" si="65"/>
      </c>
      <c r="N56" s="673">
        <f t="shared" si="101"/>
      </c>
      <c r="O56" s="682">
        <f t="shared" si="137"/>
      </c>
      <c r="P56" s="682">
        <f t="shared" si="6"/>
      </c>
      <c r="Q56" s="683">
        <f t="shared" si="41"/>
      </c>
      <c r="R56" s="676">
        <v>0.0175</v>
      </c>
      <c r="S56" s="684">
        <v>46</v>
      </c>
      <c r="T56" s="685">
        <f t="shared" si="77"/>
      </c>
      <c r="U56" s="683">
        <v>9400</v>
      </c>
      <c r="V56" s="683">
        <v>491</v>
      </c>
      <c r="W56" s="683">
        <v>72</v>
      </c>
      <c r="X56" s="683">
        <v>686</v>
      </c>
      <c r="Y56" s="683">
        <v>61</v>
      </c>
      <c r="Z56" s="683">
        <v>9</v>
      </c>
      <c r="AA56" s="683">
        <v>3</v>
      </c>
      <c r="AB56" s="683">
        <v>16</v>
      </c>
      <c r="AC56" s="678">
        <f t="shared" si="113"/>
      </c>
      <c r="AD56" s="680" t="s">
        <v>478</v>
      </c>
      <c r="AE56" s="680" t="s">
        <v>491</v>
      </c>
      <c r="AF56" s="677">
        <v>33</v>
      </c>
    </row>
    <row r="57">
      <c r="A57" s="666"/>
      <c r="B57" s="667" t="s">
        <v>467</v>
      </c>
      <c r="C57" s="668" t="s">
        <v>492</v>
      </c>
      <c r="D57" s="669">
        <v>3555.76</v>
      </c>
      <c r="E57" s="670">
        <v>6</v>
      </c>
      <c r="F57" s="670">
        <v>6</v>
      </c>
      <c r="G57" s="671">
        <v>3771.8999999999996</v>
      </c>
      <c r="H57" s="672">
        <f t="shared" si="53"/>
      </c>
      <c r="I57" s="672">
        <f t="shared" si="89"/>
      </c>
      <c r="J57" s="672">
        <f t="shared" si="14"/>
      </c>
      <c r="K57" s="672">
        <f t="shared" si="125"/>
      </c>
      <c r="L57" s="672">
        <f t="shared" si="29"/>
      </c>
      <c r="M57" s="673">
        <f t="shared" si="65"/>
      </c>
      <c r="N57" s="673">
        <f t="shared" si="101"/>
      </c>
      <c r="O57" s="682">
        <f t="shared" si="137"/>
      </c>
      <c r="P57" s="682">
        <f t="shared" si="6"/>
      </c>
      <c r="Q57" s="683">
        <f t="shared" si="41"/>
      </c>
      <c r="R57" s="676">
        <v>0.0136</v>
      </c>
      <c r="S57" s="684">
        <v>52</v>
      </c>
      <c r="T57" s="685">
        <f t="shared" si="77"/>
      </c>
      <c r="U57" s="683">
        <v>19070</v>
      </c>
      <c r="V57" s="683">
        <v>638</v>
      </c>
      <c r="W57" s="683">
        <v>123</v>
      </c>
      <c r="X57" s="683">
        <v>788</v>
      </c>
      <c r="Y57" s="683">
        <v>106</v>
      </c>
      <c r="Z57" s="683">
        <v>15</v>
      </c>
      <c r="AA57" s="683">
        <v>4</v>
      </c>
      <c r="AB57" s="683">
        <v>23</v>
      </c>
      <c r="AC57" s="678">
        <f t="shared" si="113"/>
      </c>
      <c r="AD57" s="680" t="s">
        <v>478</v>
      </c>
      <c r="AE57" s="680" t="s">
        <v>491</v>
      </c>
      <c r="AF57" s="677">
        <v>46</v>
      </c>
    </row>
    <row r="58">
      <c r="A58" s="666"/>
      <c r="B58" s="667" t="s">
        <v>467</v>
      </c>
      <c r="C58" s="668" t="s">
        <v>496</v>
      </c>
      <c r="D58" s="671">
        <v>2703.32</v>
      </c>
      <c r="E58" s="670">
        <v>11</v>
      </c>
      <c r="F58" s="670">
        <v>9</v>
      </c>
      <c r="G58" s="671">
        <v>7137.9</v>
      </c>
      <c r="H58" s="672">
        <f t="shared" si="53"/>
      </c>
      <c r="I58" s="672">
        <f t="shared" si="89"/>
      </c>
      <c r="J58" s="672">
        <f t="shared" si="14"/>
      </c>
      <c r="K58" s="672">
        <f t="shared" si="125"/>
      </c>
      <c r="L58" s="672">
        <f t="shared" si="29"/>
      </c>
      <c r="M58" s="673">
        <f t="shared" si="65"/>
      </c>
      <c r="N58" s="673">
        <f t="shared" si="101"/>
      </c>
      <c r="O58" s="682">
        <f t="shared" si="137"/>
      </c>
      <c r="P58" s="682">
        <f t="shared" si="6"/>
      </c>
      <c r="Q58" s="683">
        <f t="shared" si="41"/>
      </c>
      <c r="R58" s="676">
        <v>0.0215</v>
      </c>
      <c r="S58" s="684">
        <v>55</v>
      </c>
      <c r="T58" s="685">
        <f t="shared" si="77"/>
      </c>
      <c r="U58" s="683">
        <v>17878</v>
      </c>
      <c r="V58" s="683">
        <v>337</v>
      </c>
      <c r="W58" s="684">
        <v>83</v>
      </c>
      <c r="X58" s="683">
        <v>359</v>
      </c>
      <c r="Y58" s="683">
        <v>83</v>
      </c>
      <c r="Z58" s="684">
        <v>10</v>
      </c>
      <c r="AA58" s="684">
        <v>1</v>
      </c>
      <c r="AB58" s="683">
        <v>14</v>
      </c>
      <c r="AC58" s="678">
        <f t="shared" si="113"/>
      </c>
      <c r="AD58" s="680" t="s">
        <v>478</v>
      </c>
      <c r="AE58" s="680" t="s">
        <v>491</v>
      </c>
      <c r="AF58" s="677">
        <v>42</v>
      </c>
    </row>
    <row r="59">
      <c r="A59" s="666"/>
      <c r="B59" s="686" t="s">
        <v>474</v>
      </c>
      <c r="C59" s="686"/>
      <c r="D59" s="687">
        <f>SUM(D54:D58)</f>
      </c>
      <c r="E59" s="688">
        <f>SUM(E54:E58)</f>
      </c>
      <c r="F59" s="688">
        <f>SUM(F54:F58)</f>
      </c>
      <c r="G59" s="687">
        <f>SUM(G54:G58)</f>
      </c>
      <c r="H59" s="689">
        <f t="shared" si="53"/>
      </c>
      <c r="I59" s="689">
        <f t="shared" si="89"/>
      </c>
      <c r="J59" s="689">
        <f t="shared" si="14"/>
      </c>
      <c r="K59" s="689">
        <f t="shared" si="125"/>
      </c>
      <c r="L59" s="689">
        <f t="shared" si="29"/>
      </c>
      <c r="M59" s="690">
        <f t="shared" si="65"/>
      </c>
      <c r="N59" s="690">
        <f t="shared" si="101"/>
      </c>
      <c r="O59" s="690">
        <f t="shared" si="137"/>
      </c>
      <c r="P59" s="690">
        <f t="shared" si="6"/>
      </c>
      <c r="Q59" s="691">
        <f t="shared" si="41"/>
      </c>
      <c r="R59" s="690">
        <f>AVERAGE(R54:R58)</f>
      </c>
      <c r="S59" s="687">
        <f>AVERAGE(S54:S58)</f>
      </c>
      <c r="T59" s="689">
        <f t="shared" si="77"/>
      </c>
      <c r="U59" s="691">
        <f>SUM(U54:U58)</f>
      </c>
      <c r="V59" s="691">
        <f>SUM(V54:V58)</f>
      </c>
      <c r="W59" s="691">
        <f>SUM(W54:W58)</f>
      </c>
      <c r="X59" s="691">
        <f>SUM(X54:X58)</f>
      </c>
      <c r="Y59" s="691">
        <f>SUM(Y54:Y58)</f>
      </c>
      <c r="Z59" s="691">
        <f>SUM(Z54:Z58)</f>
      </c>
      <c r="AA59" s="691">
        <f>SUM(AA54:AA58)</f>
      </c>
      <c r="AB59" s="691">
        <f>SUM(AB54:AB58)</f>
      </c>
      <c r="AC59" s="692">
        <f t="shared" si="113"/>
      </c>
      <c r="AD59" s="693"/>
      <c r="AE59" s="693"/>
      <c r="AF59" s="694">
        <f>SUM(AF54:AF58)</f>
      </c>
    </row>
    <row r="60">
      <c r="A60" s="666"/>
      <c r="B60" s="695" t="s">
        <v>475</v>
      </c>
      <c r="C60" s="695"/>
      <c r="D60" s="696">
        <f>D59</f>
      </c>
      <c r="E60" s="697">
        <f>E59</f>
      </c>
      <c r="F60" s="697">
        <f>F59</f>
      </c>
      <c r="G60" s="696">
        <f>G59</f>
      </c>
      <c r="H60" s="698">
        <f t="shared" si="53"/>
      </c>
      <c r="I60" s="698">
        <f t="shared" si="89"/>
      </c>
      <c r="J60" s="698">
        <v>745.3765</v>
      </c>
      <c r="K60" s="698">
        <f t="shared" si="125"/>
      </c>
      <c r="L60" s="698">
        <f t="shared" si="29"/>
      </c>
      <c r="M60" s="699">
        <f t="shared" si="65"/>
      </c>
      <c r="N60" s="699">
        <f t="shared" si="101"/>
      </c>
      <c r="O60" s="699">
        <f t="shared" si="137"/>
      </c>
      <c r="P60" s="699">
        <f t="shared" si="6"/>
      </c>
      <c r="Q60" s="700">
        <f t="shared" si="41"/>
      </c>
      <c r="R60" s="701">
        <f>R59</f>
      </c>
      <c r="S60" s="702">
        <f>S59</f>
      </c>
      <c r="T60" s="696">
        <f>T59</f>
      </c>
      <c r="U60" s="700">
        <f>U59</f>
      </c>
      <c r="V60" s="700">
        <f>V59</f>
      </c>
      <c r="W60" s="700">
        <f>W59</f>
      </c>
      <c r="X60" s="700">
        <f>X59</f>
      </c>
      <c r="Y60" s="700">
        <f>Y59</f>
      </c>
      <c r="Z60" s="700">
        <f>Z59</f>
      </c>
      <c r="AA60" s="700">
        <f>AA59</f>
      </c>
      <c r="AB60" s="700">
        <f>AB59</f>
      </c>
      <c r="AC60" s="703">
        <f>AC59</f>
      </c>
      <c r="AD60" s="704"/>
      <c r="AE60" s="704"/>
      <c r="AF60" s="700">
        <f>AF59</f>
      </c>
    </row>
    <row r="61">
      <c r="A61" s="651" t="s">
        <v>433</v>
      </c>
      <c r="B61" s="651" t="s">
        <v>434</v>
      </c>
      <c r="C61" s="651"/>
      <c r="D61" s="652" t="s">
        <v>435</v>
      </c>
      <c r="E61" s="652"/>
      <c r="F61" s="652"/>
      <c r="G61" s="652"/>
      <c r="H61" s="652"/>
      <c r="I61" s="652"/>
      <c r="J61" s="652"/>
      <c r="K61" s="652"/>
      <c r="L61" s="654" t="s">
        <v>436</v>
      </c>
      <c r="M61" s="654"/>
      <c r="N61" s="654"/>
      <c r="O61" s="654"/>
      <c r="P61" s="654"/>
      <c r="Q61" s="654"/>
      <c r="R61" s="654"/>
      <c r="S61" s="654"/>
      <c r="T61" s="654"/>
      <c r="U61" s="654"/>
      <c r="V61" s="654"/>
      <c r="W61" s="654"/>
      <c r="X61" s="654"/>
      <c r="Y61" s="654"/>
      <c r="Z61" s="654"/>
      <c r="AA61" s="654"/>
      <c r="AB61" s="654"/>
      <c r="AC61" s="654"/>
      <c r="AD61" s="654"/>
      <c r="AE61" s="654"/>
      <c r="AF61" s="655"/>
    </row>
    <row r="62">
      <c r="A62" s="651"/>
      <c r="B62" s="656" t="s">
        <v>437</v>
      </c>
      <c r="C62" s="656" t="s">
        <v>438</v>
      </c>
      <c r="D62" s="657" t="s">
        <v>439</v>
      </c>
      <c r="E62" s="658" t="s">
        <v>440</v>
      </c>
      <c r="F62" s="707" t="s">
        <v>488</v>
      </c>
      <c r="G62" s="657" t="s">
        <v>441</v>
      </c>
      <c r="H62" s="659" t="s">
        <v>442</v>
      </c>
      <c r="I62" s="659" t="s">
        <v>443</v>
      </c>
      <c r="J62" s="708" t="s">
        <v>489</v>
      </c>
      <c r="K62" s="659" t="s">
        <v>444</v>
      </c>
      <c r="L62" s="660" t="s">
        <v>445</v>
      </c>
      <c r="M62" s="661" t="s">
        <v>446</v>
      </c>
      <c r="N62" s="661" t="s">
        <v>447</v>
      </c>
      <c r="O62" s="661" t="s">
        <v>448</v>
      </c>
      <c r="P62" s="661" t="s">
        <v>449</v>
      </c>
      <c r="Q62" s="662" t="s">
        <v>450</v>
      </c>
      <c r="R62" s="661" t="s">
        <v>451</v>
      </c>
      <c r="S62" s="662" t="s">
        <v>452</v>
      </c>
      <c r="T62" s="663" t="s">
        <v>453</v>
      </c>
      <c r="U62" s="664" t="s">
        <v>454</v>
      </c>
      <c r="V62" s="664" t="s">
        <v>455</v>
      </c>
      <c r="W62" s="664" t="s">
        <v>456</v>
      </c>
      <c r="X62" s="664" t="s">
        <v>457</v>
      </c>
      <c r="Y62" s="664" t="s">
        <v>458</v>
      </c>
      <c r="Z62" s="664" t="s">
        <v>459</v>
      </c>
      <c r="AA62" s="664" t="s">
        <v>460</v>
      </c>
      <c r="AB62" s="664" t="s">
        <v>461</v>
      </c>
      <c r="AC62" s="654" t="s">
        <v>462</v>
      </c>
      <c r="AD62" s="665" t="s">
        <v>463</v>
      </c>
      <c r="AE62" s="665" t="s">
        <v>464</v>
      </c>
      <c r="AF62" s="655" t="s">
        <v>465</v>
      </c>
    </row>
    <row r="63">
      <c r="A63" s="666" t="s">
        <v>497</v>
      </c>
      <c r="B63" s="667" t="s">
        <v>467</v>
      </c>
      <c r="C63" s="668" t="s">
        <v>481</v>
      </c>
      <c r="D63" s="671">
        <v>3000</v>
      </c>
      <c r="E63" s="670">
        <v>5</v>
      </c>
      <c r="F63" s="670">
        <v>3</v>
      </c>
      <c r="G63" s="671">
        <v>5819</v>
      </c>
      <c r="H63" s="672">
        <f t="shared" ref="H63:H69" si="54">G63/D63</f>
      </c>
      <c r="I63" s="672">
        <f t="shared" ref="I63:I69" si="90">D63/E63</f>
      </c>
      <c r="J63" s="672">
        <f t="shared" ref="J63:J68" si="15">D63/F63</f>
      </c>
      <c r="K63" s="672">
        <f t="shared" ref="K63:K69" si="126">G63/E63</f>
      </c>
      <c r="L63" s="672">
        <f t="shared" ref="L63:L69" si="30">D63/V63</f>
      </c>
      <c r="M63" s="673">
        <f t="shared" ref="M63:M69" si="66">Q63/U63*1</f>
      </c>
      <c r="N63" s="674">
        <f t="shared" ref="N63:N69" si="102">V63/U63</f>
      </c>
      <c r="O63" s="673">
        <f t="shared" ref="O63:O69" si="138">X63/U63</f>
      </c>
      <c r="P63" s="673">
        <f t="shared" ref="P63:P69" si="7">Y63/X63</f>
      </c>
      <c r="Q63" s="675">
        <f t="shared" ref="Q63:Q69" si="42">W63/R63</f>
      </c>
      <c r="R63" s="676">
        <v>0.0284</v>
      </c>
      <c r="S63" s="677">
        <v>47</v>
      </c>
      <c r="T63" s="672">
        <f t="shared" ref="T63:T68" si="78">(D63/U63)*1000</f>
      </c>
      <c r="U63" s="675">
        <v>15752</v>
      </c>
      <c r="V63" s="675">
        <v>824</v>
      </c>
      <c r="W63" s="675">
        <v>95</v>
      </c>
      <c r="X63" s="675">
        <v>1201</v>
      </c>
      <c r="Y63" s="675">
        <v>94</v>
      </c>
      <c r="Z63" s="675">
        <v>10</v>
      </c>
      <c r="AA63" s="675">
        <v>3</v>
      </c>
      <c r="AB63" s="675">
        <v>11</v>
      </c>
      <c r="AC63" s="678">
        <f t="shared" ref="AC63:AC68" si="114">AF63*1000/D63</f>
      </c>
      <c r="AD63" s="680" t="s">
        <v>478</v>
      </c>
      <c r="AE63" s="680" t="s">
        <v>491</v>
      </c>
      <c r="AF63" s="677">
        <v>43</v>
      </c>
    </row>
    <row r="64">
      <c r="A64" s="666"/>
      <c r="B64" s="667" t="s">
        <v>467</v>
      </c>
      <c r="C64" s="668" t="s">
        <v>482</v>
      </c>
      <c r="D64" s="669">
        <v>3126.64</v>
      </c>
      <c r="E64" s="670">
        <v>1</v>
      </c>
      <c r="F64" s="670">
        <v>1</v>
      </c>
      <c r="G64" s="671">
        <v>451</v>
      </c>
      <c r="H64" s="672">
        <f t="shared" si="54"/>
      </c>
      <c r="I64" s="672">
        <f t="shared" si="90"/>
      </c>
      <c r="J64" s="672">
        <f t="shared" si="15"/>
      </c>
      <c r="K64" s="672">
        <f t="shared" si="126"/>
      </c>
      <c r="L64" s="672">
        <f t="shared" si="30"/>
      </c>
      <c r="M64" s="673">
        <f t="shared" si="66"/>
      </c>
      <c r="N64" s="673">
        <f t="shared" si="102"/>
      </c>
      <c r="O64" s="682">
        <f t="shared" si="138"/>
      </c>
      <c r="P64" s="682">
        <f t="shared" si="7"/>
      </c>
      <c r="Q64" s="683">
        <f t="shared" si="42"/>
      </c>
      <c r="R64" s="676">
        <v>0.0193</v>
      </c>
      <c r="S64" s="684">
        <v>45</v>
      </c>
      <c r="T64" s="685">
        <f t="shared" si="78"/>
      </c>
      <c r="U64" s="683">
        <v>15572</v>
      </c>
      <c r="V64" s="683">
        <v>554</v>
      </c>
      <c r="W64" s="683">
        <v>88</v>
      </c>
      <c r="X64" s="683">
        <v>570</v>
      </c>
      <c r="Y64" s="683">
        <v>64</v>
      </c>
      <c r="Z64" s="683">
        <v>6</v>
      </c>
      <c r="AA64" s="683">
        <v>0</v>
      </c>
      <c r="AB64" s="683">
        <v>18</v>
      </c>
      <c r="AC64" s="678">
        <f t="shared" si="114"/>
      </c>
      <c r="AD64" s="680" t="s">
        <v>478</v>
      </c>
      <c r="AE64" s="680" t="s">
        <v>491</v>
      </c>
      <c r="AF64" s="677">
        <v>40</v>
      </c>
    </row>
    <row r="65">
      <c r="A65" s="666"/>
      <c r="B65" s="667" t="s">
        <v>467</v>
      </c>
      <c r="C65" s="668" t="s">
        <v>473</v>
      </c>
      <c r="D65" s="671">
        <v>2965.59</v>
      </c>
      <c r="E65" s="670">
        <v>5</v>
      </c>
      <c r="F65" s="670">
        <v>5</v>
      </c>
      <c r="G65" s="671">
        <v>4857.6</v>
      </c>
      <c r="H65" s="672">
        <f t="shared" si="54"/>
      </c>
      <c r="I65" s="672">
        <f t="shared" si="90"/>
      </c>
      <c r="J65" s="672">
        <f t="shared" si="15"/>
      </c>
      <c r="K65" s="672">
        <f t="shared" si="126"/>
      </c>
      <c r="L65" s="672">
        <f t="shared" si="30"/>
      </c>
      <c r="M65" s="673">
        <f t="shared" si="66"/>
      </c>
      <c r="N65" s="673">
        <f t="shared" si="102"/>
      </c>
      <c r="O65" s="682">
        <f t="shared" si="138"/>
      </c>
      <c r="P65" s="682">
        <f t="shared" si="7"/>
      </c>
      <c r="Q65" s="683">
        <f t="shared" si="42"/>
      </c>
      <c r="R65" s="676">
        <v>0.0175</v>
      </c>
      <c r="S65" s="684">
        <v>46</v>
      </c>
      <c r="T65" s="685">
        <f t="shared" si="78"/>
      </c>
      <c r="U65" s="683">
        <v>15201</v>
      </c>
      <c r="V65" s="683">
        <v>1078</v>
      </c>
      <c r="W65" s="683">
        <v>128</v>
      </c>
      <c r="X65" s="683">
        <v>1451</v>
      </c>
      <c r="Y65" s="683">
        <v>101</v>
      </c>
      <c r="Z65" s="683">
        <v>10</v>
      </c>
      <c r="AA65" s="683">
        <v>1</v>
      </c>
      <c r="AB65" s="683">
        <v>18</v>
      </c>
      <c r="AC65" s="678">
        <f t="shared" si="114"/>
      </c>
      <c r="AD65" s="680" t="s">
        <v>478</v>
      </c>
      <c r="AE65" s="680" t="s">
        <v>491</v>
      </c>
      <c r="AF65" s="677">
        <v>37</v>
      </c>
    </row>
    <row r="66">
      <c r="A66" s="666"/>
      <c r="B66" s="667" t="s">
        <v>467</v>
      </c>
      <c r="C66" s="668" t="s">
        <v>492</v>
      </c>
      <c r="D66" s="669">
        <v>4390.51</v>
      </c>
      <c r="E66" s="670">
        <v>9</v>
      </c>
      <c r="F66" s="670">
        <v>8</v>
      </c>
      <c r="G66" s="671">
        <v>7112.6</v>
      </c>
      <c r="H66" s="672">
        <f t="shared" si="54"/>
      </c>
      <c r="I66" s="672">
        <f t="shared" si="90"/>
      </c>
      <c r="J66" s="672">
        <f t="shared" si="15"/>
      </c>
      <c r="K66" s="672">
        <f t="shared" si="126"/>
      </c>
      <c r="L66" s="672">
        <f t="shared" si="30"/>
      </c>
      <c r="M66" s="673">
        <f t="shared" si="66"/>
      </c>
      <c r="N66" s="673">
        <f t="shared" si="102"/>
      </c>
      <c r="O66" s="682">
        <f t="shared" si="138"/>
      </c>
      <c r="P66" s="682">
        <f t="shared" si="7"/>
      </c>
      <c r="Q66" s="683">
        <f t="shared" si="42"/>
      </c>
      <c r="R66" s="676">
        <v>0.0136</v>
      </c>
      <c r="S66" s="684">
        <v>44</v>
      </c>
      <c r="T66" s="685">
        <f t="shared" si="78"/>
      </c>
      <c r="U66" s="683">
        <v>29167</v>
      </c>
      <c r="V66" s="683">
        <v>1255</v>
      </c>
      <c r="W66" s="683">
        <v>151</v>
      </c>
      <c r="X66" s="683">
        <v>1630</v>
      </c>
      <c r="Y66" s="683">
        <v>91</v>
      </c>
      <c r="Z66" s="683">
        <v>20</v>
      </c>
      <c r="AA66" s="683">
        <v>1</v>
      </c>
      <c r="AB66" s="683">
        <v>16</v>
      </c>
      <c r="AC66" s="678">
        <f t="shared" si="114"/>
      </c>
      <c r="AD66" s="680" t="s">
        <v>478</v>
      </c>
      <c r="AE66" s="680" t="s">
        <v>491</v>
      </c>
      <c r="AF66" s="677">
        <v>47</v>
      </c>
    </row>
    <row r="67">
      <c r="A67" s="666"/>
      <c r="B67" s="667" t="s">
        <v>467</v>
      </c>
      <c r="C67" s="668" t="s">
        <v>493</v>
      </c>
      <c r="D67" s="671">
        <v>3263.51</v>
      </c>
      <c r="E67" s="670">
        <v>13</v>
      </c>
      <c r="F67" s="670">
        <v>11</v>
      </c>
      <c r="G67" s="671">
        <v>11013.200000000004</v>
      </c>
      <c r="H67" s="672">
        <f t="shared" si="54"/>
      </c>
      <c r="I67" s="672">
        <f t="shared" si="90"/>
      </c>
      <c r="J67" s="672">
        <f t="shared" si="15"/>
      </c>
      <c r="K67" s="672">
        <f t="shared" si="126"/>
      </c>
      <c r="L67" s="672">
        <f t="shared" si="30"/>
      </c>
      <c r="M67" s="673">
        <f t="shared" si="66"/>
      </c>
      <c r="N67" s="673">
        <f t="shared" si="102"/>
      </c>
      <c r="O67" s="682">
        <f t="shared" si="138"/>
      </c>
      <c r="P67" s="682">
        <f t="shared" si="7"/>
      </c>
      <c r="Q67" s="683">
        <f t="shared" si="42"/>
      </c>
      <c r="R67" s="676">
        <v>0.0215</v>
      </c>
      <c r="S67" s="684">
        <v>48</v>
      </c>
      <c r="T67" s="685">
        <f t="shared" si="78"/>
      </c>
      <c r="U67" s="683">
        <v>29500</v>
      </c>
      <c r="V67" s="683">
        <v>1045</v>
      </c>
      <c r="W67" s="684">
        <v>109</v>
      </c>
      <c r="X67" s="683">
        <v>1454</v>
      </c>
      <c r="Y67" s="683">
        <v>118</v>
      </c>
      <c r="Z67" s="684">
        <v>17</v>
      </c>
      <c r="AA67" s="684">
        <v>0</v>
      </c>
      <c r="AB67" s="683">
        <v>19</v>
      </c>
      <c r="AC67" s="678">
        <f t="shared" si="114"/>
      </c>
      <c r="AD67" s="680" t="s">
        <v>478</v>
      </c>
      <c r="AE67" s="680" t="s">
        <v>491</v>
      </c>
      <c r="AF67" s="677">
        <v>44</v>
      </c>
    </row>
    <row r="68">
      <c r="A68" s="666"/>
      <c r="B68" s="686" t="s">
        <v>474</v>
      </c>
      <c r="C68" s="686"/>
      <c r="D68" s="687">
        <f>SUM(D63:D67)</f>
      </c>
      <c r="E68" s="688">
        <f>SUM(E63:E67)</f>
      </c>
      <c r="F68" s="688">
        <f>SUM(F63:F67)</f>
      </c>
      <c r="G68" s="687">
        <f>SUM(G63:G67)</f>
      </c>
      <c r="H68" s="689">
        <f t="shared" si="54"/>
      </c>
      <c r="I68" s="689">
        <f t="shared" si="90"/>
      </c>
      <c r="J68" s="689">
        <f t="shared" si="15"/>
      </c>
      <c r="K68" s="689">
        <f t="shared" si="126"/>
      </c>
      <c r="L68" s="689">
        <f t="shared" si="30"/>
      </c>
      <c r="M68" s="690">
        <f t="shared" si="66"/>
      </c>
      <c r="N68" s="690">
        <f t="shared" si="102"/>
      </c>
      <c r="O68" s="690">
        <f t="shared" si="138"/>
      </c>
      <c r="P68" s="690">
        <f t="shared" si="7"/>
      </c>
      <c r="Q68" s="691">
        <f t="shared" si="42"/>
      </c>
      <c r="R68" s="690">
        <f>AVERAGE(R63:R67)</f>
      </c>
      <c r="S68" s="687">
        <f>AVERAGE(S63:S67)</f>
      </c>
      <c r="T68" s="689">
        <f t="shared" si="78"/>
      </c>
      <c r="U68" s="691">
        <f>SUM(U63:U67)</f>
      </c>
      <c r="V68" s="691">
        <f>SUM(V63:V67)</f>
      </c>
      <c r="W68" s="691">
        <f>SUM(W63:W67)</f>
      </c>
      <c r="X68" s="691">
        <f>SUM(X63:X67)</f>
      </c>
      <c r="Y68" s="691">
        <f>SUM(Y63:Y67)</f>
      </c>
      <c r="Z68" s="691">
        <f>SUM(Z63:Z67)</f>
      </c>
      <c r="AA68" s="691">
        <f>SUM(AA63:AA67)</f>
      </c>
      <c r="AB68" s="691">
        <f>SUM(AB63:AB67)</f>
      </c>
      <c r="AC68" s="692">
        <f t="shared" si="114"/>
      </c>
      <c r="AD68" s="693"/>
      <c r="AE68" s="693"/>
      <c r="AF68" s="694">
        <f>SUM(AF63:AF67)</f>
      </c>
    </row>
    <row r="69">
      <c r="A69" s="666"/>
      <c r="B69" s="695" t="s">
        <v>475</v>
      </c>
      <c r="C69" s="695"/>
      <c r="D69" s="696">
        <f>D68</f>
      </c>
      <c r="E69" s="697">
        <f>E68</f>
      </c>
      <c r="F69" s="697">
        <f>F68</f>
      </c>
      <c r="G69" s="696">
        <f>G68</f>
      </c>
      <c r="H69" s="698">
        <f t="shared" si="54"/>
      </c>
      <c r="I69" s="698">
        <f t="shared" si="90"/>
      </c>
      <c r="J69" s="698">
        <v>745.3765</v>
      </c>
      <c r="K69" s="698">
        <f t="shared" si="126"/>
      </c>
      <c r="L69" s="698">
        <f t="shared" si="30"/>
      </c>
      <c r="M69" s="699">
        <f t="shared" si="66"/>
      </c>
      <c r="N69" s="699">
        <f t="shared" si="102"/>
      </c>
      <c r="O69" s="699">
        <f t="shared" si="138"/>
      </c>
      <c r="P69" s="699">
        <f t="shared" si="7"/>
      </c>
      <c r="Q69" s="700">
        <f t="shared" si="42"/>
      </c>
      <c r="R69" s="701">
        <f>R68</f>
      </c>
      <c r="S69" s="702">
        <f>S68</f>
      </c>
      <c r="T69" s="696">
        <f>T68</f>
      </c>
      <c r="U69" s="700">
        <f>U68</f>
      </c>
      <c r="V69" s="700">
        <f>V68</f>
      </c>
      <c r="W69" s="700">
        <f>W68</f>
      </c>
      <c r="X69" s="700">
        <f>X68</f>
      </c>
      <c r="Y69" s="700">
        <f>Y68</f>
      </c>
      <c r="Z69" s="700">
        <f>Z68</f>
      </c>
      <c r="AA69" s="700">
        <f>AA68</f>
      </c>
      <c r="AB69" s="700">
        <f>AB68</f>
      </c>
      <c r="AC69" s="703">
        <f>AC68</f>
      </c>
      <c r="AD69" s="704"/>
      <c r="AE69" s="704"/>
      <c r="AF69" s="700">
        <f>AF68</f>
      </c>
    </row>
    <row r="70">
      <c r="A70" s="651" t="s">
        <v>433</v>
      </c>
      <c r="B70" s="651" t="s">
        <v>434</v>
      </c>
      <c r="C70" s="651"/>
      <c r="D70" s="652" t="s">
        <v>435</v>
      </c>
      <c r="E70" s="652"/>
      <c r="F70" s="652"/>
      <c r="G70" s="652"/>
      <c r="H70" s="652"/>
      <c r="I70" s="652"/>
      <c r="J70" s="652"/>
      <c r="K70" s="652"/>
      <c r="L70" s="654" t="s">
        <v>436</v>
      </c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54"/>
      <c r="AB70" s="654"/>
      <c r="AC70" s="654"/>
      <c r="AD70" s="654"/>
      <c r="AE70" s="654"/>
      <c r="AF70" s="655"/>
    </row>
    <row r="71">
      <c r="A71" s="651"/>
      <c r="B71" s="656" t="s">
        <v>437</v>
      </c>
      <c r="C71" s="656" t="s">
        <v>438</v>
      </c>
      <c r="D71" s="657" t="s">
        <v>439</v>
      </c>
      <c r="E71" s="658" t="s">
        <v>440</v>
      </c>
      <c r="F71" s="707" t="s">
        <v>488</v>
      </c>
      <c r="G71" s="657" t="s">
        <v>441</v>
      </c>
      <c r="H71" s="659" t="s">
        <v>442</v>
      </c>
      <c r="I71" s="659" t="s">
        <v>443</v>
      </c>
      <c r="J71" s="708" t="s">
        <v>489</v>
      </c>
      <c r="K71" s="659" t="s">
        <v>444</v>
      </c>
      <c r="L71" s="660" t="s">
        <v>445</v>
      </c>
      <c r="M71" s="661" t="s">
        <v>446</v>
      </c>
      <c r="N71" s="661" t="s">
        <v>447</v>
      </c>
      <c r="O71" s="661" t="s">
        <v>448</v>
      </c>
      <c r="P71" s="661" t="s">
        <v>449</v>
      </c>
      <c r="Q71" s="662" t="s">
        <v>450</v>
      </c>
      <c r="R71" s="661" t="s">
        <v>451</v>
      </c>
      <c r="S71" s="662" t="s">
        <v>452</v>
      </c>
      <c r="T71" s="663" t="s">
        <v>453</v>
      </c>
      <c r="U71" s="664" t="s">
        <v>454</v>
      </c>
      <c r="V71" s="664" t="s">
        <v>455</v>
      </c>
      <c r="W71" s="664" t="s">
        <v>456</v>
      </c>
      <c r="X71" s="664" t="s">
        <v>457</v>
      </c>
      <c r="Y71" s="664" t="s">
        <v>458</v>
      </c>
      <c r="Z71" s="664" t="s">
        <v>459</v>
      </c>
      <c r="AA71" s="664" t="s">
        <v>460</v>
      </c>
      <c r="AB71" s="664" t="s">
        <v>461</v>
      </c>
      <c r="AC71" s="654" t="s">
        <v>462</v>
      </c>
      <c r="AD71" s="665" t="s">
        <v>463</v>
      </c>
      <c r="AE71" s="665" t="s">
        <v>464</v>
      </c>
      <c r="AF71" s="655" t="s">
        <v>465</v>
      </c>
    </row>
    <row r="72">
      <c r="A72" s="666" t="s">
        <v>498</v>
      </c>
      <c r="B72" s="667" t="s">
        <v>467</v>
      </c>
      <c r="C72" s="668" t="s">
        <v>482</v>
      </c>
      <c r="D72" s="671">
        <v>3000</v>
      </c>
      <c r="E72" s="670">
        <v>6</v>
      </c>
      <c r="F72" s="670">
        <v>6</v>
      </c>
      <c r="G72" s="671">
        <v>3111.9</v>
      </c>
      <c r="H72" s="672">
        <f t="shared" ref="H72:H78" si="55">G72/D72</f>
      </c>
      <c r="I72" s="672">
        <f t="shared" ref="I72:I78" si="91">D72/E72</f>
      </c>
      <c r="J72" s="672">
        <f t="shared" ref="J72:J77" si="16">D72/F72</f>
      </c>
      <c r="K72" s="672">
        <f t="shared" ref="K72:K78" si="127">G72/E72</f>
      </c>
      <c r="L72" s="672">
        <f t="shared" ref="L72:L78" si="31">D72/V72</f>
      </c>
      <c r="M72" s="673">
        <f t="shared" ref="M72:M78" si="67">Q72/U72*1</f>
      </c>
      <c r="N72" s="674">
        <f t="shared" ref="N72:N78" si="103">V72/U72</f>
      </c>
      <c r="O72" s="673">
        <f t="shared" ref="O72:O78" si="139">X72/U72</f>
      </c>
      <c r="P72" s="673">
        <f t="shared" ref="P72:P78" si="8">Y72/X72</f>
      </c>
      <c r="Q72" s="675">
        <f t="shared" ref="Q72:Q78" si="43">W72/R72</f>
      </c>
      <c r="R72" s="676">
        <v>0.0284</v>
      </c>
      <c r="S72" s="677">
        <v>51</v>
      </c>
      <c r="T72" s="672">
        <f t="shared" ref="T72:T77" si="79">(D72/U72)*1000</f>
      </c>
      <c r="U72" s="675">
        <v>17798</v>
      </c>
      <c r="V72" s="675">
        <v>841</v>
      </c>
      <c r="W72" s="675">
        <v>83</v>
      </c>
      <c r="X72" s="675">
        <v>1170</v>
      </c>
      <c r="Y72" s="675">
        <v>55</v>
      </c>
      <c r="Z72" s="675">
        <v>12</v>
      </c>
      <c r="AA72" s="675">
        <v>1</v>
      </c>
      <c r="AB72" s="675">
        <v>16</v>
      </c>
      <c r="AC72" s="678">
        <f t="shared" ref="AC72:AC77" si="115">AF72*1000/D72</f>
      </c>
      <c r="AD72" s="680" t="s">
        <v>478</v>
      </c>
      <c r="AE72" s="680" t="s">
        <v>491</v>
      </c>
      <c r="AF72" s="677">
        <v>29</v>
      </c>
    </row>
    <row r="73">
      <c r="A73" s="666"/>
      <c r="B73" s="667" t="s">
        <v>467</v>
      </c>
      <c r="C73" s="668" t="s">
        <v>473</v>
      </c>
      <c r="D73" s="669">
        <v>3000</v>
      </c>
      <c r="E73" s="670">
        <v>8</v>
      </c>
      <c r="F73" s="670">
        <v>5</v>
      </c>
      <c r="G73" s="671">
        <v>8946.300000000001</v>
      </c>
      <c r="H73" s="672">
        <f t="shared" si="55"/>
      </c>
      <c r="I73" s="672">
        <f t="shared" si="91"/>
      </c>
      <c r="J73" s="672">
        <f t="shared" si="16"/>
      </c>
      <c r="K73" s="672">
        <f t="shared" si="127"/>
      </c>
      <c r="L73" s="672">
        <f t="shared" si="31"/>
      </c>
      <c r="M73" s="673">
        <f t="shared" si="67"/>
      </c>
      <c r="N73" s="673">
        <f t="shared" si="103"/>
      </c>
      <c r="O73" s="682">
        <f t="shared" si="139"/>
      </c>
      <c r="P73" s="682">
        <f t="shared" si="8"/>
      </c>
      <c r="Q73" s="683">
        <f t="shared" si="43"/>
      </c>
      <c r="R73" s="676">
        <v>0.0193</v>
      </c>
      <c r="S73" s="684">
        <v>66</v>
      </c>
      <c r="T73" s="685">
        <f t="shared" si="79"/>
      </c>
      <c r="U73" s="683">
        <v>23370</v>
      </c>
      <c r="V73" s="683">
        <v>696</v>
      </c>
      <c r="W73" s="683">
        <v>126</v>
      </c>
      <c r="X73" s="683">
        <v>809</v>
      </c>
      <c r="Y73" s="683">
        <v>114</v>
      </c>
      <c r="Z73" s="683">
        <v>18</v>
      </c>
      <c r="AA73" s="683">
        <v>4</v>
      </c>
      <c r="AB73" s="683">
        <v>22</v>
      </c>
      <c r="AC73" s="678">
        <f t="shared" si="115"/>
      </c>
      <c r="AD73" s="680" t="s">
        <v>478</v>
      </c>
      <c r="AE73" s="680" t="s">
        <v>491</v>
      </c>
      <c r="AF73" s="677">
        <v>48</v>
      </c>
    </row>
    <row r="74">
      <c r="A74" s="666"/>
      <c r="B74" s="667" t="s">
        <v>467</v>
      </c>
      <c r="C74" s="668" t="s">
        <v>492</v>
      </c>
      <c r="D74" s="671">
        <v>2969.79</v>
      </c>
      <c r="E74" s="670">
        <v>6</v>
      </c>
      <c r="F74" s="670">
        <v>6</v>
      </c>
      <c r="G74" s="671">
        <v>6118.200000000001</v>
      </c>
      <c r="H74" s="672">
        <f t="shared" si="55"/>
      </c>
      <c r="I74" s="672">
        <f t="shared" si="91"/>
      </c>
      <c r="J74" s="672">
        <f t="shared" si="16"/>
      </c>
      <c r="K74" s="672">
        <f t="shared" si="127"/>
      </c>
      <c r="L74" s="672">
        <f t="shared" si="31"/>
      </c>
      <c r="M74" s="673">
        <f t="shared" si="67"/>
      </c>
      <c r="N74" s="673">
        <f t="shared" si="103"/>
      </c>
      <c r="O74" s="682">
        <f t="shared" si="139"/>
      </c>
      <c r="P74" s="682">
        <f t="shared" si="8"/>
      </c>
      <c r="Q74" s="683">
        <f t="shared" si="43"/>
      </c>
      <c r="R74" s="676">
        <v>0.0175</v>
      </c>
      <c r="S74" s="684">
        <v>67</v>
      </c>
      <c r="T74" s="685">
        <f t="shared" si="79"/>
      </c>
      <c r="U74" s="683">
        <v>21682</v>
      </c>
      <c r="V74" s="683">
        <v>575</v>
      </c>
      <c r="W74" s="683">
        <v>93</v>
      </c>
      <c r="X74" s="683">
        <v>621</v>
      </c>
      <c r="Y74" s="683">
        <v>61</v>
      </c>
      <c r="Z74" s="683">
        <v>10</v>
      </c>
      <c r="AA74" s="683">
        <v>0</v>
      </c>
      <c r="AB74" s="683">
        <v>14</v>
      </c>
      <c r="AC74" s="678">
        <f t="shared" si="115"/>
      </c>
      <c r="AD74" s="680" t="s">
        <v>478</v>
      </c>
      <c r="AE74" s="680" t="s">
        <v>491</v>
      </c>
      <c r="AF74" s="677">
        <v>23</v>
      </c>
    </row>
    <row r="75">
      <c r="A75" s="666"/>
      <c r="B75" s="667" t="s">
        <v>467</v>
      </c>
      <c r="C75" s="668" t="s">
        <v>493</v>
      </c>
      <c r="D75" s="669">
        <v>3012.64</v>
      </c>
      <c r="E75" s="670">
        <v>3</v>
      </c>
      <c r="F75" s="670">
        <v>1</v>
      </c>
      <c r="G75" s="671">
        <v>2013</v>
      </c>
      <c r="H75" s="672">
        <f t="shared" si="55"/>
      </c>
      <c r="I75" s="672">
        <f t="shared" si="91"/>
      </c>
      <c r="J75" s="672">
        <f t="shared" si="16"/>
      </c>
      <c r="K75" s="672">
        <f t="shared" si="127"/>
      </c>
      <c r="L75" s="672">
        <f t="shared" si="31"/>
      </c>
      <c r="M75" s="673">
        <f t="shared" si="67"/>
      </c>
      <c r="N75" s="673">
        <f t="shared" si="103"/>
      </c>
      <c r="O75" s="682">
        <f t="shared" si="139"/>
      </c>
      <c r="P75" s="682">
        <f t="shared" si="8"/>
      </c>
      <c r="Q75" s="683">
        <f t="shared" si="43"/>
      </c>
      <c r="R75" s="676">
        <v>0.0136</v>
      </c>
      <c r="S75" s="684">
        <v>61</v>
      </c>
      <c r="T75" s="685">
        <f t="shared" si="79"/>
      </c>
      <c r="U75" s="683">
        <v>27297</v>
      </c>
      <c r="V75" s="683">
        <v>761</v>
      </c>
      <c r="W75" s="683">
        <v>84</v>
      </c>
      <c r="X75" s="683">
        <v>846</v>
      </c>
      <c r="Y75" s="683">
        <v>55</v>
      </c>
      <c r="Z75" s="683">
        <v>9</v>
      </c>
      <c r="AA75" s="683">
        <v>0</v>
      </c>
      <c r="AB75" s="683">
        <v>18</v>
      </c>
      <c r="AC75" s="678">
        <f t="shared" si="115"/>
      </c>
      <c r="AD75" s="680" t="s">
        <v>478</v>
      </c>
      <c r="AE75" s="680" t="s">
        <v>491</v>
      </c>
      <c r="AF75" s="677">
        <v>32</v>
      </c>
    </row>
    <row r="76">
      <c r="A76" s="666"/>
      <c r="B76" s="667" t="s">
        <v>467</v>
      </c>
      <c r="C76" s="668" t="s">
        <v>499</v>
      </c>
      <c r="D76" s="671">
        <v>2499.13</v>
      </c>
      <c r="E76" s="670">
        <v>5</v>
      </c>
      <c r="F76" s="670">
        <v>6</v>
      </c>
      <c r="G76" s="671">
        <v>3945.7000000000007</v>
      </c>
      <c r="H76" s="672">
        <f t="shared" si="55"/>
      </c>
      <c r="I76" s="672">
        <f t="shared" si="91"/>
      </c>
      <c r="J76" s="672">
        <f t="shared" si="16"/>
      </c>
      <c r="K76" s="672">
        <f t="shared" si="127"/>
      </c>
      <c r="L76" s="672">
        <f t="shared" si="31"/>
      </c>
      <c r="M76" s="673">
        <f t="shared" si="67"/>
      </c>
      <c r="N76" s="673">
        <f t="shared" si="103"/>
      </c>
      <c r="O76" s="682">
        <f t="shared" si="139"/>
      </c>
      <c r="P76" s="682">
        <f t="shared" si="8"/>
      </c>
      <c r="Q76" s="683">
        <f t="shared" si="43"/>
      </c>
      <c r="R76" s="676">
        <v>0.0215</v>
      </c>
      <c r="S76" s="684">
        <v>59</v>
      </c>
      <c r="T76" s="685">
        <f t="shared" si="79"/>
      </c>
      <c r="U76" s="683">
        <v>19247</v>
      </c>
      <c r="V76" s="683">
        <v>961</v>
      </c>
      <c r="W76" s="684">
        <v>115</v>
      </c>
      <c r="X76" s="683">
        <v>1092</v>
      </c>
      <c r="Y76" s="683">
        <v>56</v>
      </c>
      <c r="Z76" s="684">
        <v>8</v>
      </c>
      <c r="AA76" s="684">
        <v>0</v>
      </c>
      <c r="AB76" s="683">
        <v>13</v>
      </c>
      <c r="AC76" s="678">
        <f t="shared" si="115"/>
      </c>
      <c r="AD76" s="680" t="s">
        <v>478</v>
      </c>
      <c r="AE76" s="680" t="s">
        <v>491</v>
      </c>
      <c r="AF76" s="677">
        <v>30</v>
      </c>
    </row>
    <row r="77">
      <c r="A77" s="666"/>
      <c r="B77" s="686" t="s">
        <v>474</v>
      </c>
      <c r="C77" s="686"/>
      <c r="D77" s="687">
        <f>SUM(D72:D76)</f>
      </c>
      <c r="E77" s="688">
        <f>SUM(E72:E76)</f>
      </c>
      <c r="F77" s="688">
        <f>SUM(F72:F76)</f>
      </c>
      <c r="G77" s="687">
        <f>SUM(G72:G76)</f>
      </c>
      <c r="H77" s="689">
        <f t="shared" si="55"/>
      </c>
      <c r="I77" s="689">
        <f t="shared" si="91"/>
      </c>
      <c r="J77" s="689">
        <f t="shared" si="16"/>
      </c>
      <c r="K77" s="689">
        <f t="shared" si="127"/>
      </c>
      <c r="L77" s="689">
        <f t="shared" si="31"/>
      </c>
      <c r="M77" s="690">
        <f t="shared" si="67"/>
      </c>
      <c r="N77" s="690">
        <f t="shared" si="103"/>
      </c>
      <c r="O77" s="690">
        <f t="shared" si="139"/>
      </c>
      <c r="P77" s="690">
        <f t="shared" si="8"/>
      </c>
      <c r="Q77" s="691">
        <f t="shared" si="43"/>
      </c>
      <c r="R77" s="690">
        <f>AVERAGE(R72:R76)</f>
      </c>
      <c r="S77" s="687">
        <f>AVERAGE(S72:S76)</f>
      </c>
      <c r="T77" s="689">
        <f t="shared" si="79"/>
      </c>
      <c r="U77" s="691">
        <f>SUM(U72:U76)</f>
      </c>
      <c r="V77" s="691">
        <f>SUM(V72:V76)</f>
      </c>
      <c r="W77" s="691">
        <f>SUM(W72:W76)</f>
      </c>
      <c r="X77" s="691">
        <f>SUM(X72:X76)</f>
      </c>
      <c r="Y77" s="691">
        <f>SUM(Y72:Y76)</f>
      </c>
      <c r="Z77" s="691">
        <f>SUM(Z72:Z76)</f>
      </c>
      <c r="AA77" s="691">
        <f>SUM(AA72:AA76)</f>
      </c>
      <c r="AB77" s="691">
        <f>SUM(AB72:AB76)</f>
      </c>
      <c r="AC77" s="692">
        <f t="shared" si="115"/>
      </c>
      <c r="AD77" s="693"/>
      <c r="AE77" s="693"/>
      <c r="AF77" s="694">
        <f>SUM(AF72:AF76)</f>
      </c>
    </row>
    <row r="78">
      <c r="A78" s="666"/>
      <c r="B78" s="695" t="s">
        <v>475</v>
      </c>
      <c r="C78" s="695"/>
      <c r="D78" s="696">
        <f>D77</f>
      </c>
      <c r="E78" s="697">
        <f>E77</f>
      </c>
      <c r="F78" s="697">
        <f>F77</f>
      </c>
      <c r="G78" s="696">
        <f>G77</f>
      </c>
      <c r="H78" s="698">
        <f t="shared" si="55"/>
      </c>
      <c r="I78" s="698">
        <f t="shared" si="91"/>
      </c>
      <c r="J78" s="698">
        <v>745.3765</v>
      </c>
      <c r="K78" s="698">
        <f t="shared" si="127"/>
      </c>
      <c r="L78" s="698">
        <f t="shared" si="31"/>
      </c>
      <c r="M78" s="699">
        <f t="shared" si="67"/>
      </c>
      <c r="N78" s="699">
        <f t="shared" si="103"/>
      </c>
      <c r="O78" s="699">
        <f t="shared" si="139"/>
      </c>
      <c r="P78" s="699">
        <f t="shared" si="8"/>
      </c>
      <c r="Q78" s="700">
        <f t="shared" si="43"/>
      </c>
      <c r="R78" s="701">
        <f>R77</f>
      </c>
      <c r="S78" s="702">
        <f>S77</f>
      </c>
      <c r="T78" s="696">
        <f>T77</f>
      </c>
      <c r="U78" s="700">
        <f>U77</f>
      </c>
      <c r="V78" s="700">
        <f>V77</f>
      </c>
      <c r="W78" s="700">
        <f>W77</f>
      </c>
      <c r="X78" s="700">
        <f>X77</f>
      </c>
      <c r="Y78" s="700">
        <f>Y77</f>
      </c>
      <c r="Z78" s="700">
        <f>Z77</f>
      </c>
      <c r="AA78" s="700">
        <f>AA77</f>
      </c>
      <c r="AB78" s="700">
        <f>AB77</f>
      </c>
      <c r="AC78" s="703">
        <f>AC77</f>
      </c>
      <c r="AD78" s="704"/>
      <c r="AE78" s="704"/>
      <c r="AF78" s="700">
        <f>AF77</f>
      </c>
    </row>
    <row r="79">
      <c r="A79" s="651" t="s">
        <v>433</v>
      </c>
      <c r="B79" s="651" t="s">
        <v>434</v>
      </c>
      <c r="C79" s="651"/>
      <c r="D79" s="652" t="s">
        <v>435</v>
      </c>
      <c r="E79" s="652"/>
      <c r="F79" s="652"/>
      <c r="G79" s="652"/>
      <c r="H79" s="652"/>
      <c r="I79" s="652"/>
      <c r="J79" s="652"/>
      <c r="K79" s="652"/>
      <c r="L79" s="654" t="s">
        <v>436</v>
      </c>
      <c r="M79" s="654"/>
      <c r="N79" s="654"/>
      <c r="O79" s="654"/>
      <c r="P79" s="654"/>
      <c r="Q79" s="654"/>
      <c r="R79" s="654"/>
      <c r="S79" s="654"/>
      <c r="T79" s="654"/>
      <c r="U79" s="654"/>
      <c r="V79" s="654"/>
      <c r="W79" s="654"/>
      <c r="X79" s="654"/>
      <c r="Y79" s="654"/>
      <c r="Z79" s="654"/>
      <c r="AA79" s="654"/>
      <c r="AB79" s="654"/>
      <c r="AC79" s="654"/>
      <c r="AD79" s="654"/>
      <c r="AE79" s="654"/>
      <c r="AF79" s="655"/>
    </row>
    <row r="80">
      <c r="A80" s="651"/>
      <c r="B80" s="656" t="s">
        <v>437</v>
      </c>
      <c r="C80" s="656" t="s">
        <v>438</v>
      </c>
      <c r="D80" s="657" t="s">
        <v>439</v>
      </c>
      <c r="E80" s="658" t="s">
        <v>440</v>
      </c>
      <c r="F80" s="707" t="s">
        <v>488</v>
      </c>
      <c r="G80" s="657" t="s">
        <v>441</v>
      </c>
      <c r="H80" s="659" t="s">
        <v>442</v>
      </c>
      <c r="I80" s="659" t="s">
        <v>443</v>
      </c>
      <c r="J80" s="708" t="s">
        <v>489</v>
      </c>
      <c r="K80" s="659" t="s">
        <v>444</v>
      </c>
      <c r="L80" s="660" t="s">
        <v>445</v>
      </c>
      <c r="M80" s="661" t="s">
        <v>446</v>
      </c>
      <c r="N80" s="661" t="s">
        <v>447</v>
      </c>
      <c r="O80" s="661" t="s">
        <v>448</v>
      </c>
      <c r="P80" s="661" t="s">
        <v>449</v>
      </c>
      <c r="Q80" s="662" t="s">
        <v>450</v>
      </c>
      <c r="R80" s="661" t="s">
        <v>451</v>
      </c>
      <c r="S80" s="662" t="s">
        <v>452</v>
      </c>
      <c r="T80" s="663" t="s">
        <v>453</v>
      </c>
      <c r="U80" s="664" t="s">
        <v>454</v>
      </c>
      <c r="V80" s="664" t="s">
        <v>455</v>
      </c>
      <c r="W80" s="664" t="s">
        <v>456</v>
      </c>
      <c r="X80" s="664" t="s">
        <v>457</v>
      </c>
      <c r="Y80" s="664" t="s">
        <v>458</v>
      </c>
      <c r="Z80" s="664" t="s">
        <v>459</v>
      </c>
      <c r="AA80" s="664" t="s">
        <v>460</v>
      </c>
      <c r="AB80" s="664" t="s">
        <v>461</v>
      </c>
      <c r="AC80" s="654" t="s">
        <v>462</v>
      </c>
      <c r="AD80" s="665" t="s">
        <v>463</v>
      </c>
      <c r="AE80" s="665" t="s">
        <v>464</v>
      </c>
      <c r="AF80" s="655" t="s">
        <v>465</v>
      </c>
    </row>
    <row r="81">
      <c r="A81" s="666" t="s">
        <v>500</v>
      </c>
      <c r="B81" s="667" t="s">
        <v>467</v>
      </c>
      <c r="C81" s="668" t="s">
        <v>481</v>
      </c>
      <c r="D81" s="671">
        <v>3220.05</v>
      </c>
      <c r="E81" s="670">
        <v>1</v>
      </c>
      <c r="F81" s="670">
        <v>1</v>
      </c>
      <c r="G81" s="671">
        <v>450.12</v>
      </c>
      <c r="H81" s="672">
        <f t="shared" ref="H81:H87" si="56">G81/D81</f>
      </c>
      <c r="I81" s="672">
        <f t="shared" ref="I81:I87" si="92">D81/E81</f>
      </c>
      <c r="J81" s="672">
        <f t="shared" ref="J81:J86" si="17">D81/F81</f>
      </c>
      <c r="K81" s="672">
        <f t="shared" ref="K81:K87" si="128">G81/E81</f>
      </c>
      <c r="L81" s="672">
        <f t="shared" ref="L81:L87" si="32">D81/V81</f>
      </c>
      <c r="M81" s="673">
        <f t="shared" ref="M81:M87" si="68">Q81/U81*1</f>
      </c>
      <c r="N81" s="674">
        <f t="shared" ref="N81:N87" si="104">V81/U81</f>
      </c>
      <c r="O81" s="673">
        <f t="shared" ref="O81:O87" si="140">X81/U81</f>
      </c>
      <c r="P81" s="673">
        <f t="shared" ref="P81:P87" si="9">Y81/X81</f>
      </c>
      <c r="Q81" s="675">
        <f t="shared" ref="Q81:Q87" si="44">W81/R81</f>
      </c>
      <c r="R81" s="676">
        <v>0.0124</v>
      </c>
      <c r="S81" s="677">
        <v>29</v>
      </c>
      <c r="T81" s="672">
        <f t="shared" ref="T81:T86" si="80">(D81/U81)*1000</f>
      </c>
      <c r="U81" s="675">
        <v>20988</v>
      </c>
      <c r="V81" s="675">
        <v>1082</v>
      </c>
      <c r="W81" s="675">
        <v>92</v>
      </c>
      <c r="X81" s="675">
        <v>1449</v>
      </c>
      <c r="Y81" s="675">
        <v>72</v>
      </c>
      <c r="Z81" s="675">
        <v>19</v>
      </c>
      <c r="AA81" s="675">
        <v>5</v>
      </c>
      <c r="AB81" s="675">
        <v>24</v>
      </c>
      <c r="AC81" s="678">
        <f t="shared" ref="AC81:AC86" si="116">AF81*1000/D81</f>
      </c>
      <c r="AD81" s="680" t="s">
        <v>478</v>
      </c>
      <c r="AE81" s="680" t="s">
        <v>501</v>
      </c>
      <c r="AF81" s="677">
        <v>30</v>
      </c>
    </row>
    <row r="82">
      <c r="A82" s="666"/>
      <c r="B82" s="667" t="s">
        <v>467</v>
      </c>
      <c r="C82" s="668" t="s">
        <v>482</v>
      </c>
      <c r="D82" s="669">
        <v>2987.55</v>
      </c>
      <c r="E82" s="670">
        <v>2</v>
      </c>
      <c r="F82" s="670">
        <v>1</v>
      </c>
      <c r="G82" s="671">
        <v>2700.7200000000003</v>
      </c>
      <c r="H82" s="672">
        <f t="shared" si="56"/>
      </c>
      <c r="I82" s="672">
        <f t="shared" si="92"/>
      </c>
      <c r="J82" s="672">
        <f t="shared" si="17"/>
      </c>
      <c r="K82" s="672">
        <f t="shared" si="128"/>
      </c>
      <c r="L82" s="672">
        <f t="shared" si="32"/>
      </c>
      <c r="M82" s="673">
        <f t="shared" si="68"/>
      </c>
      <c r="N82" s="673">
        <f t="shared" si="104"/>
      </c>
      <c r="O82" s="682">
        <f t="shared" si="140"/>
      </c>
      <c r="P82" s="682">
        <f t="shared" si="9"/>
      </c>
      <c r="Q82" s="683">
        <f t="shared" si="44"/>
      </c>
      <c r="R82" s="676">
        <v>0.0095</v>
      </c>
      <c r="S82" s="684">
        <v>33</v>
      </c>
      <c r="T82" s="685">
        <f t="shared" si="80"/>
      </c>
      <c r="U82" s="683">
        <v>26894</v>
      </c>
      <c r="V82" s="683">
        <v>1143</v>
      </c>
      <c r="W82" s="683">
        <v>85</v>
      </c>
      <c r="X82" s="683">
        <v>1454</v>
      </c>
      <c r="Y82" s="683">
        <v>71</v>
      </c>
      <c r="Z82" s="683">
        <v>13</v>
      </c>
      <c r="AA82" s="683">
        <v>4</v>
      </c>
      <c r="AB82" s="683">
        <v>28</v>
      </c>
      <c r="AC82" s="678">
        <f t="shared" si="116"/>
      </c>
      <c r="AD82" s="680" t="s">
        <v>478</v>
      </c>
      <c r="AE82" s="680" t="s">
        <v>501</v>
      </c>
      <c r="AF82" s="677">
        <v>27</v>
      </c>
    </row>
    <row r="83">
      <c r="A83" s="666"/>
      <c r="B83" s="667" t="s">
        <v>467</v>
      </c>
      <c r="C83" s="668" t="s">
        <v>473</v>
      </c>
      <c r="D83" s="671">
        <v>2987.66</v>
      </c>
      <c r="E83" s="670">
        <v>9</v>
      </c>
      <c r="F83" s="670">
        <v>8</v>
      </c>
      <c r="G83" s="671">
        <v>5448.52</v>
      </c>
      <c r="H83" s="672">
        <f t="shared" si="56"/>
      </c>
      <c r="I83" s="672">
        <f t="shared" si="92"/>
      </c>
      <c r="J83" s="672">
        <f t="shared" si="17"/>
      </c>
      <c r="K83" s="672">
        <f t="shared" si="128"/>
      </c>
      <c r="L83" s="672">
        <f t="shared" si="32"/>
      </c>
      <c r="M83" s="673">
        <f t="shared" si="68"/>
      </c>
      <c r="N83" s="673">
        <f t="shared" si="104"/>
      </c>
      <c r="O83" s="682">
        <f t="shared" si="140"/>
      </c>
      <c r="P83" s="682">
        <f t="shared" si="9"/>
      </c>
      <c r="Q83" s="683">
        <f t="shared" si="44"/>
      </c>
      <c r="R83" s="676">
        <v>0.0179</v>
      </c>
      <c r="S83" s="684">
        <v>40</v>
      </c>
      <c r="T83" s="685">
        <f t="shared" si="80"/>
      </c>
      <c r="U83" s="683">
        <v>22344</v>
      </c>
      <c r="V83" s="683">
        <v>928</v>
      </c>
      <c r="W83" s="683">
        <v>115</v>
      </c>
      <c r="X83" s="683">
        <v>1342</v>
      </c>
      <c r="Y83" s="683">
        <v>119</v>
      </c>
      <c r="Z83" s="683">
        <v>14</v>
      </c>
      <c r="AA83" s="683">
        <v>6</v>
      </c>
      <c r="AB83" s="683">
        <v>31</v>
      </c>
      <c r="AC83" s="678">
        <f t="shared" si="116"/>
      </c>
      <c r="AD83" s="680" t="s">
        <v>478</v>
      </c>
      <c r="AE83" s="680" t="s">
        <v>501</v>
      </c>
      <c r="AF83" s="677">
        <v>46</v>
      </c>
    </row>
    <row r="84">
      <c r="A84" s="666"/>
      <c r="B84" s="667" t="s">
        <v>467</v>
      </c>
      <c r="C84" s="668" t="s">
        <v>492</v>
      </c>
      <c r="D84" s="669">
        <v>3012.82</v>
      </c>
      <c r="E84" s="670">
        <v>5</v>
      </c>
      <c r="F84" s="670">
        <v>4</v>
      </c>
      <c r="G84" s="671">
        <v>2657.159999999998</v>
      </c>
      <c r="H84" s="672">
        <f t="shared" si="56"/>
      </c>
      <c r="I84" s="672">
        <f t="shared" si="92"/>
      </c>
      <c r="J84" s="672">
        <f t="shared" si="17"/>
      </c>
      <c r="K84" s="672">
        <f t="shared" si="128"/>
      </c>
      <c r="L84" s="672">
        <f t="shared" si="32"/>
      </c>
      <c r="M84" s="673">
        <f t="shared" si="68"/>
      </c>
      <c r="N84" s="673">
        <f t="shared" si="104"/>
      </c>
      <c r="O84" s="682">
        <f t="shared" si="140"/>
      </c>
      <c r="P84" s="682">
        <f t="shared" si="9"/>
      </c>
      <c r="Q84" s="683">
        <f t="shared" si="44"/>
      </c>
      <c r="R84" s="676">
        <v>0.0119</v>
      </c>
      <c r="S84" s="684">
        <v>42</v>
      </c>
      <c r="T84" s="685">
        <f t="shared" si="80"/>
      </c>
      <c r="U84" s="683">
        <v>23751</v>
      </c>
      <c r="V84" s="683">
        <v>729</v>
      </c>
      <c r="W84" s="683">
        <v>86</v>
      </c>
      <c r="X84" s="683">
        <v>1014</v>
      </c>
      <c r="Y84" s="683">
        <v>111</v>
      </c>
      <c r="Z84" s="683">
        <v>9</v>
      </c>
      <c r="AA84" s="683">
        <v>1</v>
      </c>
      <c r="AB84" s="683">
        <v>23</v>
      </c>
      <c r="AC84" s="678">
        <f t="shared" si="116"/>
      </c>
      <c r="AD84" s="680" t="s">
        <v>478</v>
      </c>
      <c r="AE84" s="680" t="s">
        <v>501</v>
      </c>
      <c r="AF84" s="677">
        <v>43</v>
      </c>
    </row>
    <row r="85">
      <c r="A85" s="666"/>
      <c r="B85" s="667" t="s">
        <v>467</v>
      </c>
      <c r="C85" s="668" t="s">
        <v>493</v>
      </c>
      <c r="D85" s="671">
        <v>1651.04</v>
      </c>
      <c r="E85" s="670">
        <v>4</v>
      </c>
      <c r="F85" s="670">
        <v>4</v>
      </c>
      <c r="G85" s="671">
        <v>3904.7800000000007</v>
      </c>
      <c r="H85" s="672">
        <f t="shared" si="56"/>
      </c>
      <c r="I85" s="672">
        <f t="shared" si="92"/>
      </c>
      <c r="J85" s="672">
        <f t="shared" si="17"/>
      </c>
      <c r="K85" s="672">
        <f t="shared" si="128"/>
      </c>
      <c r="L85" s="672">
        <f t="shared" si="32"/>
      </c>
      <c r="M85" s="673">
        <f t="shared" si="68"/>
      </c>
      <c r="N85" s="673">
        <f t="shared" si="104"/>
      </c>
      <c r="O85" s="682">
        <f t="shared" si="140"/>
      </c>
      <c r="P85" s="682">
        <f t="shared" si="9"/>
      </c>
      <c r="Q85" s="683">
        <f t="shared" si="44"/>
      </c>
      <c r="R85" s="676">
        <v>0.0124</v>
      </c>
      <c r="S85" s="684">
        <v>45</v>
      </c>
      <c r="T85" s="685">
        <f t="shared" si="80"/>
      </c>
      <c r="U85" s="683">
        <v>20988</v>
      </c>
      <c r="V85" s="683">
        <v>1082</v>
      </c>
      <c r="W85" s="684">
        <v>92</v>
      </c>
      <c r="X85" s="683">
        <v>1449</v>
      </c>
      <c r="Y85" s="683">
        <v>72</v>
      </c>
      <c r="Z85" s="684">
        <v>19</v>
      </c>
      <c r="AA85" s="684">
        <v>5</v>
      </c>
      <c r="AB85" s="683">
        <v>24</v>
      </c>
      <c r="AC85" s="678">
        <f t="shared" si="116"/>
      </c>
      <c r="AD85" s="680" t="s">
        <v>478</v>
      </c>
      <c r="AE85" s="680" t="s">
        <v>501</v>
      </c>
      <c r="AF85" s="677">
        <v>25</v>
      </c>
    </row>
    <row r="86">
      <c r="A86" s="666"/>
      <c r="B86" s="686" t="s">
        <v>474</v>
      </c>
      <c r="C86" s="686"/>
      <c r="D86" s="687">
        <f>SUM(D81:D85)</f>
      </c>
      <c r="E86" s="688">
        <f>SUM(E81:E85)</f>
      </c>
      <c r="F86" s="688">
        <f>SUM(F81:F85)</f>
      </c>
      <c r="G86" s="687">
        <f>SUM(G81:G85)</f>
      </c>
      <c r="H86" s="689">
        <f t="shared" si="56"/>
      </c>
      <c r="I86" s="689">
        <f t="shared" si="92"/>
      </c>
      <c r="J86" s="689">
        <f t="shared" si="17"/>
      </c>
      <c r="K86" s="689">
        <f t="shared" si="128"/>
      </c>
      <c r="L86" s="689">
        <f t="shared" si="32"/>
      </c>
      <c r="M86" s="690">
        <f t="shared" si="68"/>
      </c>
      <c r="N86" s="690">
        <f t="shared" si="104"/>
      </c>
      <c r="O86" s="690">
        <f t="shared" si="140"/>
      </c>
      <c r="P86" s="690">
        <f t="shared" si="9"/>
      </c>
      <c r="Q86" s="691">
        <f t="shared" si="44"/>
      </c>
      <c r="R86" s="690">
        <f>AVERAGE(R81:R85)</f>
      </c>
      <c r="S86" s="687">
        <f>AVERAGE(S81:S85)</f>
      </c>
      <c r="T86" s="689">
        <f t="shared" si="80"/>
      </c>
      <c r="U86" s="691">
        <f>SUM(U81:U85)</f>
      </c>
      <c r="V86" s="691">
        <f>SUM(V81:V85)</f>
      </c>
      <c r="W86" s="691">
        <f>SUM(W81:W85)</f>
      </c>
      <c r="X86" s="691">
        <f>SUM(X81:X85)</f>
      </c>
      <c r="Y86" s="691">
        <f>SUM(Y81:Y85)</f>
      </c>
      <c r="Z86" s="691">
        <f>SUM(Z81:Z85)</f>
      </c>
      <c r="AA86" s="691">
        <f>SUM(AA81:AA85)</f>
      </c>
      <c r="AB86" s="691">
        <f>SUM(AB81:AB85)</f>
      </c>
      <c r="AC86" s="692">
        <f t="shared" si="116"/>
      </c>
      <c r="AD86" s="693"/>
      <c r="AE86" s="693"/>
      <c r="AF86" s="694">
        <f>SUM(AF81:AF85)</f>
      </c>
    </row>
    <row r="87">
      <c r="A87" s="666"/>
      <c r="B87" s="695" t="s">
        <v>475</v>
      </c>
      <c r="C87" s="695"/>
      <c r="D87" s="696">
        <f>D86</f>
      </c>
      <c r="E87" s="697">
        <f>E86</f>
      </c>
      <c r="F87" s="697">
        <f>F86</f>
      </c>
      <c r="G87" s="696">
        <f>G86</f>
      </c>
      <c r="H87" s="698">
        <f t="shared" si="56"/>
      </c>
      <c r="I87" s="698">
        <f t="shared" si="92"/>
      </c>
      <c r="J87" s="698">
        <v>745.3765</v>
      </c>
      <c r="K87" s="698">
        <f t="shared" si="128"/>
      </c>
      <c r="L87" s="698">
        <f t="shared" si="32"/>
      </c>
      <c r="M87" s="699">
        <f t="shared" si="68"/>
      </c>
      <c r="N87" s="699">
        <f t="shared" si="104"/>
      </c>
      <c r="O87" s="699">
        <f t="shared" si="140"/>
      </c>
      <c r="P87" s="699">
        <f t="shared" si="9"/>
      </c>
      <c r="Q87" s="700">
        <f t="shared" si="44"/>
      </c>
      <c r="R87" s="701">
        <f>R86</f>
      </c>
      <c r="S87" s="702">
        <f>S86</f>
      </c>
      <c r="T87" s="696">
        <f>T86</f>
      </c>
      <c r="U87" s="700">
        <f>U86</f>
      </c>
      <c r="V87" s="700">
        <f>V86</f>
      </c>
      <c r="W87" s="700">
        <f>W86</f>
      </c>
      <c r="X87" s="700">
        <f>X86</f>
      </c>
      <c r="Y87" s="700">
        <f>Y86</f>
      </c>
      <c r="Z87" s="700">
        <f>Z86</f>
      </c>
      <c r="AA87" s="700">
        <f>AA86</f>
      </c>
      <c r="AB87" s="700">
        <f>AB86</f>
      </c>
      <c r="AC87" s="703">
        <f>AC86</f>
      </c>
      <c r="AD87" s="704"/>
      <c r="AE87" s="704"/>
      <c r="AF87" s="700">
        <f>AF86</f>
      </c>
    </row>
    <row r="88">
      <c r="A88" s="651" t="s">
        <v>433</v>
      </c>
      <c r="B88" s="651" t="s">
        <v>434</v>
      </c>
      <c r="C88" s="651"/>
      <c r="D88" s="652" t="s">
        <v>435</v>
      </c>
      <c r="E88" s="652"/>
      <c r="F88" s="652"/>
      <c r="G88" s="652"/>
      <c r="H88" s="652"/>
      <c r="I88" s="652"/>
      <c r="J88" s="652"/>
      <c r="K88" s="652"/>
      <c r="L88" s="654" t="s">
        <v>436</v>
      </c>
      <c r="M88" s="654"/>
      <c r="N88" s="654"/>
      <c r="O88" s="654"/>
      <c r="P88" s="654"/>
      <c r="Q88" s="654"/>
      <c r="R88" s="654"/>
      <c r="S88" s="654"/>
      <c r="T88" s="654"/>
      <c r="U88" s="654"/>
      <c r="V88" s="654"/>
      <c r="W88" s="654"/>
      <c r="X88" s="654"/>
      <c r="Y88" s="654"/>
      <c r="Z88" s="654"/>
      <c r="AA88" s="654"/>
      <c r="AB88" s="654"/>
      <c r="AC88" s="654"/>
      <c r="AD88" s="654"/>
      <c r="AE88" s="654"/>
      <c r="AF88" s="655"/>
    </row>
    <row r="89">
      <c r="A89" s="651"/>
      <c r="B89" s="656" t="s">
        <v>437</v>
      </c>
      <c r="C89" s="656" t="s">
        <v>438</v>
      </c>
      <c r="D89" s="657" t="s">
        <v>439</v>
      </c>
      <c r="E89" s="658" t="s">
        <v>440</v>
      </c>
      <c r="F89" s="707" t="s">
        <v>488</v>
      </c>
      <c r="G89" s="657" t="s">
        <v>441</v>
      </c>
      <c r="H89" s="659" t="s">
        <v>442</v>
      </c>
      <c r="I89" s="659" t="s">
        <v>443</v>
      </c>
      <c r="J89" s="708" t="s">
        <v>489</v>
      </c>
      <c r="K89" s="659" t="s">
        <v>444</v>
      </c>
      <c r="L89" s="660" t="s">
        <v>445</v>
      </c>
      <c r="M89" s="661" t="s">
        <v>446</v>
      </c>
      <c r="N89" s="661" t="s">
        <v>447</v>
      </c>
      <c r="O89" s="661" t="s">
        <v>448</v>
      </c>
      <c r="P89" s="661" t="s">
        <v>449</v>
      </c>
      <c r="Q89" s="662" t="s">
        <v>450</v>
      </c>
      <c r="R89" s="661" t="s">
        <v>451</v>
      </c>
      <c r="S89" s="662" t="s">
        <v>452</v>
      </c>
      <c r="T89" s="663" t="s">
        <v>453</v>
      </c>
      <c r="U89" s="664" t="s">
        <v>454</v>
      </c>
      <c r="V89" s="664" t="s">
        <v>455</v>
      </c>
      <c r="W89" s="664" t="s">
        <v>456</v>
      </c>
      <c r="X89" s="664" t="s">
        <v>457</v>
      </c>
      <c r="Y89" s="664" t="s">
        <v>458</v>
      </c>
      <c r="Z89" s="664" t="s">
        <v>459</v>
      </c>
      <c r="AA89" s="664" t="s">
        <v>460</v>
      </c>
      <c r="AB89" s="664" t="s">
        <v>461</v>
      </c>
      <c r="AC89" s="654" t="s">
        <v>462</v>
      </c>
      <c r="AD89" s="665" t="s">
        <v>463</v>
      </c>
      <c r="AE89" s="665" t="s">
        <v>464</v>
      </c>
      <c r="AF89" s="655" t="s">
        <v>465</v>
      </c>
    </row>
    <row r="90">
      <c r="A90" s="666" t="s">
        <v>502</v>
      </c>
      <c r="B90" s="667" t="s">
        <v>467</v>
      </c>
      <c r="C90" s="668" t="s">
        <v>481</v>
      </c>
      <c r="D90" s="671">
        <v>3000</v>
      </c>
      <c r="E90" s="670">
        <v>3</v>
      </c>
      <c r="F90" s="670">
        <v>3</v>
      </c>
      <c r="G90" s="671">
        <v>1758.9</v>
      </c>
      <c r="H90" s="672">
        <f t="shared" ref="H90:H96" si="57">G90/D90</f>
      </c>
      <c r="I90" s="672">
        <f t="shared" ref="I90:I96" si="93">D90/E90</f>
      </c>
      <c r="J90" s="672">
        <f t="shared" ref="J90:J95" si="18">D90/F90</f>
      </c>
      <c r="K90" s="672">
        <f t="shared" ref="K90:K96" si="129">G90/E90</f>
      </c>
      <c r="L90" s="672">
        <f t="shared" ref="L90:L96" si="33">D90/V90</f>
      </c>
      <c r="M90" s="673">
        <f t="shared" ref="M90:M96" si="69">Q90/U90*1</f>
      </c>
      <c r="N90" s="674">
        <f t="shared" ref="N90:N96" si="105">V90/U90</f>
      </c>
      <c r="O90" s="673">
        <f t="shared" ref="O90:O96" si="141">X90/U90</f>
      </c>
      <c r="P90" s="673">
        <f t="shared" ref="P90:P96" si="10">Y90/X90</f>
      </c>
      <c r="Q90" s="675">
        <f t="shared" ref="Q90:Q96" si="45">W90/R90</f>
      </c>
      <c r="R90" s="676">
        <v>0.0124</v>
      </c>
      <c r="S90" s="677">
        <v>24</v>
      </c>
      <c r="T90" s="672">
        <f t="shared" ref="T90:T95" si="81">(D90/U90)*1000</f>
      </c>
      <c r="U90" s="675">
        <v>23710</v>
      </c>
      <c r="V90" s="675">
        <v>1590</v>
      </c>
      <c r="W90" s="675">
        <v>85</v>
      </c>
      <c r="X90" s="675">
        <v>2041</v>
      </c>
      <c r="Y90" s="675">
        <v>50</v>
      </c>
      <c r="Z90" s="675">
        <v>4</v>
      </c>
      <c r="AA90" s="675">
        <v>2</v>
      </c>
      <c r="AB90" s="675">
        <v>22</v>
      </c>
      <c r="AC90" s="678">
        <f t="shared" ref="AC90:AC95" si="117">AF90*1000/D90</f>
      </c>
      <c r="AD90" s="680" t="s">
        <v>478</v>
      </c>
      <c r="AE90" s="680" t="s">
        <v>491</v>
      </c>
      <c r="AF90" s="677">
        <v>23</v>
      </c>
    </row>
    <row r="91">
      <c r="A91" s="666"/>
      <c r="B91" s="667" t="s">
        <v>467</v>
      </c>
      <c r="C91" s="668" t="s">
        <v>482</v>
      </c>
      <c r="D91" s="669">
        <v>2985.75</v>
      </c>
      <c r="E91" s="670">
        <v>7</v>
      </c>
      <c r="F91" s="670">
        <v>5</v>
      </c>
      <c r="G91" s="671">
        <v>2705.9999999999995</v>
      </c>
      <c r="H91" s="672">
        <f t="shared" si="57"/>
      </c>
      <c r="I91" s="672">
        <f t="shared" si="93"/>
      </c>
      <c r="J91" s="672">
        <f t="shared" si="18"/>
      </c>
      <c r="K91" s="672">
        <f t="shared" si="129"/>
      </c>
      <c r="L91" s="672">
        <f t="shared" si="33"/>
      </c>
      <c r="M91" s="673">
        <f t="shared" si="69"/>
      </c>
      <c r="N91" s="673">
        <f t="shared" si="105"/>
      </c>
      <c r="O91" s="682">
        <f t="shared" si="141"/>
      </c>
      <c r="P91" s="682">
        <f t="shared" si="10"/>
      </c>
      <c r="Q91" s="683">
        <f t="shared" si="45"/>
      </c>
      <c r="R91" s="676">
        <v>0.0095</v>
      </c>
      <c r="S91" s="684">
        <v>31</v>
      </c>
      <c r="T91" s="685">
        <f t="shared" si="81"/>
      </c>
      <c r="U91" s="683">
        <v>26906</v>
      </c>
      <c r="V91" s="683">
        <v>1086</v>
      </c>
      <c r="W91" s="683">
        <v>138</v>
      </c>
      <c r="X91" s="683">
        <v>1243</v>
      </c>
      <c r="Y91" s="683">
        <v>80</v>
      </c>
      <c r="Z91" s="683">
        <v>17</v>
      </c>
      <c r="AA91" s="683">
        <v>3</v>
      </c>
      <c r="AB91" s="683">
        <v>24</v>
      </c>
      <c r="AC91" s="678">
        <f t="shared" si="117"/>
      </c>
      <c r="AD91" s="680" t="s">
        <v>478</v>
      </c>
      <c r="AE91" s="680" t="s">
        <v>491</v>
      </c>
      <c r="AF91" s="677">
        <v>38</v>
      </c>
    </row>
    <row r="92">
      <c r="A92" s="666"/>
      <c r="B92" s="667" t="s">
        <v>467</v>
      </c>
      <c r="C92" s="668" t="s">
        <v>473</v>
      </c>
      <c r="D92" s="671">
        <v>3014.25</v>
      </c>
      <c r="E92" s="670">
        <v>3</v>
      </c>
      <c r="F92" s="670">
        <v>4</v>
      </c>
      <c r="G92" s="671">
        <v>2134</v>
      </c>
      <c r="H92" s="672">
        <f t="shared" si="57"/>
      </c>
      <c r="I92" s="672">
        <f t="shared" si="93"/>
      </c>
      <c r="J92" s="672">
        <f t="shared" si="18"/>
      </c>
      <c r="K92" s="672">
        <f t="shared" si="129"/>
      </c>
      <c r="L92" s="672">
        <f t="shared" si="33"/>
      </c>
      <c r="M92" s="673">
        <f t="shared" si="69"/>
      </c>
      <c r="N92" s="673">
        <f t="shared" si="105"/>
      </c>
      <c r="O92" s="682">
        <f t="shared" si="141"/>
      </c>
      <c r="P92" s="682">
        <f t="shared" si="10"/>
      </c>
      <c r="Q92" s="683">
        <f t="shared" si="45"/>
      </c>
      <c r="R92" s="676">
        <v>0.0179</v>
      </c>
      <c r="S92" s="684">
        <v>36</v>
      </c>
      <c r="T92" s="685">
        <f t="shared" si="81"/>
      </c>
      <c r="U92" s="683">
        <v>26512</v>
      </c>
      <c r="V92" s="683">
        <v>1224</v>
      </c>
      <c r="W92" s="683">
        <v>120</v>
      </c>
      <c r="X92" s="683">
        <v>1575</v>
      </c>
      <c r="Y92" s="683">
        <v>82</v>
      </c>
      <c r="Z92" s="683">
        <v>19</v>
      </c>
      <c r="AA92" s="683">
        <v>6</v>
      </c>
      <c r="AB92" s="683">
        <v>27</v>
      </c>
      <c r="AC92" s="678">
        <f t="shared" si="117"/>
      </c>
      <c r="AD92" s="680" t="s">
        <v>478</v>
      </c>
      <c r="AE92" s="680" t="s">
        <v>491</v>
      </c>
      <c r="AF92" s="677">
        <v>38</v>
      </c>
    </row>
    <row r="93">
      <c r="A93" s="666"/>
      <c r="B93" s="667" t="s">
        <v>467</v>
      </c>
      <c r="C93" s="668" t="s">
        <v>492</v>
      </c>
      <c r="D93" s="669">
        <v>2980.07</v>
      </c>
      <c r="E93" s="670">
        <v>4</v>
      </c>
      <c r="F93" s="670">
        <v>2</v>
      </c>
      <c r="G93" s="671">
        <v>2134</v>
      </c>
      <c r="H93" s="672">
        <f t="shared" si="57"/>
      </c>
      <c r="I93" s="672">
        <f t="shared" si="93"/>
      </c>
      <c r="J93" s="672">
        <f t="shared" si="18"/>
      </c>
      <c r="K93" s="672">
        <f t="shared" si="129"/>
      </c>
      <c r="L93" s="672">
        <f t="shared" si="33"/>
      </c>
      <c r="M93" s="673">
        <f t="shared" si="69"/>
      </c>
      <c r="N93" s="673">
        <f t="shared" si="105"/>
      </c>
      <c r="O93" s="682">
        <f t="shared" si="141"/>
      </c>
      <c r="P93" s="682">
        <f t="shared" si="10"/>
      </c>
      <c r="Q93" s="683">
        <f t="shared" si="45"/>
      </c>
      <c r="R93" s="676">
        <v>0.0119</v>
      </c>
      <c r="S93" s="684">
        <v>41</v>
      </c>
      <c r="T93" s="685">
        <f t="shared" si="81"/>
      </c>
      <c r="U93" s="683">
        <v>23268</v>
      </c>
      <c r="V93" s="683">
        <v>672</v>
      </c>
      <c r="W93" s="683">
        <v>110</v>
      </c>
      <c r="X93" s="683">
        <v>731</v>
      </c>
      <c r="Y93" s="683">
        <v>77</v>
      </c>
      <c r="Z93" s="683">
        <v>13</v>
      </c>
      <c r="AA93" s="683">
        <v>6</v>
      </c>
      <c r="AB93" s="683">
        <v>22</v>
      </c>
      <c r="AC93" s="678">
        <f t="shared" si="117"/>
      </c>
      <c r="AD93" s="680" t="s">
        <v>478</v>
      </c>
      <c r="AE93" s="680" t="s">
        <v>491</v>
      </c>
      <c r="AF93" s="677">
        <v>29</v>
      </c>
    </row>
    <row r="94">
      <c r="A94" s="666"/>
      <c r="B94" s="667" t="s">
        <v>467</v>
      </c>
      <c r="C94" s="668" t="s">
        <v>493</v>
      </c>
      <c r="D94" s="671">
        <v>2276.84</v>
      </c>
      <c r="E94" s="670">
        <v>3</v>
      </c>
      <c r="F94" s="670">
        <v>2</v>
      </c>
      <c r="G94" s="671">
        <v>1683</v>
      </c>
      <c r="H94" s="672">
        <f t="shared" si="57"/>
      </c>
      <c r="I94" s="672">
        <f t="shared" si="93"/>
      </c>
      <c r="J94" s="672">
        <f t="shared" si="18"/>
      </c>
      <c r="K94" s="672">
        <f t="shared" si="129"/>
      </c>
      <c r="L94" s="672">
        <f t="shared" si="33"/>
      </c>
      <c r="M94" s="673">
        <f t="shared" si="69"/>
      </c>
      <c r="N94" s="673">
        <f t="shared" si="105"/>
      </c>
      <c r="O94" s="682">
        <f t="shared" si="141"/>
      </c>
      <c r="P94" s="682">
        <f t="shared" si="10"/>
      </c>
      <c r="Q94" s="683">
        <f t="shared" si="45"/>
      </c>
      <c r="R94" s="676">
        <v>0.0124</v>
      </c>
      <c r="S94" s="684">
        <v>42</v>
      </c>
      <c r="T94" s="685">
        <f t="shared" si="81"/>
      </c>
      <c r="U94" s="683">
        <v>20094</v>
      </c>
      <c r="V94" s="684">
        <v>1084</v>
      </c>
      <c r="W94" s="684">
        <v>98</v>
      </c>
      <c r="X94" s="683">
        <v>1157</v>
      </c>
      <c r="Y94" s="684">
        <v>55</v>
      </c>
      <c r="Z94" s="684">
        <v>10</v>
      </c>
      <c r="AA94" s="684">
        <v>0</v>
      </c>
      <c r="AB94" s="684">
        <v>17</v>
      </c>
      <c r="AC94" s="678">
        <f t="shared" si="117"/>
      </c>
      <c r="AD94" s="680" t="s">
        <v>478</v>
      </c>
      <c r="AE94" s="680" t="s">
        <v>491</v>
      </c>
      <c r="AF94" s="677">
        <v>28</v>
      </c>
    </row>
    <row r="95">
      <c r="A95" s="666"/>
      <c r="B95" s="686" t="s">
        <v>474</v>
      </c>
      <c r="C95" s="686"/>
      <c r="D95" s="687">
        <f>SUM(D90:D94)</f>
      </c>
      <c r="E95" s="688">
        <f>SUM(E90:E94)</f>
      </c>
      <c r="F95" s="688">
        <f>SUM(F90:F94)</f>
      </c>
      <c r="G95" s="687">
        <f>SUM(G90:G94)</f>
      </c>
      <c r="H95" s="689">
        <f t="shared" si="57"/>
      </c>
      <c r="I95" s="689">
        <f t="shared" si="93"/>
      </c>
      <c r="J95" s="689">
        <f t="shared" si="18"/>
      </c>
      <c r="K95" s="689">
        <f t="shared" si="129"/>
      </c>
      <c r="L95" s="689">
        <f t="shared" si="33"/>
      </c>
      <c r="M95" s="690">
        <f t="shared" si="69"/>
      </c>
      <c r="N95" s="690">
        <f t="shared" si="105"/>
      </c>
      <c r="O95" s="690">
        <f t="shared" si="141"/>
      </c>
      <c r="P95" s="690">
        <f t="shared" si="10"/>
      </c>
      <c r="Q95" s="691">
        <f t="shared" si="45"/>
      </c>
      <c r="R95" s="690">
        <f>AVERAGE(R90:R94)</f>
      </c>
      <c r="S95" s="687">
        <f>AVERAGE(S90:S94)</f>
      </c>
      <c r="T95" s="689">
        <f t="shared" si="81"/>
      </c>
      <c r="U95" s="691">
        <f>SUM(U90:U94)</f>
      </c>
      <c r="V95" s="691">
        <f>SUM(V90:V94)</f>
      </c>
      <c r="W95" s="691">
        <f>SUM(W90:W94)</f>
      </c>
      <c r="X95" s="691">
        <f>SUM(X90:X94)</f>
      </c>
      <c r="Y95" s="691">
        <f>SUM(Y90:Y94)</f>
      </c>
      <c r="Z95" s="691">
        <f>SUM(Z90:Z94)</f>
      </c>
      <c r="AA95" s="691">
        <f>SUM(AA90:AA94)</f>
      </c>
      <c r="AB95" s="691">
        <f>SUM(AB90:AB94)</f>
      </c>
      <c r="AC95" s="692">
        <f t="shared" si="117"/>
      </c>
      <c r="AD95" s="693"/>
      <c r="AE95" s="693"/>
      <c r="AF95" s="694">
        <f>SUM(AF90:AF94)</f>
      </c>
    </row>
    <row r="96">
      <c r="A96" s="666"/>
      <c r="B96" s="695" t="s">
        <v>475</v>
      </c>
      <c r="C96" s="695"/>
      <c r="D96" s="696">
        <f>D95</f>
      </c>
      <c r="E96" s="697">
        <f>E95</f>
      </c>
      <c r="F96" s="697">
        <f>F95</f>
      </c>
      <c r="G96" s="696">
        <f>G95</f>
      </c>
      <c r="H96" s="698">
        <f t="shared" si="57"/>
      </c>
      <c r="I96" s="698">
        <f t="shared" si="93"/>
      </c>
      <c r="J96" s="698">
        <v>745.3765</v>
      </c>
      <c r="K96" s="698">
        <f t="shared" si="129"/>
      </c>
      <c r="L96" s="698">
        <f t="shared" si="33"/>
      </c>
      <c r="M96" s="699">
        <f t="shared" si="69"/>
      </c>
      <c r="N96" s="699">
        <f t="shared" si="105"/>
      </c>
      <c r="O96" s="699">
        <f t="shared" si="141"/>
      </c>
      <c r="P96" s="699">
        <f t="shared" si="10"/>
      </c>
      <c r="Q96" s="700">
        <f t="shared" si="45"/>
      </c>
      <c r="R96" s="701">
        <f>R95</f>
      </c>
      <c r="S96" s="702">
        <f>S95</f>
      </c>
      <c r="T96" s="696">
        <f>T95</f>
      </c>
      <c r="U96" s="700">
        <f>U95</f>
      </c>
      <c r="V96" s="700">
        <f>V95</f>
      </c>
      <c r="W96" s="700">
        <f>W95</f>
      </c>
      <c r="X96" s="700">
        <f>X95</f>
      </c>
      <c r="Y96" s="700">
        <f>Y95</f>
      </c>
      <c r="Z96" s="700">
        <f>Z95</f>
      </c>
      <c r="AA96" s="700">
        <f>AA95</f>
      </c>
      <c r="AB96" s="700">
        <f>AB95</f>
      </c>
      <c r="AC96" s="703">
        <f>AC95</f>
      </c>
      <c r="AD96" s="704"/>
      <c r="AE96" s="704"/>
      <c r="AF96" s="700">
        <f>AF95</f>
      </c>
    </row>
    <row r="97">
      <c r="A97" s="651" t="s">
        <v>433</v>
      </c>
      <c r="B97" s="651" t="s">
        <v>434</v>
      </c>
      <c r="C97" s="651"/>
      <c r="D97" s="652" t="s">
        <v>435</v>
      </c>
      <c r="E97" s="652"/>
      <c r="F97" s="652"/>
      <c r="G97" s="652"/>
      <c r="H97" s="652"/>
      <c r="I97" s="652"/>
      <c r="J97" s="652"/>
      <c r="K97" s="652"/>
      <c r="L97" s="654" t="s">
        <v>436</v>
      </c>
      <c r="M97" s="654"/>
      <c r="N97" s="654"/>
      <c r="O97" s="654"/>
      <c r="P97" s="654"/>
      <c r="Q97" s="654"/>
      <c r="R97" s="654"/>
      <c r="S97" s="654"/>
      <c r="T97" s="654"/>
      <c r="U97" s="654"/>
      <c r="V97" s="654"/>
      <c r="W97" s="654"/>
      <c r="X97" s="654"/>
      <c r="Y97" s="654"/>
      <c r="Z97" s="654"/>
      <c r="AA97" s="654"/>
      <c r="AB97" s="654"/>
      <c r="AC97" s="654"/>
      <c r="AD97" s="654"/>
      <c r="AE97" s="654"/>
      <c r="AF97" s="655"/>
    </row>
    <row r="98">
      <c r="A98" s="651"/>
      <c r="B98" s="656" t="s">
        <v>437</v>
      </c>
      <c r="C98" s="656" t="s">
        <v>438</v>
      </c>
      <c r="D98" s="657" t="s">
        <v>439</v>
      </c>
      <c r="E98" s="658" t="s">
        <v>440</v>
      </c>
      <c r="F98" s="707" t="s">
        <v>488</v>
      </c>
      <c r="G98" s="657" t="s">
        <v>441</v>
      </c>
      <c r="H98" s="659" t="s">
        <v>442</v>
      </c>
      <c r="I98" s="659" t="s">
        <v>443</v>
      </c>
      <c r="J98" s="708" t="s">
        <v>489</v>
      </c>
      <c r="K98" s="659" t="s">
        <v>444</v>
      </c>
      <c r="L98" s="660" t="s">
        <v>445</v>
      </c>
      <c r="M98" s="661" t="s">
        <v>446</v>
      </c>
      <c r="N98" s="661" t="s">
        <v>447</v>
      </c>
      <c r="O98" s="661" t="s">
        <v>448</v>
      </c>
      <c r="P98" s="661" t="s">
        <v>449</v>
      </c>
      <c r="Q98" s="662" t="s">
        <v>450</v>
      </c>
      <c r="R98" s="661" t="s">
        <v>451</v>
      </c>
      <c r="S98" s="662" t="s">
        <v>452</v>
      </c>
      <c r="T98" s="663" t="s">
        <v>453</v>
      </c>
      <c r="U98" s="664" t="s">
        <v>454</v>
      </c>
      <c r="V98" s="664" t="s">
        <v>455</v>
      </c>
      <c r="W98" s="664" t="s">
        <v>456</v>
      </c>
      <c r="X98" s="664" t="s">
        <v>457</v>
      </c>
      <c r="Y98" s="664" t="s">
        <v>458</v>
      </c>
      <c r="Z98" s="664" t="s">
        <v>459</v>
      </c>
      <c r="AA98" s="664" t="s">
        <v>460</v>
      </c>
      <c r="AB98" s="664" t="s">
        <v>461</v>
      </c>
      <c r="AC98" s="654" t="s">
        <v>462</v>
      </c>
      <c r="AD98" s="665" t="s">
        <v>463</v>
      </c>
      <c r="AE98" s="665" t="s">
        <v>464</v>
      </c>
      <c r="AF98" s="655" t="s">
        <v>465</v>
      </c>
    </row>
    <row r="99">
      <c r="A99" s="666" t="s">
        <v>503</v>
      </c>
      <c r="B99" s="667" t="s">
        <v>467</v>
      </c>
      <c r="C99" s="668" t="s">
        <v>504</v>
      </c>
      <c r="D99" s="671">
        <v>3000</v>
      </c>
      <c r="E99" s="670">
        <v>4</v>
      </c>
      <c r="F99" s="670">
        <v>4</v>
      </c>
      <c r="G99" s="671">
        <v>1804</v>
      </c>
      <c r="H99" s="672">
        <f t="shared" ref="H99:H110" si="58">G99/D99</f>
      </c>
      <c r="I99" s="672">
        <f t="shared" ref="I99:I110" si="94">D99/E99</f>
      </c>
      <c r="J99" s="672">
        <f t="shared" ref="J99:J109" si="19">D99/F99</f>
      </c>
      <c r="K99" s="672">
        <f t="shared" ref="K99:K110" si="130">G99/E99</f>
      </c>
      <c r="L99" s="672">
        <f t="shared" ref="L99:L110" si="34">D99/V99</f>
      </c>
      <c r="M99" s="673">
        <f t="shared" ref="M99:M110" si="70">Q99/U99*1</f>
      </c>
      <c r="N99" s="674">
        <f t="shared" ref="N99:N110" si="106">V99/U99</f>
      </c>
      <c r="O99" s="673">
        <f t="shared" ref="O99:O110" si="142">X99/U99</f>
      </c>
      <c r="P99" s="673">
        <f t="shared" ref="P99:P110" si="11">Y99/X99</f>
      </c>
      <c r="Q99" s="675">
        <f t="shared" ref="Q99:Q110" si="46">W99/R99</f>
      </c>
      <c r="R99" s="676">
        <v>0.0104</v>
      </c>
      <c r="S99" s="677">
        <v>23</v>
      </c>
      <c r="T99" s="672">
        <f t="shared" ref="T99:T110" si="82">(D99/U99)*1000</f>
      </c>
      <c r="U99" s="675">
        <v>26714</v>
      </c>
      <c r="V99" s="675">
        <v>3991</v>
      </c>
      <c r="W99" s="675">
        <v>117</v>
      </c>
      <c r="X99" s="675">
        <v>4616</v>
      </c>
      <c r="Y99" s="675">
        <v>82</v>
      </c>
      <c r="Z99" s="675">
        <v>19</v>
      </c>
      <c r="AA99" s="675">
        <v>3</v>
      </c>
      <c r="AB99" s="675">
        <v>32</v>
      </c>
      <c r="AC99" s="678">
        <f t="shared" ref="AC99:AC109" si="118">AF99*1000/D99</f>
      </c>
      <c r="AD99" s="680" t="s">
        <v>478</v>
      </c>
      <c r="AE99" s="680" t="s">
        <v>470</v>
      </c>
      <c r="AF99" s="677">
        <v>37</v>
      </c>
    </row>
    <row r="100">
      <c r="A100" s="666"/>
      <c r="B100" s="667" t="s">
        <v>467</v>
      </c>
      <c r="C100" s="668" t="s">
        <v>505</v>
      </c>
      <c r="D100" s="669">
        <v>2970.82</v>
      </c>
      <c r="E100" s="670">
        <v>6</v>
      </c>
      <c r="F100" s="670">
        <v>3</v>
      </c>
      <c r="G100" s="671">
        <v>3111.8999999999996</v>
      </c>
      <c r="H100" s="672">
        <f t="shared" si="58"/>
      </c>
      <c r="I100" s="672">
        <f t="shared" si="94"/>
      </c>
      <c r="J100" s="672">
        <f t="shared" si="19"/>
      </c>
      <c r="K100" s="672">
        <f t="shared" si="130"/>
      </c>
      <c r="L100" s="672">
        <f t="shared" si="34"/>
      </c>
      <c r="M100" s="673">
        <f t="shared" si="70"/>
      </c>
      <c r="N100" s="673">
        <f t="shared" si="106"/>
      </c>
      <c r="O100" s="682">
        <f t="shared" si="142"/>
      </c>
      <c r="P100" s="682">
        <f t="shared" si="11"/>
      </c>
      <c r="Q100" s="683">
        <f t="shared" si="46"/>
      </c>
      <c r="R100" s="676">
        <v>0.0169</v>
      </c>
      <c r="S100" s="684">
        <v>27</v>
      </c>
      <c r="T100" s="685">
        <f t="shared" si="82"/>
      </c>
      <c r="U100" s="683">
        <v>20967</v>
      </c>
      <c r="V100" s="683">
        <v>1497</v>
      </c>
      <c r="W100" s="683">
        <v>135</v>
      </c>
      <c r="X100" s="683">
        <v>1906</v>
      </c>
      <c r="Y100" s="683">
        <v>95</v>
      </c>
      <c r="Z100" s="683">
        <v>19</v>
      </c>
      <c r="AA100" s="683">
        <v>1</v>
      </c>
      <c r="AB100" s="683">
        <v>12</v>
      </c>
      <c r="AC100" s="678">
        <f t="shared" si="118"/>
      </c>
      <c r="AD100" s="680" t="s">
        <v>478</v>
      </c>
      <c r="AE100" s="680" t="s">
        <v>470</v>
      </c>
      <c r="AF100" s="677">
        <v>43</v>
      </c>
    </row>
    <row r="101">
      <c r="A101" s="666"/>
      <c r="B101" s="667" t="s">
        <v>467</v>
      </c>
      <c r="C101" s="668" t="s">
        <v>481</v>
      </c>
      <c r="D101" s="671">
        <v>2093.31</v>
      </c>
      <c r="E101" s="670">
        <v>3</v>
      </c>
      <c r="F101" s="670">
        <v>3</v>
      </c>
      <c r="G101" s="671">
        <v>2416.7</v>
      </c>
      <c r="H101" s="672">
        <f t="shared" si="58"/>
      </c>
      <c r="I101" s="672">
        <f t="shared" si="94"/>
      </c>
      <c r="J101" s="672">
        <f t="shared" si="19"/>
      </c>
      <c r="K101" s="672">
        <f t="shared" si="130"/>
      </c>
      <c r="L101" s="672">
        <f t="shared" si="34"/>
      </c>
      <c r="M101" s="673">
        <f t="shared" si="70"/>
      </c>
      <c r="N101" s="673">
        <f t="shared" si="106"/>
      </c>
      <c r="O101" s="682">
        <f t="shared" si="142"/>
      </c>
      <c r="P101" s="682">
        <f t="shared" si="11"/>
      </c>
      <c r="Q101" s="683">
        <f t="shared" si="46"/>
      </c>
      <c r="R101" s="676">
        <v>0.0153</v>
      </c>
      <c r="S101" s="684">
        <v>30</v>
      </c>
      <c r="T101" s="685">
        <f t="shared" si="82"/>
      </c>
      <c r="U101" s="683">
        <v>13570</v>
      </c>
      <c r="V101" s="683">
        <v>951</v>
      </c>
      <c r="W101" s="683">
        <v>87</v>
      </c>
      <c r="X101" s="683">
        <v>1169</v>
      </c>
      <c r="Y101" s="683">
        <v>73</v>
      </c>
      <c r="Z101" s="683">
        <v>12</v>
      </c>
      <c r="AA101" s="683">
        <v>3</v>
      </c>
      <c r="AB101" s="683">
        <v>9</v>
      </c>
      <c r="AC101" s="678">
        <f t="shared" si="118"/>
      </c>
      <c r="AD101" s="680" t="s">
        <v>478</v>
      </c>
      <c r="AE101" s="680" t="s">
        <v>470</v>
      </c>
      <c r="AF101" s="677">
        <v>42</v>
      </c>
    </row>
    <row r="102">
      <c r="A102" s="666"/>
      <c r="B102" s="667" t="s">
        <v>467</v>
      </c>
      <c r="C102" s="668" t="s">
        <v>482</v>
      </c>
      <c r="D102" s="669">
        <v>3287.3</v>
      </c>
      <c r="E102" s="670">
        <v>7</v>
      </c>
      <c r="F102" s="670">
        <v>5</v>
      </c>
      <c r="G102" s="671">
        <v>4925.8</v>
      </c>
      <c r="H102" s="672">
        <f t="shared" si="58"/>
      </c>
      <c r="I102" s="672">
        <f t="shared" si="94"/>
      </c>
      <c r="J102" s="672">
        <f t="shared" si="19"/>
      </c>
      <c r="K102" s="672">
        <f t="shared" si="130"/>
      </c>
      <c r="L102" s="672">
        <f t="shared" si="34"/>
      </c>
      <c r="M102" s="673">
        <f t="shared" si="70"/>
      </c>
      <c r="N102" s="673">
        <f t="shared" si="106"/>
      </c>
      <c r="O102" s="682">
        <f t="shared" si="142"/>
      </c>
      <c r="P102" s="682">
        <f t="shared" si="11"/>
      </c>
      <c r="Q102" s="683">
        <f t="shared" si="46"/>
      </c>
      <c r="R102" s="676">
        <v>0.0198</v>
      </c>
      <c r="S102" s="684">
        <v>32</v>
      </c>
      <c r="T102" s="685">
        <f t="shared" si="82"/>
      </c>
      <c r="U102" s="683">
        <v>19214</v>
      </c>
      <c r="V102" s="683">
        <v>1085</v>
      </c>
      <c r="W102" s="683">
        <v>111</v>
      </c>
      <c r="X102" s="683">
        <v>1301</v>
      </c>
      <c r="Y102" s="683">
        <v>97</v>
      </c>
      <c r="Z102" s="683">
        <v>10</v>
      </c>
      <c r="AA102" s="683">
        <v>2</v>
      </c>
      <c r="AB102" s="683">
        <v>15</v>
      </c>
      <c r="AC102" s="678">
        <f t="shared" si="118"/>
      </c>
      <c r="AD102" s="680" t="s">
        <v>478</v>
      </c>
      <c r="AE102" s="680" t="s">
        <v>470</v>
      </c>
      <c r="AF102" s="677">
        <v>30</v>
      </c>
    </row>
    <row r="103">
      <c r="A103" s="666"/>
      <c r="B103" s="667" t="s">
        <v>467</v>
      </c>
      <c r="C103" s="668" t="s">
        <v>473</v>
      </c>
      <c r="D103" s="671">
        <v>1107.8</v>
      </c>
      <c r="E103" s="670">
        <v>4</v>
      </c>
      <c r="F103" s="670">
        <v>4</v>
      </c>
      <c r="G103" s="671">
        <v>3572.800000000001</v>
      </c>
      <c r="H103" s="672">
        <f t="shared" si="58"/>
      </c>
      <c r="I103" s="672">
        <f t="shared" si="94"/>
      </c>
      <c r="J103" s="672">
        <f t="shared" si="19"/>
      </c>
      <c r="K103" s="672">
        <f t="shared" si="130"/>
      </c>
      <c r="L103" s="672">
        <f t="shared" si="34"/>
      </c>
      <c r="M103" s="673">
        <f t="shared" si="70"/>
      </c>
      <c r="N103" s="673">
        <f t="shared" si="106"/>
      </c>
      <c r="O103" s="682">
        <f t="shared" si="142"/>
      </c>
      <c r="P103" s="682">
        <f t="shared" si="11"/>
      </c>
      <c r="Q103" s="683">
        <f t="shared" si="46"/>
      </c>
      <c r="R103" s="676">
        <v>0.0328</v>
      </c>
      <c r="S103" s="684">
        <v>34</v>
      </c>
      <c r="T103" s="685">
        <f t="shared" si="82"/>
      </c>
      <c r="U103" s="683">
        <v>6837</v>
      </c>
      <c r="V103" s="684">
        <v>488</v>
      </c>
      <c r="W103" s="684">
        <v>70</v>
      </c>
      <c r="X103" s="683">
        <v>613</v>
      </c>
      <c r="Y103" s="684">
        <v>76</v>
      </c>
      <c r="Z103" s="684">
        <v>15</v>
      </c>
      <c r="AA103" s="684">
        <v>2</v>
      </c>
      <c r="AB103" s="684">
        <v>9</v>
      </c>
      <c r="AC103" s="678">
        <f t="shared" si="118"/>
      </c>
      <c r="AD103" s="680" t="s">
        <v>478</v>
      </c>
      <c r="AE103" s="680" t="s">
        <v>470</v>
      </c>
      <c r="AF103" s="677">
        <v>21</v>
      </c>
    </row>
    <row r="104">
      <c r="A104" s="666"/>
      <c r="B104" s="686" t="s">
        <v>474</v>
      </c>
      <c r="C104" s="686"/>
      <c r="D104" s="687">
        <f>SUM(D99:D103)</f>
      </c>
      <c r="E104" s="688">
        <f>SUM(E99:E103)</f>
      </c>
      <c r="F104" s="688">
        <f>SUM(F99:F103)</f>
      </c>
      <c r="G104" s="687">
        <f>SUM(G99:G103)</f>
      </c>
      <c r="H104" s="689">
        <f t="shared" si="58"/>
      </c>
      <c r="I104" s="689">
        <f t="shared" si="94"/>
      </c>
      <c r="J104" s="689">
        <f t="shared" si="19"/>
      </c>
      <c r="K104" s="689">
        <f t="shared" si="130"/>
      </c>
      <c r="L104" s="689">
        <f t="shared" si="34"/>
      </c>
      <c r="M104" s="690">
        <f t="shared" si="70"/>
      </c>
      <c r="N104" s="690">
        <f t="shared" si="106"/>
      </c>
      <c r="O104" s="690">
        <f t="shared" si="142"/>
      </c>
      <c r="P104" s="690">
        <f t="shared" si="11"/>
      </c>
      <c r="Q104" s="691">
        <f t="shared" si="46"/>
      </c>
      <c r="R104" s="690">
        <f>AVERAGE(R99:R103)</f>
      </c>
      <c r="S104" s="687">
        <f>AVERAGE(S99:S103)</f>
      </c>
      <c r="T104" s="689">
        <f t="shared" si="82"/>
      </c>
      <c r="U104" s="691">
        <f>SUM(U99:U103)</f>
      </c>
      <c r="V104" s="691">
        <f>SUM(V99:V103)</f>
      </c>
      <c r="W104" s="691">
        <f>SUM(W99:W103)</f>
      </c>
      <c r="X104" s="691">
        <f>SUM(X99:X103)</f>
      </c>
      <c r="Y104" s="691">
        <f>SUM(Y99:Y103)</f>
      </c>
      <c r="Z104" s="691">
        <f>SUM(Z99:Z103)</f>
      </c>
      <c r="AA104" s="691">
        <f>SUM(AA99:AA103)</f>
      </c>
      <c r="AB104" s="691">
        <f>SUM(AB99:AB103)</f>
      </c>
      <c r="AC104" s="692">
        <f t="shared" si="118"/>
      </c>
      <c r="AD104" s="693"/>
      <c r="AE104" s="693"/>
      <c r="AF104" s="694">
        <f>SUM(AF99:AF103)</f>
      </c>
    </row>
    <row customHeight="true" ht="18.452380952380953" r="105">
      <c r="A105" s="666"/>
      <c r="B105" s="668" t="s">
        <v>506</v>
      </c>
      <c r="C105" s="667" t="s">
        <v>492</v>
      </c>
      <c r="D105" s="669">
        <v>1941.84</v>
      </c>
      <c r="E105" s="670">
        <v>4</v>
      </c>
      <c r="F105" s="670">
        <v>3</v>
      </c>
      <c r="G105" s="669">
        <v>3197.7000000000007</v>
      </c>
      <c r="H105" s="672">
        <f t="shared" si="58"/>
      </c>
      <c r="I105" s="672">
        <f t="shared" si="94"/>
      </c>
      <c r="J105" s="672">
        <f t="shared" si="19"/>
      </c>
      <c r="K105" s="672">
        <f t="shared" si="130"/>
      </c>
      <c r="L105" s="672">
        <f t="shared" si="34"/>
      </c>
      <c r="M105" s="673">
        <f t="shared" si="70"/>
      </c>
      <c r="N105" s="673">
        <f t="shared" si="106"/>
      </c>
      <c r="O105" s="682">
        <f t="shared" si="142"/>
      </c>
      <c r="P105" s="682">
        <f t="shared" si="11"/>
      </c>
      <c r="Q105" s="683">
        <f t="shared" si="46"/>
      </c>
      <c r="R105" s="676">
        <v>0.0112</v>
      </c>
      <c r="S105" s="684">
        <v>34</v>
      </c>
      <c r="T105" s="685">
        <f t="shared" si="82"/>
      </c>
      <c r="U105" s="683">
        <v>13998</v>
      </c>
      <c r="V105" s="683">
        <v>1061</v>
      </c>
      <c r="W105" s="683">
        <v>78</v>
      </c>
      <c r="X105" s="683">
        <v>1305</v>
      </c>
      <c r="Y105" s="683">
        <v>43</v>
      </c>
      <c r="Z105" s="683">
        <v>7</v>
      </c>
      <c r="AA105" s="683">
        <v>4</v>
      </c>
      <c r="AB105" s="683">
        <v>4</v>
      </c>
      <c r="AC105" s="678">
        <f t="shared" si="118"/>
      </c>
      <c r="AD105" s="679" t="s">
        <v>478</v>
      </c>
      <c r="AE105" s="680" t="s">
        <v>470</v>
      </c>
      <c r="AF105" s="677">
        <v>25</v>
      </c>
    </row>
    <row customHeight="true" ht="18.452380952380953" r="106">
      <c r="A106" s="666"/>
      <c r="B106" s="668" t="s">
        <v>506</v>
      </c>
      <c r="C106" s="667" t="s">
        <v>493</v>
      </c>
      <c r="D106" s="669">
        <v>2125.09</v>
      </c>
      <c r="E106" s="670">
        <v>5</v>
      </c>
      <c r="F106" s="670">
        <v>3</v>
      </c>
      <c r="G106" s="669">
        <v>2990.899999999998</v>
      </c>
      <c r="H106" s="672">
        <f t="shared" si="58"/>
      </c>
      <c r="I106" s="672">
        <f t="shared" si="94"/>
      </c>
      <c r="J106" s="672">
        <f t="shared" si="19"/>
      </c>
      <c r="K106" s="672">
        <f t="shared" si="130"/>
      </c>
      <c r="L106" s="672">
        <f t="shared" si="34"/>
      </c>
      <c r="M106" s="673">
        <f t="shared" si="70"/>
      </c>
      <c r="N106" s="673">
        <f t="shared" si="106"/>
      </c>
      <c r="O106" s="682">
        <f t="shared" si="142"/>
      </c>
      <c r="P106" s="682">
        <f t="shared" si="11"/>
      </c>
      <c r="Q106" s="683">
        <f t="shared" si="46"/>
      </c>
      <c r="R106" s="676">
        <v>0.0079</v>
      </c>
      <c r="S106" s="684">
        <v>32</v>
      </c>
      <c r="T106" s="685">
        <f t="shared" si="82"/>
      </c>
      <c r="U106" s="683">
        <v>17092</v>
      </c>
      <c r="V106" s="683">
        <v>1277</v>
      </c>
      <c r="W106" s="683">
        <v>74</v>
      </c>
      <c r="X106" s="683">
        <v>1495</v>
      </c>
      <c r="Y106" s="683">
        <v>57</v>
      </c>
      <c r="Z106" s="683">
        <v>14</v>
      </c>
      <c r="AA106" s="683">
        <v>1</v>
      </c>
      <c r="AB106" s="683">
        <v>4</v>
      </c>
      <c r="AC106" s="678">
        <f t="shared" si="118"/>
      </c>
      <c r="AD106" s="679" t="s">
        <v>478</v>
      </c>
      <c r="AE106" s="680" t="s">
        <v>470</v>
      </c>
      <c r="AF106" s="677">
        <v>31</v>
      </c>
    </row>
    <row customHeight="true" ht="18.452380952380953" r="107">
      <c r="A107" s="666"/>
      <c r="B107" s="668" t="s">
        <v>506</v>
      </c>
      <c r="C107" s="668" t="s">
        <v>499</v>
      </c>
      <c r="D107" s="669">
        <v>2371.42</v>
      </c>
      <c r="E107" s="670">
        <v>5</v>
      </c>
      <c r="F107" s="670">
        <v>5</v>
      </c>
      <c r="G107" s="669">
        <v>2255</v>
      </c>
      <c r="H107" s="672">
        <f t="shared" si="58"/>
      </c>
      <c r="I107" s="672">
        <f t="shared" si="94"/>
      </c>
      <c r="J107" s="672">
        <f t="shared" si="19"/>
      </c>
      <c r="K107" s="672">
        <f t="shared" si="130"/>
      </c>
      <c r="L107" s="672">
        <f t="shared" si="34"/>
      </c>
      <c r="M107" s="673">
        <f t="shared" si="70"/>
      </c>
      <c r="N107" s="673">
        <f t="shared" si="106"/>
      </c>
      <c r="O107" s="682">
        <f t="shared" si="142"/>
      </c>
      <c r="P107" s="682">
        <f t="shared" si="11"/>
      </c>
      <c r="Q107" s="683">
        <f t="shared" si="46"/>
      </c>
      <c r="R107" s="676">
        <v>0.0086</v>
      </c>
      <c r="S107" s="684">
        <v>34</v>
      </c>
      <c r="T107" s="685">
        <f t="shared" si="82"/>
      </c>
      <c r="U107" s="683">
        <v>22192</v>
      </c>
      <c r="V107" s="683">
        <v>1840</v>
      </c>
      <c r="W107" s="683">
        <v>107</v>
      </c>
      <c r="X107" s="683">
        <v>2164</v>
      </c>
      <c r="Y107" s="683">
        <v>68</v>
      </c>
      <c r="Z107" s="683">
        <v>13</v>
      </c>
      <c r="AA107" s="683">
        <v>2</v>
      </c>
      <c r="AB107" s="683">
        <v>3</v>
      </c>
      <c r="AC107" s="678">
        <f t="shared" si="118"/>
      </c>
      <c r="AD107" s="679" t="s">
        <v>478</v>
      </c>
      <c r="AE107" s="680" t="s">
        <v>470</v>
      </c>
      <c r="AF107" s="677">
        <v>36</v>
      </c>
    </row>
    <row customHeight="true" ht="18.452380952380953" r="108">
      <c r="A108" s="666"/>
      <c r="B108" s="668" t="s">
        <v>506</v>
      </c>
      <c r="C108" s="668" t="s">
        <v>507</v>
      </c>
      <c r="D108" s="669">
        <v>478.2</v>
      </c>
      <c r="E108" s="670">
        <v>3</v>
      </c>
      <c r="F108" s="670">
        <v>2</v>
      </c>
      <c r="G108" s="669">
        <v>3326.399999999998</v>
      </c>
      <c r="H108" s="672">
        <f t="shared" si="58"/>
      </c>
      <c r="I108" s="672">
        <f t="shared" si="94"/>
      </c>
      <c r="J108" s="672">
        <f t="shared" si="19"/>
      </c>
      <c r="K108" s="672">
        <f t="shared" si="130"/>
      </c>
      <c r="L108" s="672">
        <f t="shared" si="34"/>
      </c>
      <c r="M108" s="673">
        <f t="shared" si="70"/>
      </c>
      <c r="N108" s="673">
        <f t="shared" si="106"/>
      </c>
      <c r="O108" s="682">
        <f t="shared" si="142"/>
      </c>
      <c r="P108" s="682">
        <f t="shared" si="11"/>
      </c>
      <c r="Q108" s="683">
        <f t="shared" si="46"/>
      </c>
      <c r="R108" s="676">
        <v>0.0171</v>
      </c>
      <c r="S108" s="684">
        <v>36</v>
      </c>
      <c r="T108" s="685">
        <f t="shared" si="82"/>
      </c>
      <c r="U108" s="683">
        <v>4115</v>
      </c>
      <c r="V108" s="683">
        <v>308</v>
      </c>
      <c r="W108" s="683">
        <v>30</v>
      </c>
      <c r="X108" s="683">
        <v>394</v>
      </c>
      <c r="Y108" s="683">
        <v>22</v>
      </c>
      <c r="Z108" s="683">
        <v>3</v>
      </c>
      <c r="AA108" s="683">
        <v>2</v>
      </c>
      <c r="AB108" s="683">
        <v>1</v>
      </c>
      <c r="AC108" s="678">
        <f t="shared" si="118"/>
      </c>
      <c r="AD108" s="679" t="s">
        <v>478</v>
      </c>
      <c r="AE108" s="680" t="s">
        <v>470</v>
      </c>
      <c r="AF108" s="677">
        <v>17</v>
      </c>
    </row>
    <row customHeight="true" ht="18.452380952380953" r="109">
      <c r="A109" s="666"/>
      <c r="B109" s="686" t="s">
        <v>474</v>
      </c>
      <c r="C109" s="686"/>
      <c r="D109" s="687">
        <f>SUM(D105:D108)</f>
      </c>
      <c r="E109" s="687">
        <f>SUM(E105:E108)</f>
      </c>
      <c r="F109" s="687">
        <f>SUM(F105:F108)</f>
      </c>
      <c r="G109" s="687">
        <f>SUM(G105:G108)</f>
      </c>
      <c r="H109" s="689">
        <f t="shared" si="58"/>
      </c>
      <c r="I109" s="689">
        <f t="shared" si="94"/>
      </c>
      <c r="J109" s="689">
        <f t="shared" si="19"/>
      </c>
      <c r="K109" s="689">
        <f t="shared" si="130"/>
      </c>
      <c r="L109" s="689">
        <f t="shared" si="34"/>
      </c>
      <c r="M109" s="690">
        <f t="shared" si="70"/>
      </c>
      <c r="N109" s="690">
        <f t="shared" si="106"/>
      </c>
      <c r="O109" s="690">
        <f t="shared" si="142"/>
      </c>
      <c r="P109" s="690">
        <f t="shared" si="11"/>
      </c>
      <c r="Q109" s="691">
        <f t="shared" si="46"/>
      </c>
      <c r="R109" s="690">
        <f>AVERAGE(R105:R108)</f>
      </c>
      <c r="S109" s="687">
        <f>AVERAGE(S105:S108)</f>
      </c>
      <c r="T109" s="689">
        <f t="shared" si="82"/>
      </c>
      <c r="U109" s="691">
        <f>SUM(U105:U108)</f>
      </c>
      <c r="V109" s="691">
        <f>SUM(V105:V108)</f>
      </c>
      <c r="W109" s="691">
        <f>SUM(W105:W108)</f>
      </c>
      <c r="X109" s="691">
        <f>SUM(X105:X108)</f>
      </c>
      <c r="Y109" s="691">
        <f>SUM(Y105:Y108)</f>
      </c>
      <c r="Z109" s="691">
        <f>SUM(Z105:Z108)</f>
      </c>
      <c r="AA109" s="691">
        <f>SUM(AA105:AA108)</f>
      </c>
      <c r="AB109" s="691">
        <f>SUM(AB105:AB108)</f>
      </c>
      <c r="AC109" s="692">
        <f t="shared" si="118"/>
      </c>
      <c r="AD109" s="693"/>
      <c r="AE109" s="693"/>
      <c r="AF109" s="691">
        <f>SUM(AF105:AF108)</f>
      </c>
    </row>
    <row r="110">
      <c r="A110" s="666"/>
      <c r="B110" s="695" t="s">
        <v>475</v>
      </c>
      <c r="C110" s="695"/>
      <c r="D110" s="696">
        <f>D104+D109</f>
      </c>
      <c r="E110" s="696">
        <f>E104+E109</f>
      </c>
      <c r="F110" s="696">
        <f>F104+F109</f>
      </c>
      <c r="G110" s="696">
        <f>G104+G109</f>
      </c>
      <c r="H110" s="698">
        <f t="shared" si="58"/>
      </c>
      <c r="I110" s="698">
        <f t="shared" si="94"/>
      </c>
      <c r="J110" s="698">
        <v>745.3765</v>
      </c>
      <c r="K110" s="698">
        <f t="shared" si="130"/>
      </c>
      <c r="L110" s="698">
        <f t="shared" si="34"/>
      </c>
      <c r="M110" s="699">
        <f t="shared" si="70"/>
      </c>
      <c r="N110" s="699">
        <f t="shared" si="106"/>
      </c>
      <c r="O110" s="699">
        <f t="shared" si="142"/>
      </c>
      <c r="P110" s="699">
        <f t="shared" si="11"/>
      </c>
      <c r="Q110" s="700">
        <f t="shared" si="46"/>
      </c>
      <c r="R110" s="701">
        <f>(R104+R109)/2</f>
      </c>
      <c r="S110" s="702">
        <f>(S109+S104)/2</f>
      </c>
      <c r="T110" s="702">
        <f t="shared" si="82"/>
      </c>
      <c r="U110" s="700">
        <f>U104+U109</f>
      </c>
      <c r="V110" s="700">
        <f>V104+V109</f>
      </c>
      <c r="W110" s="700">
        <f>W104+W109</f>
      </c>
      <c r="X110" s="700">
        <f>X104+X109</f>
      </c>
      <c r="Y110" s="700">
        <f>Y104+Y109</f>
      </c>
      <c r="Z110" s="700">
        <f>Z104+Z109</f>
      </c>
      <c r="AA110" s="700">
        <f>AA104+AA109</f>
      </c>
      <c r="AB110" s="700">
        <f>AB104+AB109</f>
      </c>
      <c r="AC110" s="703">
        <f>AC104</f>
      </c>
      <c r="AD110" s="704"/>
      <c r="AE110" s="704"/>
      <c r="AF110" s="700">
        <f>AF104+AF109</f>
      </c>
    </row>
    <row r="111">
      <c r="E111" s="709"/>
      <c r="F111" s="709"/>
      <c r="G111">
        <f>G112-G110</f>
      </c>
    </row>
    <row r="112">
      <c r="E112" s="709"/>
      <c r="F112" s="709"/>
      <c r="G112" s="710">
        <v>27601.199999999997</v>
      </c>
    </row>
    <row r="113">
      <c r="E113" s="709"/>
      <c r="F113" s="709"/>
    </row>
    <row r="114">
      <c r="E114" s="709"/>
      <c r="F114" s="709"/>
    </row>
    <row r="115">
      <c r="E115" s="709"/>
      <c r="F115" s="709"/>
    </row>
    <row r="116">
      <c r="E116" s="709"/>
      <c r="F116" s="709"/>
    </row>
    <row r="117">
      <c r="E117" s="709"/>
      <c r="F117" s="709"/>
    </row>
    <row r="118">
      <c r="E118" s="709"/>
      <c r="F118" s="709"/>
    </row>
    <row r="119">
      <c r="E119" s="709"/>
      <c r="F119" s="709"/>
    </row>
    <row r="120">
      <c r="E120" s="709"/>
      <c r="F120" s="709"/>
    </row>
    <row r="121">
      <c r="E121" s="709"/>
      <c r="F121" s="709"/>
    </row>
    <row r="122">
      <c r="E122" s="709"/>
      <c r="F122" s="709"/>
    </row>
    <row r="123">
      <c r="E123" s="709"/>
      <c r="F123" s="709"/>
    </row>
    <row r="124">
      <c r="E124" s="709"/>
      <c r="F124" s="709"/>
    </row>
    <row r="125">
      <c r="E125" s="709"/>
      <c r="F125" s="709"/>
    </row>
    <row r="126">
      <c r="E126" s="709"/>
      <c r="F126" s="709"/>
    </row>
    <row r="127">
      <c r="E127" s="709"/>
      <c r="F127" s="709"/>
    </row>
    <row r="128">
      <c r="E128" s="709"/>
      <c r="F128" s="709"/>
    </row>
    <row r="129">
      <c r="E129" s="709"/>
      <c r="F129" s="709"/>
    </row>
    <row r="130">
      <c r="E130" s="709"/>
      <c r="F130" s="709"/>
    </row>
    <row r="131">
      <c r="E131" s="709"/>
      <c r="F131" s="709"/>
    </row>
    <row r="132">
      <c r="E132" s="709"/>
      <c r="F132" s="709"/>
    </row>
    <row r="133">
      <c r="E133" s="709"/>
      <c r="F133" s="709"/>
    </row>
    <row r="134">
      <c r="E134" s="709"/>
      <c r="F134" s="709"/>
    </row>
    <row r="135">
      <c r="E135" s="709"/>
      <c r="F135" s="709"/>
    </row>
    <row r="136">
      <c r="E136" s="709"/>
      <c r="F136" s="709"/>
    </row>
    <row r="137">
      <c r="E137" s="709"/>
      <c r="F137" s="709"/>
    </row>
    <row r="138">
      <c r="E138" s="709"/>
      <c r="F138" s="709"/>
    </row>
    <row r="139">
      <c r="E139" s="709"/>
      <c r="F139" s="709"/>
    </row>
    <row r="140">
      <c r="E140" s="709"/>
      <c r="F140" s="709"/>
    </row>
    <row r="141">
      <c r="E141" s="709"/>
      <c r="F141" s="709"/>
    </row>
    <row r="142">
      <c r="E142" s="709"/>
      <c r="F142" s="709"/>
    </row>
    <row r="143">
      <c r="E143" s="709"/>
      <c r="F143" s="709"/>
    </row>
    <row r="144">
      <c r="E144" s="709"/>
      <c r="F144" s="709"/>
    </row>
    <row r="145">
      <c r="E145" s="709"/>
      <c r="F145" s="709"/>
    </row>
    <row r="146">
      <c r="E146" s="709"/>
      <c r="F146" s="709"/>
    </row>
    <row r="147">
      <c r="E147" s="709"/>
      <c r="F147" s="709"/>
    </row>
    <row r="148">
      <c r="E148" s="709"/>
      <c r="F148" s="709"/>
    </row>
    <row r="149">
      <c r="E149" s="709"/>
      <c r="F149" s="709"/>
    </row>
    <row r="150">
      <c r="E150" s="709"/>
      <c r="F150" s="709"/>
    </row>
    <row r="151">
      <c r="E151" s="709"/>
      <c r="F151" s="709"/>
    </row>
    <row r="152">
      <c r="E152" s="709"/>
      <c r="F152" s="709"/>
    </row>
    <row r="153">
      <c r="E153" s="709"/>
      <c r="F153" s="709"/>
    </row>
    <row r="154">
      <c r="E154" s="709"/>
      <c r="F154" s="709"/>
    </row>
    <row r="155">
      <c r="E155" s="709"/>
      <c r="F155" s="709"/>
    </row>
    <row r="156">
      <c r="E156" s="709"/>
      <c r="F156" s="709"/>
    </row>
    <row r="157">
      <c r="E157" s="709"/>
      <c r="F157" s="709"/>
    </row>
    <row r="158">
      <c r="E158" s="709"/>
      <c r="F158" s="709"/>
    </row>
    <row r="159">
      <c r="E159" s="709"/>
      <c r="F159" s="709"/>
    </row>
    <row r="160">
      <c r="E160" s="709"/>
      <c r="F160" s="709"/>
    </row>
    <row r="161">
      <c r="E161" s="709"/>
      <c r="F161" s="709"/>
    </row>
    <row r="162">
      <c r="E162" s="709"/>
      <c r="F162" s="709"/>
    </row>
    <row r="163">
      <c r="E163" s="709"/>
      <c r="F163" s="709"/>
    </row>
    <row r="164">
      <c r="E164" s="709"/>
      <c r="F164" s="709"/>
    </row>
    <row r="165">
      <c r="E165" s="709"/>
      <c r="F165" s="709"/>
    </row>
    <row r="166">
      <c r="E166" s="709"/>
      <c r="F166" s="709"/>
    </row>
    <row r="167">
      <c r="E167" s="709"/>
      <c r="F167" s="709"/>
    </row>
    <row r="168">
      <c r="E168" s="709"/>
      <c r="F168" s="709"/>
    </row>
    <row r="169">
      <c r="E169" s="709"/>
      <c r="F169" s="709"/>
    </row>
    <row r="170">
      <c r="E170" s="709"/>
      <c r="F170" s="709"/>
    </row>
    <row r="171">
      <c r="E171" s="709"/>
      <c r="F171" s="709"/>
    </row>
    <row r="172">
      <c r="E172" s="709"/>
      <c r="F172" s="709"/>
    </row>
    <row r="173">
      <c r="E173" s="709"/>
      <c r="F173" s="709"/>
    </row>
    <row r="174">
      <c r="E174" s="709"/>
      <c r="F174" s="709"/>
    </row>
    <row r="175">
      <c r="E175" s="709"/>
      <c r="F175" s="709"/>
    </row>
    <row r="176">
      <c r="E176" s="709"/>
      <c r="F176" s="709"/>
    </row>
    <row r="177">
      <c r="E177" s="709"/>
      <c r="F177" s="709"/>
    </row>
    <row r="178">
      <c r="E178" s="709"/>
      <c r="F178" s="709"/>
    </row>
    <row r="179">
      <c r="E179" s="709"/>
      <c r="F179" s="709"/>
    </row>
    <row r="180">
      <c r="E180" s="709"/>
      <c r="F180" s="709"/>
    </row>
    <row r="181">
      <c r="E181" s="709"/>
      <c r="F181" s="709"/>
    </row>
    <row r="182">
      <c r="E182" s="709"/>
      <c r="F182" s="709"/>
    </row>
    <row r="183">
      <c r="E183" s="709"/>
      <c r="F183" s="709"/>
    </row>
    <row r="184">
      <c r="E184" s="709"/>
      <c r="F184" s="709"/>
    </row>
    <row r="185">
      <c r="E185" s="709"/>
      <c r="F185" s="709"/>
    </row>
    <row r="186">
      <c r="E186" s="709"/>
      <c r="F186" s="709"/>
    </row>
    <row r="187">
      <c r="E187" s="709"/>
      <c r="F187" s="709"/>
    </row>
    <row r="188">
      <c r="E188" s="709"/>
      <c r="F188" s="709"/>
    </row>
    <row r="189">
      <c r="E189" s="709"/>
      <c r="F189" s="709"/>
    </row>
    <row r="190">
      <c r="E190" s="709"/>
      <c r="F190" s="709"/>
    </row>
    <row r="191">
      <c r="E191" s="709"/>
      <c r="F191" s="709"/>
    </row>
    <row r="192">
      <c r="E192" s="709"/>
      <c r="F192" s="709"/>
    </row>
    <row r="193">
      <c r="E193" s="709"/>
      <c r="F193" s="709"/>
    </row>
    <row r="194">
      <c r="E194" s="709"/>
      <c r="F194" s="709"/>
    </row>
    <row r="195">
      <c r="E195" s="709"/>
      <c r="F195" s="709"/>
    </row>
    <row r="196">
      <c r="E196" s="709"/>
      <c r="F196" s="709"/>
    </row>
    <row r="197">
      <c r="E197" s="709"/>
      <c r="F197" s="709"/>
    </row>
    <row r="198">
      <c r="E198" s="709"/>
      <c r="F198" s="709"/>
    </row>
    <row r="199">
      <c r="E199" s="709"/>
      <c r="F199" s="709"/>
    </row>
    <row r="200">
      <c r="E200" s="709"/>
      <c r="F200" s="709"/>
    </row>
    <row r="201">
      <c r="E201" s="709"/>
      <c r="F201" s="709"/>
    </row>
    <row r="202">
      <c r="E202" s="709"/>
      <c r="F202" s="709"/>
    </row>
    <row r="203">
      <c r="E203" s="709"/>
      <c r="F203" s="709"/>
    </row>
    <row r="204">
      <c r="E204" s="709"/>
      <c r="F204" s="709"/>
    </row>
    <row r="205">
      <c r="E205" s="709"/>
      <c r="F205" s="709"/>
    </row>
  </sheetData>
  <mergeCells>
    <mergeCell ref="B96:C96"/>
    <mergeCell ref="B95:C95"/>
    <mergeCell ref="A90:A96"/>
    <mergeCell ref="D88:K88"/>
    <mergeCell ref="L88:AE88"/>
    <mergeCell ref="A88:A89"/>
    <mergeCell ref="B88:C88"/>
    <mergeCell ref="B87:C87"/>
    <mergeCell ref="B86:C86"/>
    <mergeCell ref="A81:A87"/>
    <mergeCell ref="D79:K79"/>
    <mergeCell ref="L79:AE79"/>
    <mergeCell ref="A79:A80"/>
    <mergeCell ref="B79:C79"/>
    <mergeCell ref="B78:C78"/>
    <mergeCell ref="B77:C77"/>
    <mergeCell ref="A72:A78"/>
    <mergeCell ref="D70:K70"/>
    <mergeCell ref="L70:AE70"/>
    <mergeCell ref="A70:A71"/>
    <mergeCell ref="B70:C70"/>
    <mergeCell ref="B69:C69"/>
    <mergeCell ref="B68:C68"/>
    <mergeCell ref="A63:A69"/>
    <mergeCell ref="D61:K61"/>
    <mergeCell ref="L61:AE61"/>
    <mergeCell ref="A61:A62"/>
    <mergeCell ref="B61:C61"/>
    <mergeCell ref="B60:C60"/>
    <mergeCell ref="B59:C59"/>
    <mergeCell ref="A54:A60"/>
    <mergeCell ref="D52:K52"/>
    <mergeCell ref="L52:AE52"/>
    <mergeCell ref="A52:A53"/>
    <mergeCell ref="B52:C52"/>
    <mergeCell ref="B51:C51"/>
    <mergeCell ref="B50:C50"/>
    <mergeCell ref="A45:A51"/>
    <mergeCell ref="D43:K43"/>
    <mergeCell ref="L43:AE43"/>
    <mergeCell ref="A43:A44"/>
    <mergeCell ref="B43:C43"/>
    <mergeCell ref="D34:K34"/>
    <mergeCell ref="L34:AE34"/>
    <mergeCell ref="D26:K26"/>
    <mergeCell ref="L26:AE26"/>
    <mergeCell ref="D18:K18"/>
    <mergeCell ref="L18:AE18"/>
    <mergeCell ref="D9:K9"/>
    <mergeCell ref="L9:AE9"/>
    <mergeCell ref="D1:K1"/>
    <mergeCell ref="L1:AE1"/>
    <mergeCell ref="B42:C42"/>
    <mergeCell ref="B41:C41"/>
    <mergeCell ref="A36:A42"/>
    <mergeCell ref="A34:A35"/>
    <mergeCell ref="B34:C34"/>
    <mergeCell ref="B33:C33"/>
    <mergeCell ref="B32:C32"/>
    <mergeCell ref="A28:A33"/>
    <mergeCell ref="A26:A27"/>
    <mergeCell ref="B26:C26"/>
    <mergeCell ref="A18:A19"/>
    <mergeCell ref="B18:C18"/>
    <mergeCell ref="A11:A17"/>
    <mergeCell ref="B16:C16"/>
    <mergeCell ref="B17:C17"/>
    <mergeCell ref="A9:A10"/>
    <mergeCell ref="B9:C9"/>
    <mergeCell ref="A1:A2"/>
    <mergeCell ref="B1:C1"/>
    <mergeCell ref="B8:C8"/>
    <mergeCell ref="B7:C7"/>
    <mergeCell ref="A3:A8"/>
    <mergeCell ref="A20:A25"/>
    <mergeCell ref="B24:C24"/>
    <mergeCell ref="B25:C25"/>
    <mergeCell ref="D97:K97"/>
    <mergeCell ref="L97:AE97"/>
    <mergeCell ref="A97:A98"/>
    <mergeCell ref="B97:C97"/>
    <mergeCell ref="B104:C104"/>
    <mergeCell ref="B110:C110"/>
    <mergeCell ref="B109:C109"/>
    <mergeCell ref="A99:A110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4.140845070422536"/>
    <col collapsed="false" customWidth="true" hidden="false" max="2" min="2" style="0" width="16.845070422535212"/>
  </cols>
  <sheetData>
    <row r="1">
      <c r="A1" s="711" t="s">
        <v>508</v>
      </c>
      <c r="B1" s="712" t="s">
        <v>509</v>
      </c>
      <c r="C1" s="713"/>
    </row>
    <row r="2">
      <c r="A2" s="711">
        <v>0.0553</v>
      </c>
      <c r="B2" s="714">
        <f>A2</f>
      </c>
    </row>
    <row r="3">
      <c r="A3" s="711">
        <v>0.049</v>
      </c>
      <c r="B3" s="714">
        <f>A3*2-B2</f>
      </c>
    </row>
    <row r="4">
      <c r="A4" s="711">
        <v>0.0393</v>
      </c>
      <c r="B4" s="714">
        <f>A4*3-B2-B3</f>
      </c>
    </row>
    <row r="5">
      <c r="A5" s="711">
        <v>0.028</v>
      </c>
      <c r="B5" s="714">
        <f>A5*4-B2-B3-B4</f>
      </c>
    </row>
    <row r="6">
      <c r="A6" s="711">
        <v>0.022</v>
      </c>
      <c r="B6" s="714">
        <f>A6*5-B2-B3-B4-B5</f>
      </c>
    </row>
    <row r="7">
      <c r="A7" s="711"/>
      <c r="B7" s="714">
        <f>A7*6-B2-B3-B4-B5-B6</f>
      </c>
    </row>
    <row r="8">
      <c r="A8" s="711"/>
      <c r="B8" s="714">
        <f>A8*7-B2-B3-B4-B5-B6-B7</f>
      </c>
    </row>
    <row r="9">
      <c r="A9" s="711"/>
      <c r="B9" s="714">
        <f>A9*8-B2-B4-B5-B6-B7-B8-B3</f>
      </c>
    </row>
    <row r="10">
      <c r="A10" s="711"/>
      <c r="B10" s="714">
        <f>A10*9-B2-B3-B5-B6-B7-B8-B9-B4</f>
      </c>
    </row>
    <row r="11">
      <c r="A11" s="711"/>
      <c r="B11" s="714">
        <f>A11*10-B2-B3-B4-B6-B7-B8-B9-B10-B5</f>
      </c>
    </row>
    <row r="12">
      <c r="A12" s="711"/>
      <c r="B12" s="714">
        <f>A12*11-B2-B3-B4-B5-B7-B8-B9-B10-B11-B6</f>
      </c>
    </row>
    <row r="13">
      <c r="A13" s="711"/>
      <c r="B13" s="714">
        <f>A13*12-B2-B3-B4-B5-B6-B8-B9-B10-B11-B12-B7</f>
      </c>
    </row>
    <row r="14"/>
    <row r="15">
      <c r="A15" s="715"/>
      <c r="B15" s="715"/>
    </row>
    <row r="16">
      <c r="A16" s="715"/>
      <c r="B16" s="715"/>
    </row>
    <row r="17">
      <c r="A17" s="715"/>
      <c r="B17" s="715"/>
    </row>
    <row r="18">
      <c r="A18" s="716"/>
      <c r="B18" s="716"/>
      <c r="C18" s="716"/>
      <c r="D18" s="716"/>
      <c r="E18" s="716"/>
      <c r="F18" s="716"/>
      <c r="H18" s="716"/>
      <c r="I18" s="716"/>
      <c r="J18" s="716"/>
      <c r="K18" s="716"/>
      <c r="L18" s="716"/>
      <c r="M18" s="716"/>
      <c r="N18" s="716"/>
      <c r="O18" s="716"/>
      <c r="P18" s="716"/>
      <c r="Q18" s="716"/>
      <c r="R18" s="717"/>
      <c r="S18" s="717"/>
      <c r="T18" s="716"/>
      <c r="U18" s="716"/>
      <c r="V18" s="716"/>
      <c r="W18" s="716"/>
      <c r="X18" s="716"/>
      <c r="Y18" s="716"/>
      <c r="Z18" s="716"/>
      <c r="AA18" s="716"/>
      <c r="AB18" s="716"/>
      <c r="AC18" s="716"/>
      <c r="AD18" s="716"/>
      <c r="AE18" s="716"/>
      <c r="AF18" s="716"/>
    </row>
    <row r="19">
      <c r="A19" s="716"/>
      <c r="B19" s="716"/>
      <c r="C19" s="716"/>
      <c r="D19" s="718"/>
      <c r="E19" s="719"/>
      <c r="F19" s="720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21"/>
      <c r="S19" s="716"/>
      <c r="T19" s="716"/>
      <c r="U19" s="722"/>
      <c r="V19" s="722"/>
      <c r="W19" s="716"/>
      <c r="X19" s="722"/>
      <c r="Y19" s="716"/>
      <c r="Z19" s="716"/>
      <c r="AA19" s="716"/>
      <c r="AB19" s="716"/>
      <c r="AC19" s="716"/>
      <c r="AD19" s="716"/>
      <c r="AE19" s="716"/>
      <c r="AF19" s="720"/>
    </row>
    <row r="20">
      <c r="A20" s="715"/>
      <c r="B20" s="715"/>
    </row>
    <row r="21">
      <c r="A21" s="715"/>
      <c r="B21" s="715"/>
    </row>
    <row r="22">
      <c r="A22" s="715"/>
      <c r="B22" s="715"/>
    </row>
    <row r="23">
      <c r="A23" s="715"/>
      <c r="B23" s="715"/>
    </row>
    <row r="24">
      <c r="A24" s="715"/>
      <c r="B24" s="715"/>
    </row>
    <row r="25">
      <c r="A25" s="715"/>
      <c r="B25" s="715"/>
    </row>
    <row r="26">
      <c r="A26" s="715"/>
      <c r="B26" s="715"/>
    </row>
    <row r="27">
      <c r="A27" s="715"/>
      <c r="B27" s="715"/>
    </row>
    <row r="28">
      <c r="A28" s="715"/>
      <c r="B28" s="715"/>
    </row>
    <row r="29">
      <c r="A29" s="715"/>
      <c r="B29" s="715"/>
    </row>
    <row r="30">
      <c r="A30" s="715"/>
      <c r="B30" s="715"/>
    </row>
    <row r="31">
      <c r="A31" s="715"/>
      <c r="B31" s="715"/>
    </row>
    <row r="32">
      <c r="A32" s="715"/>
      <c r="B32" s="715"/>
    </row>
    <row r="33">
      <c r="A33" s="715"/>
      <c r="B33" s="715"/>
    </row>
    <row r="34">
      <c r="A34" s="715"/>
      <c r="B34" s="715"/>
    </row>
    <row r="35">
      <c r="A35" s="715"/>
      <c r="B35" s="715"/>
    </row>
    <row r="36">
      <c r="A36" s="715"/>
      <c r="B36" s="715"/>
    </row>
    <row r="37">
      <c r="A37" s="715"/>
      <c r="B37" s="715"/>
    </row>
    <row r="38">
      <c r="A38" s="715"/>
      <c r="B38" s="715"/>
    </row>
    <row r="39">
      <c r="A39" s="715"/>
      <c r="B39" s="715"/>
    </row>
    <row r="40">
      <c r="A40" s="715"/>
      <c r="B40" s="715"/>
    </row>
    <row r="41">
      <c r="A41" s="715"/>
      <c r="B41" s="715"/>
    </row>
    <row r="42">
      <c r="A42" s="715"/>
      <c r="B42" s="715"/>
    </row>
    <row r="43">
      <c r="A43" s="715"/>
      <c r="B43" s="715"/>
    </row>
    <row r="44">
      <c r="A44" s="715"/>
      <c r="B44" s="715"/>
    </row>
    <row r="45">
      <c r="A45" s="715"/>
      <c r="B45" s="715"/>
    </row>
    <row r="46">
      <c r="A46" s="715"/>
      <c r="B46" s="715"/>
    </row>
    <row r="47">
      <c r="A47" s="715"/>
      <c r="B47" s="715"/>
    </row>
    <row r="48">
      <c r="A48" s="715"/>
      <c r="B48" s="715"/>
    </row>
    <row r="49">
      <c r="A49" s="715"/>
      <c r="B49" s="715"/>
    </row>
    <row r="50">
      <c r="A50" s="715"/>
      <c r="B50" s="715"/>
    </row>
    <row r="51">
      <c r="A51" s="715"/>
      <c r="B51" s="715"/>
    </row>
    <row r="52">
      <c r="A52" s="715"/>
      <c r="B52" s="715"/>
    </row>
    <row r="53">
      <c r="A53" s="715"/>
      <c r="B53" s="715"/>
    </row>
    <row r="54">
      <c r="A54" s="715"/>
      <c r="B54" s="715"/>
    </row>
    <row r="55">
      <c r="A55" s="715"/>
      <c r="B55" s="715"/>
    </row>
    <row r="56">
      <c r="A56" s="715"/>
      <c r="B56" s="715"/>
    </row>
    <row r="57">
      <c r="A57" s="715"/>
      <c r="B57" s="715"/>
    </row>
    <row r="58">
      <c r="A58" s="715"/>
      <c r="B58" s="715"/>
    </row>
    <row r="59">
      <c r="A59" s="715"/>
      <c r="B59" s="715"/>
    </row>
    <row r="60">
      <c r="A60" s="715"/>
      <c r="B60" s="715"/>
    </row>
    <row r="61">
      <c r="A61" s="715"/>
      <c r="B61" s="715"/>
    </row>
    <row r="62">
      <c r="A62" s="715"/>
      <c r="B62" s="715"/>
    </row>
    <row r="63">
      <c r="A63" s="715"/>
      <c r="B63" s="715"/>
    </row>
    <row r="64">
      <c r="A64" s="715"/>
      <c r="B64" s="715"/>
    </row>
    <row r="65">
      <c r="A65" s="715"/>
      <c r="B65" s="715"/>
    </row>
    <row r="66">
      <c r="A66" s="715"/>
      <c r="B66" s="715"/>
    </row>
    <row r="67">
      <c r="A67" s="715"/>
      <c r="B67" s="715"/>
    </row>
    <row r="68">
      <c r="A68" s="715"/>
      <c r="B68" s="715"/>
    </row>
    <row r="69">
      <c r="A69" s="715"/>
      <c r="B69" s="715"/>
    </row>
    <row r="70">
      <c r="A70" s="715"/>
      <c r="B70" s="715"/>
    </row>
    <row r="71">
      <c r="A71" s="715"/>
      <c r="B71" s="715"/>
    </row>
    <row r="72">
      <c r="A72" s="715"/>
      <c r="B72" s="715"/>
    </row>
    <row r="73">
      <c r="A73" s="715"/>
      <c r="B73" s="715"/>
    </row>
    <row r="74">
      <c r="A74" s="715"/>
      <c r="B74" s="715"/>
    </row>
    <row r="75">
      <c r="A75" s="715"/>
      <c r="B75" s="715"/>
    </row>
    <row r="76">
      <c r="A76" s="715"/>
      <c r="B76" s="715"/>
    </row>
    <row r="77">
      <c r="A77" s="715"/>
      <c r="B77" s="715"/>
    </row>
    <row r="78">
      <c r="A78" s="715"/>
      <c r="B78" s="715"/>
    </row>
    <row r="79">
      <c r="A79" s="715"/>
      <c r="B79" s="715"/>
    </row>
    <row r="80">
      <c r="A80" s="715"/>
      <c r="B80" s="715"/>
    </row>
    <row r="81">
      <c r="A81" s="715"/>
      <c r="B81" s="715"/>
    </row>
    <row r="82">
      <c r="A82" s="715"/>
      <c r="B82" s="715"/>
    </row>
    <row r="83">
      <c r="A83" s="715"/>
      <c r="B83" s="715"/>
    </row>
    <row r="84">
      <c r="A84" s="715"/>
      <c r="B84" s="715"/>
    </row>
    <row r="85">
      <c r="A85" s="715"/>
      <c r="B85" s="715"/>
    </row>
    <row r="86">
      <c r="A86" s="715"/>
      <c r="B86" s="715"/>
    </row>
    <row r="87">
      <c r="A87" s="715"/>
      <c r="B87" s="715"/>
    </row>
    <row r="88">
      <c r="A88" s="715"/>
      <c r="B88" s="715"/>
    </row>
    <row r="89">
      <c r="A89" s="715"/>
      <c r="B89" s="715"/>
    </row>
    <row r="90">
      <c r="A90" s="715"/>
      <c r="B90" s="715"/>
    </row>
    <row r="91">
      <c r="A91" s="715"/>
      <c r="B91" s="715"/>
    </row>
    <row r="92">
      <c r="A92" s="715"/>
      <c r="B92" s="715"/>
    </row>
    <row r="93">
      <c r="A93" s="715"/>
      <c r="B93" s="715"/>
    </row>
    <row r="94">
      <c r="A94" s="715"/>
      <c r="B94" s="715"/>
    </row>
    <row r="95">
      <c r="A95" s="715"/>
      <c r="B95" s="715"/>
    </row>
    <row r="96">
      <c r="A96" s="715"/>
      <c r="B96" s="715"/>
    </row>
    <row r="97">
      <c r="A97" s="715"/>
      <c r="B97" s="715"/>
    </row>
    <row r="98">
      <c r="A98" s="715"/>
      <c r="B98" s="715"/>
    </row>
    <row r="99">
      <c r="A99" s="715"/>
      <c r="B99" s="715"/>
    </row>
    <row r="100">
      <c r="A100" s="715"/>
      <c r="B100" s="715"/>
    </row>
    <row r="101">
      <c r="A101" s="715"/>
      <c r="B101" s="715"/>
    </row>
    <row r="102">
      <c r="A102" s="715"/>
      <c r="B102" s="715"/>
    </row>
    <row r="103">
      <c r="A103" s="715"/>
      <c r="B103" s="715"/>
    </row>
    <row r="104">
      <c r="A104" s="715"/>
      <c r="B104" s="715"/>
    </row>
    <row r="105">
      <c r="A105" s="715"/>
      <c r="B105" s="715"/>
    </row>
    <row r="106">
      <c r="A106" s="715"/>
      <c r="B106" s="715"/>
    </row>
    <row r="107">
      <c r="A107" s="715"/>
      <c r="B107" s="715"/>
    </row>
    <row r="108">
      <c r="A108" s="715"/>
      <c r="B108" s="715"/>
    </row>
    <row r="109">
      <c r="A109" s="715"/>
      <c r="B109" s="715"/>
    </row>
    <row r="110">
      <c r="A110" s="715"/>
      <c r="B110" s="715"/>
    </row>
    <row r="111">
      <c r="A111" s="715"/>
      <c r="B111" s="715"/>
    </row>
    <row r="112">
      <c r="A112" s="715"/>
      <c r="B112" s="715"/>
    </row>
    <row r="113">
      <c r="A113" s="715"/>
      <c r="B113" s="715"/>
    </row>
    <row r="114">
      <c r="A114" s="715"/>
      <c r="B114" s="715"/>
    </row>
    <row r="115">
      <c r="A115" s="715"/>
      <c r="B115" s="715"/>
    </row>
    <row r="116">
      <c r="A116" s="715"/>
      <c r="B116" s="715"/>
    </row>
    <row r="117">
      <c r="A117" s="715"/>
      <c r="B117" s="715"/>
    </row>
    <row r="118">
      <c r="A118" s="715"/>
      <c r="B118" s="715"/>
    </row>
    <row r="119">
      <c r="A119" s="715"/>
      <c r="B119" s="715"/>
    </row>
    <row r="120">
      <c r="A120" s="715"/>
      <c r="B120" s="715"/>
    </row>
    <row r="121">
      <c r="A121" s="715"/>
      <c r="B121" s="715"/>
    </row>
    <row r="122">
      <c r="A122" s="715"/>
      <c r="B122" s="715"/>
    </row>
    <row r="123">
      <c r="A123" s="715"/>
      <c r="B123" s="715"/>
    </row>
    <row r="124">
      <c r="A124" s="715"/>
      <c r="B124" s="715"/>
    </row>
    <row r="125">
      <c r="A125" s="715"/>
      <c r="B125" s="715"/>
    </row>
    <row r="126">
      <c r="A126" s="715"/>
      <c r="B126" s="715"/>
    </row>
    <row r="127">
      <c r="A127" s="715"/>
      <c r="B127" s="715"/>
    </row>
    <row r="128">
      <c r="A128" s="715"/>
      <c r="B128" s="715"/>
    </row>
    <row r="129">
      <c r="A129" s="715"/>
      <c r="B129" s="715"/>
    </row>
    <row r="130">
      <c r="A130" s="715"/>
      <c r="B130" s="715"/>
    </row>
    <row r="131">
      <c r="A131" s="715"/>
      <c r="B131" s="715"/>
    </row>
    <row r="132">
      <c r="A132" s="715"/>
      <c r="B132" s="715"/>
    </row>
    <row r="133">
      <c r="A133" s="715"/>
      <c r="B133" s="715"/>
    </row>
    <row r="134">
      <c r="A134" s="715"/>
      <c r="B134" s="715"/>
    </row>
    <row r="135">
      <c r="A135" s="715"/>
      <c r="B135" s="715"/>
    </row>
    <row r="136">
      <c r="A136" s="715"/>
      <c r="B136" s="715"/>
    </row>
    <row r="137">
      <c r="A137" s="715"/>
      <c r="B137" s="715"/>
    </row>
    <row r="138">
      <c r="A138" s="715"/>
      <c r="B138" s="715"/>
    </row>
    <row r="139">
      <c r="A139" s="715"/>
      <c r="B139" s="715"/>
    </row>
    <row r="140">
      <c r="A140" s="715"/>
      <c r="B140" s="715"/>
    </row>
    <row r="141">
      <c r="A141" s="715"/>
      <c r="B141" s="715"/>
    </row>
    <row r="142">
      <c r="A142" s="715"/>
      <c r="B142" s="715"/>
    </row>
    <row r="143">
      <c r="A143" s="715"/>
      <c r="B143" s="715"/>
    </row>
    <row r="144">
      <c r="A144" s="715"/>
      <c r="B144" s="715"/>
    </row>
    <row r="145">
      <c r="A145" s="715"/>
      <c r="B145" s="715"/>
    </row>
    <row r="146">
      <c r="A146" s="715"/>
      <c r="B146" s="715"/>
    </row>
    <row r="147">
      <c r="A147" s="715"/>
      <c r="B147" s="715"/>
    </row>
    <row r="148">
      <c r="A148" s="715"/>
      <c r="B148" s="715"/>
    </row>
    <row r="149">
      <c r="A149" s="715"/>
      <c r="B149" s="715"/>
    </row>
    <row r="150">
      <c r="A150" s="715"/>
      <c r="B150" s="715"/>
    </row>
    <row r="151">
      <c r="A151" s="715"/>
      <c r="B151" s="715"/>
    </row>
    <row r="152">
      <c r="A152" s="715"/>
      <c r="B152" s="715"/>
    </row>
    <row r="153">
      <c r="A153" s="715"/>
      <c r="B153" s="715"/>
    </row>
    <row r="154">
      <c r="A154" s="715"/>
      <c r="B154" s="715"/>
    </row>
    <row r="155">
      <c r="A155" s="715"/>
      <c r="B155" s="715"/>
    </row>
    <row r="156">
      <c r="A156" s="715"/>
      <c r="B156" s="715"/>
    </row>
    <row r="157">
      <c r="A157" s="715"/>
      <c r="B157" s="715"/>
    </row>
    <row r="158">
      <c r="A158" s="715"/>
      <c r="B158" s="715"/>
    </row>
    <row r="159">
      <c r="A159" s="715"/>
      <c r="B159" s="715"/>
    </row>
    <row r="160">
      <c r="A160" s="715"/>
      <c r="B160" s="715"/>
    </row>
    <row r="161">
      <c r="A161" s="715"/>
      <c r="B161" s="715"/>
    </row>
    <row r="162">
      <c r="A162" s="715"/>
      <c r="B162" s="715"/>
    </row>
    <row r="163">
      <c r="A163" s="715"/>
      <c r="B163" s="715"/>
    </row>
    <row r="164">
      <c r="A164" s="715"/>
      <c r="B164" s="715"/>
    </row>
    <row r="165">
      <c r="A165" s="715"/>
      <c r="B165" s="715"/>
    </row>
    <row r="166">
      <c r="A166" s="715"/>
      <c r="B166" s="715"/>
    </row>
    <row r="167">
      <c r="A167" s="715"/>
      <c r="B167" s="715"/>
    </row>
    <row r="168">
      <c r="A168" s="715"/>
      <c r="B168" s="715"/>
    </row>
    <row r="169">
      <c r="A169" s="715"/>
      <c r="B169" s="715"/>
    </row>
    <row r="170">
      <c r="A170" s="715"/>
      <c r="B170" s="715"/>
    </row>
    <row r="171">
      <c r="A171" s="715"/>
      <c r="B171" s="715"/>
    </row>
    <row r="172">
      <c r="A172" s="715"/>
      <c r="B172" s="715"/>
    </row>
    <row r="173">
      <c r="A173" s="715"/>
      <c r="B173" s="715"/>
    </row>
    <row r="174">
      <c r="A174" s="715"/>
      <c r="B174" s="715"/>
    </row>
    <row r="175">
      <c r="A175" s="715"/>
      <c r="B175" s="715"/>
    </row>
    <row r="176">
      <c r="A176" s="715"/>
      <c r="B176" s="715"/>
    </row>
    <row r="177">
      <c r="A177" s="715"/>
      <c r="B177" s="715"/>
    </row>
    <row r="178">
      <c r="A178" s="715"/>
      <c r="B178" s="715"/>
    </row>
    <row r="179">
      <c r="A179" s="715"/>
      <c r="B179" s="715"/>
    </row>
    <row r="180">
      <c r="A180" s="715"/>
      <c r="B180" s="715"/>
    </row>
    <row r="181">
      <c r="A181" s="715"/>
      <c r="B181" s="715"/>
    </row>
    <row r="182">
      <c r="A182" s="715"/>
      <c r="B182" s="715"/>
    </row>
    <row r="183">
      <c r="A183" s="715"/>
      <c r="B183" s="715"/>
    </row>
    <row r="184">
      <c r="A184" s="715"/>
      <c r="B184" s="715"/>
    </row>
    <row r="185">
      <c r="A185" s="715"/>
      <c r="B185" s="715"/>
    </row>
    <row r="186">
      <c r="A186" s="715"/>
      <c r="B186" s="715"/>
    </row>
    <row r="187">
      <c r="A187" s="715"/>
      <c r="B187" s="715"/>
    </row>
    <row r="188">
      <c r="A188" s="715"/>
      <c r="B188" s="715"/>
    </row>
    <row r="189">
      <c r="A189" s="715"/>
      <c r="B189" s="715"/>
    </row>
    <row r="190">
      <c r="A190" s="715"/>
      <c r="B190" s="715"/>
    </row>
    <row r="191">
      <c r="A191" s="715"/>
      <c r="B191" s="715"/>
    </row>
    <row r="192">
      <c r="A192" s="715"/>
      <c r="B192" s="715"/>
    </row>
    <row r="193">
      <c r="A193" s="715"/>
      <c r="B193" s="715"/>
    </row>
    <row r="194">
      <c r="A194" s="715"/>
      <c r="B194" s="715"/>
    </row>
    <row r="195">
      <c r="A195" s="715"/>
      <c r="B195" s="715"/>
    </row>
    <row r="196">
      <c r="A196" s="715"/>
      <c r="B196" s="715"/>
    </row>
    <row r="197">
      <c r="A197" s="715"/>
      <c r="B197" s="715"/>
    </row>
    <row r="198">
      <c r="A198" s="715"/>
      <c r="B198" s="715"/>
    </row>
    <row r="199">
      <c r="A199" s="715"/>
      <c r="B199" s="715"/>
    </row>
    <row r="200">
      <c r="A200" s="715"/>
      <c r="B200" s="71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