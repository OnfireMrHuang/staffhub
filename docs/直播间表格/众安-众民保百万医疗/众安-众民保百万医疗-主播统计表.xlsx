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8"/>
    <sheet name="2026.7" sheetId="5" r:id="rId9"/>
    <sheet name="Sheet5" sheetId="6" r:id="rId11"/>
  </sheets>
  <calcPr calcMode="auto"/>
  <pivotCaches>
    <pivotCache cacheId="1" r:id="rId7"/>
    <pivotCache cacheId="2" r:id="rId10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<sst xmlns="http://schemas.openxmlformats.org/spreadsheetml/2006/main" count="291" uniqueCount="291">
  <si>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</si>
  <si>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</si>
  <si>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</si>
  <si>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</si>
  <si>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</si>
  <si>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抖音投流消耗</t>
  </si>
  <si>
    <t xml:space="preserve">订单数</t>
  </si>
  <si>
    <t xml:space="preserve">众民保单数</t>
  </si>
  <si>
    <t xml:space="preserve">众民年化保费</t>
  </si>
  <si>
    <t xml:space="preserve">尊享保单数</t>
  </si>
  <si>
    <t xml:space="preserve">尊享年化保费</t>
  </si>
  <si>
    <t xml:space="preserve">保单数量（总）</t>
  </si>
  <si>
    <t xml:space="preserve">保险支付数</t>
  </si>
  <si>
    <t xml:space="preserve">纯投放（表单）</t>
  </si>
  <si>
    <t xml:space="preserve">家庭单数量</t>
  </si>
  <si>
    <t xml:space="preserve">50+保单数量</t>
  </si>
  <si>
    <t xml:space="preserve">抖音年化保费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</si>
  <si>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</si>
  <si>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</si>
  <si>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</si>
  <si>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</si>
  <si>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</si>
  <si>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</si>
  <si>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</si>
  <si>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边丽媛</t>
  </si>
  <si>
    <t xml:space="preserve">19:00-24:00</t>
  </si>
  <si>
    <t xml:space="preserve">石涵雨</t>
  </si>
  <si>
    <t xml:space="preserve">陈浏铭</t>
  </si>
  <si>
    <t xml:space="preserve">日总</t>
  </si>
  <si>
    <t xml:space="preserve">张仪凡</t>
  </si>
  <si>
    <t xml:space="preserve">8:00-12:00</t>
  </si>
  <si>
    <t xml:space="preserve">刘洪岩</t>
  </si>
  <si>
    <t xml:space="preserve">王梦晴</t>
  </si>
  <si>
    <t xml:space="preserve">12:00-16:00</t>
  </si>
  <si>
    <t xml:space="preserve">刘丽杰</t>
  </si>
  <si>
    <t xml:space="preserve">16:00-20:00</t>
  </si>
  <si>
    <t xml:space="preserve">邵二波</t>
  </si>
  <si>
    <t xml:space="preserve">20:00-24:00</t>
  </si>
  <si>
    <t xml:space="preserve">路孟玲</t>
  </si>
  <si>
    <t xml:space="preserve">8:00-13:00</t>
  </si>
  <si>
    <t xml:space="preserve">13:00-17:00</t>
  </si>
  <si>
    <t xml:space="preserve">17:00-20:00</t>
  </si>
  <si>
    <t xml:space="preserve">商潇涵</t>
  </si>
  <si>
    <t xml:space="preserve">20:00-1:00</t>
  </si>
  <si>
    <t xml:space="preserve">罗丽洋</t>
  </si>
  <si>
    <t xml:space="preserve">13:00-16:00</t>
  </si>
  <si>
    <t xml:space="preserve">16:00-19:00</t>
  </si>
  <si>
    <t xml:space="preserve">赵若含</t>
  </si>
  <si>
    <t xml:space="preserve">19:00-21:00</t>
  </si>
  <si>
    <t xml:space="preserve">21:00-24:00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</si>
  <si>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</si>
  <si>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</si>
  <si>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</si>
  <si>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</si>
  <si>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抖音投流消耗</t>
  </si>
  <si>
    <t xml:space="preserve">订单数</t>
  </si>
  <si>
    <t xml:space="preserve">众民保单数</t>
  </si>
  <si>
    <t xml:space="preserve">众民年化保费</t>
  </si>
  <si>
    <t xml:space="preserve">尊享保单数</t>
  </si>
  <si>
    <t xml:space="preserve">尊享年化保费</t>
  </si>
  <si>
    <t xml:space="preserve">保单数量（总）</t>
  </si>
  <si>
    <t xml:space="preserve">保险支付数</t>
  </si>
  <si>
    <t xml:space="preserve">纯投放（表单）</t>
  </si>
  <si>
    <t xml:space="preserve">家庭单数量</t>
  </si>
  <si>
    <t xml:space="preserve">50+保单数量</t>
  </si>
  <si>
    <t xml:space="preserve">抖音年化保费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</si>
  <si>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</si>
  <si>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</si>
  <si>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</si>
  <si>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</si>
  <si>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</si>
  <si>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</si>
  <si>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</si>
  <si>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张仪凡</t>
  </si>
  <si>
    <t xml:space="preserve">10:00-15:00</t>
  </si>
  <si>
    <t xml:space="preserve">王学伟双</t>
  </si>
  <si>
    <t xml:space="preserve">邵二波</t>
  </si>
  <si>
    <t xml:space="preserve">路孟玲</t>
  </si>
  <si>
    <t xml:space="preserve">15:00-19:00</t>
  </si>
  <si>
    <t xml:space="preserve">王学伟</t>
  </si>
  <si>
    <t xml:space="preserve">边丽媛</t>
  </si>
  <si>
    <t xml:space="preserve">19:00-24:00</t>
  </si>
  <si>
    <t xml:space="preserve">刘洪岩</t>
  </si>
  <si>
    <t xml:space="preserve">日总</t>
  </si>
  <si>
    <t xml:space="preserve">刘丽杰</t>
  </si>
  <si>
    <t xml:space="preserve">10:00-14:00</t>
  </si>
  <si>
    <t xml:space="preserve">14:00-17:00</t>
  </si>
  <si>
    <t xml:space="preserve">17:00-20:00</t>
  </si>
  <si>
    <t xml:space="preserve">20:00-24:00</t>
  </si>
  <si>
    <t xml:space="preserve">罗丽洋双</t>
  </si>
  <si>
    <t xml:space="preserve">王梦晴</t>
  </si>
  <si>
    <t xml:space="preserve">罗丽洋</t>
  </si>
  <si>
    <t xml:space="preserve">商潇涵</t>
  </si>
  <si>
    <t xml:space="preserve">8:00-12:00</t>
  </si>
  <si>
    <t xml:space="preserve">12:00-16:00</t>
  </si>
  <si>
    <t xml:space="preserve">16:00-20:00</t>
  </si>
  <si>
    <t xml:space="preserve">20:00-22:00</t>
  </si>
  <si>
    <t xml:space="preserve">申丽媛</t>
  </si>
  <si>
    <t xml:space="preserve">16:00-18:00</t>
  </si>
  <si>
    <t xml:space="preserve">18:00-20:00</t>
  </si>
  <si>
    <t xml:space="preserve">12:00-15:00</t>
  </si>
  <si>
    <t xml:space="preserve">15:00-17:00</t>
  </si>
  <si>
    <t xml:space="preserve">16:00-19:00</t>
  </si>
  <si>
    <t xml:space="preserve">19:00-21:00</t>
  </si>
  <si>
    <t xml:space="preserve">21:00-24:00</t>
  </si>
  <si>
    <t xml:space="preserve">商潇涵双</t>
  </si>
  <si>
    <t xml:space="preserve">叶有好</t>
  </si>
  <si>
    <t xml:space="preserve">石涵雨</t>
  </si>
  <si>
    <t xml:space="preserve">20:00-23:00</t>
  </si>
  <si>
    <t xml:space="preserve">20:00-22:15</t>
  </si>
  <si>
    <t xml:space="preserve">陈浏铭</t>
  </si>
  <si>
    <t xml:space="preserve">20:00-23:30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</si>
  <si>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</si>
  <si>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</si>
  <si>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</si>
  <si>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</si>
  <si>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</si>
  <si>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</si>
  <si>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抖音投流消耗</t>
  </si>
  <si>
    <t xml:space="preserve">订单数</t>
  </si>
  <si>
    <t xml:space="preserve">众民保单数</t>
  </si>
  <si>
    <t xml:space="preserve">众民年化保费</t>
  </si>
  <si>
    <t xml:space="preserve">尊享保单数</t>
  </si>
  <si>
    <t xml:space="preserve">尊享年化保费</t>
  </si>
  <si>
    <t xml:space="preserve">保单数量（总）</t>
  </si>
  <si>
    <t xml:space="preserve">保险支付数</t>
  </si>
  <si>
    <t xml:space="preserve">纯投放（表单）</t>
  </si>
  <si>
    <t xml:space="preserve">家庭单数量</t>
  </si>
  <si>
    <t xml:space="preserve">50+保单数量</t>
  </si>
  <si>
    <t xml:space="preserve">抖音年化保费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</si>
  <si>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</si>
  <si>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</si>
  <si>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</si>
  <si>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</si>
  <si>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</si>
  <si>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</si>
  <si>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</si>
  <si>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张仪凡</t>
  </si>
  <si>
    <t xml:space="preserve">7:00-11:00</t>
  </si>
  <si>
    <t xml:space="preserve">王学伟</t>
  </si>
  <si>
    <t xml:space="preserve">邵二波</t>
  </si>
  <si>
    <t xml:space="preserve">高晓丽</t>
  </si>
  <si>
    <t xml:space="preserve">11:00-15:00</t>
  </si>
  <si>
    <t xml:space="preserve">路孟玲</t>
  </si>
  <si>
    <t xml:space="preserve">15:00-17:00</t>
  </si>
  <si>
    <t xml:space="preserve">刘丽杰</t>
  </si>
  <si>
    <t xml:space="preserve">17:00-20:00</t>
  </si>
  <si>
    <t xml:space="preserve">陈畑妤</t>
  </si>
  <si>
    <t xml:space="preserve">20:00-23:00</t>
  </si>
  <si>
    <t xml:space="preserve">罗丽洋</t>
  </si>
  <si>
    <t xml:space="preserve">日总</t>
  </si>
  <si>
    <t xml:space="preserve">赵千成</t>
  </si>
  <si>
    <t xml:space="preserve">17:00-19:00</t>
  </si>
  <si>
    <t xml:space="preserve">19:00-23:00</t>
  </si>
  <si>
    <t xml:space="preserve">11:00-14:00</t>
  </si>
  <si>
    <t xml:space="preserve">马浩东</t>
  </si>
  <si>
    <t xml:space="preserve">14:00-17:00</t>
  </si>
  <si>
    <t xml:space="preserve">11:00-13:00</t>
  </si>
  <si>
    <t xml:space="preserve">13:00-16:00</t>
  </si>
  <si>
    <t xml:space="preserve">16:00-19:00</t>
  </si>
  <si>
    <t xml:space="preserve">王学伟双</t>
  </si>
  <si>
    <t xml:space="preserve">罗丽洋双</t>
  </si>
  <si>
    <t xml:space="preserve">15:00-18:00</t>
  </si>
  <si>
    <t xml:space="preserve">商潇涵</t>
  </si>
  <si>
    <t xml:space="preserve">18:00-20:00</t>
  </si>
  <si>
    <t xml:space="preserve">8:00-10:00</t>
  </si>
  <si>
    <t xml:space="preserve">10:00-13:00</t>
  </si>
  <si>
    <t xml:space="preserve">7:00-10:00</t>
  </si>
  <si>
    <t xml:space="preserve">刘洪岩</t>
  </si>
  <si>
    <t xml:space="preserve">10:00-14:00</t>
  </si>
  <si>
    <t xml:space="preserve">15:00-19:00</t>
  </si>
  <si>
    <t xml:space="preserve">边丽媛</t>
  </si>
  <si>
    <t xml:space="preserve">14:00-16:00</t>
  </si>
  <si>
    <t xml:space="preserve">16:00-20:00</t>
  </si>
  <si>
    <t xml:space="preserve">18:00-23:00</t>
  </si>
  <si>
    <t xml:space="preserve">  7:00-12:00 </t>
  </si>
  <si>
    <t xml:space="preserve">12:00-17:00</t>
  </si>
  <si>
    <t xml:space="preserve">王梦晴</t>
  </si>
  <si>
    <t xml:space="preserve">  17:00-19:00</t>
  </si>
  <si>
    <t xml:space="preserve">12:00-15:00</t>
  </si>
  <si>
    <t xml:space="preserve">  15:00-19:00</t>
  </si>
  <si>
    <t xml:space="preserve">  7:00-11:00 </t>
  </si>
  <si>
    <t xml:space="preserve">闫小姗双</t>
  </si>
  <si>
    <t xml:space="preserve">  13:00-17:00</t>
  </si>
  <si>
    <t xml:space="preserve">07:00-10:30/11:00-12:00</t>
  </si>
  <si>
    <t xml:space="preserve">李哲</t>
  </si>
  <si>
    <t xml:space="preserve">19:00-22:00</t>
  </si>
  <si>
    <t xml:space="preserve">07:00-11:00</t>
  </si>
  <si>
    <t xml:space="preserve">魏迪双</t>
  </si>
  <si>
    <t xml:space="preserve">12:00-16:00</t>
  </si>
  <si>
    <t xml:space="preserve">22:00-02:00</t>
  </si>
  <si>
    <t xml:space="preserve">17:00-22:00</t>
  </si>
  <si>
    <t xml:space="preserve">16:00-18:00</t>
  </si>
  <si>
    <t xml:space="preserve">18:00-22:00</t>
  </si>
  <si>
    <t xml:space="preserve">刘洪岩晚</t>
  </si>
  <si>
    <t xml:space="preserve">10:00-15:00</t>
  </si>
  <si>
    <t xml:space="preserve">19:00-24:00</t>
  </si>
  <si>
    <t xml:space="preserve">日期</t>
  </si>
  <si>
    <t xml:space="preserve">主播</t>
  </si>
  <si>
    <t xml:space="preserve">直播时段</t>
  </si>
  <si>
    <t xml:space="preserve">直播时长</t>
  </si>
  <si>
    <t xml:space="preserve">订单数</t>
  </si>
  <si>
    <t xml:space="preserve">纯投放（表单）</t>
  </si>
  <si>
    <t xml:space="preserve">保单数量</t>
  </si>
  <si>
    <t xml:space="preserve">纯投放（保单）</t>
  </si>
  <si>
    <t xml:space="preserve">家庭单数量</t>
  </si>
  <si>
    <t xml:space="preserve">50+保单数量</t>
  </si>
  <si>
    <t xml:space="preserve">1号保单数</t>
  </si>
  <si>
    <t xml:space="preserve">1号年华保费</t>
  </si>
  <si>
    <t xml:space="preserve">2号保单数</t>
  </si>
  <si>
    <t xml:space="preserve">2号年华保费</t>
  </si>
  <si>
    <t xml:space="preserve">抖音年化保费</t>
  </si>
  <si>
    <t xml:space="preserve">抖音投流消耗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</si>
  <si>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</si>
  <si>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</si>
  <si>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</si>
  <si>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</si>
  <si>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</si>
  <si>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投手</t>
  </si>
  <si>
    <t xml:space="preserve">时长</t>
  </si>
  <si>
    <t xml:space="preserve">马浩东</t>
  </si>
  <si>
    <t xml:space="preserve">16:00-17:00</t>
  </si>
  <si>
    <t xml:space="preserve">娄芮源</t>
  </si>
  <si>
    <t xml:space="preserve">邵二波</t>
  </si>
  <si>
    <t xml:space="preserve">张仪凡</t>
  </si>
  <si>
    <t xml:space="preserve">17:00-20:00</t>
  </si>
  <si>
    <t xml:space="preserve">崔志丹</t>
  </si>
  <si>
    <t xml:space="preserve">20:00-24:00</t>
  </si>
  <si>
    <t xml:space="preserve">日总</t>
  </si>
  <si>
    <t xml:space="preserve">14:00-17:00</t>
  </si>
  <si>
    <t xml:space="preserve">17:00-19:00</t>
  </si>
  <si>
    <t xml:space="preserve">陈畑妤</t>
  </si>
  <si>
    <t xml:space="preserve">19:00-21:00</t>
  </si>
  <si>
    <t xml:space="preserve">21:00-24:00</t>
  </si>
  <si>
    <t xml:space="preserve">赵千成</t>
  </si>
  <si>
    <t xml:space="preserve">14:00-16:00</t>
  </si>
  <si>
    <t xml:space="preserve">16:00-20:00</t>
  </si>
  <si>
    <t xml:space="preserve">刘丽杰</t>
  </si>
  <si>
    <t xml:space="preserve">19:00-22:00</t>
  </si>
  <si>
    <t xml:space="preserve">22:00-24:00</t>
  </si>
  <si>
    <t xml:space="preserve">罗丽洋</t>
  </si>
  <si>
    <t xml:space="preserve">19:00-23:00</t>
  </si>
  <si>
    <t xml:space="preserve">7:00-10:00</t>
  </si>
  <si>
    <t xml:space="preserve">10:00-13:00</t>
  </si>
  <si>
    <t xml:space="preserve">13:00-15:00</t>
  </si>
  <si>
    <t xml:space="preserve">15:00-17:00</t>
  </si>
  <si>
    <t xml:space="preserve">高晓丽</t>
  </si>
  <si>
    <t xml:space="preserve">15:00-18:00</t>
  </si>
  <si>
    <t xml:space="preserve">10:00-12:00</t>
  </si>
  <si>
    <t xml:space="preserve">12:00-14:00</t>
  </si>
  <si>
    <t xml:space="preserve">7:00-11:00</t>
  </si>
  <si>
    <t xml:space="preserve">11:00-13:00</t>
  </si>
  <si>
    <t xml:space="preserve">王学伟</t>
  </si>
  <si>
    <t xml:space="preserve">11:00-14:00</t>
  </si>
  <si>
    <t xml:space="preserve">20:00-23:00</t>
  </si>
  <si>
    <t xml:space="preserve">11:00-15:00</t>
  </si>
  <si>
    <t xml:space="preserve">路孟玲</t>
  </si>
  <si>
    <t xml:space="preserve">日期</t>
  </si>
  <si>
    <t xml:space="preserve">主播</t>
  </si>
  <si>
    <t xml:space="preserve">直播时段</t>
  </si>
  <si>
    <t xml:space="preserve">直播时长</t>
  </si>
  <si>
    <t xml:space="preserve">抖音投流消耗</t>
  </si>
  <si>
    <t xml:space="preserve">订单数</t>
  </si>
  <si>
    <t xml:space="preserve">众民保单数</t>
  </si>
  <si>
    <t xml:space="preserve">众民年化保费</t>
  </si>
  <si>
    <t xml:space="preserve">尊享保单数</t>
  </si>
  <si>
    <t xml:space="preserve">尊享年化保费</t>
  </si>
  <si>
    <t xml:space="preserve">保单数量（总）</t>
  </si>
  <si>
    <t xml:space="preserve">保险支付数</t>
  </si>
  <si>
    <t xml:space="preserve">纯投放（表单）</t>
  </si>
  <si>
    <t xml:space="preserve">家庭单数量</t>
  </si>
  <si>
    <t xml:space="preserve">50+保单数量</t>
  </si>
  <si>
    <t xml:space="preserve">抖音年化保费</t>
  </si>
  <si>
    <t xml:space="preserve">ROI</t>
  </si>
  <si>
    <t xml:space="preserve">单均</t>
  </si>
  <si>
    <t xml:space="preserve">保单成本</t>
  </si>
  <si>
    <t xml:space="preserve">王梦晴</t>
  </si>
  <si>
    <t xml:space="preserve">8:00-12:00</t>
  </si>
  <si>
    <t xml:space="preserve">张仪凡</t>
  </si>
  <si>
    <t xml:space="preserve">12:00-16:00</t>
  </si>
  <si>
    <t xml:space="preserve">刘丽杰</t>
  </si>
  <si>
    <t xml:space="preserve">16:00-20:00</t>
  </si>
  <si>
    <t xml:space="preserve">边丽媛</t>
  </si>
  <si>
    <t xml:space="preserve">20:00-24:00</t>
  </si>
  <si>
    <t xml:space="preserve">8:00-13:00</t>
  </si>
  <si>
    <t xml:space="preserve">13:00-16:00</t>
  </si>
  <si>
    <t xml:space="preserve">路孟玲</t>
  </si>
  <si>
    <t xml:space="preserve">16:00-19:00</t>
  </si>
  <si>
    <t xml:space="preserve">赵若含</t>
  </si>
  <si>
    <t xml:space="preserve">19:00-21:00</t>
  </si>
  <si>
    <t xml:space="preserve">21:00-24:00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</si>
</sst>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0.00_);[Red](0.00)"/>
    <numFmt numFmtId="165" formatCode="yyyy/m/d"/>
    <numFmt numFmtId="166" formatCode="#,##0.00"/>
    <numFmt numFmtId="167" formatCode="0"/>
    <numFmt numFmtId="168" formatCode="0.00_);[Red](0.00)"/>
    <numFmt numFmtId="169" formatCode="yyyy/m/d"/>
    <numFmt numFmtId="170" formatCode="0"/>
    <numFmt numFmtId="171" formatCode="#,##0.00"/>
    <numFmt numFmtId="172" formatCode="#,##0"/>
    <numFmt numFmtId="173" formatCode="0.00_);[Red](0.00)"/>
    <numFmt numFmtId="174" formatCode="yyyy/m/d"/>
    <numFmt numFmtId="175" formatCode="#,##0.00"/>
    <numFmt numFmtId="176" formatCode="0"/>
    <numFmt numFmtId="177" formatCode="0.00"/>
    <numFmt numFmtId="178" formatCode="0.00_);[Red](0.00)"/>
    <numFmt numFmtId="179" formatCode="yyyy/m/d"/>
    <numFmt numFmtId="180" formatCode="#,##0.00"/>
    <numFmt numFmtId="181" formatCode="0.00"/>
    <numFmt numFmtId="182" formatCode="0.00_);[Red](0.00)"/>
    <numFmt numFmtId="183" formatCode="yyyy/m/d"/>
    <numFmt numFmtId="184" formatCode="0"/>
  </numFmts>
  <fonts count="1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AD82F7"/>
      <name val="Calibri"/>
      <family val="2"/>
      <scheme val="minor"/>
    </font>
    <font>
      <b val="true"/>
      <sz val="10"/>
      <color rgb="FF024B4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sz val="10"/>
      <color rgb="FFDE3C36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</fonts>
  <fills count="4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8CDDFA"/>
        <bgColor/>
      </patternFill>
    </fill>
    <fill>
      <patternFill patternType="solid">
        <fgColor rgb="FFD9F3FD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8CDDFA"/>
        <bgColor/>
      </patternFill>
    </fill>
    <fill>
      <patternFill patternType="solid">
        <fgColor rgb="FFD9F3FD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7EDAFB"/>
        <bgColor/>
      </patternFill>
    </fill>
    <fill>
      <patternFill patternType="solid">
        <fgColor rgb="FF8CDDFA"/>
        <bgColor/>
      </patternFill>
    </fill>
    <fill>
      <patternFill patternType="solid">
        <fgColor rgb="FF99DD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DEBFF"/>
        <bgColor/>
      </patternFill>
    </fill>
    <fill>
      <patternFill patternType="solid">
        <fgColor rgb="FFC3EAD5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8CDDFA"/>
        <bgColor/>
      </patternFill>
    </fill>
    <fill>
      <patternFill patternType="solid">
        <fgColor rgb="FF99DD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FDEBFF"/>
        <bgColor/>
      </patternFill>
    </fill>
    <fill>
      <patternFill patternType="solid">
        <fgColor rgb="FFD9F3FD"/>
        <bgColor/>
      </patternFill>
    </fill>
    <fill>
      <patternFill patternType="solid">
        <fgColor rgb="FFC7ECFF"/>
        <bgColor/>
      </patternFill>
    </fill>
    <fill>
      <patternFill patternType="solid">
        <fgColor rgb="FFFFFFFF"/>
        <bgColor/>
      </patternFill>
    </fill>
    <fill>
      <patternFill patternType="solid">
        <fgColor rgb="FF7EDAFB"/>
        <bgColor/>
      </patternFill>
    </fill>
    <fill>
      <patternFill patternType="solid">
        <fgColor rgb="FF99DDFF"/>
        <bgColor/>
      </patternFill>
    </fill>
    <fill>
      <patternFill patternType="solid">
        <fgColor rgb="FF8CDDFA"/>
        <bgColor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false" applyProtection="false" borderId="1" fillId="2" fontId="3" numFmtId="0" xfId="0">
      <alignment horizontal="center" vertical="center"/>
    </xf>
    <xf applyAlignment="true" applyBorder="false" applyFill="true" applyFont="true" applyNumberFormat="false" applyProtection="false" borderId="1" fillId="2" fontId="4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5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true" applyFont="true" applyNumberFormat="false" applyProtection="false" borderId="1" fillId="4" fontId="5" numFmtId="0" xfId="0">
      <alignment horizontal="center" vertical="center"/>
    </xf>
    <xf applyAlignment="true" applyBorder="false" applyFill="false" applyFont="true" applyNumberFormat="false" applyProtection="false" borderId="5" fillId="0" fontId="6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true" applyFont="true" applyNumberFormat="false" applyProtection="false" borderId="1" fillId="4" fontId="5" numFmtId="0" xfId="0">
      <alignment horizontal="center" vertical="center"/>
    </xf>
    <xf applyAlignment="true" applyBorder="false" applyFill="true" applyFont="true" applyNumberFormat="true" applyProtection="false" borderId="1" fillId="5" fontId="7" numFmtId="164" xfId="0">
      <alignment horizontal="center" vertical="center"/>
    </xf>
    <xf applyAlignment="true" applyBorder="false" applyFill="true" applyFont="true" applyNumberFormat="true" applyProtection="false" borderId="3" fillId="5" fontId="7" numFmtId="164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true" applyFont="true" applyNumberFormat="true" applyProtection="false" borderId="3" fillId="6" fontId="1" numFmtId="165" xfId="0">
      <alignment horizontal="center" vertical="center"/>
    </xf>
    <xf applyAlignment="true" applyBorder="false" applyFill="true" applyFont="true" applyNumberFormat="false" applyProtection="false" borderId="7" fillId="5" fontId="8" numFmtId="0" xfId="0">
      <alignment horizontal="center"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1" fillId="7" fontId="1" numFmtId="0" xfId="0">
      <alignment horizontal="center" vertical="center"/>
    </xf>
    <xf applyAlignment="true" applyBorder="false" applyFill="true" applyFont="true" applyNumberFormat="true" applyProtection="false" borderId="1" fillId="8" fontId="7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1" fillId="9" fontId="5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true" applyProtection="false" borderId="1" fillId="0" fontId="5" numFmtId="166" xfId="0">
      <alignment horizontal="center" vertical="center"/>
    </xf>
    <xf applyAlignment="true" applyBorder="false" applyFill="true" applyFont="true" applyNumberFormat="true" applyProtection="false" borderId="6" fillId="10" fontId="9" numFmtId="167" xfId="0">
      <alignment horizontal="center" vertical="center"/>
    </xf>
    <xf applyAlignment="true" applyBorder="false" applyFill="false" applyFont="true" applyNumberFormat="true" applyProtection="false" borderId="1" fillId="0" fontId="1" numFmtId="166" xfId="0">
      <alignment horizontal="center" vertical="center"/>
    </xf>
    <xf applyAlignment="true" applyBorder="false" applyFill="false" applyFont="true" applyNumberFormat="false" applyProtection="false" borderId="9" fillId="0" fontId="10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true" applyProtection="false" borderId="3" fillId="11" fontId="1" numFmtId="165" xfId="0">
      <alignment horizontal="center" vertical="center"/>
    </xf>
    <xf applyAlignment="true" applyBorder="false" applyFill="true" applyFont="true" applyNumberFormat="false" applyProtection="false" borderId="9" fillId="5" fontId="8" numFmtId="0" xfId="0">
      <alignment horizontal="center" vertical="center"/>
    </xf>
    <xf applyAlignment="true" applyBorder="false" applyFill="true" applyFont="true" applyNumberFormat="false" applyProtection="false" borderId="9" fillId="5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true" applyFont="true" applyNumberFormat="false" applyProtection="false" borderId="1" fillId="9" fontId="5" numFmtId="0" xfId="0">
      <alignment horizontal="center" vertical="center"/>
    </xf>
    <xf applyAlignment="true" applyBorder="false" applyFill="false" applyFont="true" applyNumberFormat="true" applyProtection="false" borderId="3" fillId="0" fontId="1" numFmtId="165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true" applyFont="true" applyNumberFormat="false" applyProtection="false" borderId="1" fillId="9" fontId="5" numFmtId="0" xfId="0">
      <alignment horizontal="center" vertical="center"/>
    </xf>
    <xf applyAlignment="true" applyBorder="false" applyFill="false" applyFont="true" applyNumberFormat="false" applyProtection="false" borderId="5" fillId="0" fontId="6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true" applyFont="true" applyNumberFormat="true" applyProtection="false" borderId="1" fillId="5" fontId="7" numFmtId="164" xfId="0">
      <alignment horizontal="center" vertical="center"/>
    </xf>
    <xf applyAlignment="true" applyBorder="false" applyFill="true" applyFont="true" applyNumberFormat="true" applyProtection="false" borderId="3" fillId="5" fontId="7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true" applyFont="true" applyNumberFormat="true" applyProtection="false" borderId="6" fillId="10" fontId="9" numFmtId="167" xfId="0">
      <alignment horizontal="center" vertical="center"/>
    </xf>
    <xf applyAlignment="true" applyBorder="false" applyFill="false" applyFont="true" applyNumberFormat="true" applyProtection="false" borderId="1" fillId="0" fontId="1" numFmtId="166" xfId="0">
      <alignment horizontal="center" vertical="center"/>
    </xf>
    <xf applyAlignment="true" applyBorder="false" applyFill="false" applyFont="true" applyNumberFormat="false" applyProtection="false" borderId="9" fillId="0" fontId="10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true" applyProtection="false" borderId="3" fillId="11" fontId="1" numFmtId="165" xfId="0">
      <alignment horizontal="center" vertical="center"/>
    </xf>
    <xf applyAlignment="true" applyBorder="false" applyFill="true" applyFont="true" applyNumberFormat="false" applyProtection="false" borderId="9" fillId="5" fontId="8" numFmtId="0" xfId="0">
      <alignment horizontal="center" vertical="center"/>
    </xf>
    <xf applyAlignment="true" applyBorder="false" applyFill="true" applyFont="true" applyNumberFormat="false" applyProtection="false" borderId="9" fillId="5" fontId="1" numFmtId="0" xfId="0">
      <alignment horizontal="center" vertical="center"/>
    </xf>
    <xf applyAlignment="true" applyBorder="false" applyFill="true" applyFont="true" applyNumberFormat="false" applyProtection="false" borderId="1" fillId="7" fontId="1" numFmtId="0" xfId="0">
      <alignment horizontal="center" vertical="center"/>
    </xf>
    <xf applyAlignment="true" applyBorder="false" applyFill="true" applyFont="true" applyNumberFormat="true" applyProtection="false" borderId="1" fillId="8" fontId="7" numFmtId="164" xfId="0">
      <alignment horizontal="center" vertical="center"/>
    </xf>
    <xf applyAlignment="true" applyBorder="false" applyFill="true" applyFont="true" applyNumberFormat="false" applyProtection="false" borderId="10" fillId="12" fontId="1" numFmtId="0" xfId="0">
      <alignment horizontal="center" vertical="center"/>
    </xf>
    <xf applyAlignment="true" applyBorder="false" applyFill="true" applyFont="true" applyNumberFormat="false" applyProtection="false" borderId="11" fillId="12" fontId="1" numFmtId="0" xfId="0">
      <alignment horizontal="center" vertical="center"/>
    </xf>
    <xf applyAlignment="true" applyBorder="false" applyFill="true" applyFont="true" applyNumberFormat="true" applyProtection="false" borderId="10" fillId="12" fontId="1" numFmtId="168" xfId="0">
      <alignment horizontal="center" vertical="center"/>
    </xf>
    <xf applyAlignment="true" applyBorder="false" applyFill="true" applyFont="true" applyNumberFormat="false" applyProtection="false" borderId="10" fillId="12" fontId="1" numFmtId="0" xfId="0">
      <alignment horizontal="center" vertical="center"/>
    </xf>
    <xf applyAlignment="true" applyBorder="false" applyFill="true" applyFont="true" applyNumberFormat="false" applyProtection="false" borderId="10" fillId="12" fontId="2" numFmtId="0" xfId="0">
      <alignment horizontal="center" vertical="center"/>
    </xf>
    <xf applyAlignment="true" applyBorder="false" applyFill="true" applyFont="true" applyNumberFormat="false" applyProtection="false" borderId="10" fillId="12" fontId="3" numFmtId="0" xfId="0">
      <alignment horizontal="center" vertical="center"/>
    </xf>
    <xf applyAlignment="true" applyBorder="false" applyFill="true" applyFont="true" applyNumberFormat="false" applyProtection="false" borderId="10" fillId="12" fontId="4" numFmtId="0" xfId="0">
      <alignment horizontal="center" vertical="center"/>
    </xf>
    <xf applyAlignment="true" applyBorder="false" applyFill="true" applyFont="true" applyNumberFormat="false" applyProtection="false" borderId="10" fillId="13" fontId="1" numFmtId="0" xfId="0">
      <alignment horizontal="center" vertical="center"/>
    </xf>
    <xf applyAlignment="true" applyBorder="false" applyFill="false" applyFont="true" applyNumberFormat="true" applyProtection="false" borderId="12" fillId="0" fontId="1" numFmtId="169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false" applyProtection="false" borderId="14" fillId="0" fontId="5" numFmtId="0" xfId="0">
      <alignment horizontal="center" vertical="center"/>
    </xf>
    <xf applyAlignment="true" applyBorder="false" applyFill="true" applyFont="true" applyNumberFormat="false" applyProtection="false" borderId="10" fillId="14" fontId="5" numFmtId="0" xfId="0">
      <alignment horizontal="center" vertical="center"/>
    </xf>
    <xf applyAlignment="true" applyBorder="false" applyFill="false" applyFont="true" applyNumberFormat="false" applyProtection="false" borderId="14" fillId="0" fontId="6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true" applyFont="true" applyNumberFormat="false" applyProtection="false" borderId="10" fillId="14" fontId="5" numFmtId="0" xfId="0">
      <alignment horizontal="center" vertical="center"/>
    </xf>
    <xf applyAlignment="true" applyBorder="false" applyFill="true" applyFont="true" applyNumberFormat="true" applyProtection="false" borderId="10" fillId="15" fontId="7" numFmtId="168" xfId="0">
      <alignment horizontal="center" vertical="center"/>
    </xf>
    <xf applyAlignment="true" applyBorder="false" applyFill="true" applyFont="true" applyNumberFormat="true" applyProtection="false" borderId="12" fillId="15" fontId="7" numFmtId="168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 wrapText="true"/>
    </xf>
    <xf applyAlignment="true" applyBorder="false" applyFill="true" applyFont="true" applyNumberFormat="true" applyProtection="false" borderId="15" fillId="16" fontId="9" numFmtId="170" xfId="0">
      <alignment horizontal="center" vertical="center"/>
    </xf>
    <xf applyAlignment="true" applyBorder="false" applyFill="false" applyFont="true" applyNumberFormat="true" applyProtection="false" borderId="10" fillId="0" fontId="1" numFmtId="171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true" applyFont="true" applyNumberFormat="true" applyProtection="false" borderId="12" fillId="17" fontId="1" numFmtId="169" xfId="0">
      <alignment horizontal="center" vertical="center"/>
    </xf>
    <xf applyAlignment="true" applyBorder="false" applyFill="true" applyFont="true" applyNumberFormat="false" applyProtection="false" borderId="18" fillId="15" fontId="8" numFmtId="0" xfId="0">
      <alignment horizontal="center" vertical="center"/>
    </xf>
    <xf applyAlignment="true" applyBorder="false" applyFill="true" applyFont="true" applyNumberFormat="false" applyProtection="false" borderId="18" fillId="15" fontId="1" numFmtId="0" xfId="0">
      <alignment horizontal="center" vertical="center"/>
    </xf>
    <xf applyAlignment="true" applyBorder="false" applyFill="true" applyFont="true" applyNumberFormat="false" applyProtection="false" borderId="10" fillId="18" fontId="1" numFmtId="0" xfId="0">
      <alignment horizontal="center" vertical="center"/>
    </xf>
    <xf applyAlignment="true" applyBorder="false" applyFill="true" applyFont="true" applyNumberFormat="true" applyProtection="false" borderId="10" fillId="19" fontId="7" numFmtId="168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  <xf applyAlignment="true" applyBorder="false" applyFill="false" applyFont="true" applyNumberFormat="true" applyProtection="false" borderId="12" fillId="0" fontId="1" numFmtId="169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false" applyFont="true" applyNumberFormat="false" applyProtection="false" borderId="17" fillId="0" fontId="5" numFmtId="0" xfId="0">
      <alignment horizontal="center" vertical="center"/>
    </xf>
    <xf applyAlignment="true" applyBorder="false" applyFill="false" applyFont="true" applyNumberFormat="false" applyProtection="false" borderId="15" fillId="0" fontId="5" numFmtId="0" xfId="0">
      <alignment horizontal="center" vertical="center"/>
    </xf>
    <xf applyAlignment="true" applyBorder="false" applyFill="true" applyFont="true" applyNumberFormat="false" applyProtection="false" borderId="10" fillId="20" fontId="5" numFmtId="0" xfId="0">
      <alignment horizontal="center" vertical="center"/>
    </xf>
    <xf applyAlignment="true" applyBorder="false" applyFill="false" applyFont="true" applyNumberFormat="false" applyProtection="false" borderId="14" fillId="0" fontId="6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14" fillId="0" fontId="5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 wrapText="true"/>
    </xf>
    <xf applyAlignment="true" applyBorder="false" applyFill="true" applyFont="true" applyNumberFormat="true" applyProtection="false" borderId="15" fillId="21" fontId="9" numFmtId="170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  <xf applyAlignment="true" applyBorder="false" applyFill="true" applyFont="true" applyNumberFormat="true" applyProtection="false" borderId="12" fillId="22" fontId="1" numFmtId="169" xfId="0">
      <alignment horizontal="center" vertical="center"/>
    </xf>
    <xf applyAlignment="true" applyBorder="false" applyFill="true" applyFont="true" applyNumberFormat="false" applyProtection="false" borderId="17" fillId="15" fontId="8" numFmtId="0" xfId="0">
      <alignment horizontal="center" vertical="center"/>
    </xf>
    <xf applyAlignment="true" applyBorder="false" applyFill="true" applyFont="true" applyNumberFormat="false" applyProtection="false" borderId="17" fillId="15" fontId="1" numFmtId="0" xfId="0">
      <alignment horizontal="center" vertical="center"/>
    </xf>
    <xf applyAlignment="true" applyBorder="false" applyFill="false" applyFont="true" applyNumberFormat="false" applyProtection="false" borderId="17" fillId="0" fontId="10" numFmtId="0" xfId="0">
      <alignment horizontal="center" vertical="center"/>
    </xf>
    <xf applyAlignment="true" applyBorder="false" applyFill="true" applyFont="true" applyNumberFormat="true" applyProtection="false" borderId="18" fillId="15" fontId="7" numFmtId="168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true" applyFont="true" applyNumberFormat="true" applyProtection="false" borderId="14" fillId="19" fontId="7" numFmtId="168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true" applyFont="true" applyNumberFormat="true" applyProtection="false" borderId="12" fillId="22" fontId="1" numFmtId="169" xfId="0">
      <alignment horizontal="center" vertical="center"/>
    </xf>
    <xf applyAlignment="true" applyBorder="false" applyFill="false" applyFont="true" applyNumberFormat="false" applyProtection="false" borderId="17" fillId="0" fontId="10" numFmtId="0" xfId="0">
      <alignment horizontal="center" vertical="center"/>
    </xf>
    <xf applyAlignment="true" applyBorder="false" applyFill="false" applyFont="true" applyNumberFormat="true" applyProtection="false" borderId="10" fillId="0" fontId="1" numFmtId="172" xfId="0">
      <alignment horizontal="center" vertical="center"/>
    </xf>
    <xf applyAlignment="true" applyBorder="false" applyFill="true" applyFont="true" applyNumberFormat="true" applyProtection="false" borderId="15" fillId="21" fontId="9" numFmtId="170" xfId="0">
      <alignment horizontal="center" vertical="center"/>
    </xf>
    <xf applyAlignment="true" applyBorder="false" applyFill="false" applyFont="true" applyNumberFormat="true" applyProtection="false" borderId="10" fillId="0" fontId="1" numFmtId="172" xfId="0">
      <alignment horizontal="center" vertical="center"/>
    </xf>
    <xf applyAlignment="true" applyBorder="false" applyFill="false" applyFont="true" applyNumberFormat="true" applyProtection="false" borderId="10" fillId="0" fontId="5" numFmtId="171" xfId="0">
      <alignment horizontal="center" vertical="center"/>
    </xf>
    <xf applyAlignment="true" applyBorder="false" applyFill="false" applyFont="true" applyNumberFormat="true" applyProtection="false" borderId="10" fillId="0" fontId="5" numFmtId="171" xfId="0">
      <alignment horizontal="center" vertical="center"/>
    </xf>
    <xf applyAlignment="true" applyBorder="false" applyFill="false" applyFont="true" applyNumberFormat="true" applyProtection="false" borderId="10" fillId="0" fontId="1" numFmtId="171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20" fillId="23" fontId="1" numFmtId="0" xfId="0">
      <alignment horizontal="center" vertical="center"/>
    </xf>
    <xf applyAlignment="true" applyBorder="false" applyFill="true" applyFont="true" applyNumberFormat="false" applyProtection="false" borderId="21" fillId="23" fontId="1" numFmtId="0" xfId="0">
      <alignment horizontal="center" vertical="center"/>
    </xf>
    <xf applyAlignment="true" applyBorder="false" applyFill="true" applyFont="true" applyNumberFormat="true" applyProtection="false" borderId="20" fillId="23" fontId="1" numFmtId="173" xfId="0">
      <alignment horizontal="center" vertical="center"/>
    </xf>
    <xf applyAlignment="true" applyBorder="false" applyFill="true" applyFont="true" applyNumberFormat="false" applyProtection="false" borderId="20" fillId="23" fontId="1" numFmtId="0" xfId="0">
      <alignment horizontal="center" vertical="center"/>
    </xf>
    <xf applyAlignment="true" applyBorder="false" applyFill="true" applyFont="true" applyNumberFormat="false" applyProtection="false" borderId="20" fillId="23" fontId="2" numFmtId="0" xfId="0">
      <alignment horizontal="center" vertical="center"/>
    </xf>
    <xf applyAlignment="true" applyBorder="false" applyFill="true" applyFont="true" applyNumberFormat="false" applyProtection="false" borderId="20" fillId="23" fontId="3" numFmtId="0" xfId="0">
      <alignment horizontal="center" vertical="center"/>
    </xf>
    <xf applyAlignment="true" applyBorder="false" applyFill="true" applyFont="true" applyNumberFormat="false" applyProtection="false" borderId="20" fillId="23" fontId="4" numFmtId="0" xfId="0">
      <alignment horizontal="center" vertical="center"/>
    </xf>
    <xf applyAlignment="true" applyBorder="false" applyFill="true" applyFont="true" applyNumberFormat="false" applyProtection="false" borderId="20" fillId="24" fontId="1" numFmtId="0" xfId="0">
      <alignment horizontal="center" vertical="center"/>
    </xf>
    <xf applyAlignment="true" applyBorder="false" applyFill="false" applyFont="true" applyNumberFormat="true" applyProtection="false" borderId="22" fillId="0" fontId="1" numFmtId="174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center" vertical="center" wrapText="true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false" applyProtection="false" borderId="24" fillId="0" fontId="5" numFmtId="0" xfId="0">
      <alignment horizontal="center" vertical="center"/>
    </xf>
    <xf applyAlignment="true" applyBorder="false" applyFill="true" applyFont="true" applyNumberFormat="false" applyProtection="false" borderId="20" fillId="25" fontId="5" numFmtId="0" xfId="0">
      <alignment horizontal="center" vertical="center"/>
    </xf>
    <xf applyAlignment="true" applyBorder="false" applyFill="false" applyFont="true" applyNumberFormat="false" applyProtection="false" borderId="24" fillId="0" fontId="6" numFmtId="0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true" applyFont="true" applyNumberFormat="false" applyProtection="false" borderId="20" fillId="25" fontId="5" numFmtId="0" xfId="0">
      <alignment horizontal="center" vertical="center"/>
    </xf>
    <xf applyAlignment="true" applyBorder="false" applyFill="true" applyFont="true" applyNumberFormat="true" applyProtection="false" borderId="20" fillId="26" fontId="7" numFmtId="173" xfId="0">
      <alignment horizontal="center" vertical="center"/>
    </xf>
    <xf applyAlignment="true" applyBorder="false" applyFill="true" applyFont="true" applyNumberFormat="true" applyProtection="false" borderId="22" fillId="26" fontId="7" numFmtId="173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 wrapText="true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true" applyProtection="false" borderId="20" fillId="0" fontId="1" numFmtId="175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 wrapText="true"/>
    </xf>
    <xf applyAlignment="true" applyBorder="false" applyFill="true" applyFont="true" applyNumberFormat="true" applyProtection="false" borderId="22" fillId="27" fontId="1" numFmtId="174" xfId="0">
      <alignment horizontal="center" vertical="center"/>
    </xf>
    <xf applyAlignment="true" applyBorder="false" applyFill="true" applyFont="true" applyNumberFormat="false" applyProtection="false" borderId="28" fillId="26" fontId="8" numFmtId="0" xfId="0">
      <alignment horizontal="center" vertical="center"/>
    </xf>
    <xf applyAlignment="true" applyBorder="false" applyFill="true" applyFont="true" applyNumberFormat="false" applyProtection="false" borderId="28" fillId="26" fontId="1" numFmtId="0" xfId="0">
      <alignment horizontal="center" vertical="center"/>
    </xf>
    <xf applyAlignment="true" applyBorder="false" applyFill="true" applyFont="true" applyNumberFormat="false" applyProtection="false" borderId="23" fillId="26" fontId="12" numFmtId="0" xfId="0">
      <alignment horizontal="center" vertical="center"/>
    </xf>
    <xf applyAlignment="true" applyBorder="false" applyFill="true" applyFont="true" applyNumberFormat="true" applyProtection="false" borderId="20" fillId="28" fontId="7" numFmtId="173" xfId="0">
      <alignment horizontal="center" vertical="center"/>
    </xf>
    <xf applyAlignment="true" applyBorder="false" applyFill="true" applyFont="true" applyNumberFormat="false" applyProtection="false" borderId="20" fillId="29" fontId="1" numFmtId="0" xfId="0">
      <alignment horizontal="center" vertical="center"/>
    </xf>
    <xf applyAlignment="true" applyBorder="false" applyFill="true" applyFont="true" applyNumberFormat="false" applyProtection="false" borderId="26" fillId="30" fontId="1" numFmtId="0" xfId="0">
      <alignment horizontal="center" vertical="center"/>
    </xf>
    <xf applyAlignment="true" applyBorder="false" applyFill="true" applyFont="true" applyNumberFormat="true" applyProtection="false" borderId="27" fillId="31" fontId="9" numFmtId="176" xfId="0">
      <alignment horizontal="center" vertical="center"/>
    </xf>
    <xf applyAlignment="true" applyBorder="false" applyFill="true" applyFont="true" applyNumberFormat="true" applyProtection="false" borderId="27" fillId="31" fontId="9" numFmtId="176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true" applyFont="true" applyNumberFormat="false" applyProtection="false" borderId="20" fillId="29" fontId="2" numFmtId="0" xfId="0">
      <alignment horizontal="center" vertical="center"/>
    </xf>
    <xf applyAlignment="true" applyBorder="false" applyFill="true" applyFont="true" applyNumberFormat="false" applyProtection="false" borderId="21" fillId="29" fontId="1" numFmtId="0" xfId="0">
      <alignment horizontal="center" vertical="center"/>
    </xf>
    <xf applyAlignment="true" applyBorder="false" applyFill="false" applyFont="true" applyNumberFormat="false" applyProtection="false" borderId="28" fillId="0" fontId="1" numFmtId="0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/>
    </xf>
    <xf applyAlignment="true" applyBorder="false" applyFill="false" applyFont="true" applyNumberFormat="false" applyProtection="false" borderId="28" fillId="0" fontId="11" numFmtId="0" xfId="0">
      <alignment horizontal="center" vertical="center"/>
    </xf>
    <xf applyAlignment="true" applyBorder="false" applyFill="false" applyFont="true" applyNumberFormat="true" applyProtection="false" borderId="27" fillId="0" fontId="1" numFmtId="175" xfId="0">
      <alignment horizontal="center" vertical="center"/>
    </xf>
    <xf applyAlignment="true" applyBorder="false" applyFill="false" applyFont="true" applyNumberFormat="true" applyProtection="false" borderId="0" fillId="0" fontId="11" numFmtId="175" xfId="0">
      <alignment vertical="center"/>
    </xf>
    <xf applyAlignment="true" applyBorder="false" applyFill="false" applyFont="true" applyNumberFormat="true" applyProtection="false" borderId="0" fillId="0" fontId="11" numFmtId="177" xfId="0">
      <alignment vertical="center"/>
    </xf>
    <xf applyAlignment="true" applyBorder="false" applyFill="true" applyFont="true" applyNumberFormat="false" applyProtection="false" borderId="29" fillId="32" fontId="1" numFmtId="0" xfId="0">
      <alignment horizontal="center" vertical="center"/>
    </xf>
    <xf applyAlignment="true" applyBorder="false" applyFill="true" applyFont="true" applyNumberFormat="false" applyProtection="false" borderId="30" fillId="32" fontId="1" numFmtId="0" xfId="0">
      <alignment horizontal="center" vertical="center"/>
    </xf>
    <xf applyAlignment="true" applyBorder="false" applyFill="true" applyFont="true" applyNumberFormat="false" applyProtection="false" borderId="29" fillId="32" fontId="2" numFmtId="0" xfId="0">
      <alignment horizontal="center" vertical="center"/>
    </xf>
    <xf applyAlignment="true" applyBorder="false" applyFill="true" applyFont="true" applyNumberFormat="false" applyProtection="false" borderId="29" fillId="32" fontId="1" numFmtId="0" xfId="0">
      <alignment horizontal="center" vertical="center"/>
    </xf>
    <xf applyAlignment="true" applyBorder="false" applyFill="true" applyFont="true" applyNumberFormat="true" applyProtection="false" borderId="29" fillId="32" fontId="1" numFmtId="178" xfId="0">
      <alignment horizontal="center" vertical="center"/>
    </xf>
    <xf applyAlignment="true" applyBorder="false" applyFill="true" applyFont="true" applyNumberFormat="false" applyProtection="false" borderId="29" fillId="33" fontId="1" numFmtId="0" xfId="0">
      <alignment horizontal="center" vertical="center"/>
    </xf>
    <xf applyAlignment="true" applyBorder="false" applyFill="false" applyFont="true" applyNumberFormat="true" applyProtection="false" borderId="31" fillId="0" fontId="1" numFmtId="179" xfId="0">
      <alignment horizontal="center" vertical="center"/>
    </xf>
    <xf applyAlignment="true" applyBorder="false" applyFill="false" applyFont="true" applyNumberFormat="false" applyProtection="false" borderId="30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center" vertical="center" wrapText="true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true" applyFont="true" applyNumberFormat="false" applyProtection="false" borderId="29" fillId="34" fontId="5" numFmtId="0" xfId="0">
      <alignment horizontal="center" vertical="center"/>
    </xf>
    <xf applyAlignment="true" applyBorder="false" applyFill="false" applyFont="true" applyNumberFormat="false" applyProtection="false" borderId="33" fillId="0" fontId="6" numFmtId="0" xfId="0">
      <alignment horizontal="center" vertical="center"/>
    </xf>
    <xf applyAlignment="true" applyBorder="false" applyFill="false" applyFont="true" applyNumberFormat="false" applyProtection="false" borderId="33" fillId="0" fontId="5" numFmtId="0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true" applyFont="true" applyNumberFormat="true" applyProtection="false" borderId="29" fillId="35" fontId="7" numFmtId="178" xfId="0">
      <alignment horizontal="center" vertical="center"/>
    </xf>
    <xf applyAlignment="true" applyBorder="false" applyFill="true" applyFont="true" applyNumberFormat="true" applyProtection="false" borderId="31" fillId="35" fontId="7" numFmtId="178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4" fillId="0" fontId="1" numFmtId="0" xfId="0">
      <alignment horizontal="center" vertical="center" wrapText="true"/>
    </xf>
    <xf applyAlignment="true" applyBorder="false" applyFill="false" applyFont="true" applyNumberFormat="false" applyProtection="false" borderId="35" fillId="0" fontId="1" numFmtId="0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false" applyFont="true" applyNumberFormat="true" applyProtection="false" borderId="29" fillId="0" fontId="1" numFmtId="18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 wrapText="true"/>
    </xf>
    <xf applyAlignment="true" applyBorder="false" applyFill="false" applyFont="true" applyNumberFormat="false" applyProtection="false" borderId="37" fillId="0" fontId="1" numFmtId="0" xfId="0">
      <alignment horizontal="center" vertical="center" wrapText="true"/>
    </xf>
    <xf applyAlignment="true" applyBorder="false" applyFill="true" applyFont="true" applyNumberFormat="false" applyProtection="false" borderId="29" fillId="34" fontId="5" numFmtId="0" xfId="0">
      <alignment horizontal="center" vertical="center"/>
    </xf>
    <xf applyAlignment="true" applyBorder="false" applyFill="true" applyFont="true" applyNumberFormat="true" applyProtection="false" borderId="31" fillId="36" fontId="1" numFmtId="179" xfId="0">
      <alignment horizontal="center" vertical="center"/>
    </xf>
    <xf applyAlignment="true" applyBorder="false" applyFill="true" applyFont="true" applyNumberFormat="false" applyProtection="false" borderId="29" fillId="35" fontId="8" numFmtId="0" xfId="0">
      <alignment horizontal="center" vertical="center"/>
    </xf>
    <xf applyAlignment="true" applyBorder="false" applyFill="true" applyFont="true" applyNumberFormat="false" applyProtection="false" borderId="31" fillId="35" fontId="1" numFmtId="0" xfId="0">
      <alignment horizontal="center" vertical="center"/>
    </xf>
    <xf applyAlignment="true" applyBorder="false" applyFill="true" applyFont="true" applyNumberFormat="false" applyProtection="false" borderId="35" fillId="35" fontId="12" numFmtId="0" xfId="0">
      <alignment horizontal="center" vertical="center"/>
    </xf>
    <xf applyAlignment="true" applyBorder="false" applyFill="true" applyFont="true" applyNumberFormat="true" applyProtection="false" borderId="29" fillId="36" fontId="7" numFmtId="178" xfId="0">
      <alignment horizontal="center" vertical="center"/>
    </xf>
    <xf applyAlignment="true" applyBorder="false" applyFill="true" applyFont="true" applyNumberFormat="false" applyProtection="false" borderId="29" fillId="37" fontId="1" numFmtId="0" xfId="0">
      <alignment horizontal="center" vertical="center"/>
    </xf>
    <xf applyAlignment="true" applyBorder="false" applyFill="true" applyFont="true" applyNumberFormat="false" applyProtection="false" borderId="37" fillId="37" fontId="1" numFmtId="0" xfId="0">
      <alignment horizontal="center" vertical="center"/>
    </xf>
    <xf applyAlignment="true" applyBorder="false" applyFill="false" applyFont="true" applyNumberFormat="true" applyProtection="false" borderId="31" fillId="0" fontId="1" numFmtId="179" xfId="0">
      <alignment horizontal="center" vertical="center"/>
    </xf>
    <xf applyAlignment="true" applyBorder="false" applyFill="false" applyFont="true" applyNumberFormat="false" applyProtection="false" borderId="34" fillId="0" fontId="1" numFmtId="0" xfId="0">
      <alignment horizontal="center" vertical="center" wrapText="true"/>
    </xf>
    <xf applyAlignment="true" applyBorder="false" applyFill="true" applyFont="true" applyNumberFormat="true" applyProtection="false" borderId="29" fillId="38" fontId="1" numFmtId="181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 wrapText="true"/>
    </xf>
    <xf applyAlignment="true" applyBorder="false" applyFill="true" applyFont="true" applyNumberFormat="true" applyProtection="false" borderId="31" fillId="36" fontId="1" numFmtId="179" xfId="0">
      <alignment horizontal="center" vertical="center"/>
    </xf>
    <xf applyAlignment="true" applyBorder="false" applyFill="true" applyFont="true" applyNumberFormat="true" applyProtection="false" borderId="31" fillId="39" fontId="1" numFmtId="179" xfId="0">
      <alignment horizontal="center" vertical="center"/>
    </xf>
    <xf applyAlignment="true" applyBorder="false" applyFill="true" applyFont="true" applyNumberFormat="false" applyProtection="false" borderId="35" fillId="35" fontId="12" numFmtId="0" xfId="0">
      <alignment horizontal="center" vertical="center"/>
    </xf>
    <xf applyAlignment="true" applyBorder="false" applyFill="false" applyFont="true" applyNumberFormat="true" applyProtection="false" borderId="38" fillId="0" fontId="1" numFmtId="179" xfId="0">
      <alignment horizontal="center" vertical="center"/>
    </xf>
    <xf applyAlignment="true" applyBorder="false" applyFill="false" applyFont="true" applyNumberFormat="false" applyProtection="false" borderId="39" fillId="0" fontId="1" numFmtId="0" xfId="0">
      <alignment horizontal="center" vertical="center" wrapText="true"/>
    </xf>
    <xf applyAlignment="true" applyBorder="false" applyFill="true" applyFont="true" applyNumberFormat="true" applyProtection="false" borderId="40" fillId="39" fontId="1" numFmtId="179" xfId="0">
      <alignment horizontal="center" vertical="center"/>
    </xf>
    <xf applyAlignment="true" applyBorder="false" applyFill="true" applyFont="true" applyNumberFormat="false" applyProtection="false" borderId="40" fillId="35" fontId="8" numFmtId="0" xfId="0">
      <alignment horizontal="center" vertical="center"/>
    </xf>
    <xf applyAlignment="true" applyBorder="false" applyFill="true" applyFont="true" applyNumberFormat="false" applyProtection="false" borderId="40" fillId="35" fontId="1" numFmtId="0" xfId="0">
      <alignment horizontal="center" vertical="center"/>
    </xf>
    <xf applyAlignment="true" applyBorder="false" applyFill="true" applyFont="true" applyNumberFormat="false" applyProtection="false" borderId="32" fillId="35" fontId="12" numFmtId="0" xfId="0">
      <alignment horizontal="center" vertical="center"/>
    </xf>
    <xf applyAlignment="true" applyBorder="false" applyFill="true" applyFont="true" applyNumberFormat="false" applyProtection="false" borderId="32" fillId="35" fontId="12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41" fillId="40" fontId="1" numFmtId="0" xfId="0">
      <alignment horizontal="center" vertical="center"/>
    </xf>
    <xf applyAlignment="true" applyBorder="false" applyFill="true" applyFont="true" applyNumberFormat="false" applyProtection="false" borderId="42" fillId="40" fontId="1" numFmtId="0" xfId="0">
      <alignment horizontal="center" vertical="center"/>
    </xf>
    <xf applyAlignment="true" applyBorder="false" applyFill="true" applyFont="true" applyNumberFormat="true" applyProtection="false" borderId="41" fillId="40" fontId="1" numFmtId="182" xfId="0">
      <alignment horizontal="center" vertical="center"/>
    </xf>
    <xf applyAlignment="true" applyBorder="false" applyFill="true" applyFont="true" applyNumberFormat="false" applyProtection="false" borderId="41" fillId="40" fontId="1" numFmtId="0" xfId="0">
      <alignment horizontal="center" vertical="center"/>
    </xf>
    <xf applyAlignment="true" applyBorder="false" applyFill="true" applyFont="true" applyNumberFormat="false" applyProtection="false" borderId="41" fillId="40" fontId="2" numFmtId="0" xfId="0">
      <alignment horizontal="center" vertical="center"/>
    </xf>
    <xf applyAlignment="true" applyBorder="false" applyFill="true" applyFont="true" applyNumberFormat="false" applyProtection="false" borderId="41" fillId="40" fontId="3" numFmtId="0" xfId="0">
      <alignment horizontal="center" vertical="center"/>
    </xf>
    <xf applyAlignment="true" applyBorder="false" applyFill="true" applyFont="true" applyNumberFormat="false" applyProtection="false" borderId="41" fillId="40" fontId="4" numFmtId="0" xfId="0">
      <alignment horizontal="center" vertical="center"/>
    </xf>
    <xf applyAlignment="true" applyBorder="false" applyFill="false" applyFont="true" applyNumberFormat="true" applyProtection="false" borderId="43" fillId="0" fontId="1" numFmtId="183" xfId="0">
      <alignment horizontal="center" vertical="center"/>
    </xf>
    <xf applyAlignment="true" applyBorder="false" applyFill="false" applyFont="true" applyNumberFormat="false" applyProtection="false" borderId="41" fillId="0" fontId="1" numFmtId="0" xfId="0">
      <alignment horizontal="center" vertical="center"/>
    </xf>
    <xf applyAlignment="true" applyBorder="false" applyFill="false" applyFont="true" applyNumberFormat="false" applyProtection="false" borderId="44" fillId="0" fontId="1" numFmtId="0" xfId="0">
      <alignment horizontal="center" vertical="center" wrapText="true"/>
    </xf>
    <xf applyAlignment="true" applyBorder="false" applyFill="false" applyFont="true" applyNumberFormat="false" applyProtection="false" borderId="42" fillId="0" fontId="1" numFmtId="0" xfId="0">
      <alignment horizontal="center" vertical="center"/>
    </xf>
    <xf applyAlignment="true" applyBorder="false" applyFill="false" applyFont="true" applyNumberFormat="false" applyProtection="false" borderId="41" fillId="0" fontId="5" numFmtId="0" xfId="0">
      <alignment horizontal="center" vertical="center"/>
    </xf>
    <xf applyAlignment="true" applyBorder="false" applyFill="false" applyFont="true" applyNumberFormat="false" applyProtection="false" borderId="45" fillId="0" fontId="5" numFmtId="0" xfId="0">
      <alignment horizontal="center" vertical="center"/>
    </xf>
    <xf applyAlignment="true" applyBorder="false" applyFill="true" applyFont="true" applyNumberFormat="false" applyProtection="false" borderId="41" fillId="41" fontId="5" numFmtId="0" xfId="0">
      <alignment horizontal="center" vertical="center"/>
    </xf>
    <xf applyAlignment="true" applyBorder="false" applyFill="false" applyFont="true" applyNumberFormat="false" applyProtection="false" borderId="45" fillId="0" fontId="6" numFmtId="0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true" applyFont="true" applyNumberFormat="true" applyProtection="false" borderId="41" fillId="42" fontId="7" numFmtId="182" xfId="0">
      <alignment horizontal="center" vertical="center"/>
    </xf>
    <xf applyAlignment="true" applyBorder="false" applyFill="true" applyFont="true" applyNumberFormat="true" applyProtection="false" borderId="43" fillId="42" fontId="7" numFmtId="182" xfId="0">
      <alignment horizontal="center" vertical="center"/>
    </xf>
    <xf applyAlignment="true" applyBorder="false" applyFill="false" applyFont="true" applyNumberFormat="false" applyProtection="false" borderId="46" fillId="0" fontId="1" numFmtId="0" xfId="0">
      <alignment horizontal="center" vertical="center" wrapText="true"/>
    </xf>
    <xf applyAlignment="true" applyBorder="false" applyFill="true" applyFont="true" applyNumberFormat="true" applyProtection="false" borderId="47" fillId="43" fontId="9" numFmtId="184" xfId="0">
      <alignment horizontal="center" vertical="center"/>
    </xf>
    <xf applyAlignment="true" applyBorder="false" applyFill="false" applyFont="true" applyNumberFormat="false" applyProtection="false" borderId="48" fillId="0" fontId="10" numFmtId="0" xfId="0">
      <alignment horizontal="center" vertical="center"/>
    </xf>
    <xf applyAlignment="true" applyBorder="false" applyFill="false" applyFont="true" applyNumberFormat="false" applyProtection="false" borderId="47" fillId="0" fontId="1" numFmtId="0" xfId="0">
      <alignment horizontal="center" vertical="center" wrapText="true"/>
    </xf>
    <xf applyAlignment="true" applyBorder="false" applyFill="true" applyFont="true" applyNumberFormat="true" applyProtection="false" borderId="43" fillId="44" fontId="1" numFmtId="183" xfId="0">
      <alignment horizontal="center" vertical="center"/>
    </xf>
    <xf applyAlignment="true" applyBorder="false" applyFill="true" applyFont="true" applyNumberFormat="false" applyProtection="false" borderId="48" fillId="42" fontId="8" numFmtId="0" xfId="0">
      <alignment horizontal="center" vertical="center"/>
    </xf>
    <xf applyAlignment="true" applyBorder="false" applyFill="true" applyFont="true" applyNumberFormat="false" applyProtection="false" borderId="48" fillId="42" fontId="1" numFmtId="0" xfId="0">
      <alignment horizontal="center" vertical="center"/>
    </xf>
    <xf applyAlignment="true" applyBorder="false" applyFill="true" applyFont="true" applyNumberFormat="false" applyProtection="false" borderId="41" fillId="45" fontId="1" numFmtId="0" xfId="0">
      <alignment horizontal="center" vertical="center"/>
    </xf>
    <xf applyAlignment="true" applyBorder="false" applyFill="true" applyFont="true" applyNumberFormat="true" applyProtection="false" borderId="41" fillId="46" fontId="7" numFmtId="182" xfId="0">
      <alignment horizontal="center" vertical="center"/>
    </xf>
    <xf applyAlignment="true" applyBorder="false" applyFill="true" applyFont="true" applyNumberFormat="false" applyProtection="false" borderId="41" fillId="41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/xl/pivotCache/pivotCacheDefinition2.xml" Type="http://schemas.openxmlformats.org/officeDocument/2006/relationships/pivotCacheDefinition"></Relationship><Relationship Id="rId11" Target="worksheets/sheet6.xml" Type="http://schemas.openxmlformats.org/officeDocument/2006/relationships/worksheet"></Relationship><Relationship Id="rId12" Target="/xl/pivotCache/pivotCacheDefinition3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W$151" sheet="2026.9"/>
  </cacheSource>
  <cacheFields count="23">
    <cacheField name="日期" numFmtId="0">
      <sharedItems containsSemiMixedTypes="false" containsNonDate="false" containsDate="true" containsString="false" minDate="2026-09-01T00:00:00.000Z" maxDate="2026-09-30T00:00:00.000Z" count="0"/>
    </cacheField>
    <cacheField name="主播" numFmtId="0">
      <sharedItems count="7">
        <s v="张仪凡"/>
        <s v="路孟玲"/>
        <s v="边丽媛"/>
        <s v="日总"/>
        <s v="刘丽杰"/>
        <s v="王梦晴"/>
        <s v="申丽媛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9" maxValue="16" count="18">
        <n v="5"/>
        <n v="4"/>
        <n v="14"/>
        <n v="3"/>
        <n v="2"/>
        <n v="16"/>
        <n v="1.9"/>
        <n v="15.9"/>
        <n v="15"/>
        <n v="2.15"/>
        <n v="14.15"/>
        <n v="3.5"/>
        <n v="15.5"/>
        <n v="3.15"/>
        <n v="15.15"/>
        <n v="3.65"/>
        <n v="2.65"/>
        <n v="10.3"/>
      </sharedItems>
    </cacheField>
    <cacheField name="抖音投流消耗" numFmtId="0">
      <sharedItems containsSemiMixedTypes="false" containsString="false" containsNumber="true" minValue="2919.54" maxValue="48990.990000000005" count="150">
        <n v="9966.44"/>
        <n v="8676.61"/>
        <n v="9566.5"/>
        <n v="28209.550000000003"/>
        <n v="12683.93"/>
        <n v="9250.74"/>
        <n v="9644.21"/>
        <n v="31578.879999999997"/>
        <n v="11911.52"/>
        <n v="8339.03"/>
        <n v="14309.68"/>
        <n v="34560.23"/>
        <n v="9632.73"/>
        <n v="9099.890000000001"/>
        <n v="6210.65"/>
        <n v="9262.74"/>
        <n v="34206.01"/>
        <n v="7818.839999999999"/>
        <n v="3918.25"/>
        <n v="5254.110000000001"/>
        <n v="9791.17"/>
        <n v="26782.370000000003"/>
        <n v="10813.88"/>
        <n v="7167.15"/>
        <n v="6980.83"/>
        <n v="16365.96"/>
        <n v="41327.82"/>
        <n v="6450.67"/>
        <n v="5411.19"/>
        <n v="7439.2300000000005"/>
        <n v="13690.970000000001"/>
        <n v="32992.06"/>
        <n v="7602.290000000001"/>
        <n v="5721.780000000001"/>
        <n v="4822.3"/>
        <n v="8572.65"/>
        <n v="26719.020000000004"/>
        <n v="13539.990000000002"/>
        <n v="14466.99"/>
        <n v="5104.29"/>
        <n v="8063.93"/>
        <n v="41175.200000000004"/>
        <n v="11762.53"/>
        <n v="3583.82"/>
        <n v="5578.08"/>
        <n v="13295.6"/>
        <n v="34220.03"/>
        <n v="8133.23"/>
        <n v="10259.75"/>
        <n v="7901.16"/>
        <n v="2956.7299999999996"/>
        <n v="29250.87"/>
        <n v="15595.06"/>
        <n v="10550.36"/>
        <n v="8565.580000000002"/>
        <n v="14279.990000000002"/>
        <n v="48990.990000000005"/>
        <n v="12094.810000000001"/>
        <n v="10912.349999999999"/>
        <n v="3485.98"/>
        <n v="3394.85"/>
        <n v="8908.64"/>
        <n v="38796.63"/>
        <n v="8595.21"/>
        <n v="6193.379999999999"/>
        <n v="4329.04"/>
        <n v="4555.429999999999"/>
        <n v="6728.13"/>
        <n v="30401.19"/>
        <n v="7239.17"/>
        <n v="10722.150000000001"/>
        <n v="6908.210000000001"/>
        <n v="2919.54"/>
        <n v="4827.64"/>
        <n v="32616.71"/>
        <n v="6624.400000000001"/>
        <n v="8540.220000000001"/>
        <n v="6566.469999999999"/>
        <n v="7055.4400000000005"/>
        <n v="9324.81"/>
        <n v="38111.340000000004"/>
        <n v="9536.48"/>
        <n v="12317.07"/>
        <n v="8999.73"/>
        <n v="8934.38"/>
        <n v="39787.659999999996"/>
        <n v="9106.72"/>
        <n v="7647.19"/>
        <n v="6922"/>
        <n v="12569.87"/>
        <n v="36245.78"/>
        <n v="9666.27"/>
        <n v="11248.13"/>
        <n v="9066.23"/>
        <n v="6386.200000000001"/>
        <n v="36366.83"/>
        <n v="8432.39"/>
        <n v="15213.41"/>
        <n v="10639.47"/>
        <n v="6250.91"/>
        <n v="40536.17999999999"/>
        <n v="11258.41"/>
        <n v="13051.65"/>
        <n v="9114.37"/>
        <n v="8915.27"/>
        <n v="42339.7"/>
        <n v="9228.57"/>
        <n v="7732.5"/>
        <n v="7924.3"/>
        <n v="9336.31"/>
        <n v="34221.68"/>
        <n v="8810.54"/>
        <n v="7826.86"/>
        <n v="7796.89"/>
        <n v="6939.09"/>
        <n v="31373.38"/>
        <n v="9687.970000000001"/>
        <n v="7931.27"/>
        <n v="8523.88"/>
        <n v="8176.24"/>
        <n v="34319.36"/>
        <n v="13075.27"/>
        <n v="7848.42"/>
        <n v="5960.8"/>
        <n v="8461.86"/>
        <n v="35346.350000000006"/>
        <n v="8533.16"/>
        <n v="8328.61"/>
        <n v="9457.51"/>
        <n v="7999.17"/>
        <n v="34318.45"/>
        <n v="8784.56"/>
        <n v="3022.05"/>
        <n v="7180.92"/>
        <n v="9421.96"/>
        <n v="28409.489999999998"/>
        <n v="7650.35"/>
        <n v="6863.08"/>
        <n v="6546.03"/>
        <n v="5973.18"/>
        <n v="27032.64"/>
        <n v="5606.7699999999995"/>
        <n v="9331.82"/>
        <n v="9462.69"/>
        <n v="10282.61"/>
        <n v="34683.89"/>
        <n v="8963.27"/>
        <n v="8511.55"/>
        <n v="4109.18"/>
        <n v="21584"/>
      </sharedItems>
    </cacheField>
    <cacheField name="订单数" numFmtId="0">
      <sharedItems containsSemiMixedTypes="false" containsString="false" containsNumber="true" containsInteger="true" minValue="1" maxValue="59" count="0"/>
    </cacheField>
    <cacheField name="众民保单数" numFmtId="0">
      <sharedItems containsSemiMixedTypes="false" containsString="false" containsNumber="true" containsInteger="true" minValue="1" maxValue="45" count="0"/>
    </cacheField>
    <cacheField name="众民年化保费" numFmtId="0">
      <sharedItems containsSemiMixedTypes="false" containsString="false" containsNumber="true" minValue="781.1999999999971" maxValue="66035.7" count="0"/>
    </cacheField>
    <cacheField name="尊享保单数" numFmtId="0">
      <sharedItems containsSemiMixedTypes="false" containsString="false" containsNumber="true" containsInteger="true" minValue="0" maxValue="10" count="0"/>
    </cacheField>
    <cacheField name="尊享年化保费" numFmtId="0">
      <sharedItems containsSemiMixedTypes="false" containsString="false" containsNumber="true" minValue="0" maxValue="7377" count="0"/>
    </cacheField>
    <cacheField name="保单数量（总）" numFmtId="0">
      <sharedItems containsSemiMixedTypes="false" containsString="false" containsNumber="true" containsInteger="true" minValue="1" maxValue="52" count="0"/>
    </cacheField>
    <cacheField name="保险支付数" numFmtId="0">
      <sharedItems containsSemiMixedTypes="false" containsString="false" containsNumber="true" containsInteger="true" minValue="0" maxValue="37" count="0"/>
    </cacheField>
    <cacheField name="纯投放（表单）" numFmtId="0">
      <sharedItems containsSemiMixedTypes="false" containsString="false" containsNumber="true" containsInteger="true" minValue="0" maxValue="46" count="0"/>
    </cacheField>
    <cacheField name="家庭单数量" numFmtId="0">
      <sharedItems containsSemiMixedTypes="false" containsString="false" containsNumber="true" containsInteger="true" minValue="0" maxValue="8" count="0"/>
    </cacheField>
    <cacheField name="50+保单数量" numFmtId="0">
      <sharedItems containsSemiMixedTypes="false" containsString="false" containsNumber="true" containsInteger="true" minValue="0" maxValue="23" count="0"/>
    </cacheField>
    <cacheField name="抖音年化保费" numFmtId="0">
      <sharedItems containsSemiMixedTypes="false" containsString="false" containsNumber="true" minValue="781.1999999999971" maxValue="69315.29999999999" count="150">
        <n v="25006.699999999997"/>
        <n v="21122"/>
        <n v="10294.599999999999"/>
        <n v="56423.299999999996"/>
        <n v="20523"/>
        <n v="9691.400000000001"/>
        <n v="14118.699999999997"/>
        <n v="44333.1"/>
        <n v="23292"/>
        <n v="9558.8"/>
        <n v="21126.500000000004"/>
        <n v="53977.3"/>
        <n v="9818.400000000001"/>
        <n v="15474"/>
        <n v="9780.599999999999"/>
        <n v="30520.500000000007"/>
        <n v="65593.5"/>
        <n v="3141.9"/>
        <n v="9841.2"/>
        <n v="11432.9"/>
        <n v="13473.599999999991"/>
        <n v="37889.59999999999"/>
        <n v="8967.2"/>
        <n v="8806.8"/>
        <n v="9910.8"/>
        <n v="29339.799999999996"/>
        <n v="57024.59999999999"/>
        <n v="5164.8"/>
        <n v="9946.8"/>
        <n v="25165.199999999997"/>
        <n v="14799.200000000004"/>
        <n v="55076"/>
        <n v="8759.400000000001"/>
        <n v="8561.3"/>
        <n v="7018.799999999999"/>
        <n v="11577.599999999999"/>
        <n v="35917.1"/>
        <n v="34982.399999999994"/>
        <n v="10077.799999999996"/>
        <n v="13051.200000000004"/>
        <n v="10982.400000000005"/>
        <n v="69093.8"/>
        <n v="12426.8"/>
        <n v="11760.8"/>
        <n v="10093.599999999999"/>
        <n v="29054.199999999997"/>
        <n v="63335.399999999994"/>
        <n v="12615.599999999999"/>
        <n v="8982.2"/>
        <n v="4642.4000000000015"/>
        <n v="2045"/>
        <n v="28285.2"/>
        <n v="30477.100000000006"/>
        <n v="7719"/>
        <n v="12325.000000000005"/>
        <n v="13113.600000000006"/>
        <n v="63634.70000000002"/>
        <n v="24617.9"/>
        <n v="12279.2"/>
        <n v="2220.5999999999985"/>
        <n v="5514.800000000003"/>
        <n v="5008.199999999997"/>
        <n v="49640.700000000004"/>
        <n v="6661.200000000001"/>
        <n v="9338.4"/>
        <n v="3247.6000000000004"/>
        <n v="3116.399999999998"/>
        <n v="12096.400000000001"/>
        <n v="34460"/>
        <n v="12200.400000000001"/>
        <n v="16020"/>
        <n v="8120.600000000001"/>
        <n v="781.1999999999971"/>
        <n v="7891.199999999998"/>
        <n v="45013.399999999994"/>
        <n v="26655.600000000006"/>
        <n v="10181.599999999999"/>
        <n v="14035.899999999996"/>
        <n v="4328.4000000000015"/>
        <n v="14113.799999999996"/>
        <n v="69315.29999999999"/>
        <n v="35462.4"/>
        <n v="10841.199999999997"/>
        <n v="4118.4000000000015"/>
        <n v="15379.600000000004"/>
        <n v="65801.6"/>
        <n v="8381"/>
        <n v="12896.5"/>
        <n v="9417.6"/>
        <n v="16922.8"/>
        <n v="47617.899999999994"/>
        <n v="17338.800000000003"/>
        <n v="11585.6"/>
        <n v="12038"/>
        <n v="9405.2"/>
        <n v="50367.600000000006"/>
        <n v="8208"/>
        <n v="26735.6"/>
        <n v="16879.4"/>
        <n v="5875.2"/>
        <n v="57698.2"/>
        <n v="33318.4"/>
        <n v="24812.8"/>
        <n v="5378"/>
        <n v="4177"/>
        <n v="67686.2"/>
        <n v="12830.5"/>
        <n v="13060.8"/>
        <n v="15937.9"/>
        <n v="23285.600000000002"/>
        <n v="65114.8"/>
        <n v="10743.8"/>
        <n v="11385.6"/>
        <n v="3650.4"/>
        <n v="10815.6"/>
        <n v="36595.4"/>
        <n v="24435.4"/>
        <n v="20245.8"/>
        <n v="5822.4"/>
        <n v="14791.8"/>
        <n v="65295.399999999994"/>
        <n v="25876.199999999997"/>
        <n v="14030.4"/>
        <n v="2961.6"/>
        <n v="15369.6"/>
        <n v="58237.799999999996"/>
        <n v="6682.4"/>
        <n v="14317.9"/>
        <n v="19059.3"/>
        <n v="18441.2"/>
        <n v="58500.8"/>
        <n v="10841.300000000001"/>
        <n v="3158.4"/>
        <n v="16665.6"/>
        <n v="18734"/>
        <n v="49399.3"/>
        <n v="2796"/>
        <n v="16309.2"/>
        <n v="5775.6"/>
        <n v="5350"/>
        <n v="30230.800000000003"/>
        <n v="9780"/>
        <n v="13077.7"/>
        <n v="13656.9"/>
        <n v="14768.600000000006"/>
        <n v="51283.200000000004"/>
        <n v="7782.200000000001"/>
        <n v="11996.3"/>
        <n v="6163.2"/>
        <n v="25941.7"/>
      </sharedItems>
    </cacheField>
    <cacheField name="ROI" numFmtId="0">
      <sharedItems containsSemiMixedTypes="false" containsString="false" containsNumber="true" minValue="0.2675763990217627" maxValue="4.023851216713967" count="0"/>
    </cacheField>
    <cacheField name="单均" numFmtId="0">
      <sharedItems containsSemiMixedTypes="false" containsString="false" containsNumber="true" minValue="511.25" maxValue="3158.4" count="0"/>
    </cacheField>
    <cacheField name="保单成本" numFmtId="0">
      <sharedItems containsSemiMixedTypes="false" containsString="false" containsNumber="true" minValue="398.20222222222225" maxValue="5960.8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6" count="0"/>
    </cacheField>
    <cacheField name="投手" numFmtId="0">
      <sharedItems containsBlank="true" count="0"/>
    </cacheField>
    <cacheField name="时长" numFmtId="0">
      <sharedItems containsString="false" containsBlank="true" containsNumber="true" minValue="3" maxValue="16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W$91" sheet="2026.7"/>
  </cacheSource>
  <cacheFields count="23">
    <cacheField name="日期" numFmtId="0">
      <sharedItems containsSemiMixedTypes="false" containsNonDate="false" containsDate="true" containsString="false" minDate="2026-07-14T00:00:00.000Z" maxDate="2026-07-31T00:00:00.000Z" count="0"/>
    </cacheField>
    <cacheField name="主播" numFmtId="0">
      <sharedItems count="9">
        <s v="马浩东"/>
        <s v="张仪凡"/>
        <s v="崔志丹"/>
        <s v="日总"/>
        <s v="陈畑妤"/>
        <s v="赵千成"/>
        <s v="刘丽杰"/>
        <s v="高晓丽"/>
        <s v="路孟玲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75" maxValue="16" count="14">
        <n v="3"/>
        <n v="2"/>
        <n v="8"/>
        <n v="10"/>
        <n v="4"/>
        <n v="9"/>
        <n v="11"/>
        <n v="2.75"/>
        <n v="9.75"/>
        <n v="16"/>
        <n v="1.75"/>
        <n v="15.75"/>
        <n v="3.75"/>
        <n v="15.5"/>
      </sharedItems>
    </cacheField>
    <cacheField name="订单数" numFmtId="0">
      <sharedItems containsSemiMixedTypes="false" containsString="false" containsNumber="true" containsInteger="true" minValue="0" maxValue="66" count="0"/>
    </cacheField>
    <cacheField name="纯投放（表单）" numFmtId="0">
      <sharedItems containsSemiMixedTypes="false" containsString="false" containsNumber="true" containsInteger="true" minValue="0" maxValue="54" count="0"/>
    </cacheField>
    <cacheField name="保单数量" numFmtId="0">
      <sharedItems containsSemiMixedTypes="false" containsString="false" containsNumber="true" containsInteger="true" minValue="0" maxValue="50" count="0"/>
    </cacheField>
    <cacheField name="纯投放（保单）" numFmtId="0">
      <sharedItems containsSemiMixedTypes="false" containsString="false" containsNumber="true" containsInteger="true" minValue="0" maxValue="39" count="0"/>
    </cacheField>
    <cacheField name="家庭单数量" numFmtId="0">
      <sharedItems containsSemiMixedTypes="false" containsString="false" containsNumber="true" containsInteger="true" minValue="0" maxValue="5" count="0"/>
    </cacheField>
    <cacheField name="50+保单数量" numFmtId="0">
      <sharedItems containsSemiMixedTypes="false" containsString="false" containsNumber="true" containsInteger="true" minValue="0" maxValue="23" count="0"/>
    </cacheField>
    <cacheField name="1号保单数" numFmtId="0">
      <sharedItems containsSemiMixedTypes="false" containsString="false" containsNumber="true" containsInteger="true" minValue="0" maxValue="0" count="0"/>
    </cacheField>
    <cacheField name="1号年华保费" numFmtId="0">
      <sharedItems containsString="false" containsBlank="true" containsNumber="true" containsInteger="true" minValue="0" maxValue="0" count="0"/>
    </cacheField>
    <cacheField name="2号保单数" numFmtId="0">
      <sharedItems containsSemiMixedTypes="false" containsString="false" containsNumber="true" containsInteger="true" minValue="0" maxValue="50" count="0"/>
    </cacheField>
    <cacheField name="2号年华保费" numFmtId="0">
      <sharedItems containsString="false" containsBlank="true" containsNumber="true" minValue="0" maxValue="75979.3" count="0"/>
    </cacheField>
    <cacheField name="抖音年化保费" numFmtId="0">
      <sharedItems containsSemiMixedTypes="false" containsString="false" containsNumber="true" minValue="0" maxValue="75979.3" count="0"/>
    </cacheField>
    <cacheField name="抖音投流消耗" numFmtId="0">
      <sharedItems containsSemiMixedTypes="false" containsString="false" containsNumber="true" minValue="321.97" maxValue="45499.21" count="0"/>
    </cacheField>
    <cacheField name="ROI" numFmtId="0">
      <sharedItems containsSemiMixedTypes="false" containsString="false" containsNumber="true" minValue="0" maxValue="5.50075784942072" count="0"/>
    </cacheField>
    <cacheField name="单均" numFmtId="0">
      <sharedItems containsMixedTypes="true" containsNumber="true" minValue="402" maxValue="3397.2" count="0"/>
    </cacheField>
    <cacheField name="保单成本" numFmtId="0">
      <sharedItems containsMixedTypes="true" containsNumber="true" minValue="317.805" maxValue="5482.46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8" maxValue="16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8" maxValue="16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38" sheet="Sheet5"/>
  </cacheSource>
  <cacheFields count="19">
    <cacheField name="日期" numFmtId="0">
      <sharedItems containsNonDate="false" containsDate="true" containsString="false" containsBlank="true" minDate="2026-10-12T00:00:00.000Z" maxDate="2026-10-18T00:00:00.000Z" count="0"/>
    </cacheField>
    <cacheField name="主播" numFmtId="0">
      <sharedItems containsBlank="true" count="7">
        <s v="王梦晴"/>
        <s v="张仪凡"/>
        <s v="刘丽杰"/>
        <s v="边丽媛"/>
        <m/>
        <s v="路孟玲"/>
        <s v="赵若含"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containsInteger="true" minValue="2" maxValue="5" count="5">
        <n v="4"/>
        <m/>
        <n v="5"/>
        <n v="3"/>
        <n v="2"/>
      </sharedItems>
    </cacheField>
    <cacheField name="抖音投流消耗" numFmtId="0">
      <sharedItems containsString="false" containsBlank="true" containsNumber="true" minValue="2936.46" maxValue="13910.74" count="31">
        <n v="7682.4400000000005"/>
        <n v="6948.01"/>
        <n v="8152.83"/>
        <n v="9103.72"/>
        <m/>
        <n v="9446.37"/>
        <n v="8670.33"/>
        <n v="10218.54"/>
        <n v="7805.48"/>
        <n v="10636.3"/>
        <n v="13530.08"/>
        <n v="10475.51"/>
        <n v="11418.29"/>
        <n v="7265.709999999999"/>
        <n v="6940.42"/>
        <n v="6993.67"/>
        <n v="7778.08"/>
        <n v="7583.91"/>
        <n v="13910.74"/>
        <n v="9726.3"/>
        <n v="8124.67"/>
        <n v="6726.23"/>
        <n v="8084.66"/>
        <n v="6436.22"/>
        <n v="2936.46"/>
        <n v="3639.3"/>
        <n v="5298.29"/>
        <n v="8527.02"/>
        <n v="6739.36"/>
        <n v="5883.78"/>
        <n v="5868.43"/>
      </sharedItems>
    </cacheField>
    <cacheField name="订单数" numFmtId="0">
      <sharedItems containsString="false" containsBlank="true" containsNumber="true" containsInteger="true" minValue="2" maxValue="23" count="0"/>
    </cacheField>
    <cacheField name="众民保单数" numFmtId="0">
      <sharedItems containsString="false" containsBlank="true" containsNumber="true" containsInteger="true" minValue="1" maxValue="15" count="0"/>
    </cacheField>
    <cacheField name="众民年化保费" numFmtId="0">
      <sharedItems containsString="false" containsBlank="true" containsNumber="true" minValue="1054.8" maxValue="27834" count="0"/>
    </cacheField>
    <cacheField name="尊享保单数" numFmtId="0">
      <sharedItems containsString="false" containsBlank="true" containsNumber="true" containsInteger="true" minValue="0" maxValue="5" count="5">
        <n v="0"/>
        <n v="1"/>
        <m/>
        <n v="5"/>
        <n v="2"/>
      </sharedItems>
    </cacheField>
    <cacheField name="尊享年化保费" numFmtId="0">
      <sharedItems containsString="false" containsBlank="true" containsNumber="true" minValue="0" maxValue="3792" count="0"/>
    </cacheField>
    <cacheField name="保单数量（总）" numFmtId="0">
      <sharedItems containsString="false" containsBlank="true" containsNumber="true" containsInteger="true" minValue="1" maxValue="20" count="17">
        <n v="5"/>
        <n v="8"/>
        <n v="10"/>
        <n v="7"/>
        <m/>
        <n v="13"/>
        <n v="14"/>
        <n v="4"/>
        <n v="20"/>
        <n v="12"/>
        <n v="16"/>
        <n v="17"/>
        <n v="11"/>
        <n v="3"/>
        <n v="1"/>
        <n v="6"/>
        <n v="9"/>
      </sharedItems>
    </cacheField>
    <cacheField name="保险支付数" numFmtId="0">
      <sharedItems containsString="false" containsBlank="true" containsNumber="true" containsInteger="true" minValue="0" maxValue="15" count="13">
        <n v="4"/>
        <n v="10"/>
        <n v="7"/>
        <m/>
        <n v="9"/>
        <n v="6"/>
        <n v="15"/>
        <n v="5"/>
        <n v="3"/>
        <n v="2"/>
        <n v="12"/>
        <n v="1"/>
        <n v="0"/>
      </sharedItems>
    </cacheField>
    <cacheField name="纯投放（表单）" numFmtId="0">
      <sharedItems containsString="false" containsBlank="true" containsNumber="true" containsInteger="true" minValue="1" maxValue="17" count="0"/>
    </cacheField>
    <cacheField name="家庭单数量" numFmtId="0">
      <sharedItems containsString="false" containsBlank="true" containsNumber="true" containsInteger="true" minValue="0" maxValue="3" count="5">
        <n v="0"/>
        <n v="1"/>
        <m/>
        <n v="3"/>
        <n v="2"/>
      </sharedItems>
    </cacheField>
    <cacheField name="50+保单数量" numFmtId="0">
      <sharedItems containsString="false" containsBlank="true" containsNumber="true" containsInteger="true" minValue="0" maxValue="11" count="12">
        <n v="3"/>
        <n v="4"/>
        <n v="2"/>
        <m/>
        <n v="7"/>
        <n v="1"/>
        <n v="6"/>
        <n v="10"/>
        <n v="5"/>
        <n v="11"/>
        <n v="8"/>
        <n v="0"/>
      </sharedItems>
    </cacheField>
    <cacheField name="抖音年化保费" numFmtId="0">
      <sharedItems containsString="false" containsBlank="true" containsNumber="true" minValue="1294.8" maxValue="31626" count="31">
        <n v="9025.8"/>
        <n v="7979"/>
        <n v="17521.8"/>
        <n v="7245.8"/>
        <m/>
        <n v="23008.399999999998"/>
        <n v="8614.8"/>
        <n v="21822.6"/>
        <n v="3588"/>
        <n v="24026.000000000007"/>
        <n v="20005.2"/>
        <n v="24012.1"/>
        <n v="19913"/>
        <n v="16522.4"/>
        <n v="13707.6"/>
        <n v="9355"/>
        <n v="4547.6"/>
        <n v="31626"/>
        <n v="21798.1"/>
        <n v="10520.4"/>
        <n v="16709.4"/>
        <n v="9655.6"/>
        <n v="14706"/>
        <n v="3296"/>
        <n v="1327.2"/>
        <n v="7473.4"/>
        <n v="14097.800000000001"/>
        <n v="14693.6"/>
        <n v="6522"/>
        <n v="1294.8"/>
        <n v="5340"/>
      </sharedItems>
    </cacheField>
    <cacheField name="ROI" numFmtId="0">
      <sharedItems containsString="false" containsBlank="true" containsNumber="true" minValue="0.22006261281013226" maxValue="4.170144424182249" count="0"/>
    </cacheField>
    <cacheField name="单均" numFmtId="0">
      <sharedItems containsString="false" containsBlank="true" containsNumber="true" minValue="431.59999999999997" maxValue="2088.675" count="0"/>
    </cacheField>
    <cacheField name="保单成本" numFmtId="0">
      <sharedItems containsString="false" containsBlank="true" containsNumber="true" minValue="473.994375" maxValue="2936.46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F$215:$I$222" firstHeaderRow="1" firstDataRow="1" firstDataCol="1"/>
  <pivotFields count="23">
    <pivotField compact="false" outline="false" showAll="false"/>
    <pivotField axis="axisRow" compact="false" outline="false" showAll="false">
      <items count="8">
        <item x="0"/>
        <item x="1"/>
        <item x="2"/>
        <item h="true"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true" compact="false" outline="false" showAll="false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抖音年化保费" fld="15" subtotal="sum"/>
    <dataField name="求和项:抖音投流消耗" fld="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95:$E$104" firstHeaderRow="1" firstDataRow="1" firstDataCol="1"/>
  <pivotFields count="23">
    <pivotField compact="false" outline="false" showAll="false"/>
    <pivotField axis="axisRow" compact="false" outline="false" showAll="false">
      <items count="10">
        <item x="0"/>
        <item x="1"/>
        <item x="2"/>
        <item h="true"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F$41:$N$49" firstHeaderRow="1" firstDataRow="1" firstDataCol="1"/>
  <pivotFields count="19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true" compact="false" outline="false" showAll="false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8">
    <dataField name="求和项:尊享保单数" fld="8" subtotal="sum"/>
    <dataField name="求和项:直播时长" fld="3" subtotal="sum"/>
    <dataField name="求和项:保单数量（总）" fld="10" subtotal="sum"/>
    <dataField name="求和项:保险支付数" fld="11" subtotal="sum"/>
    <dataField name="求和项:抖音年化保费" fld="15" subtotal="sum"/>
    <dataField name="求和项:抖音投流消耗" fld="4" subtotal="sum"/>
    <dataField name="求和项:家庭单数量" fld="13" subtotal="sum"/>
    <dataField name="求和项:50+保单数量" fld="1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1.211267605633802"/>
    <col collapsed="false" customWidth="true" hidden="false" max="16" min="16" style="0" width="11.211267605633802"/>
    <col collapsed="false" customWidth="true" hidden="false" max="18" min="18" style="0" width="11.211267605633802"/>
  </cols>
  <sheetData>
    <row r="1">
      <c r="A1" s="1" t="s">
        <v>1</v>
      </c>
      <c r="B1" s="2" t="s">
        <v>2</v>
      </c>
      <c r="C1" s="1" t="s">
        <v>3</v>
      </c>
      <c r="D1" s="1" t="s">
        <v>4</v>
      </c>
      <c r="E1" s="3" t="s">
        <v>5</v>
      </c>
      <c r="F1" s="1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5" t="s">
        <v>12</v>
      </c>
      <c r="M1" s="6" t="s">
        <v>13</v>
      </c>
      <c r="N1" s="1" t="s">
        <v>14</v>
      </c>
      <c r="O1" s="7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1" t="s">
        <v>20</v>
      </c>
      <c r="U1" s="1" t="s">
        <v>21</v>
      </c>
      <c r="V1" s="8" t="s">
        <v>22</v>
      </c>
      <c r="W1" s="8" t="s">
        <v>23</v>
      </c>
    </row>
    <row hidden="true" r="2">
      <c r="A2" s="9">
        <v>46298</v>
      </c>
      <c r="B2" s="10" t="s">
        <v>24</v>
      </c>
      <c r="C2" s="11" t="s">
        <v>25</v>
      </c>
      <c r="D2" s="12">
        <v>5</v>
      </c>
      <c r="E2" s="13">
        <v>8200.02</v>
      </c>
      <c r="F2" s="12">
        <v>16</v>
      </c>
      <c r="G2" s="14">
        <v>11</v>
      </c>
      <c r="H2" s="14">
        <v>14788.5</v>
      </c>
      <c r="I2" s="13">
        <v>1</v>
      </c>
      <c r="J2" s="13">
        <v>1452</v>
      </c>
      <c r="K2" s="15">
        <f>G2+I2</f>
      </c>
      <c r="L2" s="16">
        <v>6</v>
      </c>
      <c r="M2" s="17">
        <v>10</v>
      </c>
      <c r="N2" s="14">
        <v>2</v>
      </c>
      <c r="O2" s="14">
        <v>5</v>
      </c>
      <c r="P2" s="18">
        <f>J2+H2</f>
      </c>
      <c r="Q2" s="19">
        <f t="shared" ref="Q2:Q85" si="33">P2/E2</f>
      </c>
      <c r="R2" s="20">
        <f t="shared" ref="R2:R85" si="16">P2/K2</f>
      </c>
      <c r="S2" s="19">
        <f t="shared" ref="S2:S85" si="34">E2/K2</f>
      </c>
      <c r="T2" s="10" t="s">
        <v>26</v>
      </c>
      <c r="U2" s="10">
        <v>5</v>
      </c>
      <c r="V2" s="21" t="s">
        <v>27</v>
      </c>
      <c r="W2" s="10">
        <v>5</v>
      </c>
    </row>
    <row hidden="true" r="3">
      <c r="A3" s="22">
        <v>46298</v>
      </c>
      <c r="B3" s="23" t="s">
        <v>28</v>
      </c>
      <c r="C3" s="24"/>
      <c r="D3" s="25">
        <f>SUM(D2)</f>
      </c>
      <c r="E3" s="25">
        <f>SUM(E2)</f>
      </c>
      <c r="F3" s="25">
        <f>SUM(F2)</f>
      </c>
      <c r="G3" s="25">
        <f>SUM(G2)</f>
      </c>
      <c r="H3" s="25">
        <f>SUM(H2)</f>
      </c>
      <c r="I3" s="25">
        <f>SUM(I2)</f>
      </c>
      <c r="J3" s="25">
        <f>SUM(J2)</f>
      </c>
      <c r="K3" s="25">
        <f>SUM(K2)</f>
      </c>
      <c r="L3" s="25">
        <f>SUM(L2)</f>
      </c>
      <c r="M3" s="25">
        <f>SUM(M2)</f>
      </c>
      <c r="N3" s="25">
        <f>SUM(N2)</f>
      </c>
      <c r="O3" s="25">
        <f>SUM(O2)</f>
      </c>
      <c r="P3" s="25">
        <f>SUM(P2)</f>
      </c>
      <c r="Q3" s="26">
        <f t="shared" si="33"/>
      </c>
      <c r="R3" s="26">
        <f t="shared" si="16"/>
      </c>
      <c r="S3" s="26">
        <f t="shared" si="34"/>
      </c>
      <c r="T3" s="25"/>
      <c r="U3" s="25">
        <f>SUM(U2)</f>
      </c>
      <c r="V3" s="25"/>
      <c r="W3" s="25">
        <f>SUM(W2)</f>
      </c>
    </row>
    <row hidden="true" r="4">
      <c r="A4" s="9">
        <v>46299</v>
      </c>
      <c r="B4" s="27" t="s">
        <v>29</v>
      </c>
      <c r="C4" s="28" t="s">
        <v>30</v>
      </c>
      <c r="D4" s="29">
        <v>4</v>
      </c>
      <c r="E4" s="13">
        <v>10911.75</v>
      </c>
      <c r="F4" s="12">
        <v>21</v>
      </c>
      <c r="G4" s="14">
        <v>13</v>
      </c>
      <c r="H4" s="14">
        <v>19656.000000000007</v>
      </c>
      <c r="I4" s="13">
        <v>4</v>
      </c>
      <c r="J4" s="13">
        <v>2065</v>
      </c>
      <c r="K4" s="30">
        <f t="shared" ref="K4:K7" si="17">G4+I4</f>
      </c>
      <c r="L4" s="16">
        <v>12</v>
      </c>
      <c r="M4" s="17">
        <v>17</v>
      </c>
      <c r="N4" s="14">
        <v>2</v>
      </c>
      <c r="O4" s="14">
        <v>4</v>
      </c>
      <c r="P4" s="30">
        <f t="shared" ref="P4:P7" si="0">J4+H4</f>
      </c>
      <c r="Q4" s="19">
        <f t="shared" si="33"/>
      </c>
      <c r="R4" s="20">
        <f t="shared" si="16"/>
      </c>
      <c r="S4" s="19">
        <f t="shared" si="34"/>
      </c>
      <c r="T4" s="27" t="s">
        <v>31</v>
      </c>
      <c r="U4" s="27">
        <v>8</v>
      </c>
      <c r="V4" s="10" t="s">
        <v>27</v>
      </c>
      <c r="W4" s="27">
        <v>8</v>
      </c>
    </row>
    <row hidden="true" r="5">
      <c r="A5" s="9">
        <v>46299</v>
      </c>
      <c r="B5" s="27" t="s">
        <v>32</v>
      </c>
      <c r="C5" s="31" t="s">
        <v>33</v>
      </c>
      <c r="D5" s="29">
        <v>4</v>
      </c>
      <c r="E5" s="32">
        <v>10757.91</v>
      </c>
      <c r="F5" s="33">
        <v>17</v>
      </c>
      <c r="G5" s="14">
        <v>12</v>
      </c>
      <c r="H5" s="14">
        <v>17203.8</v>
      </c>
      <c r="I5" s="13">
        <v>3</v>
      </c>
      <c r="J5" s="13">
        <v>3691</v>
      </c>
      <c r="K5" s="30">
        <f t="shared" si="17"/>
      </c>
      <c r="L5" s="16">
        <v>11</v>
      </c>
      <c r="M5" s="17">
        <v>12</v>
      </c>
      <c r="N5" s="14">
        <v>2</v>
      </c>
      <c r="O5" s="14">
        <v>9</v>
      </c>
      <c r="P5" s="30">
        <f t="shared" si="0"/>
      </c>
      <c r="Q5" s="19">
        <f t="shared" si="33"/>
      </c>
      <c r="R5" s="20">
        <f t="shared" si="16"/>
      </c>
      <c r="S5" s="19">
        <f t="shared" si="34"/>
      </c>
      <c r="T5" s="27"/>
      <c r="U5" s="27"/>
      <c r="V5" s="34"/>
      <c r="W5" s="34"/>
    </row>
    <row hidden="true" r="6">
      <c r="A6" s="9">
        <v>46299</v>
      </c>
      <c r="B6" s="27" t="s">
        <v>34</v>
      </c>
      <c r="C6" s="31" t="s">
        <v>35</v>
      </c>
      <c r="D6" s="29">
        <v>4</v>
      </c>
      <c r="E6" s="13">
        <v>10267.75</v>
      </c>
      <c r="F6" s="35">
        <v>6</v>
      </c>
      <c r="G6" s="14">
        <v>6</v>
      </c>
      <c r="H6" s="14">
        <v>6862.2</v>
      </c>
      <c r="I6" s="13">
        <v>0</v>
      </c>
      <c r="J6" s="13">
        <v>0</v>
      </c>
      <c r="K6" s="30">
        <f t="shared" si="17"/>
      </c>
      <c r="L6" s="16">
        <v>5</v>
      </c>
      <c r="M6" s="17">
        <v>6</v>
      </c>
      <c r="N6" s="14">
        <v>0</v>
      </c>
      <c r="O6" s="14">
        <v>1</v>
      </c>
      <c r="P6" s="30">
        <f t="shared" si="0"/>
      </c>
      <c r="Q6" s="19">
        <f t="shared" si="33"/>
      </c>
      <c r="R6" s="20">
        <f t="shared" si="16"/>
      </c>
      <c r="S6" s="19">
        <f t="shared" si="34"/>
      </c>
      <c r="T6" s="27" t="s">
        <v>26</v>
      </c>
      <c r="U6" s="27">
        <v>8</v>
      </c>
      <c r="V6" s="10" t="s">
        <v>36</v>
      </c>
      <c r="W6" s="27">
        <v>8</v>
      </c>
    </row>
    <row hidden="true" r="7">
      <c r="A7" s="9">
        <v>46299</v>
      </c>
      <c r="B7" s="27" t="s">
        <v>24</v>
      </c>
      <c r="C7" s="31" t="s">
        <v>37</v>
      </c>
      <c r="D7" s="29">
        <v>4</v>
      </c>
      <c r="E7" s="13">
        <v>10109.65</v>
      </c>
      <c r="F7" s="36">
        <v>11</v>
      </c>
      <c r="G7" s="14">
        <v>7</v>
      </c>
      <c r="H7" s="14">
        <v>6828.4</v>
      </c>
      <c r="I7" s="13">
        <v>0</v>
      </c>
      <c r="J7" s="13">
        <v>0</v>
      </c>
      <c r="K7" s="30">
        <f t="shared" si="17"/>
      </c>
      <c r="L7" s="16">
        <v>7</v>
      </c>
      <c r="M7" s="17">
        <v>9</v>
      </c>
      <c r="N7" s="14">
        <v>1</v>
      </c>
      <c r="O7" s="14">
        <v>2</v>
      </c>
      <c r="P7" s="30">
        <f t="shared" si="0"/>
      </c>
      <c r="Q7" s="19">
        <f t="shared" si="33"/>
      </c>
      <c r="R7" s="20">
        <f t="shared" si="16"/>
      </c>
      <c r="S7" s="19">
        <f t="shared" si="34"/>
      </c>
      <c r="T7" s="27"/>
      <c r="U7" s="27"/>
      <c r="V7" s="27"/>
      <c r="W7" s="27"/>
    </row>
    <row hidden="true" r="8">
      <c r="A8" s="37">
        <v>46299</v>
      </c>
      <c r="B8" s="38" t="s">
        <v>28</v>
      </c>
      <c r="C8" s="39"/>
      <c r="D8" s="25">
        <f>SUM(D4:D7)</f>
      </c>
      <c r="E8" s="25">
        <f>SUM(E4:E7)</f>
      </c>
      <c r="F8" s="25">
        <f>SUM(F4:F7)</f>
      </c>
      <c r="G8" s="25">
        <f>SUM(G4:G7)</f>
      </c>
      <c r="H8" s="25">
        <f>SUM(H4:H7)</f>
      </c>
      <c r="I8" s="25">
        <f>SUM(I4:I7)</f>
      </c>
      <c r="J8" s="25">
        <f>SUM(J4:J7)</f>
      </c>
      <c r="K8" s="25">
        <f>SUM(K4:K7)</f>
      </c>
      <c r="L8" s="25">
        <f>SUM(L4:L7)</f>
      </c>
      <c r="M8" s="25">
        <f>SUM(M4:M7)</f>
      </c>
      <c r="N8" s="25">
        <f>SUM(N4:N7)</f>
      </c>
      <c r="O8" s="25">
        <f>SUM(O4:O7)</f>
      </c>
      <c r="P8" s="25">
        <f>SUM(P4:P7)</f>
      </c>
      <c r="Q8" s="26">
        <f t="shared" si="33"/>
      </c>
      <c r="R8" s="26">
        <f t="shared" si="16"/>
      </c>
      <c r="S8" s="26">
        <f t="shared" si="34"/>
      </c>
      <c r="T8" s="25"/>
      <c r="U8" s="25">
        <f>SUM(U4:U7)</f>
      </c>
      <c r="V8" s="25"/>
      <c r="W8" s="25">
        <f>SUM(W4:W7)</f>
      </c>
    </row>
    <row hidden="true" r="9">
      <c r="A9" s="9">
        <v>46300</v>
      </c>
      <c r="B9" s="27" t="s">
        <v>29</v>
      </c>
      <c r="C9" s="28" t="s">
        <v>30</v>
      </c>
      <c r="D9" s="29">
        <v>4</v>
      </c>
      <c r="E9" s="13">
        <v>13354.82</v>
      </c>
      <c r="F9" s="12">
        <v>21</v>
      </c>
      <c r="G9" s="14">
        <v>20</v>
      </c>
      <c r="H9" s="14">
        <v>35780.8</v>
      </c>
      <c r="I9" s="13">
        <v>0</v>
      </c>
      <c r="J9" s="13">
        <v>0</v>
      </c>
      <c r="K9" s="30">
        <f t="shared" ref="K9:K12" si="18">G9+I9</f>
      </c>
      <c r="L9" s="16">
        <v>14</v>
      </c>
      <c r="M9" s="17">
        <v>15</v>
      </c>
      <c r="N9" s="14">
        <v>4</v>
      </c>
      <c r="O9" s="14">
        <v>10</v>
      </c>
      <c r="P9" s="30">
        <f t="shared" ref="P9:P12" si="1">J9+H9</f>
      </c>
      <c r="Q9" s="19">
        <f t="shared" si="33"/>
      </c>
      <c r="R9" s="20">
        <f t="shared" si="16"/>
      </c>
      <c r="S9" s="19">
        <f t="shared" si="34"/>
      </c>
      <c r="T9" s="27" t="s">
        <v>31</v>
      </c>
      <c r="U9" s="27">
        <v>8</v>
      </c>
      <c r="V9" s="10" t="s">
        <v>27</v>
      </c>
      <c r="W9" s="27">
        <v>8</v>
      </c>
    </row>
    <row hidden="true" r="10">
      <c r="A10" s="9">
        <v>46300</v>
      </c>
      <c r="B10" s="27" t="s">
        <v>32</v>
      </c>
      <c r="C10" s="31" t="s">
        <v>33</v>
      </c>
      <c r="D10" s="29">
        <v>4</v>
      </c>
      <c r="E10" s="32">
        <v>11230.21</v>
      </c>
      <c r="F10" s="33">
        <v>10</v>
      </c>
      <c r="G10" s="14">
        <v>5</v>
      </c>
      <c r="H10" s="14">
        <v>4404</v>
      </c>
      <c r="I10" s="13">
        <v>2</v>
      </c>
      <c r="J10" s="13">
        <v>889</v>
      </c>
      <c r="K10" s="30">
        <f t="shared" si="18"/>
      </c>
      <c r="L10" s="16">
        <v>7</v>
      </c>
      <c r="M10" s="17">
        <v>9</v>
      </c>
      <c r="N10" s="14">
        <v>0</v>
      </c>
      <c r="O10" s="14">
        <v>0</v>
      </c>
      <c r="P10" s="30">
        <f t="shared" si="1"/>
      </c>
      <c r="Q10" s="19">
        <f t="shared" si="33"/>
      </c>
      <c r="R10" s="20">
        <f t="shared" si="16"/>
      </c>
      <c r="S10" s="19">
        <f t="shared" si="34"/>
      </c>
      <c r="T10" s="27"/>
      <c r="U10" s="27"/>
      <c r="V10" s="34"/>
      <c r="W10" s="34"/>
    </row>
    <row hidden="true" r="11">
      <c r="A11" s="9">
        <v>46300</v>
      </c>
      <c r="B11" s="27" t="s">
        <v>38</v>
      </c>
      <c r="C11" s="31" t="s">
        <v>35</v>
      </c>
      <c r="D11" s="29">
        <v>4</v>
      </c>
      <c r="E11" s="13">
        <v>7272.3</v>
      </c>
      <c r="F11" s="35">
        <v>7</v>
      </c>
      <c r="G11" s="14">
        <v>3</v>
      </c>
      <c r="H11" s="14">
        <v>2608.2</v>
      </c>
      <c r="I11" s="13">
        <v>0</v>
      </c>
      <c r="J11" s="13">
        <v>0</v>
      </c>
      <c r="K11" s="30">
        <f t="shared" si="18"/>
      </c>
      <c r="L11" s="16">
        <v>2</v>
      </c>
      <c r="M11" s="17">
        <v>6</v>
      </c>
      <c r="N11" s="14">
        <v>0</v>
      </c>
      <c r="O11" s="14">
        <v>0</v>
      </c>
      <c r="P11" s="30">
        <f t="shared" si="1"/>
      </c>
      <c r="Q11" s="19">
        <f t="shared" si="33"/>
      </c>
      <c r="R11" s="20">
        <f t="shared" si="16"/>
      </c>
      <c r="S11" s="19">
        <f t="shared" si="34"/>
      </c>
      <c r="T11" s="27" t="s">
        <v>26</v>
      </c>
      <c r="U11" s="27">
        <v>8</v>
      </c>
      <c r="V11" s="10" t="s">
        <v>36</v>
      </c>
      <c r="W11" s="27">
        <v>8</v>
      </c>
    </row>
    <row hidden="true" r="12">
      <c r="A12" s="9">
        <v>46300</v>
      </c>
      <c r="B12" s="27" t="s">
        <v>24</v>
      </c>
      <c r="C12" s="31" t="s">
        <v>37</v>
      </c>
      <c r="D12" s="29">
        <v>4</v>
      </c>
      <c r="E12" s="13">
        <v>8525.04</v>
      </c>
      <c r="F12" s="36">
        <v>9</v>
      </c>
      <c r="G12" s="14">
        <v>9</v>
      </c>
      <c r="H12" s="14">
        <v>15372.2</v>
      </c>
      <c r="I12" s="13">
        <v>1</v>
      </c>
      <c r="J12" s="13">
        <v>300</v>
      </c>
      <c r="K12" s="30">
        <f t="shared" si="18"/>
      </c>
      <c r="L12" s="16">
        <v>9</v>
      </c>
      <c r="M12" s="17">
        <v>9</v>
      </c>
      <c r="N12" s="14">
        <v>0</v>
      </c>
      <c r="O12" s="14">
        <v>4</v>
      </c>
      <c r="P12" s="30">
        <f t="shared" si="1"/>
      </c>
      <c r="Q12" s="19">
        <f t="shared" si="33"/>
      </c>
      <c r="R12" s="20">
        <f t="shared" si="16"/>
      </c>
      <c r="S12" s="19">
        <f t="shared" si="34"/>
      </c>
      <c r="T12" s="27"/>
      <c r="U12" s="27"/>
      <c r="V12" s="27"/>
      <c r="W12" s="27"/>
    </row>
    <row hidden="true" r="13">
      <c r="A13" s="37">
        <v>46300</v>
      </c>
      <c r="B13" s="38" t="s">
        <v>28</v>
      </c>
      <c r="C13" s="39"/>
      <c r="D13" s="25">
        <f>SUM(D9:D12)</f>
      </c>
      <c r="E13" s="25">
        <f>SUM(E9:E12)</f>
      </c>
      <c r="F13" s="25">
        <f>SUM(F9:F12)</f>
      </c>
      <c r="G13" s="25">
        <f>SUM(G9:G12)</f>
      </c>
      <c r="H13" s="25">
        <f>SUM(H9:H12)</f>
      </c>
      <c r="I13" s="25">
        <f>SUM(I9:I12)</f>
      </c>
      <c r="J13" s="25">
        <f>SUM(J9:J12)</f>
      </c>
      <c r="K13" s="25">
        <f>SUM(K9:K12)</f>
      </c>
      <c r="L13" s="25">
        <f>SUM(L9:L12)</f>
      </c>
      <c r="M13" s="25">
        <f>SUM(M9:M12)</f>
      </c>
      <c r="N13" s="25">
        <f>SUM(N9:N12)</f>
      </c>
      <c r="O13" s="25">
        <f>SUM(O9:O12)</f>
      </c>
      <c r="P13" s="25">
        <f>SUM(P9:P12)</f>
      </c>
      <c r="Q13" s="26">
        <f t="shared" si="33"/>
      </c>
      <c r="R13" s="26">
        <f t="shared" si="16"/>
      </c>
      <c r="S13" s="26">
        <f t="shared" si="34"/>
      </c>
      <c r="T13" s="25"/>
      <c r="U13" s="25">
        <f>SUM(U9:U12)</f>
      </c>
      <c r="V13" s="25"/>
      <c r="W13" s="25">
        <f>SUM(W9:W12)</f>
      </c>
    </row>
    <row hidden="true" r="14">
      <c r="A14" s="9">
        <v>46301</v>
      </c>
      <c r="B14" s="27" t="s">
        <v>32</v>
      </c>
      <c r="C14" s="28" t="s">
        <v>30</v>
      </c>
      <c r="D14" s="29">
        <v>4</v>
      </c>
      <c r="E14" s="13">
        <v>9198.79</v>
      </c>
      <c r="F14" s="12">
        <v>11</v>
      </c>
      <c r="G14" s="14">
        <v>9</v>
      </c>
      <c r="H14" s="14">
        <v>15029.600000000002</v>
      </c>
      <c r="I14" s="13">
        <v>1</v>
      </c>
      <c r="J14" s="13">
        <v>756</v>
      </c>
      <c r="K14" s="30">
        <f t="shared" ref="K14:K17" si="19">G14+I14</f>
      </c>
      <c r="L14" s="16">
        <v>10</v>
      </c>
      <c r="M14" s="17">
        <v>10</v>
      </c>
      <c r="N14" s="14">
        <v>0</v>
      </c>
      <c r="O14" s="14">
        <v>4</v>
      </c>
      <c r="P14" s="30">
        <f t="shared" ref="P14:P17" si="2">J14+H14</f>
      </c>
      <c r="Q14" s="19">
        <f t="shared" si="33"/>
      </c>
      <c r="R14" s="20">
        <f t="shared" si="16"/>
      </c>
      <c r="S14" s="19">
        <f t="shared" si="34"/>
      </c>
      <c r="T14" s="27" t="s">
        <v>31</v>
      </c>
      <c r="U14" s="27">
        <v>8</v>
      </c>
      <c r="V14" s="10" t="s">
        <v>27</v>
      </c>
      <c r="W14" s="27">
        <v>8</v>
      </c>
    </row>
    <row hidden="true" r="15">
      <c r="A15" s="9">
        <v>46301</v>
      </c>
      <c r="B15" s="27" t="s">
        <v>29</v>
      </c>
      <c r="C15" s="31" t="s">
        <v>33</v>
      </c>
      <c r="D15" s="29">
        <v>4</v>
      </c>
      <c r="E15" s="32">
        <v>9163.52</v>
      </c>
      <c r="F15" s="33">
        <v>15</v>
      </c>
      <c r="G15" s="14">
        <v>12</v>
      </c>
      <c r="H15" s="14">
        <v>23522</v>
      </c>
      <c r="I15" s="13">
        <v>0</v>
      </c>
      <c r="J15" s="13">
        <v>0</v>
      </c>
      <c r="K15" s="30">
        <f t="shared" si="19"/>
      </c>
      <c r="L15" s="16">
        <v>11</v>
      </c>
      <c r="M15" s="17">
        <v>13</v>
      </c>
      <c r="N15" s="14">
        <v>1</v>
      </c>
      <c r="O15" s="14">
        <v>7</v>
      </c>
      <c r="P15" s="30">
        <f t="shared" si="2"/>
      </c>
      <c r="Q15" s="19">
        <f t="shared" si="33"/>
      </c>
      <c r="R15" s="20">
        <f t="shared" si="16"/>
      </c>
      <c r="S15" s="19">
        <f t="shared" si="34"/>
      </c>
      <c r="T15" s="27"/>
      <c r="U15" s="27"/>
      <c r="V15" s="34"/>
      <c r="W15" s="34"/>
    </row>
    <row hidden="true" r="16">
      <c r="A16" s="9">
        <v>46301</v>
      </c>
      <c r="B16" s="27" t="s">
        <v>24</v>
      </c>
      <c r="C16" s="31" t="s">
        <v>35</v>
      </c>
      <c r="D16" s="29">
        <v>4</v>
      </c>
      <c r="E16" s="13">
        <v>5784.89</v>
      </c>
      <c r="F16" s="35">
        <v>3</v>
      </c>
      <c r="G16" s="14">
        <v>0</v>
      </c>
      <c r="H16" s="14">
        <v>0</v>
      </c>
      <c r="I16" s="13">
        <v>0</v>
      </c>
      <c r="J16" s="13">
        <v>0</v>
      </c>
      <c r="K16" s="30">
        <f t="shared" si="19"/>
      </c>
      <c r="L16" s="16">
        <v>0</v>
      </c>
      <c r="M16" s="17">
        <v>3</v>
      </c>
      <c r="N16" s="14">
        <v>0</v>
      </c>
      <c r="O16" s="14">
        <v>0</v>
      </c>
      <c r="P16" s="30">
        <f t="shared" si="2"/>
      </c>
      <c r="Q16" s="19">
        <f t="shared" si="33"/>
      </c>
      <c r="R16" s="20">
        <f t="shared" si="16"/>
      </c>
      <c r="S16" s="19">
        <f t="shared" si="34"/>
      </c>
      <c r="T16" s="27" t="s">
        <v>26</v>
      </c>
      <c r="U16" s="27">
        <v>8</v>
      </c>
      <c r="V16" s="10" t="s">
        <v>36</v>
      </c>
      <c r="W16" s="27">
        <v>8</v>
      </c>
    </row>
    <row hidden="true" r="17">
      <c r="A17" s="9">
        <v>46301</v>
      </c>
      <c r="B17" s="27" t="s">
        <v>34</v>
      </c>
      <c r="C17" s="31" t="s">
        <v>37</v>
      </c>
      <c r="D17" s="29">
        <v>4</v>
      </c>
      <c r="E17" s="13">
        <v>7929.24</v>
      </c>
      <c r="F17" s="36">
        <v>19</v>
      </c>
      <c r="G17" s="14">
        <v>8</v>
      </c>
      <c r="H17" s="14">
        <v>9248</v>
      </c>
      <c r="I17" s="13">
        <v>3</v>
      </c>
      <c r="J17" s="13">
        <v>1842</v>
      </c>
      <c r="K17" s="30">
        <f t="shared" si="19"/>
      </c>
      <c r="L17" s="16">
        <v>8</v>
      </c>
      <c r="M17" s="17">
        <v>15</v>
      </c>
      <c r="N17" s="14">
        <v>1</v>
      </c>
      <c r="O17" s="14">
        <v>2</v>
      </c>
      <c r="P17" s="30">
        <f t="shared" si="2"/>
      </c>
      <c r="Q17" s="19">
        <f t="shared" si="33"/>
      </c>
      <c r="R17" s="20">
        <f t="shared" si="16"/>
      </c>
      <c r="S17" s="19">
        <f t="shared" si="34"/>
      </c>
      <c r="T17" s="27"/>
      <c r="U17" s="27"/>
      <c r="V17" s="27"/>
      <c r="W17" s="27"/>
    </row>
    <row hidden="true" r="18">
      <c r="A18" s="37">
        <v>46301</v>
      </c>
      <c r="B18" s="38" t="s">
        <v>28</v>
      </c>
      <c r="C18" s="39"/>
      <c r="D18" s="25">
        <f>SUM(D14:D17)</f>
      </c>
      <c r="E18" s="25">
        <f>SUM(E14:E17)</f>
      </c>
      <c r="F18" s="25">
        <f>SUM(F14:F17)</f>
      </c>
      <c r="G18" s="25">
        <f>SUM(G14:G17)</f>
      </c>
      <c r="H18" s="25">
        <f>SUM(H14:H17)</f>
      </c>
      <c r="I18" s="25">
        <f>SUM(I14:I17)</f>
      </c>
      <c r="J18" s="25">
        <f>SUM(J14:J17)</f>
      </c>
      <c r="K18" s="25">
        <f>SUM(K14:K17)</f>
      </c>
      <c r="L18" s="25">
        <f>SUM(L14:L17)</f>
      </c>
      <c r="M18" s="25">
        <f>SUM(M14:M17)</f>
      </c>
      <c r="N18" s="25">
        <f>SUM(N14:N17)</f>
      </c>
      <c r="O18" s="25">
        <f>SUM(O14:O17)</f>
      </c>
      <c r="P18" s="25">
        <f>SUM(P14:P17)</f>
      </c>
      <c r="Q18" s="26">
        <f t="shared" si="33"/>
      </c>
      <c r="R18" s="26">
        <f t="shared" si="16"/>
      </c>
      <c r="S18" s="26">
        <f t="shared" si="34"/>
      </c>
      <c r="T18" s="25"/>
      <c r="U18" s="25">
        <f>SUM(U14:U17)</f>
      </c>
      <c r="V18" s="25"/>
      <c r="W18" s="25">
        <f>SUM(W14:W17)</f>
      </c>
    </row>
    <row hidden="true" r="19">
      <c r="A19" s="9">
        <v>46302</v>
      </c>
      <c r="B19" s="27" t="s">
        <v>29</v>
      </c>
      <c r="C19" s="11" t="s">
        <v>39</v>
      </c>
      <c r="D19" s="12">
        <v>5</v>
      </c>
      <c r="E19" s="13">
        <v>12038.48</v>
      </c>
      <c r="F19" s="12">
        <v>10</v>
      </c>
      <c r="G19" s="14">
        <v>7</v>
      </c>
      <c r="H19" s="14">
        <v>8520.400000000001</v>
      </c>
      <c r="I19" s="13">
        <v>0</v>
      </c>
      <c r="J19" s="13">
        <v>0</v>
      </c>
      <c r="K19" s="30">
        <f t="shared" ref="K19:K22" si="20">G19+I19</f>
      </c>
      <c r="L19" s="16">
        <v>7</v>
      </c>
      <c r="M19" s="17">
        <v>10</v>
      </c>
      <c r="N19" s="14">
        <v>0</v>
      </c>
      <c r="O19" s="14">
        <v>2</v>
      </c>
      <c r="P19" s="30">
        <f t="shared" ref="P19:P22" si="3">J19+H19</f>
      </c>
      <c r="Q19" s="19">
        <f t="shared" si="33"/>
      </c>
      <c r="R19" s="20">
        <f t="shared" si="16"/>
      </c>
      <c r="S19" s="19">
        <f t="shared" si="34"/>
      </c>
      <c r="T19" s="27" t="s">
        <v>31</v>
      </c>
      <c r="U19" s="27">
        <v>8</v>
      </c>
      <c r="V19" s="10" t="s">
        <v>27</v>
      </c>
      <c r="W19" s="27">
        <v>8</v>
      </c>
    </row>
    <row hidden="true" r="20">
      <c r="A20" s="9">
        <v>46302</v>
      </c>
      <c r="B20" s="27" t="s">
        <v>24</v>
      </c>
      <c r="C20" s="40" t="s">
        <v>40</v>
      </c>
      <c r="D20" s="12">
        <v>4</v>
      </c>
      <c r="E20" s="32">
        <v>9093.49</v>
      </c>
      <c r="F20" s="33">
        <v>14</v>
      </c>
      <c r="G20" s="14">
        <v>11</v>
      </c>
      <c r="H20" s="14">
        <v>22205.2</v>
      </c>
      <c r="I20" s="13">
        <v>0</v>
      </c>
      <c r="J20" s="13">
        <v>0</v>
      </c>
      <c r="K20" s="30">
        <f t="shared" si="20"/>
      </c>
      <c r="L20" s="16">
        <v>8</v>
      </c>
      <c r="M20" s="17">
        <v>11</v>
      </c>
      <c r="N20" s="14">
        <v>1</v>
      </c>
      <c r="O20" s="14">
        <v>7</v>
      </c>
      <c r="P20" s="30">
        <f t="shared" si="3"/>
      </c>
      <c r="Q20" s="19">
        <f t="shared" si="33"/>
      </c>
      <c r="R20" s="20">
        <f t="shared" si="16"/>
      </c>
      <c r="S20" s="19">
        <f t="shared" si="34"/>
      </c>
      <c r="T20" s="27"/>
      <c r="U20" s="27"/>
      <c r="V20" s="34"/>
      <c r="W20" s="34"/>
    </row>
    <row hidden="true" r="21">
      <c r="A21" s="9">
        <v>46302</v>
      </c>
      <c r="B21" s="27" t="s">
        <v>34</v>
      </c>
      <c r="C21" s="40" t="s">
        <v>41</v>
      </c>
      <c r="D21" s="12">
        <v>3</v>
      </c>
      <c r="E21" s="13">
        <v>6651.35</v>
      </c>
      <c r="F21" s="35">
        <v>6</v>
      </c>
      <c r="G21" s="14">
        <v>3</v>
      </c>
      <c r="H21" s="14">
        <v>7281</v>
      </c>
      <c r="I21" s="13">
        <v>2</v>
      </c>
      <c r="J21" s="13">
        <v>1824</v>
      </c>
      <c r="K21" s="30">
        <f t="shared" si="20"/>
      </c>
      <c r="L21" s="16">
        <v>3</v>
      </c>
      <c r="M21" s="17">
        <v>5</v>
      </c>
      <c r="N21" s="14">
        <v>1</v>
      </c>
      <c r="O21" s="14">
        <v>3</v>
      </c>
      <c r="P21" s="30">
        <f t="shared" si="3"/>
      </c>
      <c r="Q21" s="19">
        <f t="shared" si="33"/>
      </c>
      <c r="R21" s="20">
        <f t="shared" si="16"/>
      </c>
      <c r="S21" s="19">
        <f t="shared" si="34"/>
      </c>
      <c r="T21" s="27" t="s">
        <v>26</v>
      </c>
      <c r="U21" s="27">
        <v>8</v>
      </c>
      <c r="V21" s="10" t="s">
        <v>36</v>
      </c>
      <c r="W21" s="27">
        <v>8</v>
      </c>
    </row>
    <row hidden="true" r="22">
      <c r="A22" s="9">
        <v>46302</v>
      </c>
      <c r="B22" s="27" t="s">
        <v>38</v>
      </c>
      <c r="C22" s="31" t="s">
        <v>37</v>
      </c>
      <c r="D22" s="12">
        <v>4</v>
      </c>
      <c r="E22" s="13">
        <v>6298.38</v>
      </c>
      <c r="F22" s="36">
        <v>7</v>
      </c>
      <c r="G22" s="14">
        <v>6</v>
      </c>
      <c r="H22" s="14">
        <v>9855.2</v>
      </c>
      <c r="I22" s="13">
        <v>1</v>
      </c>
      <c r="J22" s="13">
        <v>284.4</v>
      </c>
      <c r="K22" s="30">
        <f t="shared" si="20"/>
      </c>
      <c r="L22" s="16">
        <v>3</v>
      </c>
      <c r="M22" s="17">
        <v>3</v>
      </c>
      <c r="N22" s="14">
        <v>2</v>
      </c>
      <c r="O22" s="14">
        <v>4</v>
      </c>
      <c r="P22" s="30">
        <f t="shared" si="3"/>
      </c>
      <c r="Q22" s="19">
        <f t="shared" si="33"/>
      </c>
      <c r="R22" s="20">
        <f t="shared" si="16"/>
      </c>
      <c r="S22" s="19">
        <f t="shared" si="34"/>
      </c>
      <c r="T22" s="27"/>
      <c r="U22" s="27"/>
      <c r="V22" s="27"/>
      <c r="W22" s="27"/>
    </row>
    <row hidden="true" r="23">
      <c r="A23" s="37">
        <v>46302</v>
      </c>
      <c r="B23" s="38" t="s">
        <v>28</v>
      </c>
      <c r="C23" s="39"/>
      <c r="D23" s="25">
        <f>SUM(D19:D22)</f>
      </c>
      <c r="E23" s="25">
        <f>SUM(E19:E22)</f>
      </c>
      <c r="F23" s="25">
        <f>SUM(F19:F22)</f>
      </c>
      <c r="G23" s="25">
        <f>SUM(G19:G22)</f>
      </c>
      <c r="H23" s="25">
        <f>SUM(H19:H22)</f>
      </c>
      <c r="I23" s="25">
        <f>SUM(I19:I22)</f>
      </c>
      <c r="J23" s="25">
        <f>SUM(J19:J22)</f>
      </c>
      <c r="K23" s="25">
        <f>SUM(K19:K22)</f>
      </c>
      <c r="L23" s="25">
        <f>SUM(L19:L22)</f>
      </c>
      <c r="M23" s="25">
        <f>SUM(M19:M22)</f>
      </c>
      <c r="N23" s="25">
        <f>SUM(N19:N22)</f>
      </c>
      <c r="O23" s="25">
        <f>SUM(O19:O22)</f>
      </c>
      <c r="P23" s="25">
        <f>SUM(P19:P22)</f>
      </c>
      <c r="Q23" s="26">
        <f t="shared" si="33"/>
      </c>
      <c r="R23" s="26">
        <f t="shared" si="16"/>
      </c>
      <c r="S23" s="26">
        <f t="shared" si="34"/>
      </c>
      <c r="T23" s="25"/>
      <c r="U23" s="25">
        <f>SUM(U19:U22)</f>
      </c>
      <c r="V23" s="25"/>
      <c r="W23" s="25">
        <f>SUM(W19:W22)</f>
      </c>
    </row>
    <row hidden="true" r="24">
      <c r="A24" s="9">
        <v>46303</v>
      </c>
      <c r="B24" s="27" t="s">
        <v>29</v>
      </c>
      <c r="C24" s="11" t="s">
        <v>39</v>
      </c>
      <c r="D24" s="12">
        <v>5</v>
      </c>
      <c r="E24" s="13">
        <v>6824.1</v>
      </c>
      <c r="F24" s="12">
        <v>10</v>
      </c>
      <c r="G24" s="14">
        <v>8</v>
      </c>
      <c r="H24" s="14">
        <v>14815.2</v>
      </c>
      <c r="I24" s="13">
        <v>0</v>
      </c>
      <c r="J24" s="13">
        <v>0</v>
      </c>
      <c r="K24" s="30">
        <f t="shared" ref="K24:K27" si="21">G24+I24</f>
      </c>
      <c r="L24" s="16">
        <v>5</v>
      </c>
      <c r="M24" s="17">
        <v>8</v>
      </c>
      <c r="N24" s="14">
        <v>1</v>
      </c>
      <c r="O24" s="14">
        <v>4</v>
      </c>
      <c r="P24" s="30">
        <f t="shared" ref="P24:P27" si="4">J24+H24</f>
      </c>
      <c r="Q24" s="19">
        <f t="shared" si="33"/>
      </c>
      <c r="R24" s="20">
        <f t="shared" si="16"/>
      </c>
      <c r="S24" s="19">
        <f t="shared" si="34"/>
      </c>
      <c r="T24" s="27" t="s">
        <v>31</v>
      </c>
      <c r="U24" s="27">
        <v>8</v>
      </c>
      <c r="V24" s="10" t="s">
        <v>27</v>
      </c>
      <c r="W24" s="27">
        <v>8</v>
      </c>
    </row>
    <row hidden="true" r="25">
      <c r="A25" s="9">
        <v>46303</v>
      </c>
      <c r="B25" s="27" t="s">
        <v>24</v>
      </c>
      <c r="C25" s="40" t="s">
        <v>40</v>
      </c>
      <c r="D25" s="12">
        <v>4</v>
      </c>
      <c r="E25" s="13">
        <v>10964.26</v>
      </c>
      <c r="F25" s="33">
        <v>16</v>
      </c>
      <c r="G25" s="14">
        <v>13</v>
      </c>
      <c r="H25" s="14">
        <v>19385.600000000002</v>
      </c>
      <c r="I25" s="13">
        <v>1</v>
      </c>
      <c r="J25" s="13">
        <v>300</v>
      </c>
      <c r="K25" s="30">
        <f t="shared" si="21"/>
      </c>
      <c r="L25" s="16">
        <v>14</v>
      </c>
      <c r="M25" s="17">
        <v>15</v>
      </c>
      <c r="N25" s="14">
        <v>2</v>
      </c>
      <c r="O25" s="14">
        <v>8</v>
      </c>
      <c r="P25" s="30">
        <f t="shared" si="4"/>
      </c>
      <c r="Q25" s="19">
        <f t="shared" si="33"/>
      </c>
      <c r="R25" s="20">
        <f t="shared" si="16"/>
      </c>
      <c r="S25" s="19">
        <f t="shared" si="34"/>
      </c>
      <c r="T25" s="27"/>
      <c r="U25" s="27"/>
      <c r="V25" s="34"/>
      <c r="W25" s="34"/>
    </row>
    <row hidden="true" r="26">
      <c r="A26" s="9">
        <v>46303</v>
      </c>
      <c r="B26" s="27" t="s">
        <v>38</v>
      </c>
      <c r="C26" s="40" t="s">
        <v>41</v>
      </c>
      <c r="D26" s="12">
        <v>3</v>
      </c>
      <c r="E26" s="13">
        <v>5217.8099999999995</v>
      </c>
      <c r="F26" s="35">
        <v>6</v>
      </c>
      <c r="G26" s="14">
        <v>2</v>
      </c>
      <c r="H26" s="14">
        <v>6594</v>
      </c>
      <c r="I26" s="13">
        <v>2</v>
      </c>
      <c r="J26" s="13">
        <v>897.5999999999999</v>
      </c>
      <c r="K26" s="30">
        <f t="shared" si="21"/>
      </c>
      <c r="L26" s="16">
        <v>2</v>
      </c>
      <c r="M26" s="17">
        <v>3</v>
      </c>
      <c r="N26" s="14">
        <v>1</v>
      </c>
      <c r="O26" s="14">
        <v>2</v>
      </c>
      <c r="P26" s="30">
        <f t="shared" si="4"/>
      </c>
      <c r="Q26" s="19">
        <f t="shared" si="33"/>
      </c>
      <c r="R26" s="20">
        <f t="shared" si="16"/>
      </c>
      <c r="S26" s="19">
        <f t="shared" si="34"/>
      </c>
      <c r="T26" s="10" t="s">
        <v>42</v>
      </c>
      <c r="U26" s="27">
        <v>8</v>
      </c>
      <c r="V26" s="10" t="s">
        <v>36</v>
      </c>
      <c r="W26" s="27">
        <v>8</v>
      </c>
    </row>
    <row hidden="true" r="27">
      <c r="A27" s="9">
        <v>46303</v>
      </c>
      <c r="B27" s="27" t="s">
        <v>34</v>
      </c>
      <c r="C27" s="31" t="s">
        <v>37</v>
      </c>
      <c r="D27" s="12">
        <v>4</v>
      </c>
      <c r="E27" s="13">
        <v>6114.33</v>
      </c>
      <c r="F27" s="36">
        <v>11</v>
      </c>
      <c r="G27" s="14">
        <v>5</v>
      </c>
      <c r="H27" s="14">
        <v>5358.399999999994</v>
      </c>
      <c r="I27" s="13">
        <v>3</v>
      </c>
      <c r="J27" s="13">
        <v>1348</v>
      </c>
      <c r="K27" s="30">
        <f t="shared" si="21"/>
      </c>
      <c r="L27" s="16">
        <v>6</v>
      </c>
      <c r="M27" s="17">
        <v>10</v>
      </c>
      <c r="N27" s="14">
        <v>1</v>
      </c>
      <c r="O27" s="14">
        <v>1</v>
      </c>
      <c r="P27" s="30">
        <f t="shared" si="4"/>
      </c>
      <c r="Q27" s="19">
        <f t="shared" si="33"/>
      </c>
      <c r="R27" s="20">
        <f t="shared" si="16"/>
      </c>
      <c r="S27" s="19">
        <f t="shared" si="34"/>
      </c>
      <c r="T27" s="27"/>
      <c r="U27" s="27"/>
      <c r="V27" s="27"/>
      <c r="W27" s="27"/>
    </row>
    <row hidden="true" r="28">
      <c r="A28" s="37">
        <v>46303</v>
      </c>
      <c r="B28" s="38" t="s">
        <v>28</v>
      </c>
      <c r="C28" s="39"/>
      <c r="D28" s="25">
        <f>SUM(D24:D27)</f>
      </c>
      <c r="E28" s="25">
        <f>SUM(E24:E27)</f>
      </c>
      <c r="F28" s="25">
        <f>SUM(F24:F27)</f>
      </c>
      <c r="G28" s="25">
        <f>SUM(G24:G27)</f>
      </c>
      <c r="H28" s="25">
        <f>SUM(H24:H27)</f>
      </c>
      <c r="I28" s="25">
        <f>SUM(I24:I27)</f>
      </c>
      <c r="J28" s="25">
        <f>SUM(J24:J27)</f>
      </c>
      <c r="K28" s="25">
        <f>SUM(K24:K27)</f>
      </c>
      <c r="L28" s="25">
        <f>SUM(L24:L27)</f>
      </c>
      <c r="M28" s="25">
        <f>SUM(M24:M27)</f>
      </c>
      <c r="N28" s="25">
        <f>SUM(N24:N27)</f>
      </c>
      <c r="O28" s="25">
        <f>SUM(O24:O27)</f>
      </c>
      <c r="P28" s="25">
        <f>SUM(P24:P27)</f>
      </c>
      <c r="Q28" s="26">
        <f t="shared" si="33"/>
      </c>
      <c r="R28" s="26">
        <f t="shared" si="16"/>
      </c>
      <c r="S28" s="26">
        <f t="shared" si="34"/>
      </c>
      <c r="T28" s="25"/>
      <c r="U28" s="25">
        <f>SUM(U24:U27)</f>
      </c>
      <c r="V28" s="25"/>
      <c r="W28" s="25">
        <f>SUM(W24:W27)</f>
      </c>
    </row>
    <row hidden="true" r="29">
      <c r="A29" s="9">
        <v>46304</v>
      </c>
      <c r="B29" s="27" t="s">
        <v>29</v>
      </c>
      <c r="C29" s="11" t="s">
        <v>39</v>
      </c>
      <c r="D29" s="12">
        <v>5</v>
      </c>
      <c r="E29" s="13">
        <v>10971.849999999999</v>
      </c>
      <c r="F29" s="12">
        <v>14</v>
      </c>
      <c r="G29" s="14">
        <v>13</v>
      </c>
      <c r="H29" s="14">
        <v>20519.6</v>
      </c>
      <c r="I29" s="13">
        <v>0</v>
      </c>
      <c r="J29" s="13">
        <v>0</v>
      </c>
      <c r="K29" s="30">
        <f t="shared" ref="K29:K31" si="22">G29+I29</f>
      </c>
      <c r="L29" s="16">
        <v>12</v>
      </c>
      <c r="M29" s="17">
        <v>13</v>
      </c>
      <c r="N29" s="14">
        <v>0</v>
      </c>
      <c r="O29" s="14">
        <v>9</v>
      </c>
      <c r="P29" s="30">
        <f t="shared" ref="P29:P32" si="5">J29+H29</f>
      </c>
      <c r="Q29" s="19">
        <f t="shared" si="33"/>
      </c>
      <c r="R29" s="20">
        <f t="shared" si="16"/>
      </c>
      <c r="S29" s="19">
        <f t="shared" si="34"/>
      </c>
      <c r="T29" s="27" t="s">
        <v>31</v>
      </c>
      <c r="U29" s="27">
        <v>8</v>
      </c>
      <c r="V29" s="10" t="s">
        <v>27</v>
      </c>
      <c r="W29" s="27">
        <v>8</v>
      </c>
    </row>
    <row hidden="true" r="30">
      <c r="A30" s="9">
        <v>46304</v>
      </c>
      <c r="B30" s="27" t="s">
        <v>38</v>
      </c>
      <c r="C30" s="40" t="s">
        <v>40</v>
      </c>
      <c r="D30" s="12">
        <v>4</v>
      </c>
      <c r="E30" s="13">
        <v>7814.4</v>
      </c>
      <c r="F30" s="33">
        <v>7</v>
      </c>
      <c r="G30" s="14">
        <v>6</v>
      </c>
      <c r="H30" s="14">
        <v>9065.8</v>
      </c>
      <c r="I30" s="13">
        <v>1</v>
      </c>
      <c r="J30" s="13">
        <v>504</v>
      </c>
      <c r="K30" s="30">
        <f t="shared" si="22"/>
      </c>
      <c r="L30" s="16">
        <v>7</v>
      </c>
      <c r="M30" s="17">
        <v>8</v>
      </c>
      <c r="N30" s="14">
        <v>0</v>
      </c>
      <c r="O30" s="14">
        <v>2</v>
      </c>
      <c r="P30" s="30">
        <f t="shared" si="5"/>
      </c>
      <c r="Q30" s="19">
        <f t="shared" si="33"/>
      </c>
      <c r="R30" s="20">
        <f t="shared" si="16"/>
      </c>
      <c r="S30" s="19">
        <f t="shared" si="34"/>
      </c>
      <c r="T30" s="27"/>
      <c r="U30" s="27"/>
      <c r="V30" s="34"/>
      <c r="W30" s="34"/>
    </row>
    <row hidden="true" r="31">
      <c r="A31" s="9">
        <v>46304</v>
      </c>
      <c r="B31" s="27" t="s">
        <v>34</v>
      </c>
      <c r="C31" s="40" t="s">
        <v>41</v>
      </c>
      <c r="D31" s="12">
        <v>3</v>
      </c>
      <c r="E31" s="13">
        <v>5277.299999999999</v>
      </c>
      <c r="F31" s="35">
        <v>5</v>
      </c>
      <c r="G31" s="14">
        <v>3</v>
      </c>
      <c r="H31" s="14">
        <v>5104.799999999999</v>
      </c>
      <c r="I31" s="13">
        <v>0</v>
      </c>
      <c r="J31" s="13">
        <v>0</v>
      </c>
      <c r="K31" s="30">
        <f t="shared" si="22"/>
      </c>
      <c r="L31" s="16">
        <v>3</v>
      </c>
      <c r="M31" s="17">
        <v>5</v>
      </c>
      <c r="N31" s="14">
        <v>0</v>
      </c>
      <c r="O31" s="14">
        <v>2</v>
      </c>
      <c r="P31" s="30">
        <f t="shared" si="5"/>
      </c>
      <c r="Q31" s="19">
        <f t="shared" si="33"/>
      </c>
      <c r="R31" s="20">
        <f t="shared" si="16"/>
      </c>
      <c r="S31" s="19">
        <f t="shared" si="34"/>
      </c>
      <c r="T31" s="10" t="s">
        <v>42</v>
      </c>
      <c r="U31" s="27">
        <v>8</v>
      </c>
      <c r="V31" s="10" t="s">
        <v>36</v>
      </c>
      <c r="W31" s="27">
        <v>8</v>
      </c>
    </row>
    <row hidden="true" r="32">
      <c r="A32" s="9">
        <v>46304</v>
      </c>
      <c r="B32" s="27" t="s">
        <v>32</v>
      </c>
      <c r="C32" s="31" t="s">
        <v>37</v>
      </c>
      <c r="D32" s="12">
        <v>4</v>
      </c>
      <c r="E32" s="13">
        <v>7721.38</v>
      </c>
      <c r="F32" s="36">
        <v>9</v>
      </c>
      <c r="G32" s="14">
        <v>8</v>
      </c>
      <c r="H32" s="14">
        <v>16985.800000000003</v>
      </c>
      <c r="I32" s="13">
        <v>0</v>
      </c>
      <c r="J32" s="13">
        <v>0</v>
      </c>
      <c r="K32" s="30">
        <v>8</v>
      </c>
      <c r="L32" s="16">
        <v>5</v>
      </c>
      <c r="M32" s="17">
        <v>6</v>
      </c>
      <c r="N32" s="14">
        <v>2</v>
      </c>
      <c r="O32" s="14">
        <v>6</v>
      </c>
      <c r="P32" s="30">
        <f t="shared" si="5"/>
      </c>
      <c r="Q32" s="19">
        <f t="shared" si="33"/>
      </c>
      <c r="R32" s="20">
        <f t="shared" si="16"/>
      </c>
      <c r="S32" s="19">
        <f t="shared" si="34"/>
      </c>
      <c r="T32" s="27"/>
      <c r="U32" s="27"/>
      <c r="V32" s="27"/>
      <c r="W32" s="27"/>
    </row>
    <row hidden="true" r="33">
      <c r="A33" s="37">
        <v>46304</v>
      </c>
      <c r="B33" s="38" t="s">
        <v>28</v>
      </c>
      <c r="C33" s="39"/>
      <c r="D33" s="25">
        <f>SUM(D29:D32)</f>
      </c>
      <c r="E33" s="25">
        <f>SUM(E29:E32)</f>
      </c>
      <c r="F33" s="25">
        <f>SUM(F29:F32)</f>
      </c>
      <c r="G33" s="25">
        <f>SUM(G29:G32)</f>
      </c>
      <c r="H33" s="25">
        <f>SUM(H29:H32)</f>
      </c>
      <c r="I33" s="25">
        <f>SUM(I29:I32)</f>
      </c>
      <c r="J33" s="25">
        <f>SUM(J29:J32)</f>
      </c>
      <c r="K33" s="25">
        <f>SUM(K29:K32)</f>
      </c>
      <c r="L33" s="25">
        <f>SUM(L29:L32)</f>
      </c>
      <c r="M33" s="25">
        <f>SUM(M29:M32)</f>
      </c>
      <c r="N33" s="25">
        <f>SUM(N29:N32)</f>
      </c>
      <c r="O33" s="25">
        <f>SUM(O29:O32)</f>
      </c>
      <c r="P33" s="25">
        <f>SUM(P29:P32)</f>
      </c>
      <c r="Q33" s="26">
        <f t="shared" si="33"/>
      </c>
      <c r="R33" s="26">
        <f t="shared" si="16"/>
      </c>
      <c r="S33" s="26">
        <f t="shared" si="34"/>
      </c>
      <c r="T33" s="25"/>
      <c r="U33" s="25">
        <f>SUM(U29:U32)</f>
      </c>
      <c r="V33" s="25"/>
      <c r="W33" s="25">
        <f>SUM(W29:W32)</f>
      </c>
    </row>
    <row hidden="true" r="34">
      <c r="A34" s="9">
        <v>46305</v>
      </c>
      <c r="B34" s="27" t="s">
        <v>29</v>
      </c>
      <c r="C34" s="11" t="s">
        <v>39</v>
      </c>
      <c r="D34" s="12">
        <v>5</v>
      </c>
      <c r="E34" s="13">
        <v>12857.470000000001</v>
      </c>
      <c r="F34" s="12">
        <v>17</v>
      </c>
      <c r="G34" s="14">
        <v>15</v>
      </c>
      <c r="H34" s="14">
        <v>32737.6</v>
      </c>
      <c r="I34" s="13">
        <v>0</v>
      </c>
      <c r="J34" s="13">
        <v>0</v>
      </c>
      <c r="K34" s="30">
        <f t="shared" ref="K34:K37" si="23">G34+I34</f>
      </c>
      <c r="L34" s="16">
        <v>12</v>
      </c>
      <c r="M34" s="17">
        <v>15</v>
      </c>
      <c r="N34" s="14">
        <v>2</v>
      </c>
      <c r="O34" s="14">
        <v>11</v>
      </c>
      <c r="P34" s="30">
        <f t="shared" ref="P34:P37" si="6">J34+H34</f>
      </c>
      <c r="Q34" s="19">
        <f t="shared" si="33"/>
      </c>
      <c r="R34" s="20">
        <f t="shared" si="16"/>
      </c>
      <c r="S34" s="19">
        <f t="shared" si="34"/>
      </c>
      <c r="T34" s="27" t="s">
        <v>31</v>
      </c>
      <c r="U34" s="27">
        <v>8</v>
      </c>
      <c r="V34" s="10" t="s">
        <v>27</v>
      </c>
      <c r="W34" s="27">
        <v>8</v>
      </c>
    </row>
    <row hidden="true" r="35">
      <c r="A35" s="9">
        <v>46305</v>
      </c>
      <c r="B35" s="27" t="s">
        <v>32</v>
      </c>
      <c r="C35" s="40" t="s">
        <v>40</v>
      </c>
      <c r="D35" s="12">
        <v>4</v>
      </c>
      <c r="E35" s="13">
        <v>13233.14</v>
      </c>
      <c r="F35" s="33">
        <v>15</v>
      </c>
      <c r="G35" s="14">
        <v>14</v>
      </c>
      <c r="H35" s="14">
        <v>12943.2</v>
      </c>
      <c r="I35" s="13">
        <v>1</v>
      </c>
      <c r="J35" s="13">
        <v>2974</v>
      </c>
      <c r="K35" s="30">
        <f t="shared" si="23"/>
      </c>
      <c r="L35" s="16">
        <v>10</v>
      </c>
      <c r="M35" s="17">
        <v>10</v>
      </c>
      <c r="N35" s="14">
        <v>2</v>
      </c>
      <c r="O35" s="14">
        <v>5</v>
      </c>
      <c r="P35" s="30">
        <f t="shared" si="6"/>
      </c>
      <c r="Q35" s="19">
        <f t="shared" si="33"/>
      </c>
      <c r="R35" s="20">
        <f t="shared" si="16"/>
      </c>
      <c r="S35" s="19">
        <f t="shared" si="34"/>
      </c>
      <c r="T35" s="27"/>
      <c r="U35" s="27"/>
      <c r="V35" s="34"/>
      <c r="W35" s="34"/>
    </row>
    <row hidden="true" r="36">
      <c r="A36" s="9">
        <v>46305</v>
      </c>
      <c r="B36" s="27" t="s">
        <v>38</v>
      </c>
      <c r="C36" s="40" t="s">
        <v>41</v>
      </c>
      <c r="D36" s="12">
        <v>3</v>
      </c>
      <c r="E36" s="13">
        <v>8031.4</v>
      </c>
      <c r="F36" s="35">
        <v>7</v>
      </c>
      <c r="G36" s="14">
        <v>7</v>
      </c>
      <c r="H36" s="14">
        <v>12048.6</v>
      </c>
      <c r="I36" s="13">
        <v>0</v>
      </c>
      <c r="J36" s="13">
        <v>0</v>
      </c>
      <c r="K36" s="30">
        <f t="shared" si="23"/>
      </c>
      <c r="L36" s="16">
        <v>5</v>
      </c>
      <c r="M36" s="17">
        <v>5</v>
      </c>
      <c r="N36" s="14">
        <v>1</v>
      </c>
      <c r="O36" s="14">
        <v>4</v>
      </c>
      <c r="P36" s="30">
        <f t="shared" si="6"/>
      </c>
      <c r="Q36" s="19">
        <f t="shared" si="33"/>
      </c>
      <c r="R36" s="20">
        <f t="shared" si="16"/>
      </c>
      <c r="S36" s="19">
        <f t="shared" si="34"/>
      </c>
      <c r="T36" s="10" t="s">
        <v>26</v>
      </c>
      <c r="U36" s="10">
        <v>8</v>
      </c>
      <c r="V36" s="10" t="s">
        <v>36</v>
      </c>
      <c r="W36" s="10">
        <v>8</v>
      </c>
    </row>
    <row hidden="true" r="37">
      <c r="A37" s="9">
        <v>46305</v>
      </c>
      <c r="B37" s="27" t="s">
        <v>24</v>
      </c>
      <c r="C37" s="40" t="s">
        <v>43</v>
      </c>
      <c r="D37" s="12">
        <v>4</v>
      </c>
      <c r="E37" s="13">
        <v>9099.69</v>
      </c>
      <c r="F37" s="36">
        <v>8</v>
      </c>
      <c r="G37" s="14">
        <v>7</v>
      </c>
      <c r="H37" s="14">
        <v>11841.6</v>
      </c>
      <c r="I37" s="13">
        <v>0</v>
      </c>
      <c r="J37" s="13">
        <v>0</v>
      </c>
      <c r="K37" s="30">
        <f t="shared" si="23"/>
      </c>
      <c r="L37" s="16">
        <v>4</v>
      </c>
      <c r="M37" s="17">
        <v>5</v>
      </c>
      <c r="N37" s="14">
        <v>1</v>
      </c>
      <c r="O37" s="14">
        <v>5</v>
      </c>
      <c r="P37" s="30">
        <f t="shared" si="6"/>
      </c>
      <c r="Q37" s="19">
        <f t="shared" si="33"/>
      </c>
      <c r="R37" s="20">
        <f t="shared" si="16"/>
      </c>
      <c r="S37" s="19">
        <f t="shared" si="34"/>
      </c>
      <c r="T37" s="27"/>
      <c r="U37" s="27"/>
      <c r="V37" s="27"/>
      <c r="W37" s="27"/>
    </row>
    <row hidden="true" r="38">
      <c r="A38" s="37">
        <v>46305</v>
      </c>
      <c r="B38" s="38" t="s">
        <v>28</v>
      </c>
      <c r="C38" s="39"/>
      <c r="D38" s="25">
        <f>SUM(D34:D37)</f>
      </c>
      <c r="E38" s="25">
        <f>SUM(E34:E37)</f>
      </c>
      <c r="F38" s="25">
        <f>SUM(F34:F37)</f>
      </c>
      <c r="G38" s="25">
        <f>SUM(G34:G37)</f>
      </c>
      <c r="H38" s="25">
        <f>SUM(H34:H37)</f>
      </c>
      <c r="I38" s="25">
        <f>SUM(I34:I37)</f>
      </c>
      <c r="J38" s="25">
        <f>SUM(J34:J37)</f>
      </c>
      <c r="K38" s="25">
        <f>SUM(K34:K37)</f>
      </c>
      <c r="L38" s="25">
        <f>SUM(L34:L37)</f>
      </c>
      <c r="M38" s="25">
        <f>SUM(M34:M37)</f>
      </c>
      <c r="N38" s="25">
        <f>SUM(N34:N37)</f>
      </c>
      <c r="O38" s="25">
        <f>SUM(O34:O37)</f>
      </c>
      <c r="P38" s="25">
        <f>SUM(P34:P37)</f>
      </c>
      <c r="Q38" s="26">
        <f t="shared" si="33"/>
      </c>
      <c r="R38" s="26">
        <f t="shared" si="16"/>
      </c>
      <c r="S38" s="26">
        <f t="shared" si="34"/>
      </c>
      <c r="T38" s="25"/>
      <c r="U38" s="25">
        <f>SUM(U34:U37)</f>
      </c>
      <c r="V38" s="25"/>
      <c r="W38" s="25">
        <f>SUM(W34:W37)</f>
      </c>
    </row>
    <row hidden="true" r="39">
      <c r="A39" s="9">
        <v>46306</v>
      </c>
      <c r="B39" s="27" t="s">
        <v>32</v>
      </c>
      <c r="C39" s="11" t="s">
        <v>30</v>
      </c>
      <c r="D39" s="12">
        <v>4</v>
      </c>
      <c r="E39" s="13">
        <v>11267.39</v>
      </c>
      <c r="F39" s="12">
        <v>22</v>
      </c>
      <c r="G39" s="14">
        <v>18</v>
      </c>
      <c r="H39" s="14">
        <v>28020</v>
      </c>
      <c r="I39" s="13">
        <v>1</v>
      </c>
      <c r="J39" s="13">
        <v>240</v>
      </c>
      <c r="K39" s="30">
        <f t="shared" ref="K39:K42" si="24">G39+I39</f>
      </c>
      <c r="L39" s="16">
        <v>12</v>
      </c>
      <c r="M39" s="17">
        <v>14</v>
      </c>
      <c r="N39" s="14">
        <v>3</v>
      </c>
      <c r="O39" s="14">
        <v>7</v>
      </c>
      <c r="P39" s="30">
        <f t="shared" ref="P39:P42" si="7">J39+H39</f>
      </c>
      <c r="Q39" s="19">
        <f t="shared" si="33"/>
      </c>
      <c r="R39" s="20">
        <f t="shared" si="16"/>
      </c>
      <c r="S39" s="19">
        <f t="shared" si="34"/>
      </c>
      <c r="T39" s="10" t="s">
        <v>44</v>
      </c>
      <c r="U39" s="27">
        <v>8</v>
      </c>
      <c r="V39" s="10" t="s">
        <v>27</v>
      </c>
      <c r="W39" s="27">
        <v>8</v>
      </c>
    </row>
    <row hidden="true" r="40">
      <c r="A40" s="9">
        <v>46306</v>
      </c>
      <c r="B40" s="27" t="s">
        <v>24</v>
      </c>
      <c r="C40" s="40" t="s">
        <v>33</v>
      </c>
      <c r="D40" s="12">
        <v>4</v>
      </c>
      <c r="E40" s="13">
        <v>15451.4</v>
      </c>
      <c r="F40" s="33">
        <v>15</v>
      </c>
      <c r="G40" s="14">
        <v>11</v>
      </c>
      <c r="H40" s="14">
        <v>14454.4</v>
      </c>
      <c r="I40" s="13">
        <v>2</v>
      </c>
      <c r="J40" s="13">
        <v>540</v>
      </c>
      <c r="K40" s="30">
        <f t="shared" si="24"/>
      </c>
      <c r="L40" s="16">
        <v>9</v>
      </c>
      <c r="M40" s="17">
        <v>10</v>
      </c>
      <c r="N40" s="14">
        <v>1</v>
      </c>
      <c r="O40" s="14">
        <v>4</v>
      </c>
      <c r="P40" s="30">
        <f t="shared" si="7"/>
      </c>
      <c r="Q40" s="19">
        <f t="shared" si="33"/>
      </c>
      <c r="R40" s="20">
        <f t="shared" si="16"/>
      </c>
      <c r="S40" s="19">
        <f t="shared" si="34"/>
      </c>
      <c r="T40" s="27"/>
      <c r="U40" s="27"/>
      <c r="V40" s="34"/>
      <c r="W40" s="34"/>
    </row>
    <row hidden="true" r="41">
      <c r="A41" s="9">
        <v>46306</v>
      </c>
      <c r="B41" s="27" t="s">
        <v>38</v>
      </c>
      <c r="C41" s="40" t="s">
        <v>35</v>
      </c>
      <c r="D41" s="12">
        <v>4</v>
      </c>
      <c r="E41" s="13">
        <v>8260.27</v>
      </c>
      <c r="F41" s="35">
        <v>12</v>
      </c>
      <c r="G41" s="14">
        <v>9</v>
      </c>
      <c r="H41" s="14">
        <v>14743</v>
      </c>
      <c r="I41" s="13">
        <v>2</v>
      </c>
      <c r="J41" s="13">
        <v>821</v>
      </c>
      <c r="K41" s="30">
        <f t="shared" si="24"/>
      </c>
      <c r="L41" s="16">
        <v>7</v>
      </c>
      <c r="M41" s="17">
        <v>8</v>
      </c>
      <c r="N41" s="14">
        <v>2</v>
      </c>
      <c r="O41" s="14">
        <v>2</v>
      </c>
      <c r="P41" s="30">
        <f t="shared" si="7"/>
      </c>
      <c r="Q41" s="19">
        <f t="shared" si="33"/>
      </c>
      <c r="R41" s="20">
        <f t="shared" si="16"/>
      </c>
      <c r="S41" s="19">
        <f t="shared" si="34"/>
      </c>
      <c r="T41" s="10" t="s">
        <v>26</v>
      </c>
      <c r="U41" s="10">
        <v>8</v>
      </c>
      <c r="V41" s="10" t="s">
        <v>36</v>
      </c>
      <c r="W41" s="10">
        <v>8</v>
      </c>
    </row>
    <row hidden="true" r="42">
      <c r="A42" s="9">
        <v>46306</v>
      </c>
      <c r="B42" s="27" t="s">
        <v>34</v>
      </c>
      <c r="C42" s="40" t="s">
        <v>37</v>
      </c>
      <c r="D42" s="12">
        <v>4</v>
      </c>
      <c r="E42" s="13">
        <v>7228.84</v>
      </c>
      <c r="F42" s="36">
        <v>3</v>
      </c>
      <c r="G42" s="14">
        <v>2</v>
      </c>
      <c r="H42" s="14">
        <v>1305.6</v>
      </c>
      <c r="I42" s="13">
        <v>0</v>
      </c>
      <c r="J42" s="13">
        <v>0</v>
      </c>
      <c r="K42" s="30">
        <f t="shared" si="24"/>
      </c>
      <c r="L42" s="16">
        <v>2</v>
      </c>
      <c r="M42" s="17">
        <v>3</v>
      </c>
      <c r="N42" s="14">
        <v>0</v>
      </c>
      <c r="O42" s="14">
        <v>0</v>
      </c>
      <c r="P42" s="30">
        <f t="shared" si="7"/>
      </c>
      <c r="Q42" s="19">
        <f t="shared" si="33"/>
      </c>
      <c r="R42" s="20">
        <f t="shared" si="16"/>
      </c>
      <c r="S42" s="19">
        <f t="shared" si="34"/>
      </c>
      <c r="T42" s="27"/>
      <c r="U42" s="27"/>
      <c r="V42" s="27"/>
      <c r="W42" s="27"/>
    </row>
    <row hidden="true" r="43">
      <c r="A43" s="37">
        <v>46306</v>
      </c>
      <c r="B43" s="38" t="s">
        <v>28</v>
      </c>
      <c r="C43" s="39"/>
      <c r="D43" s="25">
        <f>SUM(D39:D42)</f>
      </c>
      <c r="E43" s="25">
        <f>SUM(E39:E42)</f>
      </c>
      <c r="F43" s="25">
        <f>SUM(F39:F42)</f>
      </c>
      <c r="G43" s="25">
        <f>SUM(G39:G42)</f>
      </c>
      <c r="H43" s="25">
        <f>SUM(H39:H42)</f>
      </c>
      <c r="I43" s="25">
        <f>SUM(I39:I42)</f>
      </c>
      <c r="J43" s="25">
        <f>SUM(J39:J42)</f>
      </c>
      <c r="K43" s="25">
        <f>SUM(K39:K42)</f>
      </c>
      <c r="L43" s="25">
        <f>SUM(L39:L42)</f>
      </c>
      <c r="M43" s="25">
        <f>SUM(M39:M42)</f>
      </c>
      <c r="N43" s="25">
        <f>SUM(N39:N42)</f>
      </c>
      <c r="O43" s="25">
        <f>SUM(O39:O42)</f>
      </c>
      <c r="P43" s="25">
        <f>SUM(P39:P42)</f>
      </c>
      <c r="Q43" s="26">
        <f t="shared" si="33"/>
      </c>
      <c r="R43" s="26">
        <f t="shared" si="16"/>
      </c>
      <c r="S43" s="26">
        <f t="shared" si="34"/>
      </c>
      <c r="T43" s="25"/>
      <c r="U43" s="25">
        <f>SUM(U39:U42)</f>
      </c>
      <c r="V43" s="25"/>
      <c r="W43" s="25">
        <f>SUM(W39:W42)</f>
      </c>
    </row>
    <row hidden="true" r="44">
      <c r="A44" s="9">
        <v>46307</v>
      </c>
      <c r="B44" s="27" t="s">
        <v>32</v>
      </c>
      <c r="C44" s="11" t="s">
        <v>30</v>
      </c>
      <c r="D44" s="12">
        <v>4</v>
      </c>
      <c r="E44" s="13">
        <v>7682.4400000000005</v>
      </c>
      <c r="F44" s="12">
        <v>7</v>
      </c>
      <c r="G44" s="14">
        <v>5</v>
      </c>
      <c r="H44" s="14">
        <v>9025.8</v>
      </c>
      <c r="I44" s="13">
        <v>0</v>
      </c>
      <c r="J44" s="13">
        <v>0</v>
      </c>
      <c r="K44" s="30">
        <f t="shared" ref="K44:K47" si="25">G44+I44</f>
      </c>
      <c r="L44" s="16">
        <v>4</v>
      </c>
      <c r="M44" s="17">
        <v>5</v>
      </c>
      <c r="N44" s="14">
        <v>0</v>
      </c>
      <c r="O44" s="14">
        <v>3</v>
      </c>
      <c r="P44" s="30">
        <f t="shared" ref="P44:P47" si="8">J44+H44</f>
      </c>
      <c r="Q44" s="19">
        <f t="shared" si="33"/>
      </c>
      <c r="R44" s="20">
        <f t="shared" si="16"/>
      </c>
      <c r="S44" s="19">
        <f t="shared" si="34"/>
      </c>
      <c r="T44" s="10" t="s">
        <v>31</v>
      </c>
      <c r="U44" s="27">
        <v>8</v>
      </c>
      <c r="V44" s="10" t="s">
        <v>27</v>
      </c>
      <c r="W44" s="27">
        <v>8</v>
      </c>
    </row>
    <row hidden="true" r="45">
      <c r="A45" s="9">
        <v>46307</v>
      </c>
      <c r="B45" s="27" t="s">
        <v>29</v>
      </c>
      <c r="C45" s="40" t="s">
        <v>33</v>
      </c>
      <c r="D45" s="12">
        <v>4</v>
      </c>
      <c r="E45" s="13">
        <v>6948.01</v>
      </c>
      <c r="F45" s="33">
        <v>10</v>
      </c>
      <c r="G45" s="14">
        <v>7</v>
      </c>
      <c r="H45" s="14">
        <v>7774</v>
      </c>
      <c r="I45" s="13">
        <v>1</v>
      </c>
      <c r="J45" s="13">
        <v>205</v>
      </c>
      <c r="K45" s="30">
        <f t="shared" si="25"/>
      </c>
      <c r="L45" s="16">
        <v>4</v>
      </c>
      <c r="M45" s="17">
        <v>6</v>
      </c>
      <c r="N45" s="14">
        <v>1</v>
      </c>
      <c r="O45" s="14">
        <v>3</v>
      </c>
      <c r="P45" s="30">
        <f t="shared" si="8"/>
      </c>
      <c r="Q45" s="19">
        <f t="shared" si="33"/>
      </c>
      <c r="R45" s="20">
        <f t="shared" si="16"/>
      </c>
      <c r="S45" s="19">
        <f t="shared" si="34"/>
      </c>
      <c r="T45" s="27"/>
      <c r="U45" s="27"/>
      <c r="V45" s="34"/>
      <c r="W45" s="34"/>
    </row>
    <row hidden="true" r="46">
      <c r="A46" s="9">
        <v>46307</v>
      </c>
      <c r="B46" s="27" t="s">
        <v>34</v>
      </c>
      <c r="C46" s="40" t="s">
        <v>35</v>
      </c>
      <c r="D46" s="12">
        <v>4</v>
      </c>
      <c r="E46" s="13">
        <v>8152.83</v>
      </c>
      <c r="F46" s="35">
        <v>10</v>
      </c>
      <c r="G46" s="14">
        <v>9</v>
      </c>
      <c r="H46" s="14">
        <v>17242.8</v>
      </c>
      <c r="I46" s="13">
        <v>1</v>
      </c>
      <c r="J46" s="13">
        <v>279</v>
      </c>
      <c r="K46" s="30">
        <f t="shared" si="25"/>
      </c>
      <c r="L46" s="16">
        <v>10</v>
      </c>
      <c r="M46" s="17">
        <v>10</v>
      </c>
      <c r="N46" s="14">
        <v>0</v>
      </c>
      <c r="O46" s="14">
        <v>4</v>
      </c>
      <c r="P46" s="30">
        <f t="shared" si="8"/>
      </c>
      <c r="Q46" s="19">
        <f t="shared" si="33"/>
      </c>
      <c r="R46" s="20">
        <f t="shared" si="16"/>
      </c>
      <c r="S46" s="19">
        <f t="shared" si="34"/>
      </c>
      <c r="T46" s="10" t="s">
        <v>26</v>
      </c>
      <c r="U46" s="10">
        <v>8</v>
      </c>
      <c r="V46" s="10" t="s">
        <v>36</v>
      </c>
      <c r="W46" s="10">
        <v>8</v>
      </c>
    </row>
    <row hidden="true" r="47">
      <c r="A47" s="9">
        <v>46307</v>
      </c>
      <c r="B47" s="27" t="s">
        <v>24</v>
      </c>
      <c r="C47" s="40" t="s">
        <v>37</v>
      </c>
      <c r="D47" s="12">
        <v>4</v>
      </c>
      <c r="E47" s="13">
        <v>9103.72</v>
      </c>
      <c r="F47" s="36">
        <v>12</v>
      </c>
      <c r="G47" s="14">
        <v>6</v>
      </c>
      <c r="H47" s="14">
        <v>6741.8</v>
      </c>
      <c r="I47" s="13">
        <v>1</v>
      </c>
      <c r="J47" s="13">
        <v>504</v>
      </c>
      <c r="K47" s="30">
        <f t="shared" si="25"/>
      </c>
      <c r="L47" s="16">
        <v>7</v>
      </c>
      <c r="M47" s="17">
        <v>11</v>
      </c>
      <c r="N47" s="14">
        <v>0</v>
      </c>
      <c r="O47" s="14">
        <v>2</v>
      </c>
      <c r="P47" s="30">
        <f t="shared" si="8"/>
      </c>
      <c r="Q47" s="19">
        <f t="shared" si="33"/>
      </c>
      <c r="R47" s="20">
        <f t="shared" si="16"/>
      </c>
      <c r="S47" s="19">
        <f t="shared" si="34"/>
      </c>
      <c r="T47" s="27"/>
      <c r="U47" s="27"/>
      <c r="V47" s="27"/>
      <c r="W47" s="27"/>
    </row>
    <row hidden="true" r="48">
      <c r="A48" s="37">
        <v>46307</v>
      </c>
      <c r="B48" s="38" t="s">
        <v>28</v>
      </c>
      <c r="C48" s="39"/>
      <c r="D48" s="25">
        <f>SUM(D44:D47)</f>
      </c>
      <c r="E48" s="25">
        <f>SUM(E44:E47)</f>
      </c>
      <c r="F48" s="25">
        <f>SUM(F44:F47)</f>
      </c>
      <c r="G48" s="25">
        <f>SUM(G44:G47)</f>
      </c>
      <c r="H48" s="25">
        <f>SUM(H44:H47)</f>
      </c>
      <c r="I48" s="25">
        <f>SUM(I44:I47)</f>
      </c>
      <c r="J48" s="25">
        <f>SUM(J44:J47)</f>
      </c>
      <c r="K48" s="25">
        <f>SUM(K44:K47)</f>
      </c>
      <c r="L48" s="25">
        <f>SUM(L44:L47)</f>
      </c>
      <c r="M48" s="25">
        <f>SUM(M44:M47)</f>
      </c>
      <c r="N48" s="25">
        <f>SUM(N44:N47)</f>
      </c>
      <c r="O48" s="25">
        <f>SUM(O44:O47)</f>
      </c>
      <c r="P48" s="25">
        <f>SUM(P44:P47)</f>
      </c>
      <c r="Q48" s="26">
        <f t="shared" si="33"/>
      </c>
      <c r="R48" s="26">
        <f t="shared" si="16"/>
      </c>
      <c r="S48" s="26">
        <f t="shared" si="34"/>
      </c>
      <c r="T48" s="25"/>
      <c r="U48" s="25">
        <f>SUM(U44:U47)</f>
      </c>
      <c r="V48" s="25"/>
      <c r="W48" s="25">
        <f>SUM(W44:W47)</f>
      </c>
    </row>
    <row hidden="true" r="49">
      <c r="A49" s="9">
        <v>46308</v>
      </c>
      <c r="B49" s="27" t="s">
        <v>29</v>
      </c>
      <c r="C49" s="11" t="s">
        <v>39</v>
      </c>
      <c r="D49" s="12">
        <v>5</v>
      </c>
      <c r="E49" s="13">
        <v>9446.37</v>
      </c>
      <c r="F49" s="12">
        <v>14</v>
      </c>
      <c r="G49" s="14">
        <v>12</v>
      </c>
      <c r="H49" s="14">
        <v>20572.399999999998</v>
      </c>
      <c r="I49" s="13">
        <v>1</v>
      </c>
      <c r="J49" s="13">
        <v>2436</v>
      </c>
      <c r="K49" s="30">
        <f t="shared" ref="K49:K52" si="26">G49+I49</f>
      </c>
      <c r="L49" s="16">
        <v>9</v>
      </c>
      <c r="M49" s="17">
        <v>9</v>
      </c>
      <c r="N49" s="14">
        <v>3</v>
      </c>
      <c r="O49" s="14">
        <v>7</v>
      </c>
      <c r="P49" s="30">
        <f t="shared" ref="P49:P52" si="9">J49+H49</f>
      </c>
      <c r="Q49" s="19">
        <f t="shared" si="33"/>
      </c>
      <c r="R49" s="20">
        <f t="shared" si="16"/>
      </c>
      <c r="S49" s="19">
        <f t="shared" si="34"/>
      </c>
      <c r="T49" s="10" t="s">
        <v>31</v>
      </c>
      <c r="U49" s="27">
        <v>8</v>
      </c>
      <c r="V49" s="10" t="s">
        <v>27</v>
      </c>
      <c r="W49" s="27">
        <v>8</v>
      </c>
    </row>
    <row hidden="true" r="50">
      <c r="A50" s="9">
        <v>46308</v>
      </c>
      <c r="B50" s="27" t="s">
        <v>34</v>
      </c>
      <c r="C50" s="40" t="s">
        <v>45</v>
      </c>
      <c r="D50" s="12">
        <v>3</v>
      </c>
      <c r="E50" s="13">
        <v>8670.33</v>
      </c>
      <c r="F50" s="33">
        <v>5</v>
      </c>
      <c r="G50" s="14">
        <v>5</v>
      </c>
      <c r="H50" s="14">
        <v>8614.8</v>
      </c>
      <c r="I50" s="13">
        <v>0</v>
      </c>
      <c r="J50" s="13">
        <v>0</v>
      </c>
      <c r="K50" s="30">
        <f t="shared" si="26"/>
      </c>
      <c r="L50" s="16">
        <v>6</v>
      </c>
      <c r="M50" s="17">
        <v>5</v>
      </c>
      <c r="N50" s="14">
        <v>0</v>
      </c>
      <c r="O50" s="14">
        <v>3</v>
      </c>
      <c r="P50" s="30">
        <f t="shared" si="9"/>
      </c>
      <c r="Q50" s="19">
        <f t="shared" si="33"/>
      </c>
      <c r="R50" s="20">
        <f t="shared" si="16"/>
      </c>
      <c r="S50" s="19">
        <f t="shared" si="34"/>
      </c>
      <c r="T50" s="27"/>
      <c r="U50" s="27"/>
      <c r="V50" s="34"/>
      <c r="W50" s="34"/>
    </row>
    <row hidden="true" r="51">
      <c r="A51" s="9">
        <v>46308</v>
      </c>
      <c r="B51" s="27" t="s">
        <v>24</v>
      </c>
      <c r="C51" s="40" t="s">
        <v>35</v>
      </c>
      <c r="D51" s="12">
        <v>4</v>
      </c>
      <c r="E51" s="13">
        <v>10218.54</v>
      </c>
      <c r="F51" s="35">
        <v>17</v>
      </c>
      <c r="G51" s="14">
        <v>14</v>
      </c>
      <c r="H51" s="14">
        <v>21822.6</v>
      </c>
      <c r="I51" s="13">
        <v>0</v>
      </c>
      <c r="J51" s="13">
        <v>0</v>
      </c>
      <c r="K51" s="30">
        <f t="shared" si="26"/>
      </c>
      <c r="L51" s="16">
        <v>9</v>
      </c>
      <c r="M51" s="17">
        <v>12</v>
      </c>
      <c r="N51" s="14">
        <v>1</v>
      </c>
      <c r="O51" s="14">
        <v>7</v>
      </c>
      <c r="P51" s="30">
        <f t="shared" si="9"/>
      </c>
      <c r="Q51" s="19">
        <f t="shared" si="33"/>
      </c>
      <c r="R51" s="20">
        <f t="shared" si="16"/>
      </c>
      <c r="S51" s="19">
        <f t="shared" si="34"/>
      </c>
      <c r="T51" s="10" t="s">
        <v>26</v>
      </c>
      <c r="U51" s="10">
        <v>8</v>
      </c>
      <c r="V51" s="10" t="s">
        <v>36</v>
      </c>
      <c r="W51" s="10">
        <v>8</v>
      </c>
    </row>
    <row hidden="true" r="52">
      <c r="A52" s="9">
        <v>46308</v>
      </c>
      <c r="B52" s="27" t="s">
        <v>38</v>
      </c>
      <c r="C52" s="40" t="s">
        <v>37</v>
      </c>
      <c r="D52" s="12">
        <v>4</v>
      </c>
      <c r="E52" s="13">
        <v>7805.48</v>
      </c>
      <c r="F52" s="36">
        <v>4</v>
      </c>
      <c r="G52" s="14">
        <v>4</v>
      </c>
      <c r="H52" s="14">
        <v>3588</v>
      </c>
      <c r="I52" s="13">
        <v>0</v>
      </c>
      <c r="J52" s="13">
        <v>0</v>
      </c>
      <c r="K52" s="30">
        <f t="shared" si="26"/>
      </c>
      <c r="L52" s="16">
        <v>4</v>
      </c>
      <c r="M52" s="17">
        <v>3</v>
      </c>
      <c r="N52" s="14">
        <v>0</v>
      </c>
      <c r="O52" s="14">
        <v>1</v>
      </c>
      <c r="P52" s="30">
        <f t="shared" si="9"/>
      </c>
      <c r="Q52" s="19">
        <f t="shared" si="33"/>
      </c>
      <c r="R52" s="20">
        <f t="shared" si="16"/>
      </c>
      <c r="S52" s="19">
        <f t="shared" si="34"/>
      </c>
      <c r="T52" s="27"/>
      <c r="U52" s="27"/>
      <c r="V52" s="27"/>
      <c r="W52" s="27"/>
    </row>
    <row hidden="true" r="53">
      <c r="A53" s="37">
        <v>46308</v>
      </c>
      <c r="B53" s="38" t="s">
        <v>28</v>
      </c>
      <c r="C53" s="39"/>
      <c r="D53" s="25">
        <f>SUM(D49:D52)</f>
      </c>
      <c r="E53" s="25">
        <f>SUM(E49:E52)</f>
      </c>
      <c r="F53" s="25">
        <f>SUM(F49:F52)</f>
      </c>
      <c r="G53" s="25">
        <f>SUM(G49:G52)</f>
      </c>
      <c r="H53" s="25">
        <f>SUM(H49:H52)</f>
      </c>
      <c r="I53" s="25">
        <f>SUM(I49:I52)</f>
      </c>
      <c r="J53" s="25">
        <f>SUM(J49:J52)</f>
      </c>
      <c r="K53" s="25">
        <f>SUM(K49:K52)</f>
      </c>
      <c r="L53" s="25">
        <f>SUM(L49:L52)</f>
      </c>
      <c r="M53" s="25">
        <f>SUM(M49:M52)</f>
      </c>
      <c r="N53" s="25">
        <f>SUM(N49:N52)</f>
      </c>
      <c r="O53" s="25">
        <f>SUM(O49:O52)</f>
      </c>
      <c r="P53" s="25">
        <f>SUM(P49:P52)</f>
      </c>
      <c r="Q53" s="26">
        <f t="shared" si="33"/>
      </c>
      <c r="R53" s="26">
        <f t="shared" si="16"/>
      </c>
      <c r="S53" s="26">
        <f t="shared" si="34"/>
      </c>
      <c r="T53" s="25"/>
      <c r="U53" s="25">
        <f>SUM(U49:U52)</f>
      </c>
      <c r="V53" s="25"/>
      <c r="W53" s="25">
        <f>SUM(W49:W52)</f>
      </c>
    </row>
    <row hidden="true" r="54">
      <c r="A54" s="9">
        <v>46309</v>
      </c>
      <c r="B54" s="27" t="s">
        <v>29</v>
      </c>
      <c r="C54" s="11" t="s">
        <v>30</v>
      </c>
      <c r="D54" s="12">
        <v>4</v>
      </c>
      <c r="E54" s="13">
        <v>10636.3</v>
      </c>
      <c r="F54" s="12">
        <v>23</v>
      </c>
      <c r="G54" s="14">
        <v>15</v>
      </c>
      <c r="H54" s="14">
        <v>22749.800000000007</v>
      </c>
      <c r="I54" s="13">
        <v>5</v>
      </c>
      <c r="J54" s="13">
        <v>1276.2</v>
      </c>
      <c r="K54" s="30">
        <f t="shared" ref="K54:K57" si="27">G54+I54</f>
      </c>
      <c r="L54" s="16">
        <v>15</v>
      </c>
      <c r="M54" s="17">
        <v>17</v>
      </c>
      <c r="N54" s="14">
        <v>2</v>
      </c>
      <c r="O54" s="14">
        <v>6</v>
      </c>
      <c r="P54" s="30">
        <f t="shared" ref="P54:P57" si="10">J54+H54</f>
      </c>
      <c r="Q54" s="19">
        <f t="shared" si="33"/>
      </c>
      <c r="R54" s="20">
        <f t="shared" si="16"/>
      </c>
      <c r="S54" s="19">
        <f t="shared" si="34"/>
      </c>
      <c r="T54" s="10" t="s">
        <v>31</v>
      </c>
      <c r="U54" s="27">
        <v>8</v>
      </c>
      <c r="V54" s="10" t="s">
        <v>27</v>
      </c>
      <c r="W54" s="27">
        <v>8</v>
      </c>
    </row>
    <row hidden="true" r="55">
      <c r="A55" s="9">
        <v>46309</v>
      </c>
      <c r="B55" s="27" t="s">
        <v>24</v>
      </c>
      <c r="C55" s="40" t="s">
        <v>33</v>
      </c>
      <c r="D55" s="12">
        <v>4</v>
      </c>
      <c r="E55" s="13">
        <v>13530.08</v>
      </c>
      <c r="F55" s="33">
        <v>21</v>
      </c>
      <c r="G55" s="14">
        <v>13</v>
      </c>
      <c r="H55" s="14">
        <v>19393.2</v>
      </c>
      <c r="I55" s="13">
        <v>1</v>
      </c>
      <c r="J55" s="13">
        <v>612</v>
      </c>
      <c r="K55" s="30">
        <f t="shared" si="27"/>
      </c>
      <c r="L55" s="16">
        <v>9</v>
      </c>
      <c r="M55" s="17">
        <v>16</v>
      </c>
      <c r="N55" s="14">
        <v>1</v>
      </c>
      <c r="O55" s="14">
        <v>6</v>
      </c>
      <c r="P55" s="30">
        <f t="shared" si="10"/>
      </c>
      <c r="Q55" s="19">
        <f t="shared" si="33"/>
      </c>
      <c r="R55" s="20">
        <f t="shared" si="16"/>
      </c>
      <c r="S55" s="19">
        <f t="shared" si="34"/>
      </c>
      <c r="T55" s="27"/>
      <c r="U55" s="27"/>
      <c r="V55" s="34"/>
      <c r="W55" s="34"/>
    </row>
    <row hidden="true" r="56">
      <c r="A56" s="9">
        <v>46309</v>
      </c>
      <c r="B56" s="27" t="s">
        <v>38</v>
      </c>
      <c r="C56" s="40" t="s">
        <v>35</v>
      </c>
      <c r="D56" s="12">
        <v>4</v>
      </c>
      <c r="E56" s="13">
        <v>10475.51</v>
      </c>
      <c r="F56" s="35">
        <v>16</v>
      </c>
      <c r="G56" s="14">
        <v>12</v>
      </c>
      <c r="H56" s="14">
        <v>24012.1</v>
      </c>
      <c r="I56" s="13">
        <v>0</v>
      </c>
      <c r="J56" s="13">
        <v>0</v>
      </c>
      <c r="K56" s="30">
        <f t="shared" si="27"/>
      </c>
      <c r="L56" s="16">
        <v>9</v>
      </c>
      <c r="M56" s="17">
        <v>13</v>
      </c>
      <c r="N56" s="14">
        <v>2</v>
      </c>
      <c r="O56" s="14">
        <v>10</v>
      </c>
      <c r="P56" s="30">
        <f t="shared" si="10"/>
      </c>
      <c r="Q56" s="19">
        <f t="shared" si="33"/>
      </c>
      <c r="R56" s="20">
        <f t="shared" si="16"/>
      </c>
      <c r="S56" s="19">
        <f t="shared" si="34"/>
      </c>
      <c r="T56" s="10" t="s">
        <v>26</v>
      </c>
      <c r="U56" s="10">
        <v>8</v>
      </c>
      <c r="V56" s="10" t="s">
        <v>36</v>
      </c>
      <c r="W56" s="10">
        <v>8</v>
      </c>
    </row>
    <row hidden="true" r="57">
      <c r="A57" s="9">
        <v>46309</v>
      </c>
      <c r="B57" s="27" t="s">
        <v>32</v>
      </c>
      <c r="C57" s="40" t="s">
        <v>37</v>
      </c>
      <c r="D57" s="12">
        <v>4</v>
      </c>
      <c r="E57" s="13">
        <v>11418.29</v>
      </c>
      <c r="F57" s="36">
        <v>15</v>
      </c>
      <c r="G57" s="14">
        <v>10</v>
      </c>
      <c r="H57" s="14">
        <v>19913</v>
      </c>
      <c r="I57" s="13">
        <v>0</v>
      </c>
      <c r="J57" s="13">
        <v>0</v>
      </c>
      <c r="K57" s="30">
        <f t="shared" si="27"/>
      </c>
      <c r="L57" s="16">
        <v>6</v>
      </c>
      <c r="M57" s="17">
        <v>11</v>
      </c>
      <c r="N57" s="14">
        <v>1</v>
      </c>
      <c r="O57" s="14">
        <v>5</v>
      </c>
      <c r="P57" s="30">
        <f t="shared" si="10"/>
      </c>
      <c r="Q57" s="19">
        <f t="shared" si="33"/>
      </c>
      <c r="R57" s="20">
        <f t="shared" si="16"/>
      </c>
      <c r="S57" s="19">
        <f t="shared" si="34"/>
      </c>
      <c r="T57" s="27"/>
      <c r="U57" s="27"/>
      <c r="V57" s="27"/>
      <c r="W57" s="27"/>
    </row>
    <row hidden="true" r="58">
      <c r="A58" s="37">
        <v>46309</v>
      </c>
      <c r="B58" s="38" t="s">
        <v>28</v>
      </c>
      <c r="C58" s="39"/>
      <c r="D58" s="25">
        <f>SUM(D54:D57)</f>
      </c>
      <c r="E58" s="25">
        <f>SUM(E54:E57)</f>
      </c>
      <c r="F58" s="25">
        <f>SUM(F54:F57)</f>
      </c>
      <c r="G58" s="25">
        <f>SUM(G54:G57)</f>
      </c>
      <c r="H58" s="25">
        <f>SUM(H54:H57)</f>
      </c>
      <c r="I58" s="25">
        <f>SUM(I54:I57)</f>
      </c>
      <c r="J58" s="25">
        <f>SUM(J54:J57)</f>
      </c>
      <c r="K58" s="25">
        <f>SUM(K54:K57)</f>
      </c>
      <c r="L58" s="25">
        <f>SUM(L54:L57)</f>
      </c>
      <c r="M58" s="25">
        <f>SUM(M54:M57)</f>
      </c>
      <c r="N58" s="25">
        <f>SUM(N54:N57)</f>
      </c>
      <c r="O58" s="25">
        <f>SUM(O54:O57)</f>
      </c>
      <c r="P58" s="25">
        <f>SUM(P54:P57)</f>
      </c>
      <c r="Q58" s="26">
        <f t="shared" si="33"/>
      </c>
      <c r="R58" s="26">
        <f t="shared" si="16"/>
      </c>
      <c r="S58" s="26">
        <f t="shared" si="34"/>
      </c>
      <c r="T58" s="25"/>
      <c r="U58" s="25">
        <f>SUM(U54:U57)</f>
      </c>
      <c r="V58" s="25"/>
      <c r="W58" s="25">
        <f>SUM(W54:W57)</f>
      </c>
    </row>
    <row hidden="true" r="59">
      <c r="A59" s="9">
        <v>46310</v>
      </c>
      <c r="B59" s="27" t="s">
        <v>29</v>
      </c>
      <c r="C59" s="11" t="s">
        <v>30</v>
      </c>
      <c r="D59" s="12">
        <v>4</v>
      </c>
      <c r="E59" s="13">
        <v>7265.709999999999</v>
      </c>
      <c r="F59" s="12">
        <v>12</v>
      </c>
      <c r="G59" s="14">
        <v>8</v>
      </c>
      <c r="H59" s="14">
        <v>16522.4</v>
      </c>
      <c r="I59" s="13">
        <v>0</v>
      </c>
      <c r="J59" s="13">
        <v>0</v>
      </c>
      <c r="K59" s="30">
        <f t="shared" ref="K59:K62" si="28">G59+I59</f>
      </c>
      <c r="L59" s="16">
        <v>5</v>
      </c>
      <c r="M59" s="17">
        <v>8</v>
      </c>
      <c r="N59" s="14">
        <v>2</v>
      </c>
      <c r="O59" s="14">
        <v>6</v>
      </c>
      <c r="P59" s="30">
        <f t="shared" ref="P59:P62" si="11">J59+H59</f>
      </c>
      <c r="Q59" s="19">
        <f t="shared" si="33"/>
      </c>
      <c r="R59" s="20">
        <f t="shared" si="16"/>
      </c>
      <c r="S59" s="19">
        <f t="shared" si="34"/>
      </c>
      <c r="T59" s="10" t="s">
        <v>31</v>
      </c>
      <c r="U59" s="27">
        <v>8</v>
      </c>
      <c r="V59" s="10" t="s">
        <v>27</v>
      </c>
      <c r="W59" s="27">
        <v>8</v>
      </c>
    </row>
    <row hidden="true" r="60">
      <c r="A60" s="9">
        <v>46310</v>
      </c>
      <c r="B60" s="27" t="s">
        <v>38</v>
      </c>
      <c r="C60" s="40" t="s">
        <v>33</v>
      </c>
      <c r="D60" s="12">
        <v>4</v>
      </c>
      <c r="E60" s="13">
        <v>6940.42</v>
      </c>
      <c r="F60" s="33">
        <v>8</v>
      </c>
      <c r="G60" s="14">
        <v>6</v>
      </c>
      <c r="H60" s="14">
        <v>13407.6</v>
      </c>
      <c r="I60" s="13">
        <v>1</v>
      </c>
      <c r="J60" s="13">
        <v>300</v>
      </c>
      <c r="K60" s="30">
        <f t="shared" si="28"/>
      </c>
      <c r="L60" s="16">
        <v>3</v>
      </c>
      <c r="M60" s="17">
        <v>6</v>
      </c>
      <c r="N60" s="14">
        <v>0</v>
      </c>
      <c r="O60" s="14">
        <v>5</v>
      </c>
      <c r="P60" s="30">
        <f t="shared" si="11"/>
      </c>
      <c r="Q60" s="19">
        <f t="shared" si="33"/>
      </c>
      <c r="R60" s="20">
        <f t="shared" si="16"/>
      </c>
      <c r="S60" s="19">
        <f t="shared" si="34"/>
      </c>
      <c r="T60" s="27"/>
      <c r="U60" s="27"/>
      <c r="V60" s="34"/>
      <c r="W60" s="34"/>
    </row>
    <row hidden="true" r="61">
      <c r="A61" s="9">
        <v>46310</v>
      </c>
      <c r="B61" s="27" t="s">
        <v>32</v>
      </c>
      <c r="C61" s="40" t="s">
        <v>35</v>
      </c>
      <c r="D61" s="12">
        <v>4</v>
      </c>
      <c r="E61" s="13">
        <v>6993.67</v>
      </c>
      <c r="F61" s="35">
        <v>8</v>
      </c>
      <c r="G61" s="14">
        <v>6</v>
      </c>
      <c r="H61" s="14">
        <v>8191</v>
      </c>
      <c r="I61" s="13">
        <v>1</v>
      </c>
      <c r="J61" s="13">
        <v>1164</v>
      </c>
      <c r="K61" s="30">
        <f t="shared" si="28"/>
      </c>
      <c r="L61" s="16">
        <v>7</v>
      </c>
      <c r="M61" s="17">
        <v>8</v>
      </c>
      <c r="N61" s="14">
        <v>0</v>
      </c>
      <c r="O61" s="14">
        <v>3</v>
      </c>
      <c r="P61" s="30">
        <f t="shared" si="11"/>
      </c>
      <c r="Q61" s="19">
        <f t="shared" si="33"/>
      </c>
      <c r="R61" s="20">
        <f t="shared" si="16"/>
      </c>
      <c r="S61" s="19">
        <f t="shared" si="34"/>
      </c>
      <c r="T61" s="10" t="s">
        <v>26</v>
      </c>
      <c r="U61" s="10">
        <v>8</v>
      </c>
      <c r="V61" s="10" t="s">
        <v>36</v>
      </c>
      <c r="W61" s="10">
        <v>8</v>
      </c>
    </row>
    <row hidden="true" r="62">
      <c r="A62" s="9">
        <v>46310</v>
      </c>
      <c r="B62" s="27" t="s">
        <v>34</v>
      </c>
      <c r="C62" s="40" t="s">
        <v>37</v>
      </c>
      <c r="D62" s="12">
        <v>4</v>
      </c>
      <c r="E62" s="13">
        <v>7778.08</v>
      </c>
      <c r="F62" s="36">
        <v>4</v>
      </c>
      <c r="G62" s="14">
        <v>4</v>
      </c>
      <c r="H62" s="14">
        <v>4547.6</v>
      </c>
      <c r="I62" s="13">
        <v>0</v>
      </c>
      <c r="J62" s="13">
        <v>0</v>
      </c>
      <c r="K62" s="30">
        <f t="shared" si="28"/>
      </c>
      <c r="L62" s="16">
        <v>2</v>
      </c>
      <c r="M62" s="17">
        <v>2</v>
      </c>
      <c r="N62" s="14">
        <v>0</v>
      </c>
      <c r="O62" s="14">
        <v>2</v>
      </c>
      <c r="P62" s="30">
        <f t="shared" si="11"/>
      </c>
      <c r="Q62" s="19">
        <f t="shared" si="33"/>
      </c>
      <c r="R62" s="20">
        <f t="shared" si="16"/>
      </c>
      <c r="S62" s="19">
        <f t="shared" si="34"/>
      </c>
      <c r="T62" s="27"/>
      <c r="U62" s="27"/>
      <c r="V62" s="27"/>
      <c r="W62" s="27"/>
    </row>
    <row hidden="true" r="63">
      <c r="A63" s="37">
        <v>46310</v>
      </c>
      <c r="B63" s="38" t="s">
        <v>28</v>
      </c>
      <c r="C63" s="39"/>
      <c r="D63" s="25">
        <f>SUM(D59:D62)</f>
      </c>
      <c r="E63" s="25">
        <f>SUM(E59:E62)</f>
      </c>
      <c r="F63" s="25">
        <f>SUM(F59:F62)</f>
      </c>
      <c r="G63" s="25">
        <f>SUM(G59:G62)</f>
      </c>
      <c r="H63" s="25">
        <f>SUM(H59:H62)</f>
      </c>
      <c r="I63" s="25">
        <f>SUM(I59:I62)</f>
      </c>
      <c r="J63" s="25">
        <f>SUM(J59:J62)</f>
      </c>
      <c r="K63" s="25">
        <f>SUM(K59:K62)</f>
      </c>
      <c r="L63" s="25">
        <f>SUM(L59:L62)</f>
      </c>
      <c r="M63" s="25">
        <f>SUM(M59:M62)</f>
      </c>
      <c r="N63" s="25">
        <f>SUM(N59:N62)</f>
      </c>
      <c r="O63" s="25">
        <f>SUM(O59:O62)</f>
      </c>
      <c r="P63" s="25">
        <f>SUM(P59:P62)</f>
      </c>
      <c r="Q63" s="26">
        <f t="shared" si="33"/>
      </c>
      <c r="R63" s="26">
        <f t="shared" si="16"/>
      </c>
      <c r="S63" s="26">
        <f t="shared" si="34"/>
      </c>
      <c r="T63" s="25"/>
      <c r="U63" s="25">
        <f>SUM(U59:U62)</f>
      </c>
      <c r="V63" s="25"/>
      <c r="W63" s="25">
        <f>SUM(W59:W62)</f>
      </c>
    </row>
    <row hidden="true" r="64">
      <c r="A64" s="9">
        <v>46311</v>
      </c>
      <c r="B64" s="27" t="s">
        <v>29</v>
      </c>
      <c r="C64" s="11" t="s">
        <v>30</v>
      </c>
      <c r="D64" s="12">
        <v>4</v>
      </c>
      <c r="E64" s="13">
        <v>7583.91</v>
      </c>
      <c r="F64" s="12">
        <v>17</v>
      </c>
      <c r="G64" s="14">
        <v>14</v>
      </c>
      <c r="H64" s="14">
        <v>27834</v>
      </c>
      <c r="I64" s="13">
        <v>2</v>
      </c>
      <c r="J64" s="13">
        <v>3792</v>
      </c>
      <c r="K64" s="30">
        <f t="shared" ref="K64:K67" si="29">G64+I64</f>
      </c>
      <c r="L64" s="16">
        <v>7</v>
      </c>
      <c r="M64" s="17">
        <v>9</v>
      </c>
      <c r="N64" s="14">
        <v>3</v>
      </c>
      <c r="O64" s="14">
        <v>11</v>
      </c>
      <c r="P64" s="30">
        <f t="shared" ref="P64:P67" si="12">J64+H64</f>
      </c>
      <c r="Q64" s="19">
        <f t="shared" si="33"/>
      </c>
      <c r="R64" s="20">
        <f t="shared" si="16"/>
      </c>
      <c r="S64" s="19">
        <f t="shared" si="34"/>
      </c>
      <c r="T64" s="10" t="s">
        <v>31</v>
      </c>
      <c r="U64" s="27">
        <v>8</v>
      </c>
      <c r="V64" s="10" t="s">
        <v>27</v>
      </c>
      <c r="W64" s="27">
        <v>8</v>
      </c>
    </row>
    <row hidden="true" r="65">
      <c r="A65" s="9">
        <v>46311</v>
      </c>
      <c r="B65" s="27" t="s">
        <v>32</v>
      </c>
      <c r="C65" s="40" t="s">
        <v>33</v>
      </c>
      <c r="D65" s="12">
        <v>4</v>
      </c>
      <c r="E65" s="13">
        <v>13910.74</v>
      </c>
      <c r="F65" s="33">
        <v>22</v>
      </c>
      <c r="G65" s="14">
        <v>15</v>
      </c>
      <c r="H65" s="14">
        <v>21152.5</v>
      </c>
      <c r="I65" s="13">
        <v>2</v>
      </c>
      <c r="J65" s="13">
        <v>645.6</v>
      </c>
      <c r="K65" s="30">
        <f t="shared" si="29"/>
      </c>
      <c r="L65" s="16">
        <v>12</v>
      </c>
      <c r="M65" s="17">
        <v>14</v>
      </c>
      <c r="N65" s="14">
        <v>3</v>
      </c>
      <c r="O65" s="14">
        <v>8</v>
      </c>
      <c r="P65" s="30">
        <f t="shared" si="12"/>
      </c>
      <c r="Q65" s="19">
        <f t="shared" si="33"/>
      </c>
      <c r="R65" s="20">
        <f t="shared" si="16"/>
      </c>
      <c r="S65" s="19">
        <f t="shared" si="34"/>
      </c>
      <c r="T65" s="27"/>
      <c r="U65" s="27"/>
      <c r="V65" s="34"/>
      <c r="W65" s="34"/>
    </row>
    <row hidden="true" r="66">
      <c r="A66" s="9">
        <v>46311</v>
      </c>
      <c r="B66" s="27" t="s">
        <v>34</v>
      </c>
      <c r="C66" s="40" t="s">
        <v>35</v>
      </c>
      <c r="D66" s="12">
        <v>4</v>
      </c>
      <c r="E66" s="13">
        <v>9726.3</v>
      </c>
      <c r="F66" s="35">
        <v>9</v>
      </c>
      <c r="G66" s="14">
        <v>8</v>
      </c>
      <c r="H66" s="14">
        <v>10520.4</v>
      </c>
      <c r="I66" s="13">
        <v>0</v>
      </c>
      <c r="J66" s="13">
        <v>0</v>
      </c>
      <c r="K66" s="30">
        <f t="shared" si="29"/>
      </c>
      <c r="L66" s="16">
        <v>6</v>
      </c>
      <c r="M66" s="17">
        <v>5</v>
      </c>
      <c r="N66" s="14">
        <v>1</v>
      </c>
      <c r="O66" s="14">
        <v>3</v>
      </c>
      <c r="P66" s="30">
        <f t="shared" si="12"/>
      </c>
      <c r="Q66" s="19">
        <f t="shared" si="33"/>
      </c>
      <c r="R66" s="20">
        <f t="shared" si="16"/>
      </c>
      <c r="S66" s="19">
        <f t="shared" si="34"/>
      </c>
      <c r="T66" s="10" t="s">
        <v>26</v>
      </c>
      <c r="U66" s="10">
        <v>8</v>
      </c>
      <c r="V66" s="10" t="s">
        <v>36</v>
      </c>
      <c r="W66" s="10">
        <v>8</v>
      </c>
    </row>
    <row hidden="true" r="67">
      <c r="A67" s="9">
        <v>46311</v>
      </c>
      <c r="B67" s="27" t="s">
        <v>24</v>
      </c>
      <c r="C67" s="40" t="s">
        <v>37</v>
      </c>
      <c r="D67" s="12">
        <v>4</v>
      </c>
      <c r="E67" s="13">
        <v>8124.67</v>
      </c>
      <c r="F67" s="36">
        <v>10</v>
      </c>
      <c r="G67" s="14">
        <v>8</v>
      </c>
      <c r="H67" s="14">
        <v>16709.4</v>
      </c>
      <c r="I67" s="13">
        <v>0</v>
      </c>
      <c r="J67" s="13">
        <v>0</v>
      </c>
      <c r="K67" s="30">
        <f t="shared" si="29"/>
      </c>
      <c r="L67" s="16">
        <v>6</v>
      </c>
      <c r="M67" s="17">
        <v>7</v>
      </c>
      <c r="N67" s="14">
        <v>1</v>
      </c>
      <c r="O67" s="14">
        <v>6</v>
      </c>
      <c r="P67" s="30">
        <f t="shared" si="12"/>
      </c>
      <c r="Q67" s="19">
        <f t="shared" si="33"/>
      </c>
      <c r="R67" s="20">
        <f t="shared" si="16"/>
      </c>
      <c r="S67" s="19">
        <f t="shared" si="34"/>
      </c>
      <c r="T67" s="27"/>
      <c r="U67" s="27"/>
      <c r="V67" s="27"/>
      <c r="W67" s="27"/>
    </row>
    <row hidden="true" r="68">
      <c r="A68" s="37">
        <v>46311</v>
      </c>
      <c r="B68" s="38" t="s">
        <v>28</v>
      </c>
      <c r="C68" s="39"/>
      <c r="D68" s="25">
        <f>SUM(D64:D67)</f>
      </c>
      <c r="E68" s="25">
        <f>SUM(E64:E67)</f>
      </c>
      <c r="F68" s="25">
        <f>SUM(F64:F67)</f>
      </c>
      <c r="G68" s="25">
        <f>SUM(G64:G67)</f>
      </c>
      <c r="H68" s="25">
        <f>SUM(H64:H67)</f>
      </c>
      <c r="I68" s="25">
        <f>SUM(I64:I67)</f>
      </c>
      <c r="J68" s="25">
        <f>SUM(J64:J67)</f>
      </c>
      <c r="K68" s="25">
        <f>SUM(K64:K67)</f>
      </c>
      <c r="L68" s="25">
        <f>SUM(L64:L67)</f>
      </c>
      <c r="M68" s="25">
        <f>SUM(M64:M67)</f>
      </c>
      <c r="N68" s="25">
        <f>SUM(N64:N67)</f>
      </c>
      <c r="O68" s="25">
        <f>SUM(O64:O67)</f>
      </c>
      <c r="P68" s="25">
        <f>SUM(P64:P67)</f>
      </c>
      <c r="Q68" s="26">
        <f t="shared" si="33"/>
      </c>
      <c r="R68" s="26">
        <f t="shared" si="16"/>
      </c>
      <c r="S68" s="26">
        <f t="shared" si="34"/>
      </c>
      <c r="T68" s="25"/>
      <c r="U68" s="25">
        <f>SUM(U64:U67)</f>
      </c>
      <c r="V68" s="25"/>
      <c r="W68" s="25">
        <f>SUM(W64:W67)</f>
      </c>
    </row>
    <row hidden="true" r="69">
      <c r="A69" s="9">
        <v>46312</v>
      </c>
      <c r="B69" s="27" t="s">
        <v>32</v>
      </c>
      <c r="C69" s="11" t="s">
        <v>30</v>
      </c>
      <c r="D69" s="12">
        <v>4</v>
      </c>
      <c r="E69" s="13">
        <v>6726.23</v>
      </c>
      <c r="F69" s="12">
        <v>12</v>
      </c>
      <c r="G69" s="14">
        <v>7</v>
      </c>
      <c r="H69" s="14">
        <v>9655.6</v>
      </c>
      <c r="I69" s="13">
        <v>0</v>
      </c>
      <c r="J69" s="13">
        <v>0</v>
      </c>
      <c r="K69" s="30">
        <f t="shared" ref="K69:K73" si="30">G69+I69</f>
      </c>
      <c r="L69" s="16">
        <v>6</v>
      </c>
      <c r="M69" s="17">
        <v>10</v>
      </c>
      <c r="N69" s="14">
        <v>1</v>
      </c>
      <c r="O69" s="14">
        <v>4</v>
      </c>
      <c r="P69" s="30">
        <f t="shared" ref="P69:P72" si="13">J69+H69</f>
      </c>
      <c r="Q69" s="19">
        <f t="shared" si="33"/>
      </c>
      <c r="R69" s="20">
        <f t="shared" si="16"/>
      </c>
      <c r="S69" s="19">
        <f t="shared" si="34"/>
      </c>
      <c r="T69" s="10" t="s">
        <v>31</v>
      </c>
      <c r="U69" s="27">
        <v>8</v>
      </c>
      <c r="V69" s="10" t="s">
        <v>27</v>
      </c>
      <c r="W69" s="27">
        <v>8</v>
      </c>
    </row>
    <row hidden="true" r="70">
      <c r="A70" s="9">
        <v>46312</v>
      </c>
      <c r="B70" s="27" t="s">
        <v>29</v>
      </c>
      <c r="C70" s="40" t="s">
        <v>33</v>
      </c>
      <c r="D70" s="12">
        <v>4</v>
      </c>
      <c r="E70" s="13">
        <v>8084.66</v>
      </c>
      <c r="F70" s="33">
        <v>12</v>
      </c>
      <c r="G70" s="14">
        <v>11</v>
      </c>
      <c r="H70" s="14">
        <v>14706</v>
      </c>
      <c r="I70" s="13">
        <v>0</v>
      </c>
      <c r="J70" s="13">
        <v>0</v>
      </c>
      <c r="K70" s="30">
        <f t="shared" si="30"/>
      </c>
      <c r="L70" s="16">
        <v>10</v>
      </c>
      <c r="M70" s="17">
        <v>11</v>
      </c>
      <c r="N70" s="14">
        <v>2</v>
      </c>
      <c r="O70" s="14">
        <v>4</v>
      </c>
      <c r="P70" s="30">
        <f t="shared" si="13"/>
      </c>
      <c r="Q70" s="19">
        <f t="shared" si="33"/>
      </c>
      <c r="R70" s="20">
        <f t="shared" si="16"/>
      </c>
      <c r="S70" s="19">
        <f t="shared" si="34"/>
      </c>
      <c r="T70" s="27"/>
      <c r="U70" s="27"/>
      <c r="V70" s="34"/>
      <c r="W70" s="34"/>
    </row>
    <row hidden="true" r="71">
      <c r="A71" s="9">
        <v>46312</v>
      </c>
      <c r="B71" s="27" t="s">
        <v>24</v>
      </c>
      <c r="C71" s="40" t="s">
        <v>46</v>
      </c>
      <c r="D71" s="12">
        <v>3</v>
      </c>
      <c r="E71" s="13">
        <v>6436.22</v>
      </c>
      <c r="F71" s="35">
        <v>6</v>
      </c>
      <c r="G71" s="14">
        <v>3</v>
      </c>
      <c r="H71" s="14">
        <v>3296</v>
      </c>
      <c r="I71" s="13">
        <v>0</v>
      </c>
      <c r="J71" s="13">
        <v>0</v>
      </c>
      <c r="K71" s="30">
        <f t="shared" si="30"/>
      </c>
      <c r="L71" s="16">
        <v>1</v>
      </c>
      <c r="M71" s="17">
        <v>4</v>
      </c>
      <c r="N71" s="14">
        <v>1</v>
      </c>
      <c r="O71" s="14">
        <v>2</v>
      </c>
      <c r="P71" s="30">
        <f t="shared" si="13"/>
      </c>
      <c r="Q71" s="19">
        <f t="shared" si="33"/>
      </c>
      <c r="R71" s="20">
        <f t="shared" si="16"/>
      </c>
      <c r="S71" s="19">
        <f t="shared" si="34"/>
      </c>
      <c r="T71" s="10" t="s">
        <v>26</v>
      </c>
      <c r="U71" s="10">
        <v>8</v>
      </c>
      <c r="V71" s="10" t="s">
        <v>36</v>
      </c>
      <c r="W71" s="10">
        <v>8</v>
      </c>
    </row>
    <row hidden="true" r="72">
      <c r="A72" s="9">
        <v>46312</v>
      </c>
      <c r="B72" s="27" t="s">
        <v>47</v>
      </c>
      <c r="C72" s="40" t="s">
        <v>48</v>
      </c>
      <c r="D72" s="12">
        <v>2</v>
      </c>
      <c r="E72" s="13">
        <v>2936.46</v>
      </c>
      <c r="F72" s="36">
        <v>2</v>
      </c>
      <c r="G72" s="14">
        <v>1</v>
      </c>
      <c r="H72" s="14">
        <v>1327.2</v>
      </c>
      <c r="I72" s="13">
        <v>0</v>
      </c>
      <c r="J72" s="13">
        <v>0</v>
      </c>
      <c r="K72" s="30">
        <f t="shared" si="30"/>
      </c>
      <c r="L72" s="16">
        <v>0</v>
      </c>
      <c r="M72" s="17">
        <v>1</v>
      </c>
      <c r="N72" s="14">
        <v>0</v>
      </c>
      <c r="O72" s="14">
        <v>0</v>
      </c>
      <c r="P72" s="30">
        <f t="shared" si="13"/>
      </c>
      <c r="Q72" s="19">
        <f t="shared" si="33"/>
      </c>
      <c r="R72" s="20">
        <f t="shared" si="16"/>
      </c>
      <c r="S72" s="19">
        <f t="shared" si="34"/>
      </c>
      <c r="T72" s="27"/>
      <c r="U72" s="27"/>
      <c r="V72" s="27"/>
      <c r="W72" s="27"/>
    </row>
    <row customHeight="true" hidden="true" ht="18.452380952380953" r="73">
      <c r="A73" s="9">
        <v>46312</v>
      </c>
      <c r="B73" s="27" t="s">
        <v>38</v>
      </c>
      <c r="C73" s="40" t="s">
        <v>49</v>
      </c>
      <c r="D73" s="12">
        <v>3</v>
      </c>
      <c r="E73" s="13">
        <v>3639.3</v>
      </c>
      <c r="F73" s="36">
        <v>7</v>
      </c>
      <c r="G73" s="14">
        <v>4</v>
      </c>
      <c r="H73" s="14">
        <v>7076.4</v>
      </c>
      <c r="I73" s="13">
        <v>2</v>
      </c>
      <c r="J73" s="13">
        <v>397</v>
      </c>
      <c r="K73" s="30">
        <f t="shared" si="30"/>
      </c>
      <c r="L73" s="16">
        <v>3</v>
      </c>
      <c r="M73" s="17">
        <v>4</v>
      </c>
      <c r="N73" s="14">
        <v>0</v>
      </c>
      <c r="O73" s="14">
        <v>2</v>
      </c>
      <c r="P73" s="41">
        <v>7473.4</v>
      </c>
      <c r="Q73" s="19">
        <f t="shared" si="33"/>
      </c>
      <c r="R73" s="20">
        <f t="shared" si="16"/>
      </c>
      <c r="S73" s="19">
        <f t="shared" si="34"/>
      </c>
      <c r="T73" s="27"/>
      <c r="U73" s="27"/>
      <c r="V73" s="27"/>
      <c r="W73" s="27"/>
    </row>
    <row hidden="true" r="74">
      <c r="A74" s="37">
        <v>46312</v>
      </c>
      <c r="B74" s="38" t="s">
        <v>28</v>
      </c>
      <c r="C74" s="39"/>
      <c r="D74" s="25">
        <f>SUM(D69:D73)</f>
      </c>
      <c r="E74" s="25">
        <f>SUM(E69:E73)</f>
      </c>
      <c r="F74" s="25">
        <f>SUM(F69:F73)</f>
      </c>
      <c r="G74" s="25">
        <f>SUM(G69:G73)</f>
      </c>
      <c r="H74" s="25">
        <f>SUM(H69:H73)</f>
      </c>
      <c r="I74" s="25">
        <f>SUM(I69:I73)</f>
      </c>
      <c r="J74" s="25">
        <f>SUM(J69:J73)</f>
      </c>
      <c r="K74" s="25">
        <f>SUM(K69:K73)</f>
      </c>
      <c r="L74" s="25">
        <f>SUM(L69:L73)</f>
      </c>
      <c r="M74" s="25">
        <f>SUM(M69:M73)</f>
      </c>
      <c r="N74" s="25">
        <f>SUM(N69:N73)</f>
      </c>
      <c r="O74" s="25">
        <f>SUM(O69:O73)</f>
      </c>
      <c r="P74" s="25">
        <f>SUM(P69:P73)</f>
      </c>
      <c r="Q74" s="26">
        <f t="shared" si="33"/>
      </c>
      <c r="R74" s="26">
        <f t="shared" si="16"/>
      </c>
      <c r="S74" s="26">
        <f t="shared" si="34"/>
      </c>
      <c r="T74" s="25"/>
      <c r="U74" s="25">
        <f>SUM(U69:U72)</f>
      </c>
      <c r="V74" s="25"/>
      <c r="W74" s="25">
        <f>SUM(W69:W72)</f>
      </c>
    </row>
    <row hidden="true" r="75">
      <c r="A75" s="9">
        <v>46313</v>
      </c>
      <c r="B75" s="27" t="s">
        <v>29</v>
      </c>
      <c r="C75" s="11" t="s">
        <v>30</v>
      </c>
      <c r="D75" s="12">
        <v>4</v>
      </c>
      <c r="E75" s="13">
        <v>5298.29</v>
      </c>
      <c r="F75" s="12">
        <v>10</v>
      </c>
      <c r="G75" s="14">
        <v>8</v>
      </c>
      <c r="H75" s="14">
        <v>14097.800000000001</v>
      </c>
      <c r="I75" s="13">
        <v>0</v>
      </c>
      <c r="J75" s="13">
        <v>0</v>
      </c>
      <c r="K75" s="30">
        <f t="shared" ref="K75:K79" si="31">G75+I75</f>
      </c>
      <c r="L75" s="16">
        <v>6</v>
      </c>
      <c r="M75" s="17">
        <v>8</v>
      </c>
      <c r="N75" s="14">
        <v>1</v>
      </c>
      <c r="O75" s="14">
        <v>5</v>
      </c>
      <c r="P75" s="30">
        <f t="shared" ref="P75:P79" si="14">J75+H75</f>
      </c>
      <c r="Q75" s="19">
        <f t="shared" si="33"/>
      </c>
      <c r="R75" s="20">
        <f t="shared" si="16"/>
      </c>
      <c r="S75" s="19">
        <f t="shared" si="34"/>
      </c>
      <c r="T75" s="10" t="s">
        <v>31</v>
      </c>
      <c r="U75" s="27">
        <v>8</v>
      </c>
      <c r="V75" s="10" t="s">
        <v>27</v>
      </c>
      <c r="W75" s="27">
        <v>8</v>
      </c>
    </row>
    <row hidden="true" r="76">
      <c r="A76" s="9">
        <v>46313</v>
      </c>
      <c r="B76" s="27" t="s">
        <v>24</v>
      </c>
      <c r="C76" s="40" t="s">
        <v>33</v>
      </c>
      <c r="D76" s="12">
        <v>4</v>
      </c>
      <c r="E76" s="13">
        <v>8527.02</v>
      </c>
      <c r="F76" s="33">
        <v>11</v>
      </c>
      <c r="G76" s="14">
        <v>8</v>
      </c>
      <c r="H76" s="14">
        <v>14321.6</v>
      </c>
      <c r="I76" s="13">
        <v>1</v>
      </c>
      <c r="J76" s="13">
        <v>372</v>
      </c>
      <c r="K76" s="30">
        <f t="shared" si="31"/>
      </c>
      <c r="L76" s="16">
        <v>7</v>
      </c>
      <c r="M76" s="17">
        <v>8</v>
      </c>
      <c r="N76" s="14">
        <v>2</v>
      </c>
      <c r="O76" s="14">
        <v>5</v>
      </c>
      <c r="P76" s="30">
        <f t="shared" si="14"/>
      </c>
      <c r="Q76" s="19">
        <f t="shared" si="33"/>
      </c>
      <c r="R76" s="20">
        <f t="shared" si="16"/>
      </c>
      <c r="S76" s="19">
        <f t="shared" si="34"/>
      </c>
      <c r="T76" s="27"/>
      <c r="U76" s="27"/>
      <c r="V76" s="34"/>
      <c r="W76" s="34"/>
    </row>
    <row hidden="true" r="77">
      <c r="A77" s="9">
        <v>46313</v>
      </c>
      <c r="B77" s="27" t="s">
        <v>38</v>
      </c>
      <c r="C77" s="40" t="s">
        <v>46</v>
      </c>
      <c r="D77" s="12">
        <v>3</v>
      </c>
      <c r="E77" s="13">
        <v>6739.36</v>
      </c>
      <c r="F77" s="35">
        <v>6</v>
      </c>
      <c r="G77" s="14">
        <v>5</v>
      </c>
      <c r="H77" s="14">
        <v>5940</v>
      </c>
      <c r="I77" s="13">
        <v>1</v>
      </c>
      <c r="J77" s="13">
        <v>582</v>
      </c>
      <c r="K77" s="30">
        <f t="shared" si="31"/>
      </c>
      <c r="L77" s="16">
        <v>5</v>
      </c>
      <c r="M77" s="17">
        <v>6</v>
      </c>
      <c r="N77" s="14">
        <v>1</v>
      </c>
      <c r="O77" s="14">
        <v>2</v>
      </c>
      <c r="P77" s="30">
        <f t="shared" si="14"/>
      </c>
      <c r="Q77" s="19">
        <f t="shared" si="33"/>
      </c>
      <c r="R77" s="20">
        <f t="shared" si="16"/>
      </c>
      <c r="S77" s="19">
        <f t="shared" si="34"/>
      </c>
      <c r="T77" s="10" t="s">
        <v>26</v>
      </c>
      <c r="U77" s="10">
        <v>8</v>
      </c>
      <c r="V77" s="10" t="s">
        <v>36</v>
      </c>
      <c r="W77" s="10">
        <v>8</v>
      </c>
    </row>
    <row hidden="true" r="78">
      <c r="A78" s="9">
        <v>46313</v>
      </c>
      <c r="B78" s="27" t="s">
        <v>47</v>
      </c>
      <c r="C78" s="40" t="s">
        <v>48</v>
      </c>
      <c r="D78" s="12">
        <v>2</v>
      </c>
      <c r="E78" s="13">
        <v>5883.78</v>
      </c>
      <c r="F78" s="36">
        <v>5</v>
      </c>
      <c r="G78" s="14">
        <v>2</v>
      </c>
      <c r="H78" s="14">
        <v>1054.8</v>
      </c>
      <c r="I78" s="13">
        <v>1</v>
      </c>
      <c r="J78" s="13">
        <v>240</v>
      </c>
      <c r="K78" s="30">
        <f t="shared" si="31"/>
      </c>
      <c r="L78" s="16">
        <v>4</v>
      </c>
      <c r="M78" s="17">
        <v>4</v>
      </c>
      <c r="N78" s="14">
        <v>0</v>
      </c>
      <c r="O78" s="14">
        <v>0</v>
      </c>
      <c r="P78" s="30">
        <f t="shared" si="14"/>
      </c>
      <c r="Q78" s="19">
        <f t="shared" si="33"/>
      </c>
      <c r="R78" s="20">
        <f t="shared" si="16"/>
      </c>
      <c r="S78" s="19">
        <f t="shared" si="34"/>
      </c>
      <c r="T78" s="27"/>
      <c r="U78" s="27"/>
      <c r="V78" s="27"/>
      <c r="W78" s="27"/>
    </row>
    <row hidden="true" r="79">
      <c r="A79" s="9">
        <v>46313</v>
      </c>
      <c r="B79" s="27" t="s">
        <v>32</v>
      </c>
      <c r="C79" s="40" t="s">
        <v>49</v>
      </c>
      <c r="D79" s="12">
        <v>3</v>
      </c>
      <c r="E79" s="13">
        <v>5868.43</v>
      </c>
      <c r="F79" s="36">
        <v>6</v>
      </c>
      <c r="G79" s="14">
        <v>6</v>
      </c>
      <c r="H79" s="14">
        <v>5340</v>
      </c>
      <c r="I79" s="13">
        <v>0</v>
      </c>
      <c r="J79" s="13">
        <v>0</v>
      </c>
      <c r="K79" s="30">
        <f t="shared" si="31"/>
      </c>
      <c r="L79" s="16">
        <v>6</v>
      </c>
      <c r="M79" s="17">
        <v>6</v>
      </c>
      <c r="N79" s="14">
        <v>0</v>
      </c>
      <c r="O79" s="14">
        <v>2</v>
      </c>
      <c r="P79" s="30">
        <f t="shared" si="14"/>
      </c>
      <c r="Q79" s="19">
        <f t="shared" si="33"/>
      </c>
      <c r="R79" s="20">
        <f t="shared" si="16"/>
      </c>
      <c r="S79" s="19">
        <f t="shared" si="34"/>
      </c>
      <c r="T79" s="27"/>
      <c r="U79" s="27"/>
      <c r="V79" s="27"/>
      <c r="W79" s="27"/>
    </row>
    <row hidden="true" r="80">
      <c r="A80" s="37">
        <v>46313</v>
      </c>
      <c r="B80" s="38" t="s">
        <v>28</v>
      </c>
      <c r="C80" s="39"/>
      <c r="D80" s="25">
        <f>SUM(D75:D79)</f>
      </c>
      <c r="E80" s="25">
        <f>SUM(E75:E79)</f>
      </c>
      <c r="F80" s="25">
        <f>SUM(F75:F79)</f>
      </c>
      <c r="G80" s="25">
        <f>SUM(G75:G79)</f>
      </c>
      <c r="H80" s="25">
        <f>SUM(H75:H79)</f>
      </c>
      <c r="I80" s="25">
        <f>SUM(I75:I79)</f>
      </c>
      <c r="J80" s="25">
        <f>SUM(J75:J79)</f>
      </c>
      <c r="K80" s="25">
        <f>SUM(K75:K79)</f>
      </c>
      <c r="L80" s="25">
        <f>SUM(L75:L79)</f>
      </c>
      <c r="M80" s="25">
        <f>SUM(M75:M79)</f>
      </c>
      <c r="N80" s="25">
        <f>SUM(N75:N79)</f>
      </c>
      <c r="O80" s="25">
        <f>SUM(O75:O79)</f>
      </c>
      <c r="P80" s="25">
        <f>SUM(P75:P79)</f>
      </c>
      <c r="Q80" s="26">
        <f t="shared" si="33"/>
      </c>
      <c r="R80" s="26">
        <f t="shared" si="16"/>
      </c>
      <c r="S80" s="26">
        <f t="shared" si="34"/>
      </c>
      <c r="T80" s="25"/>
      <c r="U80" s="25">
        <f>SUM(U75:U78)</f>
      </c>
      <c r="V80" s="25"/>
      <c r="W80" s="25">
        <f>SUM(W75:W78)</f>
      </c>
    </row>
    <row r="81">
      <c r="A81" s="42">
        <v>46314</v>
      </c>
      <c r="B81" s="43" t="s">
        <v>29</v>
      </c>
      <c r="C81" s="44" t="s">
        <v>30</v>
      </c>
      <c r="D81" s="45">
        <v>4</v>
      </c>
      <c r="E81" s="46"/>
      <c r="F81" s="45"/>
      <c r="G81" s="47"/>
      <c r="H81" s="47"/>
      <c r="I81" s="46"/>
      <c r="J81" s="46"/>
      <c r="K81" s="48">
        <f t="shared" ref="K81:K84" si="32">G81+I81</f>
      </c>
      <c r="L81" s="49"/>
      <c r="M81" s="50"/>
      <c r="N81" s="47"/>
      <c r="O81" s="47"/>
      <c r="P81" s="48">
        <f t="shared" ref="P81:P84" si="15">J81+H81</f>
      </c>
      <c r="Q81" s="51">
        <f t="shared" si="33"/>
      </c>
      <c r="R81" s="52">
        <f t="shared" si="16"/>
      </c>
      <c r="S81" s="51">
        <f t="shared" si="34"/>
      </c>
      <c r="T81" s="53" t="s">
        <v>31</v>
      </c>
      <c r="U81" s="43">
        <v>8</v>
      </c>
      <c r="V81" s="53" t="s">
        <v>27</v>
      </c>
      <c r="W81" s="43">
        <v>8</v>
      </c>
    </row>
    <row r="82">
      <c r="A82" s="42">
        <v>46314</v>
      </c>
      <c r="B82" s="43" t="s">
        <v>38</v>
      </c>
      <c r="C82" s="54" t="s">
        <v>33</v>
      </c>
      <c r="D82" s="45">
        <v>4</v>
      </c>
      <c r="E82" s="46"/>
      <c r="F82" s="55"/>
      <c r="G82" s="47"/>
      <c r="H82" s="47"/>
      <c r="I82" s="46"/>
      <c r="J82" s="46"/>
      <c r="K82" s="48">
        <f t="shared" si="32"/>
      </c>
      <c r="L82" s="49"/>
      <c r="M82" s="50"/>
      <c r="N82" s="47"/>
      <c r="O82" s="47"/>
      <c r="P82" s="48">
        <f t="shared" si="15"/>
      </c>
      <c r="Q82" s="51">
        <f t="shared" si="33"/>
      </c>
      <c r="R82" s="52">
        <f t="shared" si="16"/>
      </c>
      <c r="S82" s="51">
        <f t="shared" si="34"/>
      </c>
      <c r="T82" s="43"/>
      <c r="U82" s="43"/>
      <c r="V82" s="56"/>
      <c r="W82" s="56"/>
    </row>
    <row r="83">
      <c r="A83" s="42">
        <v>46314</v>
      </c>
      <c r="B83" s="43" t="s">
        <v>32</v>
      </c>
      <c r="C83" s="54" t="s">
        <v>35</v>
      </c>
      <c r="D83" s="45">
        <v>4</v>
      </c>
      <c r="E83" s="46"/>
      <c r="F83" s="57"/>
      <c r="G83" s="47"/>
      <c r="H83" s="47"/>
      <c r="I83" s="46"/>
      <c r="J83" s="46"/>
      <c r="K83" s="48">
        <f t="shared" si="32"/>
      </c>
      <c r="L83" s="49"/>
      <c r="M83" s="50"/>
      <c r="N83" s="47"/>
      <c r="O83" s="47"/>
      <c r="P83" s="48">
        <f t="shared" si="15"/>
      </c>
      <c r="Q83" s="51">
        <f t="shared" si="33"/>
      </c>
      <c r="R83" s="52">
        <f t="shared" si="16"/>
      </c>
      <c r="S83" s="51">
        <f t="shared" si="34"/>
      </c>
      <c r="T83" s="53" t="s">
        <v>26</v>
      </c>
      <c r="U83" s="53">
        <v>8</v>
      </c>
      <c r="V83" s="53" t="s">
        <v>36</v>
      </c>
      <c r="W83" s="53">
        <v>8</v>
      </c>
    </row>
    <row r="84">
      <c r="A84" s="42">
        <v>46314</v>
      </c>
      <c r="B84" s="43" t="s">
        <v>24</v>
      </c>
      <c r="C84" s="54" t="s">
        <v>37</v>
      </c>
      <c r="D84" s="45">
        <v>4</v>
      </c>
      <c r="E84" s="46"/>
      <c r="F84" s="58"/>
      <c r="G84" s="47"/>
      <c r="H84" s="47"/>
      <c r="I84" s="46"/>
      <c r="J84" s="46"/>
      <c r="K84" s="48">
        <f t="shared" si="32"/>
      </c>
      <c r="L84" s="49"/>
      <c r="M84" s="50"/>
      <c r="N84" s="47"/>
      <c r="O84" s="47"/>
      <c r="P84" s="48">
        <f t="shared" si="15"/>
      </c>
      <c r="Q84" s="51">
        <f t="shared" si="33"/>
      </c>
      <c r="R84" s="52">
        <f t="shared" si="16"/>
      </c>
      <c r="S84" s="51">
        <f t="shared" si="34"/>
      </c>
      <c r="T84" s="43"/>
      <c r="U84" s="43"/>
      <c r="V84" s="43"/>
      <c r="W84" s="43"/>
    </row>
    <row r="85">
      <c r="A85" s="59">
        <v>46314</v>
      </c>
      <c r="B85" s="60" t="s">
        <v>28</v>
      </c>
      <c r="C85" s="61"/>
      <c r="D85" s="62">
        <f>SUM(D81:D84)</f>
      </c>
      <c r="E85" s="62">
        <f>SUM(E81:E84)</f>
      </c>
      <c r="F85" s="62">
        <f>SUM(F81:F84)</f>
      </c>
      <c r="G85" s="62">
        <f>SUM(G81:G84)</f>
      </c>
      <c r="H85" s="62">
        <f>SUM(H81:H84)</f>
      </c>
      <c r="I85" s="62">
        <f>SUM(I81:I84)</f>
      </c>
      <c r="J85" s="62">
        <f>SUM(J81:J84)</f>
      </c>
      <c r="K85" s="62">
        <f>SUM(K81:K84)</f>
      </c>
      <c r="L85" s="62">
        <f>SUM(L81:L84)</f>
      </c>
      <c r="M85" s="62">
        <f>SUM(M81:M84)</f>
      </c>
      <c r="N85" s="62">
        <f>SUM(N81:N84)</f>
      </c>
      <c r="O85" s="62">
        <f>SUM(O81:O84)</f>
      </c>
      <c r="P85" s="62">
        <f>SUM(P81:P84)</f>
      </c>
      <c r="Q85" s="63">
        <f t="shared" si="33"/>
      </c>
      <c r="R85" s="63">
        <f t="shared" si="16"/>
      </c>
      <c r="S85" s="63">
        <f t="shared" si="34"/>
      </c>
      <c r="T85" s="62"/>
      <c r="U85" s="62">
        <f>SUM(U81:U84)</f>
      </c>
      <c r="V85" s="62"/>
      <c r="W85" s="62">
        <f>SUM(W81:W84)</f>
      </c>
    </row>
  </sheetData>
  <autoFilter ref="A1:W85">
    <filterColumn colId="0">
      <filters>
        <dateGroupItem dateTimeGrouping="day" day="19" month="10" year="2026"/>
      </filters>
    </filterColumn>
  </autoFilter>
  <dataValidations count="3">
    <dataValidation allowBlank="true" errorStyle="stop" showErrorMessage="true" sqref="B2:B2" type="list">
      <formula1>"张仪凡,路孟玲,边丽媛,刘丽杰"</formula1>
    </dataValidation>
    <dataValidation allowBlank="true" errorStyle="stop" showErrorMessage="true" sqref="B4:B7 B9:B12 B14:B17 B19:B22 B24:B27 B29:B32 B34:B37 B39:B42 B44:B47 B49:B52 B54:B57 B59:B62 B64:B67" type="list">
      <formula1>"张仪凡,路孟玲,边丽媛,刘丽杰,王梦晴,申丽媛"</formula1>
    </dataValidation>
    <dataValidation allowBlank="true" errorStyle="stop" showErrorMessage="true" sqref="B69:B73 B75:B79 B81:B84" type="list">
      <formula1>"张仪凡,路孟玲,边丽媛,刘丽杰,王梦晴,申丽媛,赵若含"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16"/>
  <cols>
    <col collapsed="false" customWidth="true" hidden="false" max="39" min="39" style="0" width="15.574383802816902"/>
    <col collapsed="false" customWidth="true" hidden="false" max="71" min="71" style="0" width="15.574383802816902"/>
    <col collapsed="false" customWidth="true" hidden="false" max="104" min="104" style="0" width="15.574383802816902"/>
    <col collapsed="false" customWidth="true" hidden="false" max="136" min="136" style="0" width="15.574383802816902"/>
    <col collapsed="false" customWidth="true" hidden="false" max="165" min="165" style="0" width="15.574383802816902"/>
    <col collapsed="false" customWidth="true" hidden="false" max="1" min="1" style="0" width="11.211267605633802"/>
    <col collapsed="false" customWidth="true" hidden="false" max="34" min="34" style="0" width="15.574383802816902"/>
    <col collapsed="false" customWidth="true" hidden="false" max="66" min="66" style="0" width="15.574383802816902"/>
    <col collapsed="false" customWidth="true" hidden="false" max="103" min="103" style="0" width="15.574383802816902"/>
    <col collapsed="false" customWidth="true" hidden="false" max="135" min="135" style="0" width="15.574383802816902"/>
    <col collapsed="false" customWidth="true" hidden="false" max="168" min="168" style="0" width="15.574383802816902"/>
    <col collapsed="false" customWidth="true" hidden="false" max="4" min="4" style="0" width="11.211267605633802"/>
    <col collapsed="false" customWidth="true" hidden="false" max="33" min="33" style="0" width="15.574383802816902"/>
    <col collapsed="false" customWidth="true" hidden="false" max="65" min="65" style="0" width="15.574383802816902"/>
    <col collapsed="false" customWidth="true" hidden="false" max="98" min="98" style="0" width="15.574383802816902"/>
    <col collapsed="false" customWidth="true" hidden="false" max="130" min="130" style="0" width="15.574383802816902"/>
    <col collapsed="false" customWidth="true" hidden="false" max="167" min="167" style="0" width="15.574383802816902"/>
    <col collapsed="false" customWidth="true" hidden="false" max="36" min="36" style="0" width="15.574383802816902"/>
    <col collapsed="false" customWidth="true" hidden="false" max="68" min="68" style="0" width="15.574383802816902"/>
    <col collapsed="false" customWidth="true" hidden="false" max="97" min="97" style="0" width="15.574383802816902"/>
    <col collapsed="false" customWidth="true" hidden="false" max="129" min="129" style="0" width="15.574383802816902"/>
    <col collapsed="false" customWidth="true" hidden="false" max="162" min="162" style="0" width="15.574383802816902"/>
    <col collapsed="false" customWidth="true" hidden="false" max="35" min="35" style="0" width="15.574383802816902"/>
    <col collapsed="false" customWidth="true" hidden="false" max="67" min="67" style="0" width="15.574383802816902"/>
    <col collapsed="false" customWidth="true" hidden="false" max="100" min="100" style="0" width="15.574383802816902"/>
    <col collapsed="false" customWidth="true" hidden="false" max="132" min="132" style="0" width="15.574383802816902"/>
    <col collapsed="false" customWidth="true" hidden="false" max="161" min="161" style="0" width="15.574383802816902"/>
    <col collapsed="false" customWidth="true" hidden="false" max="164" min="164" style="0" width="15.574383802816902"/>
    <col collapsed="false" customWidth="true" hidden="false" max="30" min="30" style="0" width="15.574383802816902"/>
    <col collapsed="false" customWidth="true" hidden="false" max="62" min="62" style="0" width="15.574383802816902"/>
    <col collapsed="false" customWidth="true" hidden="false" max="99" min="99" style="0" width="15.574383802816902"/>
    <col collapsed="false" customWidth="true" hidden="false" max="131" min="131" style="0" width="15.574383802816902"/>
    <col collapsed="false" customWidth="true" hidden="false" max="163" min="163" style="0" width="15.574383802816902"/>
    <col collapsed="false" customWidth="true" hidden="false" max="29" min="29" style="0" width="15.574383802816902"/>
    <col collapsed="false" customWidth="true" hidden="false" max="61" min="61" style="0" width="15.574383802816902"/>
    <col collapsed="false" customWidth="true" hidden="false" max="94" min="94" style="0" width="15.574383802816902"/>
    <col collapsed="false" customWidth="true" hidden="false" max="126" min="126" style="0" width="15.574383802816902"/>
    <col collapsed="false" customWidth="true" hidden="false" max="158" min="158" style="0" width="15.574383802816902"/>
    <col collapsed="false" customWidth="true" hidden="false" max="32" min="32" style="0" width="15.574383802816902"/>
    <col collapsed="false" customWidth="true" hidden="false" max="64" min="64" style="0" width="15.574383802816902"/>
    <col collapsed="false" customWidth="true" hidden="false" max="93" min="93" style="0" width="15.574383802816902"/>
    <col collapsed="false" customWidth="true" hidden="false" max="125" min="125" style="0" width="15.574383802816902"/>
    <col collapsed="false" customWidth="true" hidden="false" max="157" min="157" style="0" width="15.574383802816902"/>
    <col collapsed="false" customWidth="true" hidden="false" max="31" min="31" style="0" width="15.574383802816902"/>
    <col collapsed="false" customWidth="true" hidden="false" max="63" min="63" style="0" width="15.574383802816902"/>
    <col collapsed="false" customWidth="true" hidden="false" max="96" min="96" style="0" width="15.574383802816902"/>
    <col collapsed="false" customWidth="true" hidden="false" max="128" min="128" style="0" width="15.574383802816902"/>
    <col collapsed="false" customWidth="true" hidden="false" max="160" min="160" style="0" width="15.574383802816902"/>
    <col collapsed="false" customWidth="true" hidden="false" max="26" min="26" style="0" width="15.574383802816902"/>
    <col collapsed="false" customWidth="true" hidden="false" max="58" min="58" style="0" width="15.574383802816902"/>
    <col collapsed="false" customWidth="true" hidden="false" max="90" min="90" style="0" width="15.574383802816902"/>
    <col collapsed="false" customWidth="true" hidden="false" max="95" min="95" style="0" width="15.574383802816902"/>
    <col collapsed="false" customWidth="true" hidden="false" max="127" min="127" style="0" width="15.574383802816902"/>
    <col collapsed="false" customWidth="true" hidden="false" max="159" min="159" style="0" width="15.574383802816902"/>
    <col collapsed="false" customWidth="true" hidden="false" max="25" min="25" style="0" width="15.574383802816902"/>
    <col collapsed="false" customWidth="true" hidden="false" max="57" min="57" style="0" width="15.574383802816902"/>
    <col collapsed="false" customWidth="true" hidden="false" max="89" min="89" style="0" width="15.574383802816902"/>
    <col collapsed="false" customWidth="true" hidden="false" max="122" min="122" style="0" width="15.574383802816902"/>
    <col collapsed="false" customWidth="true" hidden="false" max="154" min="154" style="0" width="15.574383802816902"/>
    <col collapsed="false" customWidth="true" hidden="false" max="28" min="28" style="0" width="15.574383802816902"/>
    <col collapsed="false" customWidth="true" hidden="false" max="60" min="60" style="0" width="15.574383802816902"/>
    <col collapsed="false" customWidth="true" hidden="false" max="92" min="92" style="0" width="15.574383802816902"/>
    <col collapsed="false" customWidth="true" hidden="false" max="121" min="121" style="0" width="15.574383802816902"/>
    <col collapsed="false" customWidth="true" hidden="false" max="153" min="153" style="0" width="15.574383802816902"/>
    <col collapsed="false" customWidth="true" hidden="false" max="186" min="186" style="0" width="13.977992957746478"/>
    <col collapsed="false" customWidth="true" hidden="false" max="27" min="27" style="0" width="15.574383802816902"/>
    <col collapsed="false" customWidth="true" hidden="false" max="59" min="59" style="0" width="15.574383802816902"/>
    <col collapsed="false" customWidth="true" hidden="false" max="91" min="91" style="0" width="15.574383802816902"/>
    <col collapsed="false" customWidth="true" hidden="false" max="124" min="124" style="0" width="15.574383802816902"/>
    <col collapsed="false" customWidth="true" hidden="false" max="156" min="156" style="0" width="15.574383802816902"/>
    <col collapsed="false" customWidth="true" hidden="false" max="185" min="185" style="0" width="12.64480633802817"/>
    <col collapsed="false" customWidth="true" hidden="false" max="22" min="22" style="0" width="15.574383802816902"/>
    <col collapsed="false" customWidth="true" hidden="false" max="54" min="54" style="0" width="15.574383802816902"/>
    <col collapsed="false" customWidth="true" hidden="false" max="86" min="86" style="0" width="15.574383802816902"/>
    <col collapsed="false" customWidth="true" hidden="false" max="123" min="123" style="0" width="15.574383802816902"/>
    <col collapsed="false" customWidth="true" hidden="false" max="155" min="155" style="0" width="15.574383802816902"/>
    <col collapsed="false" customWidth="true" hidden="false" max="21" min="21" style="0" width="15.574383802816902"/>
    <col collapsed="false" customWidth="true" hidden="false" max="24" min="24" style="0" width="15.574383802816902"/>
    <col collapsed="false" customWidth="true" hidden="false" max="53" min="53" style="0" width="15.574383802816902"/>
    <col collapsed="false" customWidth="true" hidden="false" max="85" min="85" style="0" width="15.574383802816902"/>
    <col collapsed="false" customWidth="true" hidden="false" max="118" min="118" style="0" width="15.574383802816902"/>
    <col collapsed="false" customWidth="true" hidden="false" max="150" min="150" style="0" width="12.64480633802817"/>
    <col collapsed="false" customWidth="true" hidden="false" max="23" min="23" style="0" width="15.574383802816902"/>
    <col collapsed="false" customWidth="true" hidden="false" max="56" min="56" style="0" width="15.574383802816902"/>
    <col collapsed="false" customWidth="true" hidden="false" max="88" min="88" style="0" width="15.574383802816902"/>
    <col collapsed="false" customWidth="true" hidden="false" max="117" min="117" style="0" width="15.574383802816902"/>
    <col collapsed="false" customWidth="true" hidden="false" max="149" min="149" style="0" width="14.109595070422536"/>
    <col collapsed="false" customWidth="true" hidden="false" max="182" min="182" style="0" width="12.64480633802817"/>
    <col collapsed="false" customWidth="true" hidden="false" max="18" min="18" style="0" width="15.574383802816902"/>
    <col collapsed="false" customWidth="true" hidden="false" max="55" min="55" style="0" width="15.574383802816902"/>
    <col collapsed="false" customWidth="true" hidden="false" max="87" min="87" style="0" width="15.574383802816902"/>
    <col collapsed="false" customWidth="true" hidden="false" max="120" min="120" style="0" width="15.574383802816902"/>
    <col collapsed="false" customWidth="true" hidden="false" max="152" min="152" style="0" width="15.574383802816902"/>
    <col collapsed="false" customWidth="true" hidden="false" max="181" min="181" style="0" width="15.574383802816902"/>
    <col collapsed="false" customWidth="true" hidden="false" max="17" min="17" style="0" width="11.211267605633802"/>
    <col collapsed="false" customWidth="true" hidden="false" max="50" min="50" style="0" width="15.574383802816902"/>
    <col collapsed="false" customWidth="true" hidden="false" max="82" min="82" style="0" width="15.574383802816902"/>
    <col collapsed="false" customWidth="true" hidden="false" max="119" min="119" style="0" width="15.574383802816902"/>
    <col collapsed="false" customWidth="true" hidden="false" max="151" min="151" style="0" width="12.64480633802817"/>
    <col collapsed="false" customWidth="true" hidden="false" max="184" min="184" style="0" width="14.109595070422536"/>
    <col collapsed="false" customWidth="true" hidden="false" max="20" min="20" style="0" width="15.574383802816902"/>
    <col collapsed="false" customWidth="true" hidden="false" max="49" min="49" style="0" width="15.574383802816902"/>
    <col collapsed="false" customWidth="true" hidden="false" max="81" min="81" style="0" width="15.574383802816902"/>
    <col collapsed="false" customWidth="true" hidden="false" max="114" min="114" style="0" width="15.574383802816902"/>
    <col collapsed="false" customWidth="true" hidden="false" max="146" min="146" style="0" width="11.211267605633802"/>
    <col collapsed="false" customWidth="true" hidden="false" max="183" min="183" style="0" width="14.109595070422536"/>
    <col collapsed="false" customWidth="true" hidden="false" max="19" min="19" style="0" width="15.574383802816902"/>
    <col collapsed="false" customWidth="true" hidden="false" max="52" min="52" style="0" width="15.574383802816902"/>
    <col collapsed="false" customWidth="true" hidden="false" max="84" min="84" style="0" width="15.574383802816902"/>
    <col collapsed="false" customWidth="true" hidden="false" max="113" min="113" style="0" width="15.574383802816902"/>
    <col collapsed="false" customWidth="true" hidden="false" max="145" min="145" style="0" width="15.574383802816902"/>
    <col collapsed="false" customWidth="true" hidden="false" max="178" min="178" style="0" width="15.574383802816902"/>
    <col collapsed="false" customWidth="true" hidden="false" max="14" min="14" style="0" width="12.64480633802817"/>
    <col collapsed="false" customWidth="true" hidden="false" max="51" min="51" style="0" width="15.574383802816902"/>
    <col collapsed="false" customWidth="true" hidden="false" max="83" min="83" style="0" width="15.574383802816902"/>
    <col collapsed="false" customWidth="true" hidden="false" max="116" min="116" style="0" width="15.574383802816902"/>
    <col collapsed="false" customWidth="true" hidden="false" max="148" min="148" style="0" width="14.109595070422536"/>
    <col collapsed="false" customWidth="true" hidden="false" max="177" min="177" style="0" width="15.574383802816902"/>
    <col collapsed="false" customWidth="true" hidden="false" max="13" min="13" style="0" width="12.56338028169014"/>
    <col collapsed="false" customWidth="true" hidden="false" max="46" min="46" style="0" width="15.574383802816902"/>
    <col collapsed="false" customWidth="true" hidden="false" max="78" min="78" style="0" width="15.574383802816902"/>
    <col collapsed="false" customWidth="true" hidden="false" max="115" min="115" style="0" width="15.574383802816902"/>
    <col collapsed="false" customWidth="true" hidden="false" max="147" min="147" style="0" width="15.574383802816902"/>
    <col collapsed="false" customWidth="true" hidden="false" max="180" min="180" style="0" width="11.211267605633802"/>
    <col collapsed="false" customWidth="true" hidden="false" max="16" min="16" style="0" width="11.211267605633802"/>
    <col collapsed="false" customWidth="true" hidden="false" max="45" min="45" style="0" width="15.574383802816902"/>
    <col collapsed="false" customWidth="true" hidden="false" max="77" min="77" style="0" width="15.574383802816902"/>
    <col collapsed="false" customWidth="true" hidden="false" max="110" min="110" style="0" width="15.574383802816902"/>
    <col collapsed="false" customWidth="true" hidden="false" max="142" min="142" style="0" width="15.574383802816902"/>
    <col collapsed="false" customWidth="true" hidden="false" max="179" min="179" style="0" width="12.64480633802817"/>
    <col collapsed="false" customWidth="true" hidden="false" max="15" min="15" style="0" width="14.109595070422536"/>
    <col collapsed="false" customWidth="true" hidden="false" max="48" min="48" style="0" width="15.574383802816902"/>
    <col collapsed="false" customWidth="true" hidden="false" max="80" min="80" style="0" width="15.574383802816902"/>
    <col collapsed="false" customWidth="true" hidden="false" max="109" min="109" style="0" width="15.574383802816902"/>
    <col collapsed="false" customWidth="true" hidden="false" max="141" min="141" style="0" width="15.574383802816902"/>
    <col collapsed="false" customWidth="true" hidden="false" max="174" min="174" style="0" width="15.574383802816902"/>
    <col collapsed="false" customWidth="true" hidden="false" max="10" min="10" style="0" width="14.109595070422536"/>
    <col collapsed="false" customWidth="true" hidden="false" max="47" min="47" style="0" width="15.574383802816902"/>
    <col collapsed="false" customWidth="true" hidden="false" max="79" min="79" style="0" width="15.574383802816902"/>
    <col collapsed="false" customWidth="true" hidden="false" max="112" min="112" style="0" width="15.574383802816902"/>
    <col collapsed="false" customWidth="true" hidden="false" max="144" min="144" style="0" width="15.574383802816902"/>
    <col collapsed="false" customWidth="true" hidden="false" max="173" min="173" style="0" width="15.574383802816902"/>
    <col collapsed="false" customWidth="true" hidden="false" max="9" min="9" style="0" width="11.211267605633802"/>
    <col collapsed="false" customWidth="true" hidden="false" max="42" min="42" style="0" width="15.574383802816902"/>
    <col collapsed="false" customWidth="true" hidden="false" max="74" min="74" style="0" width="15.574383802816902"/>
    <col collapsed="false" customWidth="true" hidden="false" max="111" min="111" style="0" width="15.574383802816902"/>
    <col collapsed="false" customWidth="true" hidden="false" max="143" min="143" style="0" width="15.574383802816902"/>
    <col collapsed="false" customWidth="true" hidden="false" max="176" min="176" style="0" width="15.574383802816902"/>
    <col collapsed="false" customWidth="true" hidden="false" max="12" min="12" style="0" width="15.574383802816902"/>
    <col collapsed="false" customWidth="true" hidden="false" max="41" min="41" style="0" width="15.574383802816902"/>
    <col collapsed="false" customWidth="true" hidden="false" max="73" min="73" style="0" width="15.574383802816902"/>
    <col collapsed="false" customWidth="true" hidden="false" max="106" min="106" style="0" width="15.574383802816902"/>
    <col collapsed="false" customWidth="true" hidden="false" max="138" min="138" style="0" width="15.574383802816902"/>
    <col collapsed="false" customWidth="true" hidden="false" max="175" min="175" style="0" width="15.574383802816902"/>
    <col collapsed="false" customWidth="true" hidden="false" max="11" min="11" style="0" width="11.211267605633802"/>
    <col collapsed="false" customWidth="true" hidden="false" max="44" min="44" style="0" width="15.574383802816902"/>
    <col collapsed="false" customWidth="true" hidden="false" max="76" min="76" style="0" width="15.574383802816902"/>
    <col collapsed="false" customWidth="true" hidden="false" max="105" min="105" style="0" width="15.574383802816902"/>
    <col collapsed="false" customWidth="true" hidden="false" max="137" min="137" style="0" width="15.574383802816902"/>
    <col collapsed="false" customWidth="true" hidden="false" max="170" min="170" style="0" width="15.574383802816902"/>
    <col collapsed="false" customWidth="true" hidden="false" max="6" min="6" style="0" width="14.109595070422536"/>
    <col collapsed="false" customWidth="true" hidden="false" max="43" min="43" style="0" width="15.574383802816902"/>
    <col collapsed="false" customWidth="true" hidden="false" max="75" min="75" style="0" width="15.574383802816902"/>
    <col collapsed="false" customWidth="true" hidden="false" max="108" min="108" style="0" width="15.574383802816902"/>
    <col collapsed="false" customWidth="true" hidden="false" max="140" min="140" style="0" width="15.574383802816902"/>
    <col collapsed="false" customWidth="true" hidden="false" max="169" min="169" style="0" width="15.574383802816902"/>
    <col collapsed="false" customWidth="true" hidden="false" max="5" min="5" style="0" width="11.211267605633802"/>
    <col collapsed="false" customWidth="true" hidden="false" max="38" min="38" style="0" width="15.574383802816902"/>
    <col collapsed="false" customWidth="true" hidden="false" max="70" min="70" style="0" width="15.574383802816902"/>
    <col collapsed="false" customWidth="true" hidden="false" max="107" min="107" style="0" width="15.574383802816902"/>
    <col collapsed="false" customWidth="true" hidden="false" max="139" min="139" style="0" width="15.574383802816902"/>
    <col collapsed="false" customWidth="true" hidden="false" max="172" min="172" style="0" width="15.574383802816902"/>
    <col collapsed="false" customWidth="true" hidden="false" max="8" min="8" style="0" width="11.211267605633802"/>
    <col collapsed="false" customWidth="true" hidden="false" max="37" min="37" style="0" width="15.574383802816902"/>
    <col collapsed="false" customWidth="true" hidden="false" max="69" min="69" style="0" width="15.574383802816902"/>
    <col collapsed="false" customWidth="true" hidden="false" max="102" min="102" style="0" width="15.574383802816902"/>
    <col collapsed="false" customWidth="true" hidden="false" max="134" min="134" style="0" width="15.574383802816902"/>
    <col collapsed="false" customWidth="true" hidden="false" max="171" min="171" style="0" width="15.574383802816902"/>
    <col collapsed="false" customWidth="true" hidden="false" max="7" min="7" style="0" width="14.109595070422536"/>
    <col collapsed="false" customWidth="true" hidden="false" max="40" min="40" style="0" width="15.574383802816902"/>
    <col collapsed="false" customWidth="true" hidden="false" max="72" min="72" style="0" width="15.574383802816902"/>
    <col collapsed="false" customWidth="true" hidden="false" max="101" min="101" style="0" width="15.574383802816902"/>
    <col collapsed="false" customWidth="true" hidden="false" max="133" min="133" style="0" width="15.574383802816902"/>
    <col collapsed="false" customWidth="true" hidden="false" max="166" min="166" style="0" width="15.574383802816902"/>
  </cols>
  <sheetData>
    <row r="1">
      <c r="A1" s="64" t="s">
        <v>50</v>
      </c>
      <c r="B1" s="65" t="s">
        <v>51</v>
      </c>
      <c r="C1" s="64" t="s">
        <v>52</v>
      </c>
      <c r="D1" s="64" t="s">
        <v>53</v>
      </c>
      <c r="E1" s="66" t="s">
        <v>54</v>
      </c>
      <c r="F1" s="64" t="s">
        <v>55</v>
      </c>
      <c r="G1" s="67" t="s">
        <v>56</v>
      </c>
      <c r="H1" s="67" t="s">
        <v>57</v>
      </c>
      <c r="I1" s="67" t="s">
        <v>58</v>
      </c>
      <c r="J1" s="67" t="s">
        <v>59</v>
      </c>
      <c r="K1" s="67" t="s">
        <v>60</v>
      </c>
      <c r="L1" s="68" t="s">
        <v>61</v>
      </c>
      <c r="M1" s="69" t="s">
        <v>62</v>
      </c>
      <c r="N1" s="64" t="s">
        <v>63</v>
      </c>
      <c r="O1" s="70" t="s">
        <v>64</v>
      </c>
      <c r="P1" s="66" t="s">
        <v>65</v>
      </c>
      <c r="Q1" s="66" t="s">
        <v>66</v>
      </c>
      <c r="R1" s="66" t="s">
        <v>67</v>
      </c>
      <c r="S1" s="66" t="s">
        <v>68</v>
      </c>
      <c r="T1" s="64" t="s">
        <v>69</v>
      </c>
      <c r="U1" s="64" t="s">
        <v>70</v>
      </c>
      <c r="V1" s="71" t="s">
        <v>71</v>
      </c>
      <c r="W1" s="71" t="s">
        <v>72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  <c r="GD1" s="71"/>
    </row>
    <row r="2">
      <c r="A2" s="72">
        <v>46266</v>
      </c>
      <c r="B2" s="73" t="s">
        <v>73</v>
      </c>
      <c r="C2" s="74" t="s">
        <v>74</v>
      </c>
      <c r="D2" s="75">
        <v>5</v>
      </c>
      <c r="E2" s="76">
        <v>9966.44</v>
      </c>
      <c r="F2" s="75">
        <v>23</v>
      </c>
      <c r="G2" s="77">
        <v>19</v>
      </c>
      <c r="H2" s="77">
        <v>25006.699999999997</v>
      </c>
      <c r="I2" s="76">
        <v>0</v>
      </c>
      <c r="J2" s="76">
        <v>0</v>
      </c>
      <c r="K2" s="78">
        <f t="shared" ref="K2:K4" si="2">G2+I2</f>
      </c>
      <c r="L2" s="79">
        <v>8</v>
      </c>
      <c r="M2" s="80">
        <v>10</v>
      </c>
      <c r="N2" s="77">
        <v>4</v>
      </c>
      <c r="O2" s="77">
        <v>9</v>
      </c>
      <c r="P2" s="81">
        <f t="shared" ref="P2:P4" si="33">J2+H2</f>
      </c>
      <c r="Q2" s="82">
        <f t="shared" ref="Q2:Q151" si="0">P2/E2</f>
      </c>
      <c r="R2" s="83">
        <f t="shared" ref="R2:R151" si="32">P2/K2</f>
      </c>
      <c r="S2" s="82">
        <f t="shared" ref="S2:S151" si="1">E2/K2</f>
      </c>
      <c r="T2" s="73" t="s">
        <v>75</v>
      </c>
      <c r="U2" s="73">
        <v>5</v>
      </c>
      <c r="V2" s="84" t="s">
        <v>76</v>
      </c>
      <c r="W2" s="73">
        <v>14</v>
      </c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</row>
    <row r="3">
      <c r="A3" s="72">
        <v>46266</v>
      </c>
      <c r="B3" s="73" t="s">
        <v>77</v>
      </c>
      <c r="C3" s="85" t="s">
        <v>78</v>
      </c>
      <c r="D3" s="75">
        <v>4</v>
      </c>
      <c r="E3" s="76">
        <v>8676.61</v>
      </c>
      <c r="F3" s="86">
        <v>16</v>
      </c>
      <c r="G3" s="77">
        <v>13</v>
      </c>
      <c r="H3" s="77">
        <v>21122</v>
      </c>
      <c r="I3" s="76">
        <v>0</v>
      </c>
      <c r="J3" s="76">
        <v>0</v>
      </c>
      <c r="K3" s="78">
        <f t="shared" si="2"/>
      </c>
      <c r="L3" s="79">
        <v>8</v>
      </c>
      <c r="M3" s="80">
        <v>12</v>
      </c>
      <c r="N3" s="77">
        <v>3</v>
      </c>
      <c r="O3" s="77">
        <v>4</v>
      </c>
      <c r="P3" s="81">
        <f t="shared" si="33"/>
      </c>
      <c r="Q3" s="82">
        <f t="shared" si="0"/>
      </c>
      <c r="R3" s="83">
        <f t="shared" si="32"/>
      </c>
      <c r="S3" s="82">
        <f t="shared" si="1"/>
      </c>
      <c r="T3" s="73" t="s">
        <v>79</v>
      </c>
      <c r="U3" s="73">
        <v>1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</row>
    <row r="4">
      <c r="A4" s="72">
        <v>46266</v>
      </c>
      <c r="B4" s="73" t="s">
        <v>80</v>
      </c>
      <c r="C4" s="85" t="s">
        <v>81</v>
      </c>
      <c r="D4" s="75">
        <v>5</v>
      </c>
      <c r="E4" s="76">
        <v>9566.5</v>
      </c>
      <c r="F4" s="88">
        <v>8</v>
      </c>
      <c r="G4" s="77">
        <v>8</v>
      </c>
      <c r="H4" s="77">
        <v>9871.599999999999</v>
      </c>
      <c r="I4" s="76">
        <v>1</v>
      </c>
      <c r="J4" s="76">
        <v>423</v>
      </c>
      <c r="K4" s="78">
        <f t="shared" si="2"/>
      </c>
      <c r="L4" s="79">
        <v>9</v>
      </c>
      <c r="M4" s="80">
        <v>8</v>
      </c>
      <c r="N4" s="77">
        <v>0</v>
      </c>
      <c r="O4" s="77">
        <v>3</v>
      </c>
      <c r="P4" s="81">
        <f t="shared" si="33"/>
      </c>
      <c r="Q4" s="82">
        <f t="shared" si="0"/>
      </c>
      <c r="R4" s="83">
        <f t="shared" si="32"/>
      </c>
      <c r="S4" s="82">
        <f t="shared" si="1"/>
      </c>
      <c r="T4" s="73" t="s">
        <v>82</v>
      </c>
      <c r="U4" s="73">
        <v>8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</row>
    <row r="5">
      <c r="A5" s="89">
        <v>46266</v>
      </c>
      <c r="B5" s="90" t="s">
        <v>83</v>
      </c>
      <c r="C5" s="91"/>
      <c r="D5" s="92">
        <f>SUM(D2:D4)</f>
      </c>
      <c r="E5" s="92">
        <f>SUM(E2:E4)</f>
      </c>
      <c r="F5" s="92">
        <f>SUM(F2:F4)</f>
      </c>
      <c r="G5" s="92">
        <f>SUM(G2:G4)</f>
      </c>
      <c r="H5" s="92">
        <f>SUM(H2:H4)</f>
      </c>
      <c r="I5" s="92">
        <f>SUM(I2:I4)</f>
      </c>
      <c r="J5" s="92">
        <f>SUM(J2:J4)</f>
      </c>
      <c r="K5" s="92">
        <f>SUM(K2:K4)</f>
      </c>
      <c r="L5" s="92">
        <f>SUM(L2:L4)</f>
      </c>
      <c r="M5" s="92">
        <f>SUM(M2:M4)</f>
      </c>
      <c r="N5" s="92">
        <f>SUM(N2:N4)</f>
      </c>
      <c r="O5" s="92">
        <f>SUM(O2:O4)</f>
      </c>
      <c r="P5" s="92">
        <f>SUM(P2:P4)</f>
      </c>
      <c r="Q5" s="93">
        <f t="shared" si="0"/>
      </c>
      <c r="R5" s="93">
        <f t="shared" si="32"/>
      </c>
      <c r="S5" s="93">
        <f t="shared" si="1"/>
      </c>
      <c r="T5" s="92"/>
      <c r="U5" s="92">
        <f>SUM(U2:U4)</f>
      </c>
      <c r="V5" s="92"/>
      <c r="W5" s="92">
        <f>SUM(W2:W4)</f>
      </c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/>
      <c r="FK5" s="92"/>
      <c r="FL5" s="92"/>
      <c r="FM5" s="92"/>
      <c r="FN5" s="92"/>
      <c r="FO5" s="92"/>
      <c r="FP5" s="92"/>
      <c r="FQ5" s="92"/>
      <c r="FR5" s="92"/>
      <c r="FS5" s="92"/>
      <c r="FT5" s="92"/>
      <c r="FU5" s="92"/>
      <c r="FV5" s="92"/>
      <c r="FW5" s="92"/>
      <c r="FX5" s="92"/>
      <c r="FY5" s="92"/>
      <c r="FZ5" s="92"/>
      <c r="GA5" s="92"/>
      <c r="GB5" s="92"/>
      <c r="GC5" s="92"/>
      <c r="GD5" s="92"/>
    </row>
    <row r="6">
      <c r="A6" s="72">
        <v>46267</v>
      </c>
      <c r="B6" s="73" t="s">
        <v>73</v>
      </c>
      <c r="C6" s="74" t="s">
        <v>74</v>
      </c>
      <c r="D6" s="75">
        <v>5</v>
      </c>
      <c r="E6" s="76">
        <v>12683.93</v>
      </c>
      <c r="F6" s="75">
        <v>18</v>
      </c>
      <c r="G6" s="77">
        <v>12</v>
      </c>
      <c r="H6" s="77">
        <v>19686</v>
      </c>
      <c r="I6" s="76">
        <v>2</v>
      </c>
      <c r="J6" s="76">
        <v>837</v>
      </c>
      <c r="K6" s="78">
        <f t="shared" ref="K6:K8" si="3">G6+I6</f>
      </c>
      <c r="L6" s="79">
        <v>9</v>
      </c>
      <c r="M6" s="80">
        <v>12</v>
      </c>
      <c r="N6" s="77">
        <v>0</v>
      </c>
      <c r="O6" s="77">
        <v>5</v>
      </c>
      <c r="P6" s="81">
        <f t="shared" ref="P6:P8" si="34">J6+H6</f>
      </c>
      <c r="Q6" s="82">
        <f t="shared" si="0"/>
      </c>
      <c r="R6" s="83">
        <f t="shared" si="32"/>
      </c>
      <c r="S6" s="82">
        <f t="shared" si="1"/>
      </c>
      <c r="T6" s="73" t="s">
        <v>75</v>
      </c>
      <c r="U6" s="73">
        <v>5</v>
      </c>
      <c r="V6" s="84" t="s">
        <v>76</v>
      </c>
      <c r="W6" s="73">
        <v>14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</row>
    <row r="7">
      <c r="A7" s="72">
        <v>46267</v>
      </c>
      <c r="B7" s="73" t="s">
        <v>80</v>
      </c>
      <c r="C7" s="85" t="s">
        <v>78</v>
      </c>
      <c r="D7" s="75">
        <v>4</v>
      </c>
      <c r="E7" s="76">
        <v>9250.74</v>
      </c>
      <c r="F7" s="86">
        <v>9</v>
      </c>
      <c r="G7" s="77">
        <v>6</v>
      </c>
      <c r="H7" s="77">
        <v>9691.400000000001</v>
      </c>
      <c r="I7" s="76">
        <v>0</v>
      </c>
      <c r="J7" s="76">
        <v>0</v>
      </c>
      <c r="K7" s="78">
        <f t="shared" si="3"/>
      </c>
      <c r="L7" s="79">
        <v>5</v>
      </c>
      <c r="M7" s="80">
        <v>10</v>
      </c>
      <c r="N7" s="77">
        <v>0</v>
      </c>
      <c r="O7" s="77">
        <v>3</v>
      </c>
      <c r="P7" s="81">
        <f t="shared" si="34"/>
      </c>
      <c r="Q7" s="82">
        <f t="shared" si="0"/>
      </c>
      <c r="R7" s="83">
        <f t="shared" si="32"/>
      </c>
      <c r="S7" s="82">
        <f t="shared" si="1"/>
      </c>
      <c r="T7" s="73" t="s">
        <v>79</v>
      </c>
      <c r="U7" s="73">
        <v>1</v>
      </c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  <c r="FU7" s="87"/>
      <c r="FV7" s="87"/>
      <c r="FW7" s="87"/>
      <c r="FX7" s="87"/>
      <c r="FY7" s="87"/>
      <c r="FZ7" s="87"/>
      <c r="GA7" s="87"/>
      <c r="GB7" s="87"/>
      <c r="GC7" s="87"/>
      <c r="GD7" s="87"/>
    </row>
    <row r="8">
      <c r="A8" s="72">
        <v>46267</v>
      </c>
      <c r="B8" s="73" t="s">
        <v>84</v>
      </c>
      <c r="C8" s="85" t="s">
        <v>81</v>
      </c>
      <c r="D8" s="75">
        <v>5</v>
      </c>
      <c r="E8" s="76">
        <v>9644.21</v>
      </c>
      <c r="F8" s="88">
        <v>10</v>
      </c>
      <c r="G8" s="77">
        <v>8</v>
      </c>
      <c r="H8" s="77">
        <v>12840.699999999997</v>
      </c>
      <c r="I8" s="76">
        <v>2</v>
      </c>
      <c r="J8" s="76">
        <v>1278</v>
      </c>
      <c r="K8" s="78">
        <f t="shared" si="3"/>
      </c>
      <c r="L8" s="79">
        <v>6</v>
      </c>
      <c r="M8" s="80">
        <v>4</v>
      </c>
      <c r="N8" s="77">
        <v>3</v>
      </c>
      <c r="O8" s="77">
        <v>5</v>
      </c>
      <c r="P8" s="81">
        <f t="shared" si="34"/>
      </c>
      <c r="Q8" s="82">
        <f t="shared" si="0"/>
      </c>
      <c r="R8" s="83">
        <f t="shared" si="32"/>
      </c>
      <c r="S8" s="82">
        <f t="shared" si="1"/>
      </c>
      <c r="T8" s="73" t="s">
        <v>82</v>
      </c>
      <c r="U8" s="73">
        <v>8</v>
      </c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  <c r="GA8" s="87"/>
      <c r="GB8" s="87"/>
      <c r="GC8" s="87"/>
      <c r="GD8" s="87"/>
    </row>
    <row r="9">
      <c r="A9" s="89">
        <v>46267</v>
      </c>
      <c r="B9" s="90" t="s">
        <v>83</v>
      </c>
      <c r="C9" s="91"/>
      <c r="D9" s="92">
        <f>SUM(D6:D8)</f>
      </c>
      <c r="E9" s="92">
        <f>SUM(E6:E8)</f>
      </c>
      <c r="F9" s="92">
        <f>SUM(F6:F8)</f>
      </c>
      <c r="G9" s="92">
        <f>SUM(G6:G8)</f>
      </c>
      <c r="H9" s="92">
        <f>SUM(H6:H8)</f>
      </c>
      <c r="I9" s="92">
        <f>SUM(I6:I8)</f>
      </c>
      <c r="J9" s="92">
        <f>SUM(J6:J8)</f>
      </c>
      <c r="K9" s="92">
        <f>SUM(K6:K8)</f>
      </c>
      <c r="L9" s="92">
        <f>SUM(L6:L8)</f>
      </c>
      <c r="M9" s="92">
        <f>SUM(M6:M8)</f>
      </c>
      <c r="N9" s="92">
        <f>SUM(N6:N8)</f>
      </c>
      <c r="O9" s="92">
        <f>SUM(O6:O8)</f>
      </c>
      <c r="P9" s="92">
        <f>SUM(P6:P8)</f>
      </c>
      <c r="Q9" s="93">
        <f t="shared" si="0"/>
      </c>
      <c r="R9" s="93">
        <f t="shared" si="32"/>
      </c>
      <c r="S9" s="93">
        <f t="shared" si="1"/>
      </c>
      <c r="T9" s="92"/>
      <c r="U9" s="92">
        <f>SUM(U6:U8)</f>
      </c>
      <c r="V9" s="92"/>
      <c r="W9" s="92">
        <f>SUM(W6:W8)</f>
      </c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2"/>
      <c r="FT9" s="92"/>
      <c r="FU9" s="92"/>
      <c r="FV9" s="92"/>
      <c r="FW9" s="92"/>
      <c r="FX9" s="92"/>
      <c r="FY9" s="92"/>
      <c r="FZ9" s="92"/>
      <c r="GA9" s="92"/>
      <c r="GB9" s="92"/>
      <c r="GC9" s="92"/>
      <c r="GD9" s="92"/>
    </row>
    <row r="10">
      <c r="A10" s="72">
        <v>46268</v>
      </c>
      <c r="B10" s="73" t="s">
        <v>73</v>
      </c>
      <c r="C10" s="74" t="s">
        <v>74</v>
      </c>
      <c r="D10" s="75">
        <v>5</v>
      </c>
      <c r="E10" s="76">
        <v>11911.52</v>
      </c>
      <c r="F10" s="75">
        <v>20</v>
      </c>
      <c r="G10" s="77">
        <v>16</v>
      </c>
      <c r="H10" s="77">
        <v>20460</v>
      </c>
      <c r="I10" s="76">
        <v>2</v>
      </c>
      <c r="J10" s="76">
        <v>2832</v>
      </c>
      <c r="K10" s="78">
        <f t="shared" ref="K10:K12" si="4">G10+I10</f>
      </c>
      <c r="L10" s="79">
        <v>13</v>
      </c>
      <c r="M10" s="80">
        <v>15</v>
      </c>
      <c r="N10" s="77">
        <v>3</v>
      </c>
      <c r="O10" s="77">
        <v>7</v>
      </c>
      <c r="P10" s="81">
        <f t="shared" ref="P10:P12" si="35">J10+H10</f>
      </c>
      <c r="Q10" s="82">
        <f t="shared" si="0"/>
      </c>
      <c r="R10" s="83">
        <f t="shared" si="32"/>
      </c>
      <c r="S10" s="82">
        <f t="shared" si="1"/>
      </c>
      <c r="T10" s="73" t="s">
        <v>75</v>
      </c>
      <c r="U10" s="73">
        <v>4</v>
      </c>
      <c r="V10" s="84" t="s">
        <v>76</v>
      </c>
      <c r="W10" s="73">
        <v>14</v>
      </c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</row>
    <row r="11">
      <c r="A11" s="72">
        <v>46268</v>
      </c>
      <c r="B11" s="73" t="s">
        <v>84</v>
      </c>
      <c r="C11" s="85" t="s">
        <v>78</v>
      </c>
      <c r="D11" s="75">
        <v>4</v>
      </c>
      <c r="E11" s="76">
        <v>8339.03</v>
      </c>
      <c r="F11" s="86">
        <v>13</v>
      </c>
      <c r="G11" s="77">
        <v>8</v>
      </c>
      <c r="H11" s="77">
        <v>9186.8</v>
      </c>
      <c r="I11" s="76">
        <v>1</v>
      </c>
      <c r="J11" s="76">
        <v>372</v>
      </c>
      <c r="K11" s="78">
        <f t="shared" si="4"/>
      </c>
      <c r="L11" s="79">
        <v>7</v>
      </c>
      <c r="M11" s="80">
        <v>11</v>
      </c>
      <c r="N11" s="77">
        <v>0</v>
      </c>
      <c r="O11" s="77">
        <v>3</v>
      </c>
      <c r="P11" s="81">
        <f t="shared" si="35"/>
      </c>
      <c r="Q11" s="82">
        <f t="shared" si="0"/>
      </c>
      <c r="R11" s="83">
        <f t="shared" si="32"/>
      </c>
      <c r="S11" s="82">
        <f t="shared" si="1"/>
      </c>
      <c r="T11" s="73" t="s">
        <v>79</v>
      </c>
      <c r="U11" s="73">
        <v>2</v>
      </c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</row>
    <row r="12">
      <c r="A12" s="72">
        <v>46268</v>
      </c>
      <c r="B12" s="73" t="s">
        <v>77</v>
      </c>
      <c r="C12" s="85" t="s">
        <v>81</v>
      </c>
      <c r="D12" s="75">
        <v>5</v>
      </c>
      <c r="E12" s="76">
        <v>14309.68</v>
      </c>
      <c r="F12" s="88">
        <v>23</v>
      </c>
      <c r="G12" s="77">
        <v>16</v>
      </c>
      <c r="H12" s="77">
        <v>20320.500000000004</v>
      </c>
      <c r="I12" s="76">
        <v>1</v>
      </c>
      <c r="J12" s="76">
        <v>806</v>
      </c>
      <c r="K12" s="78">
        <f t="shared" si="4"/>
      </c>
      <c r="L12" s="79">
        <v>14</v>
      </c>
      <c r="M12" s="80">
        <v>20</v>
      </c>
      <c r="N12" s="77">
        <v>2</v>
      </c>
      <c r="O12" s="77">
        <v>8</v>
      </c>
      <c r="P12" s="81">
        <f t="shared" si="35"/>
      </c>
      <c r="Q12" s="82">
        <f t="shared" si="0"/>
      </c>
      <c r="R12" s="83">
        <f t="shared" si="32"/>
      </c>
      <c r="S12" s="82">
        <f t="shared" si="1"/>
      </c>
      <c r="T12" s="73" t="s">
        <v>82</v>
      </c>
      <c r="U12" s="73">
        <v>8</v>
      </c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  <c r="GA12" s="87"/>
      <c r="GB12" s="87"/>
      <c r="GC12" s="87"/>
      <c r="GD12" s="87"/>
    </row>
    <row r="13">
      <c r="A13" s="89">
        <v>46268</v>
      </c>
      <c r="B13" s="90" t="s">
        <v>83</v>
      </c>
      <c r="C13" s="91"/>
      <c r="D13" s="92">
        <f>SUM(D10:D12)</f>
      </c>
      <c r="E13" s="92">
        <f>SUM(E10:E12)</f>
      </c>
      <c r="F13" s="92">
        <f>SUM(F10:F12)</f>
      </c>
      <c r="G13" s="92">
        <f>SUM(G10:G12)</f>
      </c>
      <c r="H13" s="92">
        <f>SUM(H10:H12)</f>
      </c>
      <c r="I13" s="92">
        <f>SUM(I10:I12)</f>
      </c>
      <c r="J13" s="92">
        <f>SUM(J10:J12)</f>
      </c>
      <c r="K13" s="92">
        <f>SUM(K10:K12)</f>
      </c>
      <c r="L13" s="92">
        <f>SUM(L10:L12)</f>
      </c>
      <c r="M13" s="92">
        <f>SUM(M10:M12)</f>
      </c>
      <c r="N13" s="92">
        <f>SUM(N10:N12)</f>
      </c>
      <c r="O13" s="92">
        <f>SUM(O10:O12)</f>
      </c>
      <c r="P13" s="92">
        <f>SUM(P10:P12)</f>
      </c>
      <c r="Q13" s="93">
        <f t="shared" si="0"/>
      </c>
      <c r="R13" s="93">
        <f t="shared" si="32"/>
      </c>
      <c r="S13" s="93">
        <f t="shared" si="1"/>
      </c>
      <c r="T13" s="92"/>
      <c r="U13" s="92">
        <f>SUM(U10:U12)</f>
      </c>
      <c r="V13" s="92"/>
      <c r="W13" s="92">
        <f>SUM(W10:W12)</f>
      </c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  <c r="GB13" s="92"/>
      <c r="GC13" s="92"/>
      <c r="GD13" s="92"/>
    </row>
    <row r="14">
      <c r="A14" s="72">
        <v>46269</v>
      </c>
      <c r="B14" s="73" t="s">
        <v>73</v>
      </c>
      <c r="C14" s="74" t="s">
        <v>85</v>
      </c>
      <c r="D14" s="75">
        <v>4</v>
      </c>
      <c r="E14" s="76">
        <v>9632.73</v>
      </c>
      <c r="F14" s="75">
        <v>11</v>
      </c>
      <c r="G14" s="77">
        <v>6</v>
      </c>
      <c r="H14" s="77">
        <v>8336.400000000001</v>
      </c>
      <c r="I14" s="76">
        <v>1</v>
      </c>
      <c r="J14" s="76">
        <v>1482</v>
      </c>
      <c r="K14" s="78">
        <f t="shared" ref="K14:K17" si="5">G14+I14</f>
      </c>
      <c r="L14" s="79">
        <v>6</v>
      </c>
      <c r="M14" s="80">
        <v>9</v>
      </c>
      <c r="N14" s="77">
        <v>0</v>
      </c>
      <c r="O14" s="77">
        <v>3</v>
      </c>
      <c r="P14" s="81">
        <f t="shared" ref="P14:P17" si="36">J14+H14</f>
      </c>
      <c r="Q14" s="82">
        <f t="shared" si="0"/>
      </c>
      <c r="R14" s="83">
        <f t="shared" si="32"/>
      </c>
      <c r="S14" s="82">
        <f t="shared" si="1"/>
      </c>
      <c r="T14" s="73" t="s">
        <v>75</v>
      </c>
      <c r="U14" s="73">
        <v>6</v>
      </c>
      <c r="V14" s="94" t="s">
        <v>76</v>
      </c>
      <c r="W14" s="73">
        <v>14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</row>
    <row r="15">
      <c r="A15" s="72">
        <v>46269</v>
      </c>
      <c r="B15" s="73" t="s">
        <v>77</v>
      </c>
      <c r="C15" s="85" t="s">
        <v>86</v>
      </c>
      <c r="D15" s="75">
        <v>3</v>
      </c>
      <c r="E15" s="76">
        <v>9099.890000000001</v>
      </c>
      <c r="F15" s="86">
        <v>11</v>
      </c>
      <c r="G15" s="77">
        <v>7</v>
      </c>
      <c r="H15" s="77">
        <v>15474</v>
      </c>
      <c r="I15" s="76">
        <v>0</v>
      </c>
      <c r="J15" s="76">
        <v>0</v>
      </c>
      <c r="K15" s="78">
        <f t="shared" si="5"/>
      </c>
      <c r="L15" s="79">
        <v>4</v>
      </c>
      <c r="M15" s="80">
        <v>8</v>
      </c>
      <c r="N15" s="77">
        <v>1</v>
      </c>
      <c r="O15" s="77">
        <v>5</v>
      </c>
      <c r="P15" s="81">
        <f t="shared" si="36"/>
      </c>
      <c r="Q15" s="82">
        <f t="shared" si="0"/>
      </c>
      <c r="R15" s="83">
        <f t="shared" si="32"/>
      </c>
      <c r="S15" s="82">
        <f t="shared" si="1"/>
      </c>
      <c r="T15" s="73"/>
      <c r="U15" s="94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</row>
    <row r="16">
      <c r="A16" s="72">
        <v>46269</v>
      </c>
      <c r="B16" s="73" t="s">
        <v>80</v>
      </c>
      <c r="C16" s="85" t="s">
        <v>87</v>
      </c>
      <c r="D16" s="75">
        <v>3</v>
      </c>
      <c r="E16" s="76">
        <v>6210.65</v>
      </c>
      <c r="F16" s="88">
        <v>9</v>
      </c>
      <c r="G16" s="77">
        <v>7</v>
      </c>
      <c r="H16" s="77">
        <v>9780.599999999999</v>
      </c>
      <c r="I16" s="76">
        <v>0</v>
      </c>
      <c r="J16" s="76">
        <v>0</v>
      </c>
      <c r="K16" s="78">
        <f t="shared" si="5"/>
      </c>
      <c r="L16" s="79">
        <v>4</v>
      </c>
      <c r="M16" s="80">
        <v>5</v>
      </c>
      <c r="N16" s="77">
        <v>1</v>
      </c>
      <c r="O16" s="77">
        <v>3</v>
      </c>
      <c r="P16" s="81">
        <f t="shared" si="36"/>
      </c>
      <c r="Q16" s="82">
        <f t="shared" si="0"/>
      </c>
      <c r="R16" s="83">
        <f t="shared" si="32"/>
      </c>
      <c r="S16" s="82">
        <f t="shared" si="1"/>
      </c>
      <c r="T16" s="73"/>
      <c r="U16" s="73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87"/>
      <c r="DO16" s="87"/>
      <c r="DP16" s="87"/>
      <c r="DQ16" s="87"/>
      <c r="DR16" s="87"/>
      <c r="DS16" s="87"/>
      <c r="DT16" s="87"/>
      <c r="DU16" s="87"/>
      <c r="DV16" s="87"/>
      <c r="DW16" s="87"/>
      <c r="DX16" s="87"/>
      <c r="DY16" s="87"/>
      <c r="DZ16" s="87"/>
      <c r="EA16" s="87"/>
      <c r="EB16" s="87"/>
      <c r="EC16" s="87"/>
      <c r="ED16" s="87"/>
      <c r="EE16" s="87"/>
      <c r="EF16" s="87"/>
      <c r="EG16" s="87"/>
      <c r="EH16" s="87"/>
      <c r="EI16" s="87"/>
      <c r="EJ16" s="87"/>
      <c r="EK16" s="87"/>
      <c r="EL16" s="87"/>
      <c r="EM16" s="87"/>
      <c r="EN16" s="87"/>
      <c r="EO16" s="87"/>
      <c r="EP16" s="87"/>
      <c r="EQ16" s="87"/>
      <c r="ER16" s="87"/>
      <c r="ES16" s="87"/>
      <c r="ET16" s="87"/>
      <c r="EU16" s="87"/>
      <c r="EV16" s="87"/>
      <c r="EW16" s="87"/>
      <c r="EX16" s="87"/>
      <c r="EY16" s="87"/>
      <c r="EZ16" s="87"/>
      <c r="FA16" s="87"/>
      <c r="FB16" s="87"/>
      <c r="FC16" s="87"/>
      <c r="FD16" s="87"/>
      <c r="FE16" s="87"/>
      <c r="FF16" s="87"/>
      <c r="FG16" s="87"/>
      <c r="FH16" s="87"/>
      <c r="FI16" s="87"/>
      <c r="FJ16" s="87"/>
      <c r="FK16" s="87"/>
      <c r="FL16" s="87"/>
      <c r="FM16" s="87"/>
      <c r="FN16" s="87"/>
      <c r="FO16" s="87"/>
      <c r="FP16" s="87"/>
      <c r="FQ16" s="87"/>
      <c r="FR16" s="87"/>
      <c r="FS16" s="87"/>
      <c r="FT16" s="87"/>
      <c r="FU16" s="87"/>
      <c r="FV16" s="87"/>
      <c r="FW16" s="87"/>
      <c r="FX16" s="87"/>
      <c r="FY16" s="87"/>
      <c r="FZ16" s="87"/>
      <c r="GA16" s="87"/>
      <c r="GB16" s="87"/>
      <c r="GC16" s="87"/>
      <c r="GD16" s="87"/>
    </row>
    <row r="17">
      <c r="A17" s="72">
        <v>46269</v>
      </c>
      <c r="B17" s="73" t="s">
        <v>84</v>
      </c>
      <c r="C17" s="85" t="s">
        <v>88</v>
      </c>
      <c r="D17" s="75">
        <v>4</v>
      </c>
      <c r="E17" s="76">
        <v>9262.74</v>
      </c>
      <c r="F17" s="95">
        <v>18</v>
      </c>
      <c r="G17" s="77">
        <v>16</v>
      </c>
      <c r="H17" s="77">
        <v>29228.100000000006</v>
      </c>
      <c r="I17" s="76">
        <v>2</v>
      </c>
      <c r="J17" s="76">
        <v>1292.4</v>
      </c>
      <c r="K17" s="78">
        <f t="shared" si="5"/>
      </c>
      <c r="L17" s="79">
        <v>12</v>
      </c>
      <c r="M17" s="80">
        <v>13</v>
      </c>
      <c r="N17" s="77">
        <v>3</v>
      </c>
      <c r="O17" s="77">
        <v>12</v>
      </c>
      <c r="P17" s="81">
        <f t="shared" si="36"/>
      </c>
      <c r="Q17" s="82">
        <f t="shared" si="0"/>
      </c>
      <c r="R17" s="83">
        <f t="shared" si="32"/>
      </c>
      <c r="S17" s="82">
        <f t="shared" si="1"/>
      </c>
      <c r="T17" s="73" t="s">
        <v>82</v>
      </c>
      <c r="U17" s="73">
        <v>8</v>
      </c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4"/>
      <c r="DJ17" s="94"/>
      <c r="DK17" s="94"/>
      <c r="DL17" s="94"/>
      <c r="DM17" s="94"/>
      <c r="DN17" s="94"/>
      <c r="DO17" s="94"/>
      <c r="DP17" s="94"/>
      <c r="DQ17" s="94"/>
      <c r="DR17" s="94"/>
      <c r="DS17" s="94"/>
      <c r="DT17" s="94"/>
      <c r="DU17" s="94"/>
      <c r="DV17" s="94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4"/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94"/>
      <c r="FL17" s="94"/>
      <c r="FM17" s="94"/>
      <c r="FN17" s="94"/>
      <c r="FO17" s="94"/>
      <c r="FP17" s="94"/>
      <c r="FQ17" s="94"/>
      <c r="FR17" s="94"/>
      <c r="FS17" s="94"/>
      <c r="FT17" s="94"/>
      <c r="FU17" s="94"/>
      <c r="FV17" s="94"/>
      <c r="FW17" s="94"/>
      <c r="FX17" s="94"/>
      <c r="FY17" s="94"/>
      <c r="FZ17" s="94"/>
      <c r="GA17" s="94"/>
      <c r="GB17" s="94"/>
      <c r="GC17" s="94"/>
      <c r="GD17" s="94"/>
    </row>
    <row r="18">
      <c r="A18" s="89">
        <v>46269</v>
      </c>
      <c r="B18" s="90" t="s">
        <v>83</v>
      </c>
      <c r="C18" s="91"/>
      <c r="D18" s="92">
        <f>SUM(D14:D17)</f>
      </c>
      <c r="E18" s="92">
        <f>SUM(E14:E17)</f>
      </c>
      <c r="F18" s="92">
        <f>SUM(F14:F17)</f>
      </c>
      <c r="G18" s="92">
        <f>SUM(G14:G17)</f>
      </c>
      <c r="H18" s="92">
        <f>SUM(H14:H17)</f>
      </c>
      <c r="I18" s="92">
        <f>SUM(I14:I17)</f>
      </c>
      <c r="J18" s="92">
        <f>SUM(J14:J17)</f>
      </c>
      <c r="K18" s="92">
        <f>SUM(K14:K17)</f>
      </c>
      <c r="L18" s="92">
        <f>SUM(L14:L17)</f>
      </c>
      <c r="M18" s="92">
        <f>SUM(M14:M17)</f>
      </c>
      <c r="N18" s="92">
        <f>SUM(N14:N17)</f>
      </c>
      <c r="O18" s="92">
        <f>SUM(O14:O17)</f>
      </c>
      <c r="P18" s="92">
        <f>SUM(P14:P17)</f>
      </c>
      <c r="Q18" s="93">
        <f t="shared" si="0"/>
      </c>
      <c r="R18" s="93">
        <f t="shared" si="32"/>
      </c>
      <c r="S18" s="93">
        <f t="shared" si="1"/>
      </c>
      <c r="T18" s="92"/>
      <c r="U18" s="92">
        <f>SUM(U14:U17)</f>
      </c>
      <c r="V18" s="92"/>
      <c r="W18" s="92">
        <f>SUM(W14:W17)</f>
      </c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DZ18" s="92"/>
      <c r="EA18" s="92"/>
      <c r="EB18" s="92"/>
      <c r="EC18" s="92"/>
      <c r="ED18" s="92"/>
      <c r="EE18" s="92"/>
      <c r="EF18" s="92"/>
      <c r="EG18" s="92"/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2"/>
      <c r="ET18" s="92"/>
      <c r="EU18" s="92"/>
      <c r="EV18" s="92"/>
      <c r="EW18" s="92"/>
      <c r="EX18" s="92"/>
      <c r="EY18" s="92"/>
      <c r="EZ18" s="92"/>
      <c r="FA18" s="92"/>
      <c r="FB18" s="92"/>
      <c r="FC18" s="92"/>
      <c r="FD18" s="92"/>
      <c r="FE18" s="92"/>
      <c r="FF18" s="92"/>
      <c r="FG18" s="92"/>
      <c r="FH18" s="92"/>
      <c r="FI18" s="92"/>
      <c r="FJ18" s="92"/>
      <c r="FK18" s="92"/>
      <c r="FL18" s="92"/>
      <c r="FM18" s="92"/>
      <c r="FN18" s="92"/>
      <c r="FO18" s="92"/>
      <c r="FP18" s="92"/>
      <c r="FQ18" s="92"/>
      <c r="FR18" s="92"/>
      <c r="FS18" s="92"/>
      <c r="FT18" s="92"/>
      <c r="FU18" s="92"/>
      <c r="FV18" s="92"/>
      <c r="FW18" s="92"/>
      <c r="FX18" s="92"/>
      <c r="FY18" s="92"/>
      <c r="FZ18" s="92"/>
      <c r="GA18" s="92"/>
      <c r="GB18" s="92"/>
      <c r="GC18" s="92"/>
      <c r="GD18" s="92"/>
    </row>
    <row r="19">
      <c r="A19" s="72">
        <v>46270</v>
      </c>
      <c r="B19" s="73" t="s">
        <v>77</v>
      </c>
      <c r="C19" s="74" t="s">
        <v>85</v>
      </c>
      <c r="D19" s="75">
        <v>4</v>
      </c>
      <c r="E19" s="76">
        <v>7818.839999999999</v>
      </c>
      <c r="F19" s="75">
        <v>4</v>
      </c>
      <c r="G19" s="77">
        <v>2</v>
      </c>
      <c r="H19" s="77">
        <v>2886.9</v>
      </c>
      <c r="I19" s="76">
        <v>1</v>
      </c>
      <c r="J19" s="76">
        <v>255</v>
      </c>
      <c r="K19" s="78">
        <f t="shared" ref="K19:K22" si="6">G19+I19</f>
      </c>
      <c r="L19" s="79">
        <v>3</v>
      </c>
      <c r="M19" s="80">
        <v>3</v>
      </c>
      <c r="N19" s="77">
        <v>0</v>
      </c>
      <c r="O19" s="77">
        <v>2</v>
      </c>
      <c r="P19" s="81">
        <f t="shared" ref="P19:P22" si="37">J19+H19</f>
      </c>
      <c r="Q19" s="82">
        <f t="shared" si="0"/>
      </c>
      <c r="R19" s="83">
        <f t="shared" si="32"/>
      </c>
      <c r="S19" s="82">
        <f t="shared" si="1"/>
      </c>
      <c r="T19" s="73" t="s">
        <v>89</v>
      </c>
      <c r="U19" s="73">
        <v>6</v>
      </c>
      <c r="V19" s="94" t="s">
        <v>76</v>
      </c>
      <c r="W19" s="73">
        <v>14</v>
      </c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</row>
    <row r="20">
      <c r="A20" s="72">
        <v>46270</v>
      </c>
      <c r="B20" s="73" t="s">
        <v>84</v>
      </c>
      <c r="C20" s="85" t="s">
        <v>86</v>
      </c>
      <c r="D20" s="75">
        <v>3</v>
      </c>
      <c r="E20" s="76">
        <v>3918.25</v>
      </c>
      <c r="F20" s="86">
        <v>7</v>
      </c>
      <c r="G20" s="77">
        <v>5</v>
      </c>
      <c r="H20" s="77">
        <v>9841.2</v>
      </c>
      <c r="I20" s="76">
        <v>0</v>
      </c>
      <c r="J20" s="76">
        <v>0</v>
      </c>
      <c r="K20" s="78">
        <f t="shared" si="6"/>
      </c>
      <c r="L20" s="79">
        <v>3</v>
      </c>
      <c r="M20" s="80">
        <v>4</v>
      </c>
      <c r="N20" s="77">
        <v>0</v>
      </c>
      <c r="O20" s="77">
        <v>4</v>
      </c>
      <c r="P20" s="81">
        <f t="shared" si="37"/>
      </c>
      <c r="Q20" s="82">
        <f t="shared" si="0"/>
      </c>
      <c r="R20" s="83">
        <f t="shared" si="32"/>
      </c>
      <c r="S20" s="82">
        <f t="shared" si="1"/>
      </c>
      <c r="T20" s="73"/>
      <c r="U20" s="94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  <c r="DI20" s="87"/>
      <c r="DJ20" s="87"/>
      <c r="DK20" s="87"/>
      <c r="DL20" s="87"/>
      <c r="DM20" s="87"/>
      <c r="DN20" s="87"/>
      <c r="DO20" s="87"/>
      <c r="DP20" s="87"/>
      <c r="DQ20" s="87"/>
      <c r="DR20" s="87"/>
      <c r="DS20" s="87"/>
      <c r="DT20" s="87"/>
      <c r="DU20" s="87"/>
      <c r="DV20" s="87"/>
      <c r="DW20" s="87"/>
      <c r="DX20" s="87"/>
      <c r="DY20" s="87"/>
      <c r="DZ20" s="87"/>
      <c r="EA20" s="87"/>
      <c r="EB20" s="87"/>
      <c r="EC20" s="87"/>
      <c r="ED20" s="87"/>
      <c r="EE20" s="87"/>
      <c r="EF20" s="87"/>
      <c r="EG20" s="87"/>
      <c r="EH20" s="87"/>
      <c r="EI20" s="87"/>
      <c r="EJ20" s="87"/>
      <c r="EK20" s="87"/>
      <c r="EL20" s="87"/>
      <c r="EM20" s="87"/>
      <c r="EN20" s="87"/>
      <c r="EO20" s="87"/>
      <c r="EP20" s="87"/>
      <c r="EQ20" s="87"/>
      <c r="ER20" s="87"/>
      <c r="ES20" s="87"/>
      <c r="ET20" s="87"/>
      <c r="EU20" s="87"/>
      <c r="EV20" s="87"/>
      <c r="EW20" s="87"/>
      <c r="EX20" s="87"/>
      <c r="EY20" s="87"/>
      <c r="EZ20" s="87"/>
      <c r="FA20" s="87"/>
      <c r="FB20" s="87"/>
      <c r="FC20" s="87"/>
      <c r="FD20" s="87"/>
      <c r="FE20" s="87"/>
      <c r="FF20" s="87"/>
      <c r="FG20" s="87"/>
      <c r="FH20" s="87"/>
      <c r="FI20" s="87"/>
      <c r="FJ20" s="87"/>
      <c r="FK20" s="87"/>
      <c r="FL20" s="87"/>
      <c r="FM20" s="87"/>
      <c r="FN20" s="87"/>
      <c r="FO20" s="87"/>
      <c r="FP20" s="87"/>
      <c r="FQ20" s="87"/>
      <c r="FR20" s="87"/>
      <c r="FS20" s="87"/>
      <c r="FT20" s="87"/>
      <c r="FU20" s="87"/>
      <c r="FV20" s="87"/>
      <c r="FW20" s="87"/>
      <c r="FX20" s="87"/>
      <c r="FY20" s="87"/>
      <c r="FZ20" s="87"/>
      <c r="GA20" s="87"/>
      <c r="GB20" s="87"/>
      <c r="GC20" s="87"/>
      <c r="GD20" s="87"/>
    </row>
    <row r="21">
      <c r="A21" s="72">
        <v>46270</v>
      </c>
      <c r="B21" s="73" t="s">
        <v>90</v>
      </c>
      <c r="C21" s="85" t="s">
        <v>87</v>
      </c>
      <c r="D21" s="75">
        <v>3</v>
      </c>
      <c r="E21" s="76">
        <v>5254.110000000001</v>
      </c>
      <c r="F21" s="88">
        <v>7</v>
      </c>
      <c r="G21" s="77">
        <v>6</v>
      </c>
      <c r="H21" s="77">
        <v>10206.9</v>
      </c>
      <c r="I21" s="76">
        <v>1</v>
      </c>
      <c r="J21" s="76">
        <v>1226</v>
      </c>
      <c r="K21" s="78">
        <f t="shared" si="6"/>
      </c>
      <c r="L21" s="79">
        <v>4</v>
      </c>
      <c r="M21" s="80">
        <v>4</v>
      </c>
      <c r="N21" s="77">
        <v>2</v>
      </c>
      <c r="O21" s="77">
        <v>5</v>
      </c>
      <c r="P21" s="81">
        <f t="shared" si="37"/>
      </c>
      <c r="Q21" s="82">
        <f t="shared" si="0"/>
      </c>
      <c r="R21" s="83">
        <f t="shared" si="32"/>
      </c>
      <c r="S21" s="82">
        <f t="shared" si="1"/>
      </c>
      <c r="T21" s="73"/>
      <c r="U21" s="73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7"/>
      <c r="DA21" s="87"/>
      <c r="DB21" s="87"/>
      <c r="DC21" s="87"/>
      <c r="DD21" s="87"/>
      <c r="DE21" s="87"/>
      <c r="DF21" s="87"/>
      <c r="DG21" s="87"/>
      <c r="DH21" s="87"/>
      <c r="DI21" s="87"/>
      <c r="DJ21" s="87"/>
      <c r="DK21" s="87"/>
      <c r="DL21" s="87"/>
      <c r="DM21" s="87"/>
      <c r="DN21" s="87"/>
      <c r="DO21" s="87"/>
      <c r="DP21" s="87"/>
      <c r="DQ21" s="87"/>
      <c r="DR21" s="87"/>
      <c r="DS21" s="87"/>
      <c r="DT21" s="87"/>
      <c r="DU21" s="87"/>
      <c r="DV21" s="87"/>
      <c r="DW21" s="87"/>
      <c r="DX21" s="87"/>
      <c r="DY21" s="87"/>
      <c r="DZ21" s="87"/>
      <c r="EA21" s="87"/>
      <c r="EB21" s="87"/>
      <c r="EC21" s="87"/>
      <c r="ED21" s="87"/>
      <c r="EE21" s="87"/>
      <c r="EF21" s="87"/>
      <c r="EG21" s="87"/>
      <c r="EH21" s="87"/>
      <c r="EI21" s="87"/>
      <c r="EJ21" s="87"/>
      <c r="EK21" s="87"/>
      <c r="EL21" s="87"/>
      <c r="EM21" s="87"/>
      <c r="EN21" s="87"/>
      <c r="EO21" s="87"/>
      <c r="EP21" s="87"/>
      <c r="EQ21" s="87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87"/>
      <c r="FE21" s="87"/>
      <c r="FF21" s="87"/>
      <c r="FG21" s="87"/>
      <c r="FH21" s="87"/>
      <c r="FI21" s="87"/>
      <c r="FJ21" s="87"/>
      <c r="FK21" s="87"/>
      <c r="FL21" s="87"/>
      <c r="FM21" s="87"/>
      <c r="FN21" s="87"/>
      <c r="FO21" s="87"/>
      <c r="FP21" s="87"/>
      <c r="FQ21" s="87"/>
      <c r="FR21" s="87"/>
      <c r="FS21" s="87"/>
      <c r="FT21" s="87"/>
      <c r="FU21" s="87"/>
      <c r="FV21" s="87"/>
      <c r="FW21" s="87"/>
      <c r="FX21" s="87"/>
      <c r="FY21" s="87"/>
      <c r="FZ21" s="87"/>
      <c r="GA21" s="87"/>
      <c r="GB21" s="87"/>
      <c r="GC21" s="87"/>
      <c r="GD21" s="87"/>
    </row>
    <row r="22">
      <c r="A22" s="72">
        <v>46270</v>
      </c>
      <c r="B22" s="73" t="s">
        <v>80</v>
      </c>
      <c r="C22" s="85" t="s">
        <v>88</v>
      </c>
      <c r="D22" s="75">
        <v>4</v>
      </c>
      <c r="E22" s="76">
        <v>9791.17</v>
      </c>
      <c r="F22" s="95">
        <v>15</v>
      </c>
      <c r="G22" s="77">
        <v>11</v>
      </c>
      <c r="H22" s="77">
        <v>13473.599999999991</v>
      </c>
      <c r="I22" s="76">
        <v>0</v>
      </c>
      <c r="J22" s="76">
        <v>0</v>
      </c>
      <c r="K22" s="78">
        <f t="shared" si="6"/>
      </c>
      <c r="L22" s="79">
        <v>6</v>
      </c>
      <c r="M22" s="80">
        <v>10</v>
      </c>
      <c r="N22" s="77">
        <v>1</v>
      </c>
      <c r="O22" s="77">
        <v>3</v>
      </c>
      <c r="P22" s="81">
        <f t="shared" si="37"/>
      </c>
      <c r="Q22" s="82">
        <f t="shared" si="0"/>
      </c>
      <c r="R22" s="83">
        <f t="shared" si="32"/>
      </c>
      <c r="S22" s="82">
        <f t="shared" si="1"/>
      </c>
      <c r="T22" s="73" t="s">
        <v>82</v>
      </c>
      <c r="U22" s="73">
        <v>8</v>
      </c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94"/>
      <c r="DT22" s="94"/>
      <c r="DU22" s="94"/>
      <c r="DV22" s="94"/>
      <c r="DW22" s="94"/>
      <c r="DX22" s="94"/>
      <c r="DY22" s="94"/>
      <c r="DZ22" s="94"/>
      <c r="EA22" s="94"/>
      <c r="EB22" s="94"/>
      <c r="EC22" s="94"/>
      <c r="ED22" s="94"/>
      <c r="EE22" s="94"/>
      <c r="EF22" s="94"/>
      <c r="EG22" s="94"/>
      <c r="EH22" s="94"/>
      <c r="EI22" s="94"/>
      <c r="EJ22" s="94"/>
      <c r="EK22" s="94"/>
      <c r="EL22" s="94"/>
      <c r="EM22" s="94"/>
      <c r="EN22" s="94"/>
      <c r="EO22" s="94"/>
      <c r="EP22" s="94"/>
      <c r="EQ22" s="94"/>
      <c r="ER22" s="94"/>
      <c r="ES22" s="94"/>
      <c r="ET22" s="94"/>
      <c r="EU22" s="94"/>
      <c r="EV22" s="94"/>
      <c r="EW22" s="94"/>
      <c r="EX22" s="94"/>
      <c r="EY22" s="94"/>
      <c r="EZ22" s="94"/>
      <c r="FA22" s="94"/>
      <c r="FB22" s="94"/>
      <c r="FC22" s="94"/>
      <c r="FD22" s="94"/>
      <c r="FE22" s="94"/>
      <c r="FF22" s="94"/>
      <c r="FG22" s="94"/>
      <c r="FH22" s="94"/>
      <c r="FI22" s="94"/>
      <c r="FJ22" s="94"/>
      <c r="FK22" s="94"/>
      <c r="FL22" s="94"/>
      <c r="FM22" s="94"/>
      <c r="FN22" s="94"/>
      <c r="FO22" s="94"/>
      <c r="FP22" s="94"/>
      <c r="FQ22" s="94"/>
      <c r="FR22" s="94"/>
      <c r="FS22" s="94"/>
      <c r="FT22" s="94"/>
      <c r="FU22" s="94"/>
      <c r="FV22" s="94"/>
      <c r="FW22" s="94"/>
      <c r="FX22" s="94"/>
      <c r="FY22" s="94"/>
      <c r="FZ22" s="94"/>
      <c r="GA22" s="94"/>
      <c r="GB22" s="94"/>
      <c r="GC22" s="94"/>
      <c r="GD22" s="94"/>
    </row>
    <row r="23">
      <c r="A23" s="89">
        <v>46270</v>
      </c>
      <c r="B23" s="90" t="s">
        <v>83</v>
      </c>
      <c r="C23" s="91"/>
      <c r="D23" s="92">
        <f>SUM(D19:D22)</f>
      </c>
      <c r="E23" s="92">
        <f>SUM(E19:E22)</f>
      </c>
      <c r="F23" s="92">
        <f>SUM(F19:F22)</f>
      </c>
      <c r="G23" s="92">
        <f>SUM(G19:G22)</f>
      </c>
      <c r="H23" s="92">
        <f>SUM(H19:H22)</f>
      </c>
      <c r="I23" s="92">
        <f>SUM(I19:I22)</f>
      </c>
      <c r="J23" s="92">
        <f>SUM(J19:J22)</f>
      </c>
      <c r="K23" s="92">
        <f>SUM(K19:K22)</f>
      </c>
      <c r="L23" s="92">
        <f>SUM(L19:L22)</f>
      </c>
      <c r="M23" s="92">
        <f>SUM(M19:M22)</f>
      </c>
      <c r="N23" s="92">
        <f>SUM(N19:N22)</f>
      </c>
      <c r="O23" s="92">
        <f>SUM(O19:O22)</f>
      </c>
      <c r="P23" s="92">
        <f>SUM(P19:P22)</f>
      </c>
      <c r="Q23" s="93">
        <f t="shared" si="0"/>
      </c>
      <c r="R23" s="93">
        <f t="shared" si="32"/>
      </c>
      <c r="S23" s="93">
        <f t="shared" si="1"/>
      </c>
      <c r="T23" s="92"/>
      <c r="U23" s="92">
        <f>SUM(U19:U22)</f>
      </c>
      <c r="V23" s="92"/>
      <c r="W23" s="92">
        <f>SUM(W19:W22)</f>
      </c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</row>
    <row r="24">
      <c r="A24" s="72">
        <v>46271</v>
      </c>
      <c r="B24" s="73" t="s">
        <v>84</v>
      </c>
      <c r="C24" s="74" t="s">
        <v>85</v>
      </c>
      <c r="D24" s="75">
        <v>4</v>
      </c>
      <c r="E24" s="76">
        <v>10813.88</v>
      </c>
      <c r="F24" s="75">
        <v>8</v>
      </c>
      <c r="G24" s="77">
        <v>5</v>
      </c>
      <c r="H24" s="77">
        <v>8355.2</v>
      </c>
      <c r="I24" s="76">
        <v>1</v>
      </c>
      <c r="J24" s="76">
        <v>612</v>
      </c>
      <c r="K24" s="78">
        <f t="shared" ref="K24:K27" si="7">G24+I24</f>
      </c>
      <c r="L24" s="79">
        <v>6</v>
      </c>
      <c r="M24" s="80">
        <v>8</v>
      </c>
      <c r="N24" s="77">
        <v>0</v>
      </c>
      <c r="O24" s="77">
        <v>3</v>
      </c>
      <c r="P24" s="81">
        <f t="shared" ref="P24:P27" si="38">J24+H24</f>
      </c>
      <c r="Q24" s="82">
        <f t="shared" si="0"/>
      </c>
      <c r="R24" s="83">
        <f t="shared" si="32"/>
      </c>
      <c r="S24" s="82">
        <f t="shared" si="1"/>
      </c>
      <c r="T24" s="73" t="s">
        <v>89</v>
      </c>
      <c r="U24" s="73">
        <v>5</v>
      </c>
      <c r="V24" s="94" t="s">
        <v>76</v>
      </c>
      <c r="W24" s="73">
        <v>14</v>
      </c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</row>
    <row r="25">
      <c r="A25" s="72">
        <v>46271</v>
      </c>
      <c r="B25" s="73" t="s">
        <v>80</v>
      </c>
      <c r="C25" s="85" t="s">
        <v>86</v>
      </c>
      <c r="D25" s="75">
        <v>3</v>
      </c>
      <c r="E25" s="76">
        <v>7167.15</v>
      </c>
      <c r="F25" s="86">
        <v>10</v>
      </c>
      <c r="G25" s="77">
        <v>6</v>
      </c>
      <c r="H25" s="77">
        <v>8806.8</v>
      </c>
      <c r="I25" s="76">
        <v>0</v>
      </c>
      <c r="J25" s="76">
        <v>0</v>
      </c>
      <c r="K25" s="78">
        <f t="shared" si="7"/>
      </c>
      <c r="L25" s="79">
        <v>3</v>
      </c>
      <c r="M25" s="80">
        <v>4</v>
      </c>
      <c r="N25" s="77">
        <v>1</v>
      </c>
      <c r="O25" s="77">
        <v>2</v>
      </c>
      <c r="P25" s="81">
        <f t="shared" si="38"/>
      </c>
      <c r="Q25" s="82">
        <f t="shared" si="0"/>
      </c>
      <c r="R25" s="83">
        <f t="shared" si="32"/>
      </c>
      <c r="S25" s="82">
        <f t="shared" si="1"/>
      </c>
      <c r="T25" s="73" t="s">
        <v>91</v>
      </c>
      <c r="U25" s="73">
        <v>1</v>
      </c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  <c r="FU25" s="87"/>
      <c r="FV25" s="87"/>
      <c r="FW25" s="87"/>
      <c r="FX25" s="87"/>
      <c r="FY25" s="87"/>
      <c r="FZ25" s="87"/>
      <c r="GA25" s="87"/>
      <c r="GB25" s="87"/>
      <c r="GC25" s="87"/>
      <c r="GD25" s="87"/>
    </row>
    <row r="26">
      <c r="A26" s="72">
        <v>46271</v>
      </c>
      <c r="B26" s="73" t="s">
        <v>90</v>
      </c>
      <c r="C26" s="85" t="s">
        <v>87</v>
      </c>
      <c r="D26" s="75">
        <v>3</v>
      </c>
      <c r="E26" s="76">
        <v>6980.83</v>
      </c>
      <c r="F26" s="88">
        <v>7</v>
      </c>
      <c r="G26" s="77">
        <v>7</v>
      </c>
      <c r="H26" s="77">
        <v>9910.8</v>
      </c>
      <c r="I26" s="76">
        <v>0</v>
      </c>
      <c r="J26" s="76">
        <v>0</v>
      </c>
      <c r="K26" s="78">
        <f t="shared" si="7"/>
      </c>
      <c r="L26" s="79">
        <v>7</v>
      </c>
      <c r="M26" s="80">
        <v>8</v>
      </c>
      <c r="N26" s="77">
        <v>1</v>
      </c>
      <c r="O26" s="77">
        <v>2</v>
      </c>
      <c r="P26" s="81">
        <f t="shared" si="38"/>
      </c>
      <c r="Q26" s="82">
        <f t="shared" si="0"/>
      </c>
      <c r="R26" s="83">
        <f t="shared" si="32"/>
      </c>
      <c r="S26" s="82">
        <f t="shared" si="1"/>
      </c>
      <c r="T26" s="73"/>
      <c r="U26" s="73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/>
      <c r="EQ26" s="87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8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87"/>
      <c r="FR26" s="87"/>
      <c r="FS26" s="87"/>
      <c r="FT26" s="87"/>
      <c r="FU26" s="87"/>
      <c r="FV26" s="87"/>
      <c r="FW26" s="87"/>
      <c r="FX26" s="87"/>
      <c r="FY26" s="87"/>
      <c r="FZ26" s="87"/>
      <c r="GA26" s="87"/>
      <c r="GB26" s="87"/>
      <c r="GC26" s="87"/>
      <c r="GD26" s="87"/>
    </row>
    <row r="27">
      <c r="A27" s="72">
        <v>46271</v>
      </c>
      <c r="B27" s="73" t="s">
        <v>73</v>
      </c>
      <c r="C27" s="85" t="s">
        <v>88</v>
      </c>
      <c r="D27" s="75">
        <v>4</v>
      </c>
      <c r="E27" s="76">
        <v>16365.96</v>
      </c>
      <c r="F27" s="95">
        <v>30</v>
      </c>
      <c r="G27" s="77">
        <v>21</v>
      </c>
      <c r="H27" s="77">
        <v>25941.399999999998</v>
      </c>
      <c r="I27" s="76">
        <v>4</v>
      </c>
      <c r="J27" s="76">
        <v>3398.3999999999996</v>
      </c>
      <c r="K27" s="78">
        <f t="shared" si="7"/>
      </c>
      <c r="L27" s="79">
        <v>16</v>
      </c>
      <c r="M27" s="80">
        <v>20</v>
      </c>
      <c r="N27" s="77">
        <v>3</v>
      </c>
      <c r="O27" s="77">
        <v>9</v>
      </c>
      <c r="P27" s="81">
        <f t="shared" si="38"/>
      </c>
      <c r="Q27" s="82">
        <f t="shared" si="0"/>
      </c>
      <c r="R27" s="83">
        <f t="shared" si="32"/>
      </c>
      <c r="S27" s="82">
        <f t="shared" si="1"/>
      </c>
      <c r="T27" s="73" t="s">
        <v>82</v>
      </c>
      <c r="U27" s="73">
        <v>8</v>
      </c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 s="94"/>
      <c r="CH27" s="94"/>
      <c r="CI27" s="94"/>
      <c r="CJ27" s="94"/>
      <c r="CK27" s="94"/>
      <c r="CL27" s="94"/>
      <c r="CM27" s="94"/>
      <c r="CN27" s="94"/>
      <c r="CO27" s="94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4"/>
      <c r="DA27" s="94"/>
      <c r="DB27" s="94"/>
      <c r="DC27" s="94"/>
      <c r="DD27" s="94"/>
      <c r="DE27" s="94"/>
      <c r="DF27" s="94"/>
      <c r="DG27" s="94"/>
      <c r="DH27" s="94"/>
      <c r="DI27" s="94"/>
      <c r="DJ27" s="94"/>
      <c r="DK27" s="94"/>
      <c r="DL27" s="94"/>
      <c r="DM27" s="94"/>
      <c r="DN27" s="94"/>
      <c r="DO27" s="94"/>
      <c r="DP27" s="94"/>
      <c r="DQ27" s="94"/>
      <c r="DR27" s="94"/>
      <c r="DS27" s="94"/>
      <c r="DT27" s="94"/>
      <c r="DU27" s="94"/>
      <c r="DV27" s="94"/>
      <c r="DW27" s="94"/>
      <c r="DX27" s="94"/>
      <c r="DY27" s="94"/>
      <c r="DZ27" s="94"/>
      <c r="EA27" s="94"/>
      <c r="EB27" s="94"/>
      <c r="EC27" s="94"/>
      <c r="ED27" s="94"/>
      <c r="EE27" s="94"/>
      <c r="EF27" s="94"/>
      <c r="EG27" s="94"/>
      <c r="EH27" s="94"/>
      <c r="EI27" s="94"/>
      <c r="EJ27" s="94"/>
      <c r="EK27" s="94"/>
      <c r="EL27" s="94"/>
      <c r="EM27" s="94"/>
      <c r="EN27" s="94"/>
      <c r="EO27" s="94"/>
      <c r="EP27" s="94"/>
      <c r="EQ27" s="94"/>
      <c r="ER27" s="94"/>
      <c r="ES27" s="94"/>
      <c r="ET27" s="94"/>
      <c r="EU27" s="94"/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94"/>
      <c r="FM27" s="94"/>
      <c r="FN27" s="94"/>
      <c r="FO27" s="94"/>
      <c r="FP27" s="94"/>
      <c r="FQ27" s="94"/>
      <c r="FR27" s="94"/>
      <c r="FS27" s="94"/>
      <c r="FT27" s="94"/>
      <c r="FU27" s="94"/>
      <c r="FV27" s="94"/>
      <c r="FW27" s="94"/>
      <c r="FX27" s="94"/>
      <c r="FY27" s="94"/>
      <c r="FZ27" s="94"/>
      <c r="GA27" s="94"/>
      <c r="GB27" s="94"/>
      <c r="GC27" s="94"/>
      <c r="GD27" s="94"/>
    </row>
    <row r="28">
      <c r="A28" s="89">
        <v>46271</v>
      </c>
      <c r="B28" s="90" t="s">
        <v>83</v>
      </c>
      <c r="C28" s="91"/>
      <c r="D28" s="92">
        <f>SUM(D24:D27)</f>
      </c>
      <c r="E28" s="92">
        <f>SUM(E24:E27)</f>
      </c>
      <c r="F28" s="92">
        <f>SUM(F24:F27)</f>
      </c>
      <c r="G28" s="92">
        <f>SUM(G24:G27)</f>
      </c>
      <c r="H28" s="92">
        <f>SUM(H24:H27)</f>
      </c>
      <c r="I28" s="92">
        <f>SUM(I24:I27)</f>
      </c>
      <c r="J28" s="92">
        <f>SUM(J24:J27)</f>
      </c>
      <c r="K28" s="92">
        <f>SUM(K24:K27)</f>
      </c>
      <c r="L28" s="92">
        <f>SUM(L24:L27)</f>
      </c>
      <c r="M28" s="92">
        <f>SUM(M24:M27)</f>
      </c>
      <c r="N28" s="92">
        <f>SUM(N24:N27)</f>
      </c>
      <c r="O28" s="92">
        <f>SUM(O24:O27)</f>
      </c>
      <c r="P28" s="92">
        <f>SUM(P24:P27)</f>
      </c>
      <c r="Q28" s="93">
        <f t="shared" si="0"/>
      </c>
      <c r="R28" s="93">
        <f t="shared" si="32"/>
      </c>
      <c r="S28" s="93">
        <f t="shared" si="1"/>
      </c>
      <c r="T28" s="92"/>
      <c r="U28" s="92">
        <f>SUM(U24:U27)</f>
      </c>
      <c r="V28" s="92"/>
      <c r="W28" s="92">
        <f>SUM(W24:W27)</f>
      </c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92"/>
      <c r="EA28" s="92"/>
      <c r="EB28" s="92"/>
      <c r="EC28" s="92"/>
      <c r="ED28" s="92"/>
      <c r="EE28" s="92"/>
      <c r="EF28" s="92"/>
      <c r="EG28" s="92"/>
      <c r="EH28" s="92"/>
      <c r="EI28" s="92"/>
      <c r="EJ28" s="92"/>
      <c r="EK28" s="92"/>
      <c r="EL28" s="92"/>
      <c r="EM28" s="92"/>
      <c r="EN28" s="92"/>
      <c r="EO28" s="92"/>
      <c r="EP28" s="92"/>
      <c r="EQ28" s="92"/>
      <c r="ER28" s="92"/>
      <c r="ES28" s="92"/>
      <c r="ET28" s="92"/>
      <c r="EU28" s="92"/>
      <c r="EV28" s="92"/>
      <c r="EW28" s="92"/>
      <c r="EX28" s="92"/>
      <c r="EY28" s="92"/>
      <c r="EZ28" s="92"/>
      <c r="FA28" s="92"/>
      <c r="FB28" s="92"/>
      <c r="FC28" s="92"/>
      <c r="FD28" s="92"/>
      <c r="FE28" s="92"/>
      <c r="FF28" s="92"/>
      <c r="FG28" s="92"/>
      <c r="FH28" s="92"/>
      <c r="FI28" s="92"/>
      <c r="FJ28" s="92"/>
      <c r="FK28" s="92"/>
      <c r="FL28" s="92"/>
      <c r="FM28" s="92"/>
      <c r="FN28" s="92"/>
      <c r="FO28" s="92"/>
      <c r="FP28" s="92"/>
      <c r="FQ28" s="92"/>
      <c r="FR28" s="92"/>
      <c r="FS28" s="92"/>
      <c r="FT28" s="92"/>
      <c r="FU28" s="92"/>
      <c r="FV28" s="92"/>
      <c r="FW28" s="92"/>
      <c r="FX28" s="92"/>
      <c r="FY28" s="92"/>
      <c r="FZ28" s="92"/>
      <c r="GA28" s="92"/>
      <c r="GB28" s="92"/>
      <c r="GC28" s="92"/>
      <c r="GD28" s="92"/>
    </row>
    <row r="29">
      <c r="A29" s="72">
        <v>46272</v>
      </c>
      <c r="B29" s="73" t="s">
        <v>80</v>
      </c>
      <c r="C29" s="74" t="s">
        <v>85</v>
      </c>
      <c r="D29" s="75">
        <v>4</v>
      </c>
      <c r="E29" s="76">
        <v>6450.67</v>
      </c>
      <c r="F29" s="75">
        <v>8</v>
      </c>
      <c r="G29" s="77">
        <v>6</v>
      </c>
      <c r="H29" s="77">
        <v>5164.8</v>
      </c>
      <c r="I29" s="76">
        <v>0</v>
      </c>
      <c r="J29" s="76">
        <v>0</v>
      </c>
      <c r="K29" s="78">
        <f t="shared" ref="K29:K32" si="8">G29+I29</f>
      </c>
      <c r="L29" s="79">
        <v>4</v>
      </c>
      <c r="M29" s="80">
        <v>5</v>
      </c>
      <c r="N29" s="77">
        <v>0</v>
      </c>
      <c r="O29" s="77">
        <v>1</v>
      </c>
      <c r="P29" s="81">
        <f t="shared" ref="P29:P32" si="39">J29+H29</f>
      </c>
      <c r="Q29" s="82">
        <f t="shared" si="0"/>
      </c>
      <c r="R29" s="83">
        <f t="shared" si="32"/>
      </c>
      <c r="S29" s="82">
        <f t="shared" si="1"/>
      </c>
      <c r="T29" s="73" t="s">
        <v>89</v>
      </c>
      <c r="U29" s="73">
        <v>6</v>
      </c>
      <c r="V29" s="94" t="s">
        <v>76</v>
      </c>
      <c r="W29" s="73">
        <v>14</v>
      </c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</row>
    <row r="30">
      <c r="A30" s="72">
        <v>46272</v>
      </c>
      <c r="B30" s="73" t="s">
        <v>90</v>
      </c>
      <c r="C30" s="85" t="s">
        <v>86</v>
      </c>
      <c r="D30" s="75">
        <v>3</v>
      </c>
      <c r="E30" s="76">
        <v>5411.19</v>
      </c>
      <c r="F30" s="86">
        <v>6</v>
      </c>
      <c r="G30" s="77">
        <v>6</v>
      </c>
      <c r="H30" s="77">
        <v>9946.8</v>
      </c>
      <c r="I30" s="76">
        <v>0</v>
      </c>
      <c r="J30" s="76">
        <v>0</v>
      </c>
      <c r="K30" s="78">
        <f t="shared" si="8"/>
      </c>
      <c r="L30" s="79">
        <v>6</v>
      </c>
      <c r="M30" s="80">
        <v>6</v>
      </c>
      <c r="N30" s="77">
        <v>0</v>
      </c>
      <c r="O30" s="77">
        <v>3</v>
      </c>
      <c r="P30" s="81">
        <f t="shared" si="39"/>
      </c>
      <c r="Q30" s="82">
        <f t="shared" si="0"/>
      </c>
      <c r="R30" s="83">
        <f t="shared" si="32"/>
      </c>
      <c r="S30" s="82">
        <f t="shared" si="1"/>
      </c>
      <c r="T30" s="73"/>
      <c r="U30" s="73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  <c r="FU30" s="87"/>
      <c r="FV30" s="87"/>
      <c r="FW30" s="87"/>
      <c r="FX30" s="87"/>
      <c r="FY30" s="87"/>
      <c r="FZ30" s="87"/>
      <c r="GA30" s="87"/>
      <c r="GB30" s="87"/>
      <c r="GC30" s="87"/>
      <c r="GD30" s="87"/>
    </row>
    <row r="31">
      <c r="A31" s="72">
        <v>46272</v>
      </c>
      <c r="B31" s="73" t="s">
        <v>73</v>
      </c>
      <c r="C31" s="85" t="s">
        <v>87</v>
      </c>
      <c r="D31" s="75">
        <v>3</v>
      </c>
      <c r="E31" s="76">
        <v>7439.2300000000005</v>
      </c>
      <c r="F31" s="88">
        <v>15</v>
      </c>
      <c r="G31" s="77">
        <v>15</v>
      </c>
      <c r="H31" s="77">
        <v>25165.199999999997</v>
      </c>
      <c r="I31" s="76">
        <v>0</v>
      </c>
      <c r="J31" s="76">
        <v>0</v>
      </c>
      <c r="K31" s="78">
        <f t="shared" si="8"/>
      </c>
      <c r="L31" s="79">
        <v>7</v>
      </c>
      <c r="M31" s="80">
        <v>8</v>
      </c>
      <c r="N31" s="77">
        <v>3</v>
      </c>
      <c r="O31" s="77">
        <v>7</v>
      </c>
      <c r="P31" s="81">
        <f t="shared" si="39"/>
      </c>
      <c r="Q31" s="82">
        <f t="shared" si="0"/>
      </c>
      <c r="R31" s="83">
        <f t="shared" si="32"/>
      </c>
      <c r="S31" s="82">
        <f t="shared" si="1"/>
      </c>
      <c r="T31" s="73"/>
      <c r="U31" s="73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</row>
    <row r="32">
      <c r="A32" s="72">
        <v>46272</v>
      </c>
      <c r="B32" s="73" t="s">
        <v>77</v>
      </c>
      <c r="C32" s="85" t="s">
        <v>88</v>
      </c>
      <c r="D32" s="75">
        <v>4</v>
      </c>
      <c r="E32" s="76">
        <v>13690.970000000001</v>
      </c>
      <c r="F32" s="95">
        <v>13</v>
      </c>
      <c r="G32" s="77">
        <v>8</v>
      </c>
      <c r="H32" s="77">
        <v>13268.200000000004</v>
      </c>
      <c r="I32" s="76">
        <v>4</v>
      </c>
      <c r="J32" s="76">
        <v>1531</v>
      </c>
      <c r="K32" s="78">
        <f t="shared" si="8"/>
      </c>
      <c r="L32" s="79">
        <v>11</v>
      </c>
      <c r="M32" s="80">
        <v>12</v>
      </c>
      <c r="N32" s="77">
        <v>0</v>
      </c>
      <c r="O32" s="77">
        <v>5</v>
      </c>
      <c r="P32" s="81">
        <f t="shared" si="39"/>
      </c>
      <c r="Q32" s="82">
        <f t="shared" si="0"/>
      </c>
      <c r="R32" s="83">
        <f t="shared" si="32"/>
      </c>
      <c r="S32" s="82">
        <f t="shared" si="1"/>
      </c>
      <c r="T32" s="73" t="s">
        <v>82</v>
      </c>
      <c r="U32" s="73">
        <v>8</v>
      </c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4"/>
      <c r="CN32" s="94"/>
      <c r="CO32" s="94"/>
      <c r="CP32" s="94"/>
      <c r="CQ32" s="94"/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4"/>
      <c r="DR32" s="94"/>
      <c r="DS32" s="94"/>
      <c r="DT32" s="94"/>
      <c r="DU32" s="94"/>
      <c r="DV32" s="94"/>
      <c r="DW32" s="94"/>
      <c r="DX32" s="94"/>
      <c r="DY32" s="94"/>
      <c r="DZ32" s="94"/>
      <c r="EA32" s="94"/>
      <c r="EB32" s="94"/>
      <c r="EC32" s="94"/>
      <c r="ED32" s="94"/>
      <c r="EE32" s="94"/>
      <c r="EF32" s="94"/>
      <c r="EG32" s="94"/>
      <c r="EH32" s="94"/>
      <c r="EI32" s="94"/>
      <c r="EJ32" s="94"/>
      <c r="EK32" s="94"/>
      <c r="EL32" s="94"/>
      <c r="EM32" s="94"/>
      <c r="EN32" s="94"/>
      <c r="EO32" s="94"/>
      <c r="EP32" s="94"/>
      <c r="EQ32" s="94"/>
      <c r="ER32" s="94"/>
      <c r="ES32" s="94"/>
      <c r="ET32" s="94"/>
      <c r="EU32" s="94"/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94"/>
      <c r="FL32" s="94"/>
      <c r="FM32" s="94"/>
      <c r="FN32" s="94"/>
      <c r="FO32" s="94"/>
      <c r="FP32" s="94"/>
      <c r="FQ32" s="94"/>
      <c r="FR32" s="94"/>
      <c r="FS32" s="94"/>
      <c r="FT32" s="94"/>
      <c r="FU32" s="94"/>
      <c r="FV32" s="94"/>
      <c r="FW32" s="94"/>
      <c r="FX32" s="94"/>
      <c r="FY32" s="94"/>
      <c r="FZ32" s="94"/>
      <c r="GA32" s="94"/>
      <c r="GB32" s="94"/>
      <c r="GC32" s="94"/>
      <c r="GD32" s="94"/>
    </row>
    <row r="33">
      <c r="A33" s="89">
        <v>46272</v>
      </c>
      <c r="B33" s="90" t="s">
        <v>83</v>
      </c>
      <c r="C33" s="91"/>
      <c r="D33" s="92">
        <f>SUM(D29:D32)</f>
      </c>
      <c r="E33" s="92">
        <f>SUM(E29:E32)</f>
      </c>
      <c r="F33" s="92">
        <f>SUM(F29:F32)</f>
      </c>
      <c r="G33" s="92">
        <f>SUM(G29:G32)</f>
      </c>
      <c r="H33" s="92">
        <f>SUM(H29:H32)</f>
      </c>
      <c r="I33" s="92">
        <f>SUM(I29:I32)</f>
      </c>
      <c r="J33" s="92">
        <f>SUM(J29:J32)</f>
      </c>
      <c r="K33" s="92">
        <f>SUM(K29:K32)</f>
      </c>
      <c r="L33" s="92">
        <f>SUM(L29:L32)</f>
      </c>
      <c r="M33" s="92">
        <f>SUM(M29:M32)</f>
      </c>
      <c r="N33" s="92">
        <f>SUM(N29:N32)</f>
      </c>
      <c r="O33" s="92">
        <f>SUM(O29:O32)</f>
      </c>
      <c r="P33" s="92">
        <f>SUM(P29:P32)</f>
      </c>
      <c r="Q33" s="93">
        <f t="shared" si="0"/>
      </c>
      <c r="R33" s="93">
        <f t="shared" si="32"/>
      </c>
      <c r="S33" s="93">
        <f t="shared" si="1"/>
      </c>
      <c r="T33" s="92"/>
      <c r="U33" s="92">
        <f>SUM(U29:U32)</f>
      </c>
      <c r="V33" s="92"/>
      <c r="W33" s="92">
        <f>SUM(W29:W32)</f>
      </c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2"/>
      <c r="DA33" s="92"/>
      <c r="DB33" s="92"/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DU33" s="92"/>
      <c r="DV33" s="92"/>
      <c r="DW33" s="92"/>
      <c r="DX33" s="92"/>
      <c r="DY33" s="92"/>
      <c r="DZ33" s="92"/>
      <c r="EA33" s="92"/>
      <c r="EB33" s="92"/>
      <c r="EC33" s="92"/>
      <c r="ED33" s="92"/>
      <c r="EE33" s="92"/>
      <c r="EF33" s="92"/>
      <c r="EG33" s="92"/>
      <c r="EH33" s="92"/>
      <c r="EI33" s="92"/>
      <c r="EJ33" s="92"/>
      <c r="EK33" s="92"/>
      <c r="EL33" s="92"/>
      <c r="EM33" s="92"/>
      <c r="EN33" s="92"/>
      <c r="EO33" s="92"/>
      <c r="EP33" s="92"/>
      <c r="EQ33" s="92"/>
      <c r="ER33" s="92"/>
      <c r="ES33" s="92"/>
      <c r="ET33" s="92"/>
      <c r="EU33" s="92"/>
      <c r="EV33" s="92"/>
      <c r="EW33" s="92"/>
      <c r="EX33" s="92"/>
      <c r="EY33" s="92"/>
      <c r="EZ33" s="92"/>
      <c r="FA33" s="92"/>
      <c r="FB33" s="92"/>
      <c r="FC33" s="92"/>
      <c r="FD33" s="92"/>
      <c r="FE33" s="92"/>
      <c r="FF33" s="92"/>
      <c r="FG33" s="92"/>
      <c r="FH33" s="92"/>
      <c r="FI33" s="92"/>
      <c r="FJ33" s="92"/>
      <c r="FK33" s="92"/>
      <c r="FL33" s="92"/>
      <c r="FM33" s="92"/>
      <c r="FN33" s="92"/>
      <c r="FO33" s="92"/>
      <c r="FP33" s="92"/>
      <c r="FQ33" s="92"/>
      <c r="FR33" s="92"/>
      <c r="FS33" s="92"/>
      <c r="FT33" s="92"/>
      <c r="FU33" s="92"/>
      <c r="FV33" s="92"/>
      <c r="FW33" s="92"/>
      <c r="FX33" s="92"/>
      <c r="FY33" s="92"/>
      <c r="FZ33" s="92"/>
      <c r="GA33" s="92"/>
      <c r="GB33" s="92"/>
      <c r="GC33" s="92"/>
      <c r="GD33" s="92"/>
    </row>
    <row r="34">
      <c r="A34" s="72">
        <v>46273</v>
      </c>
      <c r="B34" s="73" t="s">
        <v>73</v>
      </c>
      <c r="C34" s="74" t="s">
        <v>85</v>
      </c>
      <c r="D34" s="75">
        <v>4</v>
      </c>
      <c r="E34" s="76">
        <v>7602.290000000001</v>
      </c>
      <c r="F34" s="75">
        <v>9</v>
      </c>
      <c r="G34" s="77">
        <v>7</v>
      </c>
      <c r="H34" s="77">
        <v>8759.400000000001</v>
      </c>
      <c r="I34" s="76">
        <v>0</v>
      </c>
      <c r="J34" s="76">
        <v>0</v>
      </c>
      <c r="K34" s="78">
        <f t="shared" ref="K34:K37" si="9">G34+I34</f>
      </c>
      <c r="L34" s="79">
        <v>5</v>
      </c>
      <c r="M34" s="80">
        <v>6</v>
      </c>
      <c r="N34" s="77">
        <v>1</v>
      </c>
      <c r="O34" s="77">
        <v>3</v>
      </c>
      <c r="P34" s="81">
        <f t="shared" ref="P34:P37" si="40">J34+H34</f>
      </c>
      <c r="Q34" s="82">
        <f t="shared" si="0"/>
      </c>
      <c r="R34" s="83">
        <f t="shared" si="32"/>
      </c>
      <c r="S34" s="82">
        <f t="shared" si="1"/>
      </c>
      <c r="T34" s="73" t="s">
        <v>89</v>
      </c>
      <c r="U34" s="73">
        <v>6</v>
      </c>
      <c r="V34" s="94" t="s">
        <v>76</v>
      </c>
      <c r="W34" s="73">
        <v>14</v>
      </c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</row>
    <row r="35">
      <c r="A35" s="72">
        <v>46273</v>
      </c>
      <c r="B35" s="73" t="s">
        <v>77</v>
      </c>
      <c r="C35" s="85" t="s">
        <v>86</v>
      </c>
      <c r="D35" s="75">
        <v>3</v>
      </c>
      <c r="E35" s="76">
        <v>5721.780000000001</v>
      </c>
      <c r="F35" s="86">
        <v>7</v>
      </c>
      <c r="G35" s="77">
        <v>6</v>
      </c>
      <c r="H35" s="77">
        <v>8561.3</v>
      </c>
      <c r="I35" s="76">
        <v>0</v>
      </c>
      <c r="J35" s="76">
        <v>0</v>
      </c>
      <c r="K35" s="78">
        <f t="shared" si="9"/>
      </c>
      <c r="L35" s="79">
        <v>3</v>
      </c>
      <c r="M35" s="80">
        <v>4</v>
      </c>
      <c r="N35" s="77">
        <v>1</v>
      </c>
      <c r="O35" s="77">
        <v>3</v>
      </c>
      <c r="P35" s="81">
        <f t="shared" si="40"/>
      </c>
      <c r="Q35" s="82">
        <f t="shared" si="0"/>
      </c>
      <c r="R35" s="83">
        <f t="shared" si="32"/>
      </c>
      <c r="S35" s="82">
        <f t="shared" si="1"/>
      </c>
      <c r="T35" s="73"/>
      <c r="U35" s="73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</row>
    <row r="36">
      <c r="A36" s="72">
        <v>46273</v>
      </c>
      <c r="B36" s="73" t="s">
        <v>80</v>
      </c>
      <c r="C36" s="85" t="s">
        <v>87</v>
      </c>
      <c r="D36" s="75">
        <v>3</v>
      </c>
      <c r="E36" s="76">
        <v>4822.3</v>
      </c>
      <c r="F36" s="88">
        <v>5</v>
      </c>
      <c r="G36" s="77">
        <v>4</v>
      </c>
      <c r="H36" s="77">
        <v>7018.799999999999</v>
      </c>
      <c r="I36" s="76">
        <v>0</v>
      </c>
      <c r="J36" s="76">
        <v>0</v>
      </c>
      <c r="K36" s="78">
        <f t="shared" si="9"/>
      </c>
      <c r="L36" s="79">
        <v>3</v>
      </c>
      <c r="M36" s="80">
        <v>3</v>
      </c>
      <c r="N36" s="77">
        <v>1</v>
      </c>
      <c r="O36" s="77">
        <v>2</v>
      </c>
      <c r="P36" s="81">
        <f t="shared" si="40"/>
      </c>
      <c r="Q36" s="82">
        <f t="shared" si="0"/>
      </c>
      <c r="R36" s="83">
        <f t="shared" si="32"/>
      </c>
      <c r="S36" s="82">
        <f t="shared" si="1"/>
      </c>
      <c r="T36" s="73"/>
      <c r="U36" s="73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7"/>
      <c r="FN36" s="87"/>
      <c r="FO36" s="87"/>
      <c r="FP36" s="87"/>
      <c r="FQ36" s="87"/>
      <c r="FR36" s="87"/>
      <c r="FS36" s="87"/>
      <c r="FT36" s="87"/>
      <c r="FU36" s="87"/>
      <c r="FV36" s="87"/>
      <c r="FW36" s="87"/>
      <c r="FX36" s="87"/>
      <c r="FY36" s="87"/>
      <c r="FZ36" s="87"/>
      <c r="GA36" s="87"/>
      <c r="GB36" s="87"/>
      <c r="GC36" s="87"/>
      <c r="GD36" s="87"/>
    </row>
    <row r="37">
      <c r="A37" s="72">
        <v>46273</v>
      </c>
      <c r="B37" s="73" t="s">
        <v>84</v>
      </c>
      <c r="C37" s="85" t="s">
        <v>88</v>
      </c>
      <c r="D37" s="75">
        <v>4</v>
      </c>
      <c r="E37" s="76">
        <v>8572.65</v>
      </c>
      <c r="F37" s="95">
        <v>12</v>
      </c>
      <c r="G37" s="77">
        <v>11</v>
      </c>
      <c r="H37" s="77">
        <v>11577.599999999999</v>
      </c>
      <c r="I37" s="76">
        <v>0</v>
      </c>
      <c r="J37" s="76">
        <v>0</v>
      </c>
      <c r="K37" s="78">
        <f t="shared" si="9"/>
      </c>
      <c r="L37" s="79">
        <v>3</v>
      </c>
      <c r="M37" s="80">
        <v>4</v>
      </c>
      <c r="N37" s="77">
        <v>3</v>
      </c>
      <c r="O37" s="77">
        <v>7</v>
      </c>
      <c r="P37" s="81">
        <f t="shared" si="40"/>
      </c>
      <c r="Q37" s="82">
        <f t="shared" si="0"/>
      </c>
      <c r="R37" s="83">
        <f t="shared" si="32"/>
      </c>
      <c r="S37" s="82">
        <f t="shared" si="1"/>
      </c>
      <c r="T37" s="73" t="s">
        <v>82</v>
      </c>
      <c r="U37" s="73">
        <v>8</v>
      </c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4"/>
      <c r="CC37" s="94"/>
      <c r="CD37" s="94"/>
      <c r="CE37" s="94"/>
      <c r="CF37" s="94"/>
      <c r="CG37" s="94"/>
      <c r="CH37" s="94"/>
      <c r="CI37" s="94"/>
      <c r="CJ37" s="94"/>
      <c r="CK37" s="94"/>
      <c r="CL37" s="94"/>
      <c r="CM37" s="94"/>
      <c r="CN37" s="94"/>
      <c r="CO37" s="94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4"/>
      <c r="DZ37" s="94"/>
      <c r="EA37" s="94"/>
      <c r="EB37" s="94"/>
      <c r="EC37" s="94"/>
      <c r="ED37" s="94"/>
      <c r="EE37" s="94"/>
      <c r="EF37" s="94"/>
      <c r="EG37" s="94"/>
      <c r="EH37" s="94"/>
      <c r="EI37" s="94"/>
      <c r="EJ37" s="94"/>
      <c r="EK37" s="94"/>
      <c r="EL37" s="94"/>
      <c r="EM37" s="94"/>
      <c r="EN37" s="94"/>
      <c r="EO37" s="94"/>
      <c r="EP37" s="94"/>
      <c r="EQ37" s="94"/>
      <c r="ER37" s="94"/>
      <c r="ES37" s="94"/>
      <c r="ET37" s="94"/>
      <c r="EU37" s="94"/>
      <c r="EV37" s="94"/>
      <c r="EW37" s="94"/>
      <c r="EX37" s="94"/>
      <c r="EY37" s="94"/>
      <c r="EZ37" s="94"/>
      <c r="FA37" s="94"/>
      <c r="FB37" s="94"/>
      <c r="FC37" s="94"/>
      <c r="FD37" s="94"/>
      <c r="FE37" s="94"/>
      <c r="FF37" s="94"/>
      <c r="FG37" s="94"/>
      <c r="FH37" s="94"/>
      <c r="FI37" s="94"/>
      <c r="FJ37" s="94"/>
      <c r="FK37" s="94"/>
      <c r="FL37" s="94"/>
      <c r="FM37" s="94"/>
      <c r="FN37" s="94"/>
      <c r="FO37" s="94"/>
      <c r="FP37" s="94"/>
      <c r="FQ37" s="94"/>
      <c r="FR37" s="94"/>
      <c r="FS37" s="94"/>
      <c r="FT37" s="94"/>
      <c r="FU37" s="94"/>
      <c r="FV37" s="94"/>
      <c r="FW37" s="94"/>
      <c r="FX37" s="94"/>
      <c r="FY37" s="94"/>
      <c r="FZ37" s="94"/>
      <c r="GA37" s="94"/>
      <c r="GB37" s="94"/>
      <c r="GC37" s="94"/>
      <c r="GD37" s="94"/>
    </row>
    <row r="38">
      <c r="A38" s="89">
        <v>46273</v>
      </c>
      <c r="B38" s="90" t="s">
        <v>83</v>
      </c>
      <c r="C38" s="91"/>
      <c r="D38" s="92">
        <f>SUM(D34:D37)</f>
      </c>
      <c r="E38" s="92">
        <f>SUM(E34:E37)</f>
      </c>
      <c r="F38" s="92">
        <f>SUM(F34:F37)</f>
      </c>
      <c r="G38" s="92">
        <f>SUM(G34:G37)</f>
      </c>
      <c r="H38" s="92">
        <f>SUM(H34:H37)</f>
      </c>
      <c r="I38" s="92">
        <f>SUM(I34:I37)</f>
      </c>
      <c r="J38" s="92">
        <f>SUM(J34:J37)</f>
      </c>
      <c r="K38" s="92">
        <f>SUM(K34:K37)</f>
      </c>
      <c r="L38" s="92">
        <f>SUM(L34:L37)</f>
      </c>
      <c r="M38" s="92">
        <f>SUM(M34:M37)</f>
      </c>
      <c r="N38" s="92">
        <f>SUM(N34:N37)</f>
      </c>
      <c r="O38" s="92">
        <f>SUM(O34:O37)</f>
      </c>
      <c r="P38" s="92">
        <f>SUM(P34:P37)</f>
      </c>
      <c r="Q38" s="93">
        <f t="shared" si="0"/>
      </c>
      <c r="R38" s="93">
        <f t="shared" si="32"/>
      </c>
      <c r="S38" s="93">
        <f t="shared" si="1"/>
      </c>
      <c r="T38" s="92"/>
      <c r="U38" s="92">
        <f>SUM(U34:U37)</f>
      </c>
      <c r="V38" s="92"/>
      <c r="W38" s="92">
        <f>SUM(W34:W37)</f>
      </c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DZ38" s="92"/>
      <c r="EA38" s="92"/>
      <c r="EB38" s="92"/>
      <c r="EC38" s="92"/>
      <c r="ED38" s="92"/>
      <c r="EE38" s="92"/>
      <c r="EF38" s="92"/>
      <c r="EG38" s="92"/>
      <c r="EH38" s="92"/>
      <c r="EI38" s="92"/>
      <c r="EJ38" s="92"/>
      <c r="EK38" s="92"/>
      <c r="EL38" s="92"/>
      <c r="EM38" s="92"/>
      <c r="EN38" s="92"/>
      <c r="EO38" s="92"/>
      <c r="EP38" s="92"/>
      <c r="EQ38" s="92"/>
      <c r="ER38" s="92"/>
      <c r="ES38" s="92"/>
      <c r="ET38" s="92"/>
      <c r="EU38" s="92"/>
      <c r="EV38" s="92"/>
      <c r="EW38" s="92"/>
      <c r="EX38" s="92"/>
      <c r="EY38" s="92"/>
      <c r="EZ38" s="92"/>
      <c r="FA38" s="92"/>
      <c r="FB38" s="92"/>
      <c r="FC38" s="92"/>
      <c r="FD38" s="92"/>
      <c r="FE38" s="92"/>
      <c r="FF38" s="92"/>
      <c r="FG38" s="92"/>
      <c r="FH38" s="92"/>
      <c r="FI38" s="92"/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2"/>
      <c r="FV38" s="92"/>
      <c r="FW38" s="92"/>
      <c r="FX38" s="92"/>
      <c r="FY38" s="92"/>
      <c r="FZ38" s="92"/>
      <c r="GA38" s="92"/>
      <c r="GB38" s="92"/>
      <c r="GC38" s="92"/>
      <c r="GD38" s="92"/>
    </row>
    <row r="39">
      <c r="A39" s="96">
        <v>46274</v>
      </c>
      <c r="B39" s="94" t="s">
        <v>73</v>
      </c>
      <c r="C39" s="97" t="s">
        <v>85</v>
      </c>
      <c r="D39" s="98">
        <v>4</v>
      </c>
      <c r="E39" s="99">
        <v>13539.990000000002</v>
      </c>
      <c r="F39" s="100">
        <v>27</v>
      </c>
      <c r="G39" s="101">
        <v>21</v>
      </c>
      <c r="H39" s="101">
        <v>33397.399999999994</v>
      </c>
      <c r="I39" s="102">
        <v>3</v>
      </c>
      <c r="J39" s="99">
        <v>1585</v>
      </c>
      <c r="K39" s="103">
        <f t="shared" ref="K39:K42" si="10">G39+I39</f>
      </c>
      <c r="L39" s="104">
        <v>14</v>
      </c>
      <c r="M39" s="105">
        <v>17</v>
      </c>
      <c r="N39" s="106">
        <v>4</v>
      </c>
      <c r="O39" s="106">
        <v>10</v>
      </c>
      <c r="P39" s="103">
        <f t="shared" ref="P39:P42" si="41">J39+H39</f>
      </c>
      <c r="Q39" s="82">
        <f t="shared" si="0"/>
      </c>
      <c r="R39" s="83">
        <f t="shared" si="32"/>
      </c>
      <c r="S39" s="82">
        <f t="shared" si="1"/>
      </c>
      <c r="T39" s="94" t="s">
        <v>89</v>
      </c>
      <c r="U39" s="94">
        <v>6</v>
      </c>
      <c r="V39" s="94" t="s">
        <v>76</v>
      </c>
      <c r="W39" s="94">
        <v>14</v>
      </c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4"/>
      <c r="CM39" s="94"/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DZ39" s="94"/>
      <c r="EA39" s="94"/>
      <c r="EB39" s="94"/>
      <c r="EC39" s="94"/>
      <c r="ED39" s="94"/>
      <c r="EE39" s="94"/>
      <c r="EF39" s="94"/>
      <c r="EG39" s="94"/>
      <c r="EH39" s="94"/>
      <c r="EI39" s="94"/>
      <c r="EJ39" s="94"/>
      <c r="EK39" s="94"/>
      <c r="EL39" s="94"/>
      <c r="EM39" s="94"/>
      <c r="EN39" s="94"/>
      <c r="EO39" s="94"/>
      <c r="EP39" s="94"/>
      <c r="EQ39" s="94"/>
      <c r="ER39" s="94"/>
      <c r="ES39" s="94"/>
      <c r="ET39" s="94"/>
      <c r="EU39" s="94"/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4"/>
      <c r="FN39" s="94"/>
      <c r="FO39" s="94"/>
      <c r="FP39" s="94"/>
      <c r="FQ39" s="94"/>
      <c r="FR39" s="94"/>
      <c r="FS39" s="94"/>
      <c r="FT39" s="94"/>
      <c r="FU39" s="94"/>
      <c r="FV39" s="94"/>
      <c r="FW39" s="94"/>
      <c r="FX39" s="94"/>
      <c r="FY39" s="94"/>
      <c r="FZ39" s="94"/>
      <c r="GA39" s="94"/>
      <c r="GB39" s="94"/>
      <c r="GC39" s="94"/>
      <c r="GD39" s="94"/>
    </row>
    <row r="40">
      <c r="A40" s="96">
        <v>46274</v>
      </c>
      <c r="B40" s="94" t="s">
        <v>80</v>
      </c>
      <c r="C40" s="107" t="s">
        <v>86</v>
      </c>
      <c r="D40" s="98">
        <v>3</v>
      </c>
      <c r="E40" s="99">
        <v>14466.99</v>
      </c>
      <c r="F40" s="108">
        <v>10</v>
      </c>
      <c r="G40" s="106">
        <v>6</v>
      </c>
      <c r="H40" s="106">
        <v>7266.799999999996</v>
      </c>
      <c r="I40" s="99">
        <v>4</v>
      </c>
      <c r="J40" s="99">
        <v>2811</v>
      </c>
      <c r="K40" s="103">
        <f t="shared" si="10"/>
      </c>
      <c r="L40" s="104">
        <v>5</v>
      </c>
      <c r="M40" s="105">
        <v>6</v>
      </c>
      <c r="N40" s="106">
        <v>2</v>
      </c>
      <c r="O40" s="106">
        <v>3</v>
      </c>
      <c r="P40" s="103">
        <f t="shared" si="41"/>
      </c>
      <c r="Q40" s="82">
        <f t="shared" si="0"/>
      </c>
      <c r="R40" s="83">
        <f t="shared" si="32"/>
      </c>
      <c r="S40" s="82">
        <f t="shared" si="1"/>
      </c>
      <c r="T40" s="94"/>
      <c r="U40" s="94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  <c r="DK40" s="87"/>
      <c r="DL40" s="87"/>
      <c r="DM40" s="87"/>
      <c r="DN40" s="87"/>
      <c r="DO40" s="87"/>
      <c r="DP40" s="87"/>
      <c r="DQ40" s="87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  <c r="EJ40" s="87"/>
      <c r="EK40" s="87"/>
      <c r="EL40" s="87"/>
      <c r="EM40" s="87"/>
      <c r="EN40" s="87"/>
      <c r="EO40" s="87"/>
      <c r="EP40" s="87"/>
      <c r="EQ40" s="87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87"/>
      <c r="FE40" s="87"/>
      <c r="FF40" s="87"/>
      <c r="FG40" s="87"/>
      <c r="FH40" s="87"/>
      <c r="FI40" s="87"/>
      <c r="FJ40" s="87"/>
      <c r="FK40" s="87"/>
      <c r="FL40" s="87"/>
      <c r="FM40" s="87"/>
      <c r="FN40" s="87"/>
      <c r="FO40" s="87"/>
      <c r="FP40" s="87"/>
      <c r="FQ40" s="87"/>
      <c r="FR40" s="87"/>
      <c r="FS40" s="87"/>
      <c r="FT40" s="87"/>
      <c r="FU40" s="87"/>
      <c r="FV40" s="87"/>
      <c r="FW40" s="87"/>
      <c r="FX40" s="87"/>
      <c r="FY40" s="87"/>
      <c r="FZ40" s="87"/>
      <c r="GA40" s="87"/>
      <c r="GB40" s="87"/>
      <c r="GC40" s="87"/>
      <c r="GD40" s="87"/>
    </row>
    <row r="41">
      <c r="A41" s="96">
        <v>46274</v>
      </c>
      <c r="B41" s="94" t="s">
        <v>84</v>
      </c>
      <c r="C41" s="107" t="s">
        <v>87</v>
      </c>
      <c r="D41" s="98">
        <v>3</v>
      </c>
      <c r="E41" s="99">
        <v>5104.29</v>
      </c>
      <c r="F41" s="109">
        <v>6</v>
      </c>
      <c r="G41" s="106">
        <v>6</v>
      </c>
      <c r="H41" s="106">
        <v>13051.200000000004</v>
      </c>
      <c r="I41" s="99">
        <v>0</v>
      </c>
      <c r="J41" s="99">
        <v>0</v>
      </c>
      <c r="K41" s="103">
        <f t="shared" si="10"/>
      </c>
      <c r="L41" s="104">
        <v>4</v>
      </c>
      <c r="M41" s="105">
        <v>3</v>
      </c>
      <c r="N41" s="106">
        <v>0</v>
      </c>
      <c r="O41" s="106">
        <v>4</v>
      </c>
      <c r="P41" s="103">
        <f t="shared" si="41"/>
      </c>
      <c r="Q41" s="82">
        <f t="shared" si="0"/>
      </c>
      <c r="R41" s="83">
        <f t="shared" si="32"/>
      </c>
      <c r="S41" s="82">
        <f t="shared" si="1"/>
      </c>
      <c r="T41" s="94"/>
      <c r="U41" s="94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  <c r="DK41" s="87"/>
      <c r="DL41" s="87"/>
      <c r="DM41" s="87"/>
      <c r="DN41" s="87"/>
      <c r="DO41" s="87"/>
      <c r="DP41" s="87"/>
      <c r="DQ41" s="87"/>
      <c r="DR41" s="87"/>
      <c r="DS41" s="87"/>
      <c r="DT41" s="87"/>
      <c r="DU41" s="87"/>
      <c r="DV41" s="87"/>
      <c r="DW41" s="87"/>
      <c r="DX41" s="87"/>
      <c r="DY41" s="87"/>
      <c r="DZ41" s="87"/>
      <c r="EA41" s="87"/>
      <c r="EB41" s="87"/>
      <c r="EC41" s="87"/>
      <c r="ED41" s="87"/>
      <c r="EE41" s="87"/>
      <c r="EF41" s="87"/>
      <c r="EG41" s="87"/>
      <c r="EH41" s="87"/>
      <c r="EI41" s="87"/>
      <c r="EJ41" s="87"/>
      <c r="EK41" s="87"/>
      <c r="EL41" s="87"/>
      <c r="EM41" s="87"/>
      <c r="EN41" s="87"/>
      <c r="EO41" s="87"/>
      <c r="EP41" s="87"/>
      <c r="EQ41" s="87"/>
      <c r="ER41" s="87"/>
      <c r="ES41" s="87"/>
      <c r="ET41" s="87"/>
      <c r="EU41" s="87"/>
      <c r="EV41" s="87"/>
      <c r="EW41" s="87"/>
      <c r="EX41" s="87"/>
      <c r="EY41" s="87"/>
      <c r="EZ41" s="87"/>
      <c r="FA41" s="87"/>
      <c r="FB41" s="87"/>
      <c r="FC41" s="87"/>
      <c r="FD41" s="87"/>
      <c r="FE41" s="87"/>
      <c r="FF41" s="87"/>
      <c r="FG41" s="87"/>
      <c r="FH41" s="87"/>
      <c r="FI41" s="87"/>
      <c r="FJ41" s="87"/>
      <c r="FK41" s="87"/>
      <c r="FL41" s="87"/>
      <c r="FM41" s="87"/>
      <c r="FN41" s="87"/>
      <c r="FO41" s="87"/>
      <c r="FP41" s="87"/>
      <c r="FQ41" s="87"/>
      <c r="FR41" s="87"/>
      <c r="FS41" s="87"/>
      <c r="FT41" s="87"/>
      <c r="FU41" s="87"/>
      <c r="FV41" s="87"/>
      <c r="FW41" s="87"/>
      <c r="FX41" s="87"/>
      <c r="FY41" s="87"/>
      <c r="FZ41" s="87"/>
      <c r="GA41" s="87"/>
      <c r="GB41" s="87"/>
      <c r="GC41" s="87"/>
      <c r="GD41" s="87"/>
    </row>
    <row r="42">
      <c r="A42" s="96">
        <v>46274</v>
      </c>
      <c r="B42" s="94" t="s">
        <v>77</v>
      </c>
      <c r="C42" s="107" t="s">
        <v>88</v>
      </c>
      <c r="D42" s="98">
        <v>4</v>
      </c>
      <c r="E42" s="99">
        <v>8063.93</v>
      </c>
      <c r="F42" s="110">
        <v>13</v>
      </c>
      <c r="G42" s="106">
        <v>5</v>
      </c>
      <c r="H42" s="106">
        <v>9289.200000000004</v>
      </c>
      <c r="I42" s="99">
        <v>3</v>
      </c>
      <c r="J42" s="99">
        <v>1693.2000000000007</v>
      </c>
      <c r="K42" s="103">
        <f t="shared" si="10"/>
      </c>
      <c r="L42" s="104">
        <v>5</v>
      </c>
      <c r="M42" s="105">
        <v>9</v>
      </c>
      <c r="N42" s="106">
        <v>1</v>
      </c>
      <c r="O42" s="106">
        <v>3</v>
      </c>
      <c r="P42" s="103">
        <f t="shared" si="41"/>
      </c>
      <c r="Q42" s="82">
        <f t="shared" si="0"/>
      </c>
      <c r="R42" s="83">
        <f t="shared" si="32"/>
      </c>
      <c r="S42" s="82">
        <f t="shared" si="1"/>
      </c>
      <c r="T42" s="94" t="s">
        <v>82</v>
      </c>
      <c r="U42" s="94">
        <v>8</v>
      </c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94"/>
      <c r="CM42" s="94"/>
      <c r="CN42" s="94"/>
      <c r="CO42" s="94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94"/>
      <c r="DX42" s="94"/>
      <c r="DY42" s="94"/>
      <c r="DZ42" s="94"/>
      <c r="EA42" s="94"/>
      <c r="EB42" s="94"/>
      <c r="EC42" s="94"/>
      <c r="ED42" s="94"/>
      <c r="EE42" s="94"/>
      <c r="EF42" s="94"/>
      <c r="EG42" s="94"/>
      <c r="EH42" s="94"/>
      <c r="EI42" s="94"/>
      <c r="EJ42" s="94"/>
      <c r="EK42" s="94"/>
      <c r="EL42" s="94"/>
      <c r="EM42" s="94"/>
      <c r="EN42" s="94"/>
      <c r="EO42" s="94"/>
      <c r="EP42" s="94"/>
      <c r="EQ42" s="94"/>
      <c r="ER42" s="94"/>
      <c r="ES42" s="94"/>
      <c r="ET42" s="94"/>
      <c r="EU42" s="94"/>
      <c r="EV42" s="94"/>
      <c r="EW42" s="94"/>
      <c r="EX42" s="94"/>
      <c r="EY42" s="94"/>
      <c r="EZ42" s="94"/>
      <c r="FA42" s="94"/>
      <c r="FB42" s="94"/>
      <c r="FC42" s="94"/>
      <c r="FD42" s="94"/>
      <c r="FE42" s="94"/>
      <c r="FF42" s="94"/>
      <c r="FG42" s="94"/>
      <c r="FH42" s="94"/>
      <c r="FI42" s="94"/>
      <c r="FJ42" s="94"/>
      <c r="FK42" s="94"/>
      <c r="FL42" s="94"/>
      <c r="FM42" s="94"/>
      <c r="FN42" s="94"/>
      <c r="FO42" s="94"/>
      <c r="FP42" s="94"/>
      <c r="FQ42" s="94"/>
      <c r="FR42" s="94"/>
      <c r="FS42" s="94"/>
      <c r="FT42" s="94"/>
      <c r="FU42" s="94"/>
      <c r="FV42" s="94"/>
      <c r="FW42" s="94"/>
      <c r="FX42" s="94"/>
      <c r="FY42" s="94"/>
      <c r="FZ42" s="94"/>
      <c r="GA42" s="94"/>
      <c r="GB42" s="94"/>
      <c r="GC42" s="94"/>
      <c r="GD42" s="94"/>
    </row>
    <row r="43">
      <c r="A43" s="111">
        <v>46274</v>
      </c>
      <c r="B43" s="112" t="s">
        <v>83</v>
      </c>
      <c r="C43" s="113"/>
      <c r="D43" s="92">
        <f>SUM(D39:D42)</f>
      </c>
      <c r="E43" s="92">
        <f>SUM(E39:E42)</f>
      </c>
      <c r="F43" s="92">
        <f>SUM(F39:F42)</f>
      </c>
      <c r="G43" s="92">
        <f>SUM(G39:G42)</f>
      </c>
      <c r="H43" s="92">
        <f>SUM(H39:H42)</f>
      </c>
      <c r="I43" s="92">
        <f>SUM(I39:I42)</f>
      </c>
      <c r="J43" s="92">
        <f>SUM(J39:J42)</f>
      </c>
      <c r="K43" s="92">
        <f>SUM(K39:K42)</f>
      </c>
      <c r="L43" s="92">
        <f>SUM(L39:L42)</f>
      </c>
      <c r="M43" s="92">
        <f>SUM(M39:M42)</f>
      </c>
      <c r="N43" s="92">
        <f>SUM(N39:N42)</f>
      </c>
      <c r="O43" s="92">
        <f>SUM(O39:O42)</f>
      </c>
      <c r="P43" s="92">
        <f>SUM(P39:P42)</f>
      </c>
      <c r="Q43" s="93">
        <f t="shared" si="0"/>
      </c>
      <c r="R43" s="93">
        <f t="shared" si="32"/>
      </c>
      <c r="S43" s="93">
        <f t="shared" si="1"/>
      </c>
      <c r="T43" s="92"/>
      <c r="U43" s="92">
        <f>SUM(U39:U42)</f>
      </c>
      <c r="V43" s="92"/>
      <c r="W43" s="92">
        <f>SUM(W39:W42)</f>
      </c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  <c r="DQ43" s="92"/>
      <c r="DR43" s="92"/>
      <c r="DS43" s="92"/>
      <c r="DT43" s="92"/>
      <c r="DU43" s="92"/>
      <c r="DV43" s="92"/>
      <c r="DW43" s="92"/>
      <c r="DX43" s="92"/>
      <c r="DY43" s="92"/>
      <c r="DZ43" s="92"/>
      <c r="EA43" s="92"/>
      <c r="EB43" s="92"/>
      <c r="EC43" s="92"/>
      <c r="ED43" s="92"/>
      <c r="EE43" s="92"/>
      <c r="EF43" s="92"/>
      <c r="EG43" s="92"/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2"/>
      <c r="ET43" s="92"/>
      <c r="EU43" s="92"/>
      <c r="EV43" s="92"/>
      <c r="EW43" s="92"/>
      <c r="EX43" s="92"/>
      <c r="EY43" s="92"/>
      <c r="EZ43" s="92"/>
      <c r="FA43" s="92"/>
      <c r="FB43" s="92"/>
      <c r="FC43" s="92"/>
      <c r="FD43" s="92"/>
      <c r="FE43" s="92"/>
      <c r="FF43" s="92"/>
      <c r="FG43" s="92"/>
      <c r="FH43" s="92"/>
      <c r="FI43" s="92"/>
      <c r="FJ43" s="92"/>
      <c r="FK43" s="92"/>
      <c r="FL43" s="92"/>
      <c r="FM43" s="92"/>
      <c r="FN43" s="92"/>
      <c r="FO43" s="92"/>
      <c r="FP43" s="92"/>
      <c r="FQ43" s="92"/>
      <c r="FR43" s="92"/>
      <c r="FS43" s="92"/>
      <c r="FT43" s="92"/>
      <c r="FU43" s="92"/>
      <c r="FV43" s="92"/>
      <c r="FW43" s="92"/>
      <c r="FX43" s="92"/>
      <c r="FY43" s="92"/>
      <c r="FZ43" s="92"/>
      <c r="GA43" s="92"/>
      <c r="GB43" s="92"/>
      <c r="GC43" s="92"/>
      <c r="GD43" s="92"/>
    </row>
    <row r="44">
      <c r="A44" s="96">
        <v>46275</v>
      </c>
      <c r="B44" s="94" t="s">
        <v>84</v>
      </c>
      <c r="C44" s="97" t="s">
        <v>85</v>
      </c>
      <c r="D44" s="98">
        <v>4</v>
      </c>
      <c r="E44" s="99">
        <v>11762.53</v>
      </c>
      <c r="F44" s="98">
        <v>13</v>
      </c>
      <c r="G44" s="106">
        <v>10</v>
      </c>
      <c r="H44" s="106">
        <v>12426.8</v>
      </c>
      <c r="I44" s="99">
        <v>0</v>
      </c>
      <c r="J44" s="99">
        <v>0</v>
      </c>
      <c r="K44" s="103">
        <f t="shared" ref="K44:K46" si="11">G44+I44</f>
      </c>
      <c r="L44" s="104">
        <v>7</v>
      </c>
      <c r="M44" s="105">
        <v>9</v>
      </c>
      <c r="N44" s="106">
        <v>0</v>
      </c>
      <c r="O44" s="106">
        <v>3</v>
      </c>
      <c r="P44" s="103">
        <f t="shared" ref="P44:P47" si="42">J44+H44</f>
      </c>
      <c r="Q44" s="82">
        <f t="shared" si="0"/>
      </c>
      <c r="R44" s="83">
        <f t="shared" si="32"/>
      </c>
      <c r="S44" s="82">
        <f t="shared" si="1"/>
      </c>
      <c r="T44" s="94" t="s">
        <v>89</v>
      </c>
      <c r="U44" s="94">
        <v>6</v>
      </c>
      <c r="V44" s="94" t="s">
        <v>76</v>
      </c>
      <c r="W44" s="94">
        <v>14</v>
      </c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4"/>
      <c r="CF44" s="94"/>
      <c r="CG44" s="94"/>
      <c r="CH44" s="94"/>
      <c r="CI44" s="94"/>
      <c r="CJ44" s="94"/>
      <c r="CK44" s="94"/>
      <c r="CL44" s="94"/>
      <c r="CM44" s="94"/>
      <c r="CN44" s="94"/>
      <c r="CO44" s="94"/>
      <c r="CP44" s="94"/>
      <c r="CQ44" s="94"/>
      <c r="CR44" s="94"/>
      <c r="CS44" s="94"/>
      <c r="CT44" s="94"/>
      <c r="CU44" s="94"/>
      <c r="CV44" s="94"/>
      <c r="CW44" s="94"/>
      <c r="CX44" s="94"/>
      <c r="CY44" s="94"/>
      <c r="CZ44" s="94"/>
      <c r="DA44" s="94"/>
      <c r="DB44" s="94"/>
      <c r="DC44" s="94"/>
      <c r="DD44" s="94"/>
      <c r="DE44" s="94"/>
      <c r="DF44" s="94"/>
      <c r="DG44" s="94"/>
      <c r="DH44" s="94"/>
      <c r="DI44" s="94"/>
      <c r="DJ44" s="94"/>
      <c r="DK44" s="94"/>
      <c r="DL44" s="94"/>
      <c r="DM44" s="94"/>
      <c r="DN44" s="94"/>
      <c r="DO44" s="94"/>
      <c r="DP44" s="94"/>
      <c r="DQ44" s="94"/>
      <c r="DR44" s="94"/>
      <c r="DS44" s="94"/>
      <c r="DT44" s="94"/>
      <c r="DU44" s="94"/>
      <c r="DV44" s="94"/>
      <c r="DW44" s="94"/>
      <c r="DX44" s="94"/>
      <c r="DY44" s="94"/>
      <c r="DZ44" s="94"/>
      <c r="EA44" s="94"/>
      <c r="EB44" s="94"/>
      <c r="EC44" s="94"/>
      <c r="ED44" s="94"/>
      <c r="EE44" s="94"/>
      <c r="EF44" s="94"/>
      <c r="EG44" s="94"/>
      <c r="EH44" s="94"/>
      <c r="EI44" s="94"/>
      <c r="EJ44" s="94"/>
      <c r="EK44" s="94"/>
      <c r="EL44" s="94"/>
      <c r="EM44" s="94"/>
      <c r="EN44" s="94"/>
      <c r="EO44" s="94"/>
      <c r="EP44" s="94"/>
      <c r="EQ44" s="94"/>
      <c r="ER44" s="94"/>
      <c r="ES44" s="94"/>
      <c r="ET44" s="94"/>
      <c r="EU44" s="94"/>
      <c r="EV44" s="94"/>
      <c r="EW44" s="94"/>
      <c r="EX44" s="94"/>
      <c r="EY44" s="94"/>
      <c r="EZ44" s="94"/>
      <c r="FA44" s="94"/>
      <c r="FB44" s="94"/>
      <c r="FC44" s="94"/>
      <c r="FD44" s="94"/>
      <c r="FE44" s="94"/>
      <c r="FF44" s="94"/>
      <c r="FG44" s="94"/>
      <c r="FH44" s="94"/>
      <c r="FI44" s="94"/>
      <c r="FJ44" s="94"/>
      <c r="FK44" s="94"/>
      <c r="FL44" s="94"/>
      <c r="FM44" s="94"/>
      <c r="FN44" s="94"/>
      <c r="FO44" s="94"/>
      <c r="FP44" s="94"/>
      <c r="FQ44" s="94"/>
      <c r="FR44" s="94"/>
      <c r="FS44" s="94"/>
      <c r="FT44" s="94"/>
      <c r="FU44" s="94"/>
      <c r="FV44" s="94"/>
      <c r="FW44" s="94"/>
      <c r="FX44" s="94"/>
      <c r="FY44" s="94"/>
      <c r="FZ44" s="94"/>
      <c r="GA44" s="94"/>
      <c r="GB44" s="94"/>
      <c r="GC44" s="94"/>
      <c r="GD44" s="94"/>
    </row>
    <row r="45">
      <c r="A45" s="96">
        <v>46275</v>
      </c>
      <c r="B45" s="94" t="s">
        <v>90</v>
      </c>
      <c r="C45" s="107" t="s">
        <v>86</v>
      </c>
      <c r="D45" s="98">
        <v>3</v>
      </c>
      <c r="E45" s="99">
        <v>3583.82</v>
      </c>
      <c r="F45" s="108">
        <v>9</v>
      </c>
      <c r="G45" s="106">
        <v>9</v>
      </c>
      <c r="H45" s="106">
        <v>11760.8</v>
      </c>
      <c r="I45" s="99">
        <v>0</v>
      </c>
      <c r="J45" s="99">
        <v>0</v>
      </c>
      <c r="K45" s="103">
        <f t="shared" si="11"/>
      </c>
      <c r="L45" s="104">
        <v>4</v>
      </c>
      <c r="M45" s="105">
        <v>4</v>
      </c>
      <c r="N45" s="106">
        <v>2</v>
      </c>
      <c r="O45" s="106">
        <v>2</v>
      </c>
      <c r="P45" s="103">
        <f t="shared" si="42"/>
      </c>
      <c r="Q45" s="82">
        <f t="shared" si="0"/>
      </c>
      <c r="R45" s="83">
        <f t="shared" si="32"/>
      </c>
      <c r="S45" s="82">
        <f t="shared" si="1"/>
      </c>
      <c r="T45" s="94"/>
      <c r="U45" s="94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7"/>
      <c r="DL45" s="87"/>
      <c r="DM45" s="87"/>
      <c r="DN45" s="87"/>
      <c r="DO45" s="87"/>
      <c r="DP45" s="87"/>
      <c r="DQ45" s="87"/>
      <c r="DR45" s="87"/>
      <c r="DS45" s="87"/>
      <c r="DT45" s="87"/>
      <c r="DU45" s="87"/>
      <c r="DV45" s="87"/>
      <c r="DW45" s="87"/>
      <c r="DX45" s="87"/>
      <c r="DY45" s="87"/>
      <c r="DZ45" s="87"/>
      <c r="EA45" s="87"/>
      <c r="EB45" s="87"/>
      <c r="EC45" s="87"/>
      <c r="ED45" s="87"/>
      <c r="EE45" s="87"/>
      <c r="EF45" s="87"/>
      <c r="EG45" s="87"/>
      <c r="EH45" s="87"/>
      <c r="EI45" s="87"/>
      <c r="EJ45" s="87"/>
      <c r="EK45" s="87"/>
      <c r="EL45" s="87"/>
      <c r="EM45" s="87"/>
      <c r="EN45" s="87"/>
      <c r="EO45" s="87"/>
      <c r="EP45" s="87"/>
      <c r="EQ45" s="87"/>
      <c r="ER45" s="87"/>
      <c r="ES45" s="87"/>
      <c r="ET45" s="87"/>
      <c r="EU45" s="87"/>
      <c r="EV45" s="87"/>
      <c r="EW45" s="87"/>
      <c r="EX45" s="87"/>
      <c r="EY45" s="87"/>
      <c r="EZ45" s="87"/>
      <c r="FA45" s="87"/>
      <c r="FB45" s="87"/>
      <c r="FC45" s="87"/>
      <c r="FD45" s="87"/>
      <c r="FE45" s="87"/>
      <c r="FF45" s="87"/>
      <c r="FG45" s="87"/>
      <c r="FH45" s="87"/>
      <c r="FI45" s="87"/>
      <c r="FJ45" s="87"/>
      <c r="FK45" s="87"/>
      <c r="FL45" s="87"/>
      <c r="FM45" s="87"/>
      <c r="FN45" s="87"/>
      <c r="FO45" s="87"/>
      <c r="FP45" s="87"/>
      <c r="FQ45" s="87"/>
      <c r="FR45" s="87"/>
      <c r="FS45" s="87"/>
      <c r="FT45" s="87"/>
      <c r="FU45" s="87"/>
      <c r="FV45" s="87"/>
      <c r="FW45" s="87"/>
      <c r="FX45" s="87"/>
      <c r="FY45" s="87"/>
      <c r="FZ45" s="87"/>
      <c r="GA45" s="87"/>
      <c r="GB45" s="87"/>
      <c r="GC45" s="87"/>
      <c r="GD45" s="87"/>
    </row>
    <row r="46">
      <c r="A46" s="96">
        <v>46275</v>
      </c>
      <c r="B46" s="94" t="s">
        <v>77</v>
      </c>
      <c r="C46" s="107" t="s">
        <v>87</v>
      </c>
      <c r="D46" s="98">
        <v>3</v>
      </c>
      <c r="E46" s="99">
        <v>5578.08</v>
      </c>
      <c r="F46" s="114">
        <v>9</v>
      </c>
      <c r="G46" s="106">
        <v>6</v>
      </c>
      <c r="H46" s="106">
        <v>8914.599999999999</v>
      </c>
      <c r="I46" s="99">
        <v>2</v>
      </c>
      <c r="J46" s="99">
        <v>1179</v>
      </c>
      <c r="K46" s="103">
        <f t="shared" si="11"/>
      </c>
      <c r="L46" s="104">
        <v>5</v>
      </c>
      <c r="M46" s="105">
        <v>6</v>
      </c>
      <c r="N46" s="106">
        <v>2</v>
      </c>
      <c r="O46" s="106">
        <v>4</v>
      </c>
      <c r="P46" s="103">
        <f t="shared" si="42"/>
      </c>
      <c r="Q46" s="82">
        <f t="shared" si="0"/>
      </c>
      <c r="R46" s="83">
        <f t="shared" si="32"/>
      </c>
      <c r="S46" s="82">
        <f t="shared" si="1"/>
      </c>
      <c r="T46" s="94"/>
      <c r="U46" s="94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87"/>
      <c r="DQ46" s="87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7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7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7"/>
      <c r="FE46" s="87"/>
      <c r="FF46" s="87"/>
      <c r="FG46" s="87"/>
      <c r="FH46" s="87"/>
      <c r="FI46" s="87"/>
      <c r="FJ46" s="87"/>
      <c r="FK46" s="87"/>
      <c r="FL46" s="87"/>
      <c r="FM46" s="87"/>
      <c r="FN46" s="87"/>
      <c r="FO46" s="87"/>
      <c r="FP46" s="87"/>
      <c r="FQ46" s="87"/>
      <c r="FR46" s="87"/>
      <c r="FS46" s="87"/>
      <c r="FT46" s="87"/>
      <c r="FU46" s="87"/>
      <c r="FV46" s="87"/>
      <c r="FW46" s="87"/>
      <c r="FX46" s="87"/>
      <c r="FY46" s="87"/>
      <c r="FZ46" s="87"/>
      <c r="GA46" s="87"/>
      <c r="GB46" s="87"/>
      <c r="GC46" s="87"/>
      <c r="GD46" s="87"/>
    </row>
    <row r="47">
      <c r="A47" s="96">
        <v>46275</v>
      </c>
      <c r="B47" s="94" t="s">
        <v>73</v>
      </c>
      <c r="C47" s="107" t="s">
        <v>88</v>
      </c>
      <c r="D47" s="98">
        <v>4</v>
      </c>
      <c r="E47" s="99">
        <v>13295.6</v>
      </c>
      <c r="F47" s="110">
        <v>26</v>
      </c>
      <c r="G47" s="106">
        <v>18</v>
      </c>
      <c r="H47" s="106">
        <v>25884.199999999997</v>
      </c>
      <c r="I47" s="99">
        <v>4</v>
      </c>
      <c r="J47" s="99">
        <v>3170</v>
      </c>
      <c r="K47" s="103">
        <v>22</v>
      </c>
      <c r="L47" s="104">
        <v>16</v>
      </c>
      <c r="M47" s="105">
        <v>20</v>
      </c>
      <c r="N47" s="106">
        <v>2</v>
      </c>
      <c r="O47" s="106">
        <v>7</v>
      </c>
      <c r="P47" s="103">
        <f t="shared" si="42"/>
      </c>
      <c r="Q47" s="82">
        <f t="shared" si="0"/>
      </c>
      <c r="R47" s="83">
        <f t="shared" si="32"/>
      </c>
      <c r="S47" s="82">
        <f t="shared" si="1"/>
      </c>
      <c r="T47" s="94" t="s">
        <v>92</v>
      </c>
      <c r="U47" s="94">
        <v>8</v>
      </c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94"/>
      <c r="CL47" s="94"/>
      <c r="CM47" s="94"/>
      <c r="CN47" s="94"/>
      <c r="CO47" s="94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94"/>
      <c r="DT47" s="94"/>
      <c r="DU47" s="94"/>
      <c r="DV47" s="94"/>
      <c r="DW47" s="94"/>
      <c r="DX47" s="94"/>
      <c r="DY47" s="94"/>
      <c r="DZ47" s="94"/>
      <c r="EA47" s="94"/>
      <c r="EB47" s="94"/>
      <c r="EC47" s="94"/>
      <c r="ED47" s="94"/>
      <c r="EE47" s="94"/>
      <c r="EF47" s="94"/>
      <c r="EG47" s="94"/>
      <c r="EH47" s="94"/>
      <c r="EI47" s="94"/>
      <c r="EJ47" s="94"/>
      <c r="EK47" s="94"/>
      <c r="EL47" s="94"/>
      <c r="EM47" s="94"/>
      <c r="EN47" s="94"/>
      <c r="EO47" s="94"/>
      <c r="EP47" s="94"/>
      <c r="EQ47" s="94"/>
      <c r="ER47" s="94"/>
      <c r="ES47" s="94"/>
      <c r="ET47" s="94"/>
      <c r="EU47" s="94"/>
      <c r="EV47" s="94"/>
      <c r="EW47" s="94"/>
      <c r="EX47" s="94"/>
      <c r="EY47" s="94"/>
      <c r="EZ47" s="94"/>
      <c r="FA47" s="94"/>
      <c r="FB47" s="94"/>
      <c r="FC47" s="94"/>
      <c r="FD47" s="94"/>
      <c r="FE47" s="94"/>
      <c r="FF47" s="94"/>
      <c r="FG47" s="94"/>
      <c r="FH47" s="94"/>
      <c r="FI47" s="94"/>
      <c r="FJ47" s="94"/>
      <c r="FK47" s="94"/>
      <c r="FL47" s="94"/>
      <c r="FM47" s="94"/>
      <c r="FN47" s="94"/>
      <c r="FO47" s="94"/>
      <c r="FP47" s="94"/>
      <c r="FQ47" s="94"/>
      <c r="FR47" s="94"/>
      <c r="FS47" s="94"/>
      <c r="FT47" s="94"/>
      <c r="FU47" s="94"/>
      <c r="FV47" s="94"/>
      <c r="FW47" s="94"/>
      <c r="FX47" s="94"/>
      <c r="FY47" s="94"/>
      <c r="FZ47" s="94"/>
      <c r="GA47" s="94"/>
      <c r="GB47" s="94"/>
      <c r="GC47" s="94"/>
      <c r="GD47" s="94"/>
    </row>
    <row r="48">
      <c r="A48" s="111">
        <v>46275</v>
      </c>
      <c r="B48" s="112" t="s">
        <v>83</v>
      </c>
      <c r="C48" s="113"/>
      <c r="D48" s="92">
        <f>SUM(D44:D47)</f>
      </c>
      <c r="E48" s="92">
        <f>SUM(E44:E47)</f>
      </c>
      <c r="F48" s="92">
        <f>SUM(F44:F47)</f>
      </c>
      <c r="G48" s="92">
        <f>SUM(G44:G47)</f>
      </c>
      <c r="H48" s="92">
        <f>SUM(H44:H47)</f>
      </c>
      <c r="I48" s="92">
        <f>SUM(I44:I47)</f>
      </c>
      <c r="J48" s="92">
        <f>SUM(J44:J47)</f>
      </c>
      <c r="K48" s="92">
        <f>SUM(K44:K47)</f>
      </c>
      <c r="L48" s="92">
        <f>SUM(L44:L47)</f>
      </c>
      <c r="M48" s="92">
        <f>SUM(M44:M47)</f>
      </c>
      <c r="N48" s="92">
        <f>SUM(N44:N47)</f>
      </c>
      <c r="O48" s="92">
        <f>SUM(O44:O47)</f>
      </c>
      <c r="P48" s="92">
        <f>SUM(P44:P47)</f>
      </c>
      <c r="Q48" s="93">
        <f t="shared" si="0"/>
      </c>
      <c r="R48" s="93">
        <f t="shared" si="32"/>
      </c>
      <c r="S48" s="93">
        <f t="shared" si="1"/>
      </c>
      <c r="T48" s="92"/>
      <c r="U48" s="92">
        <f>SUM(U44:U47)</f>
      </c>
      <c r="V48" s="92"/>
      <c r="W48" s="92">
        <f>SUM(W44:W47)</f>
      </c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2"/>
      <c r="FX48" s="92"/>
      <c r="FY48" s="92"/>
      <c r="FZ48" s="92"/>
      <c r="GA48" s="92"/>
      <c r="GB48" s="92"/>
      <c r="GC48" s="92"/>
      <c r="GD48" s="92"/>
    </row>
    <row r="49">
      <c r="A49" s="96">
        <v>46276</v>
      </c>
      <c r="B49" s="94" t="s">
        <v>77</v>
      </c>
      <c r="C49" s="97" t="s">
        <v>93</v>
      </c>
      <c r="D49" s="98">
        <v>4</v>
      </c>
      <c r="E49" s="99">
        <v>8133.23</v>
      </c>
      <c r="F49" s="98">
        <v>11</v>
      </c>
      <c r="G49" s="106">
        <v>8</v>
      </c>
      <c r="H49" s="106">
        <v>12615.599999999999</v>
      </c>
      <c r="I49" s="99">
        <v>0</v>
      </c>
      <c r="J49" s="99">
        <v>0</v>
      </c>
      <c r="K49" s="103">
        <f t="shared" ref="K49:K52" si="12">G49+I49</f>
      </c>
      <c r="L49" s="104">
        <v>3</v>
      </c>
      <c r="M49" s="105">
        <v>5</v>
      </c>
      <c r="N49" s="106">
        <v>2</v>
      </c>
      <c r="O49" s="106">
        <v>4</v>
      </c>
      <c r="P49" s="103">
        <f t="shared" ref="P49:P52" si="43">J49+H49</f>
      </c>
      <c r="Q49" s="82">
        <f t="shared" si="0"/>
      </c>
      <c r="R49" s="83">
        <f t="shared" si="32"/>
      </c>
      <c r="S49" s="82">
        <f t="shared" si="1"/>
      </c>
      <c r="T49" s="94" t="s">
        <v>89</v>
      </c>
      <c r="U49" s="94">
        <v>8</v>
      </c>
      <c r="V49" s="94" t="s">
        <v>76</v>
      </c>
      <c r="W49" s="94">
        <v>14</v>
      </c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4"/>
      <c r="DZ49" s="94"/>
      <c r="EA49" s="94"/>
      <c r="EB49" s="94"/>
      <c r="EC49" s="94"/>
      <c r="ED49" s="94"/>
      <c r="EE49" s="94"/>
      <c r="EF49" s="94"/>
      <c r="EG49" s="94"/>
      <c r="EH49" s="94"/>
      <c r="EI49" s="94"/>
      <c r="EJ49" s="94"/>
      <c r="EK49" s="94"/>
      <c r="EL49" s="94"/>
      <c r="EM49" s="94"/>
      <c r="EN49" s="94"/>
      <c r="EO49" s="94"/>
      <c r="EP49" s="94"/>
      <c r="EQ49" s="94"/>
      <c r="ER49" s="94"/>
      <c r="ES49" s="94"/>
      <c r="ET49" s="94"/>
      <c r="EU49" s="94"/>
      <c r="EV49" s="94"/>
      <c r="EW49" s="94"/>
      <c r="EX49" s="94"/>
      <c r="EY49" s="94"/>
      <c r="EZ49" s="94"/>
      <c r="FA49" s="94"/>
      <c r="FB49" s="94"/>
      <c r="FC49" s="94"/>
      <c r="FD49" s="94"/>
      <c r="FE49" s="94"/>
      <c r="FF49" s="94"/>
      <c r="FG49" s="94"/>
      <c r="FH49" s="94"/>
      <c r="FI49" s="94"/>
      <c r="FJ49" s="94"/>
      <c r="FK49" s="94"/>
      <c r="FL49" s="94"/>
      <c r="FM49" s="94"/>
      <c r="FN49" s="94"/>
      <c r="FO49" s="94"/>
      <c r="FP49" s="94"/>
      <c r="FQ49" s="94"/>
      <c r="FR49" s="94"/>
      <c r="FS49" s="94"/>
      <c r="FT49" s="94"/>
      <c r="FU49" s="94"/>
      <c r="FV49" s="94"/>
      <c r="FW49" s="94"/>
      <c r="FX49" s="94"/>
      <c r="FY49" s="94"/>
      <c r="FZ49" s="94"/>
      <c r="GA49" s="94"/>
      <c r="GB49" s="94"/>
      <c r="GC49" s="94"/>
      <c r="GD49" s="94"/>
    </row>
    <row r="50">
      <c r="A50" s="96">
        <v>46276</v>
      </c>
      <c r="B50" s="94" t="s">
        <v>73</v>
      </c>
      <c r="C50" s="107" t="s">
        <v>94</v>
      </c>
      <c r="D50" s="98">
        <v>4</v>
      </c>
      <c r="E50" s="99">
        <v>10259.75</v>
      </c>
      <c r="F50" s="108">
        <v>11</v>
      </c>
      <c r="G50" s="106">
        <v>9</v>
      </c>
      <c r="H50" s="106">
        <v>8982.2</v>
      </c>
      <c r="I50" s="99">
        <v>0</v>
      </c>
      <c r="J50" s="99">
        <v>0</v>
      </c>
      <c r="K50" s="103">
        <f t="shared" si="12"/>
      </c>
      <c r="L50" s="104">
        <v>9</v>
      </c>
      <c r="M50" s="105">
        <v>11</v>
      </c>
      <c r="N50" s="106">
        <v>1</v>
      </c>
      <c r="O50" s="106">
        <v>2</v>
      </c>
      <c r="P50" s="103">
        <f t="shared" si="43"/>
      </c>
      <c r="Q50" s="82">
        <f t="shared" si="0"/>
      </c>
      <c r="R50" s="83">
        <f t="shared" si="32"/>
      </c>
      <c r="S50" s="82">
        <f t="shared" si="1"/>
      </c>
      <c r="T50" s="94"/>
      <c r="U50" s="94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  <c r="DK50" s="87"/>
      <c r="DL50" s="87"/>
      <c r="DM50" s="87"/>
      <c r="DN50" s="87"/>
      <c r="DO50" s="87"/>
      <c r="DP50" s="87"/>
      <c r="DQ50" s="87"/>
      <c r="DR50" s="87"/>
      <c r="DS50" s="87"/>
      <c r="DT50" s="87"/>
      <c r="DU50" s="87"/>
      <c r="DV50" s="87"/>
      <c r="DW50" s="87"/>
      <c r="DX50" s="87"/>
      <c r="DY50" s="87"/>
      <c r="DZ50" s="87"/>
      <c r="EA50" s="87"/>
      <c r="EB50" s="87"/>
      <c r="EC50" s="87"/>
      <c r="ED50" s="87"/>
      <c r="EE50" s="87"/>
      <c r="EF50" s="87"/>
      <c r="EG50" s="87"/>
      <c r="EH50" s="87"/>
      <c r="EI50" s="87"/>
      <c r="EJ50" s="87"/>
      <c r="EK50" s="87"/>
      <c r="EL50" s="87"/>
      <c r="EM50" s="87"/>
      <c r="EN50" s="87"/>
      <c r="EO50" s="87"/>
      <c r="EP50" s="87"/>
      <c r="EQ50" s="87"/>
      <c r="ER50" s="87"/>
      <c r="ES50" s="87"/>
      <c r="ET50" s="87"/>
      <c r="EU50" s="87"/>
      <c r="EV50" s="87"/>
      <c r="EW50" s="87"/>
      <c r="EX50" s="87"/>
      <c r="EY50" s="87"/>
      <c r="EZ50" s="87"/>
      <c r="FA50" s="87"/>
      <c r="FB50" s="87"/>
      <c r="FC50" s="87"/>
      <c r="FD50" s="87"/>
      <c r="FE50" s="87"/>
      <c r="FF50" s="87"/>
      <c r="FG50" s="87"/>
      <c r="FH50" s="87"/>
      <c r="FI50" s="87"/>
      <c r="FJ50" s="87"/>
      <c r="FK50" s="87"/>
      <c r="FL50" s="87"/>
      <c r="FM50" s="87"/>
      <c r="FN50" s="87"/>
      <c r="FO50" s="87"/>
      <c r="FP50" s="87"/>
      <c r="FQ50" s="87"/>
      <c r="FR50" s="87"/>
      <c r="FS50" s="87"/>
      <c r="FT50" s="87"/>
      <c r="FU50" s="87"/>
      <c r="FV50" s="87"/>
      <c r="FW50" s="87"/>
      <c r="FX50" s="87"/>
      <c r="FY50" s="87"/>
      <c r="FZ50" s="87"/>
      <c r="GA50" s="87"/>
      <c r="GB50" s="87"/>
      <c r="GC50" s="87"/>
      <c r="GD50" s="87"/>
    </row>
    <row r="51">
      <c r="A51" s="96">
        <v>46276</v>
      </c>
      <c r="B51" s="94" t="s">
        <v>80</v>
      </c>
      <c r="C51" s="107" t="s">
        <v>95</v>
      </c>
      <c r="D51" s="98">
        <v>4</v>
      </c>
      <c r="E51" s="99">
        <v>7901.16</v>
      </c>
      <c r="F51" s="114">
        <v>7</v>
      </c>
      <c r="G51" s="106">
        <v>4</v>
      </c>
      <c r="H51" s="106">
        <v>4122.4000000000015</v>
      </c>
      <c r="I51" s="99">
        <v>1</v>
      </c>
      <c r="J51" s="99">
        <v>520</v>
      </c>
      <c r="K51" s="103">
        <f t="shared" si="12"/>
      </c>
      <c r="L51" s="104">
        <v>4</v>
      </c>
      <c r="M51" s="105">
        <v>7</v>
      </c>
      <c r="N51" s="106">
        <v>0</v>
      </c>
      <c r="O51" s="106">
        <v>0</v>
      </c>
      <c r="P51" s="103">
        <f t="shared" si="43"/>
      </c>
      <c r="Q51" s="82">
        <f t="shared" si="0"/>
      </c>
      <c r="R51" s="83">
        <f t="shared" si="32"/>
      </c>
      <c r="S51" s="82">
        <f t="shared" si="1"/>
      </c>
      <c r="T51" s="94"/>
      <c r="U51" s="94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</row>
    <row r="52">
      <c r="A52" s="96">
        <v>46276</v>
      </c>
      <c r="B52" s="94" t="s">
        <v>90</v>
      </c>
      <c r="C52" s="107" t="s">
        <v>96</v>
      </c>
      <c r="D52" s="98">
        <v>2</v>
      </c>
      <c r="E52" s="99">
        <v>2956.7299999999996</v>
      </c>
      <c r="F52" s="110">
        <v>5</v>
      </c>
      <c r="G52" s="106">
        <v>3</v>
      </c>
      <c r="H52" s="106">
        <v>1766</v>
      </c>
      <c r="I52" s="99">
        <v>1</v>
      </c>
      <c r="J52" s="99">
        <v>279</v>
      </c>
      <c r="K52" s="103">
        <f t="shared" si="12"/>
      </c>
      <c r="L52" s="104">
        <v>4</v>
      </c>
      <c r="M52" s="105">
        <v>5</v>
      </c>
      <c r="N52" s="106">
        <v>0</v>
      </c>
      <c r="O52" s="106">
        <v>0</v>
      </c>
      <c r="P52" s="103">
        <f t="shared" si="43"/>
      </c>
      <c r="Q52" s="82">
        <f t="shared" si="0"/>
      </c>
      <c r="R52" s="83">
        <f t="shared" si="32"/>
      </c>
      <c r="S52" s="82">
        <f t="shared" si="1"/>
      </c>
      <c r="T52" s="73" t="s">
        <v>82</v>
      </c>
      <c r="U52" s="94">
        <v>6</v>
      </c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  <c r="BM52" s="94"/>
      <c r="BN52" s="94"/>
      <c r="BO52" s="94"/>
      <c r="BP52" s="94"/>
      <c r="BQ52" s="94"/>
      <c r="BR52" s="94"/>
      <c r="BS52" s="94"/>
      <c r="BT52" s="94"/>
      <c r="BU52" s="94"/>
      <c r="BV52" s="94"/>
      <c r="BW52" s="94"/>
      <c r="BX52" s="94"/>
      <c r="BY52" s="94"/>
      <c r="BZ52" s="94"/>
      <c r="CA52" s="94"/>
      <c r="CB52" s="94"/>
      <c r="CC52" s="94"/>
      <c r="CD52" s="94"/>
      <c r="CE52" s="94"/>
      <c r="CF52" s="94"/>
      <c r="CG52" s="94"/>
      <c r="CH52" s="94"/>
      <c r="CI52" s="94"/>
      <c r="CJ52" s="94"/>
      <c r="CK52" s="94"/>
      <c r="CL52" s="94"/>
      <c r="CM52" s="94"/>
      <c r="CN52" s="94"/>
      <c r="CO52" s="94"/>
      <c r="CP52" s="94"/>
      <c r="CQ52" s="94"/>
      <c r="CR52" s="94"/>
      <c r="CS52" s="94"/>
      <c r="CT52" s="94"/>
      <c r="CU52" s="94"/>
      <c r="CV52" s="94"/>
      <c r="CW52" s="94"/>
      <c r="CX52" s="94"/>
      <c r="CY52" s="94"/>
      <c r="CZ52" s="94"/>
      <c r="DA52" s="94"/>
      <c r="DB52" s="94"/>
      <c r="DC52" s="94"/>
      <c r="DD52" s="94"/>
      <c r="DE52" s="94"/>
      <c r="DF52" s="94"/>
      <c r="DG52" s="94"/>
      <c r="DH52" s="94"/>
      <c r="DI52" s="94"/>
      <c r="DJ52" s="94"/>
      <c r="DK52" s="94"/>
      <c r="DL52" s="94"/>
      <c r="DM52" s="94"/>
      <c r="DN52" s="94"/>
      <c r="DO52" s="94"/>
      <c r="DP52" s="94"/>
      <c r="DQ52" s="94"/>
      <c r="DR52" s="94"/>
      <c r="DS52" s="94"/>
      <c r="DT52" s="94"/>
      <c r="DU52" s="94"/>
      <c r="DV52" s="94"/>
      <c r="DW52" s="94"/>
      <c r="DX52" s="94"/>
      <c r="DY52" s="94"/>
      <c r="DZ52" s="94"/>
      <c r="EA52" s="94"/>
      <c r="EB52" s="94"/>
      <c r="EC52" s="94"/>
      <c r="ED52" s="94"/>
      <c r="EE52" s="94"/>
      <c r="EF52" s="94"/>
      <c r="EG52" s="94"/>
      <c r="EH52" s="94"/>
      <c r="EI52" s="94"/>
      <c r="EJ52" s="94"/>
      <c r="EK52" s="94"/>
      <c r="EL52" s="94"/>
      <c r="EM52" s="94"/>
      <c r="EN52" s="94"/>
      <c r="EO52" s="94"/>
      <c r="EP52" s="94"/>
      <c r="EQ52" s="94"/>
      <c r="ER52" s="94"/>
      <c r="ES52" s="94"/>
      <c r="ET52" s="94"/>
      <c r="EU52" s="94"/>
      <c r="EV52" s="94"/>
      <c r="EW52" s="94"/>
      <c r="EX52" s="94"/>
      <c r="EY52" s="94"/>
      <c r="EZ52" s="94"/>
      <c r="FA52" s="94"/>
      <c r="FB52" s="94"/>
      <c r="FC52" s="94"/>
      <c r="FD52" s="94"/>
      <c r="FE52" s="94"/>
      <c r="FF52" s="94"/>
      <c r="FG52" s="94"/>
      <c r="FH52" s="94"/>
      <c r="FI52" s="94"/>
      <c r="FJ52" s="94"/>
      <c r="FK52" s="94"/>
      <c r="FL52" s="94"/>
      <c r="FM52" s="94"/>
      <c r="FN52" s="94"/>
      <c r="FO52" s="94"/>
      <c r="FP52" s="94"/>
      <c r="FQ52" s="94"/>
      <c r="FR52" s="94"/>
      <c r="FS52" s="94"/>
      <c r="FT52" s="94"/>
      <c r="FU52" s="94"/>
      <c r="FV52" s="94"/>
      <c r="FW52" s="94"/>
      <c r="FX52" s="94"/>
      <c r="FY52" s="94"/>
      <c r="FZ52" s="94"/>
      <c r="GA52" s="94"/>
      <c r="GB52" s="94"/>
      <c r="GC52" s="94"/>
      <c r="GD52" s="94"/>
    </row>
    <row r="53">
      <c r="A53" s="111">
        <v>46276</v>
      </c>
      <c r="B53" s="112" t="s">
        <v>83</v>
      </c>
      <c r="C53" s="113"/>
      <c r="D53" s="92">
        <f>SUM(D49:D52)</f>
      </c>
      <c r="E53" s="92">
        <f>SUM(E49:E52)</f>
      </c>
      <c r="F53" s="92">
        <f>SUM(F49:F52)</f>
      </c>
      <c r="G53" s="92">
        <f>SUM(G49:G52)</f>
      </c>
      <c r="H53" s="92">
        <f>SUM(H49:H52)</f>
      </c>
      <c r="I53" s="92">
        <f>SUM(I49:I52)</f>
      </c>
      <c r="J53" s="92">
        <f>SUM(J49:J52)</f>
      </c>
      <c r="K53" s="92">
        <f>SUM(K49:K52)</f>
      </c>
      <c r="L53" s="92">
        <f>SUM(L49:L52)</f>
      </c>
      <c r="M53" s="92">
        <f>SUM(M49:M52)</f>
      </c>
      <c r="N53" s="92">
        <f>SUM(N49:N52)</f>
      </c>
      <c r="O53" s="92">
        <f>SUM(O49:O52)</f>
      </c>
      <c r="P53" s="92">
        <f>SUM(P49:P52)</f>
      </c>
      <c r="Q53" s="93">
        <f t="shared" si="0"/>
      </c>
      <c r="R53" s="93">
        <f t="shared" si="32"/>
      </c>
      <c r="S53" s="93">
        <f t="shared" si="1"/>
      </c>
      <c r="T53" s="92"/>
      <c r="U53" s="92">
        <f>SUM(U49:U52)</f>
      </c>
      <c r="V53" s="92"/>
      <c r="W53" s="92">
        <f>SUM(W49:W52)</f>
      </c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  <c r="DQ53" s="92"/>
      <c r="DR53" s="92"/>
      <c r="DS53" s="92"/>
      <c r="DT53" s="92"/>
      <c r="DU53" s="92"/>
      <c r="DV53" s="92"/>
      <c r="DW53" s="92"/>
      <c r="DX53" s="92"/>
      <c r="DY53" s="92"/>
      <c r="DZ53" s="92"/>
      <c r="EA53" s="92"/>
      <c r="EB53" s="92"/>
      <c r="EC53" s="92"/>
      <c r="ED53" s="92"/>
      <c r="EE53" s="92"/>
      <c r="EF53" s="92"/>
      <c r="EG53" s="92"/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2"/>
      <c r="ET53" s="92"/>
      <c r="EU53" s="92"/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2"/>
      <c r="FH53" s="92"/>
      <c r="FI53" s="92"/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2"/>
      <c r="FV53" s="92"/>
      <c r="FW53" s="92"/>
      <c r="FX53" s="92"/>
      <c r="FY53" s="92"/>
      <c r="FZ53" s="92"/>
      <c r="GA53" s="92"/>
      <c r="GB53" s="92"/>
      <c r="GC53" s="92"/>
      <c r="GD53" s="92"/>
    </row>
    <row r="54">
      <c r="A54" s="96">
        <v>46277</v>
      </c>
      <c r="B54" s="94" t="s">
        <v>73</v>
      </c>
      <c r="C54" s="97" t="s">
        <v>93</v>
      </c>
      <c r="D54" s="98">
        <v>4</v>
      </c>
      <c r="E54" s="99">
        <v>15595.06</v>
      </c>
      <c r="F54" s="98">
        <v>27</v>
      </c>
      <c r="G54" s="106">
        <v>22</v>
      </c>
      <c r="H54" s="106">
        <v>30292.100000000006</v>
      </c>
      <c r="I54" s="99">
        <v>1</v>
      </c>
      <c r="J54" s="99">
        <v>185</v>
      </c>
      <c r="K54" s="103">
        <f t="shared" ref="K54:K57" si="13">G54+I54</f>
      </c>
      <c r="L54" s="104">
        <v>17</v>
      </c>
      <c r="M54" s="105">
        <v>20</v>
      </c>
      <c r="N54" s="106">
        <v>4</v>
      </c>
      <c r="O54" s="77">
        <v>10</v>
      </c>
      <c r="P54" s="103">
        <f t="shared" ref="P54:P57" si="44">J54+H54</f>
      </c>
      <c r="Q54" s="83">
        <f t="shared" si="0"/>
      </c>
      <c r="R54" s="115">
        <f t="shared" si="32"/>
      </c>
      <c r="S54" s="115">
        <f t="shared" si="1"/>
      </c>
      <c r="T54" s="84" t="s">
        <v>91</v>
      </c>
      <c r="U54" s="94">
        <v>1</v>
      </c>
      <c r="V54" s="94" t="s">
        <v>76</v>
      </c>
      <c r="W54" s="73">
        <v>16</v>
      </c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  <c r="EH54" s="73"/>
      <c r="EI54" s="73"/>
      <c r="EJ54" s="73"/>
      <c r="EK54" s="73"/>
      <c r="EL54" s="73"/>
      <c r="EM54" s="73"/>
      <c r="EN54" s="73"/>
      <c r="EO54" s="73"/>
      <c r="EP54" s="73"/>
      <c r="EQ54" s="73"/>
      <c r="ER54" s="73"/>
      <c r="ES54" s="73"/>
      <c r="ET54" s="73"/>
      <c r="EU54" s="73"/>
      <c r="EV54" s="73"/>
      <c r="EW54" s="73"/>
      <c r="EX54" s="73"/>
      <c r="EY54" s="73"/>
      <c r="EZ54" s="73"/>
      <c r="FA54" s="73"/>
      <c r="FB54" s="73"/>
      <c r="FC54" s="73"/>
      <c r="FD54" s="73"/>
      <c r="FE54" s="73"/>
      <c r="FF54" s="73"/>
      <c r="FG54" s="73"/>
      <c r="FH54" s="73"/>
      <c r="FI54" s="73"/>
      <c r="FJ54" s="73"/>
      <c r="FK54" s="73"/>
      <c r="FL54" s="73"/>
      <c r="FM54" s="73"/>
      <c r="FN54" s="73"/>
      <c r="FO54" s="73"/>
      <c r="FP54" s="73"/>
      <c r="FQ54" s="73"/>
      <c r="FR54" s="73"/>
      <c r="FS54" s="73"/>
      <c r="FT54" s="73"/>
      <c r="FU54" s="73"/>
      <c r="FV54" s="73"/>
      <c r="FW54" s="73"/>
      <c r="FX54" s="73"/>
      <c r="FY54" s="73"/>
      <c r="FZ54" s="73"/>
      <c r="GA54" s="73"/>
      <c r="GB54" s="73"/>
      <c r="GC54" s="73"/>
      <c r="GD54" s="73"/>
    </row>
    <row r="55">
      <c r="A55" s="96">
        <v>46277</v>
      </c>
      <c r="B55" s="94" t="s">
        <v>80</v>
      </c>
      <c r="C55" s="107" t="s">
        <v>94</v>
      </c>
      <c r="D55" s="98">
        <v>4</v>
      </c>
      <c r="E55" s="99">
        <v>10550.36</v>
      </c>
      <c r="F55" s="108">
        <v>7</v>
      </c>
      <c r="G55" s="106">
        <v>6</v>
      </c>
      <c r="H55" s="106">
        <v>7719</v>
      </c>
      <c r="I55" s="99">
        <v>0</v>
      </c>
      <c r="J55" s="99">
        <v>0</v>
      </c>
      <c r="K55" s="103">
        <f t="shared" si="13"/>
      </c>
      <c r="L55" s="104">
        <v>4</v>
      </c>
      <c r="M55" s="105">
        <v>5</v>
      </c>
      <c r="N55" s="77">
        <v>1</v>
      </c>
      <c r="O55" s="77">
        <v>3</v>
      </c>
      <c r="P55" s="103">
        <f t="shared" si="44"/>
      </c>
      <c r="Q55" s="83">
        <f t="shared" si="0"/>
      </c>
      <c r="R55" s="115">
        <f t="shared" si="32"/>
      </c>
      <c r="S55" s="115">
        <f t="shared" si="1"/>
      </c>
      <c r="T55" s="84" t="s">
        <v>89</v>
      </c>
      <c r="U55" s="94">
        <v>7</v>
      </c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</row>
    <row r="56">
      <c r="A56" s="96">
        <v>46277</v>
      </c>
      <c r="B56" s="94" t="s">
        <v>90</v>
      </c>
      <c r="C56" s="107" t="s">
        <v>95</v>
      </c>
      <c r="D56" s="98">
        <v>4</v>
      </c>
      <c r="E56" s="99">
        <v>8565.580000000002</v>
      </c>
      <c r="F56" s="114">
        <v>13</v>
      </c>
      <c r="G56" s="106">
        <v>9</v>
      </c>
      <c r="H56" s="106">
        <v>10722.600000000006</v>
      </c>
      <c r="I56" s="99">
        <v>3</v>
      </c>
      <c r="J56" s="99">
        <v>1602.4</v>
      </c>
      <c r="K56" s="103">
        <f t="shared" si="13"/>
      </c>
      <c r="L56" s="104">
        <v>5</v>
      </c>
      <c r="M56" s="105">
        <v>9</v>
      </c>
      <c r="N56" s="77">
        <v>1</v>
      </c>
      <c r="O56" s="77">
        <v>5</v>
      </c>
      <c r="P56" s="103">
        <f t="shared" si="44"/>
      </c>
      <c r="Q56" s="83">
        <f t="shared" si="0"/>
      </c>
      <c r="R56" s="115">
        <f t="shared" si="32"/>
      </c>
      <c r="S56" s="115">
        <f t="shared" si="1"/>
      </c>
      <c r="T56" s="84"/>
      <c r="U56" s="94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  <c r="EF56" s="87"/>
      <c r="EG56" s="87"/>
      <c r="EH56" s="87"/>
      <c r="EI56" s="87"/>
      <c r="EJ56" s="87"/>
      <c r="EK56" s="87"/>
      <c r="EL56" s="87"/>
      <c r="EM56" s="87"/>
      <c r="EN56" s="87"/>
      <c r="EO56" s="87"/>
      <c r="EP56" s="87"/>
      <c r="EQ56" s="87"/>
      <c r="ER56" s="87"/>
      <c r="ES56" s="87"/>
      <c r="ET56" s="87"/>
      <c r="EU56" s="87"/>
      <c r="EV56" s="87"/>
      <c r="EW56" s="87"/>
      <c r="EX56" s="87"/>
      <c r="EY56" s="87"/>
      <c r="EZ56" s="87"/>
      <c r="FA56" s="87"/>
      <c r="FB56" s="87"/>
      <c r="FC56" s="87"/>
      <c r="FD56" s="87"/>
      <c r="FE56" s="87"/>
      <c r="FF56" s="87"/>
      <c r="FG56" s="87"/>
      <c r="FH56" s="87"/>
      <c r="FI56" s="87"/>
      <c r="FJ56" s="87"/>
      <c r="FK56" s="87"/>
      <c r="FL56" s="87"/>
      <c r="FM56" s="87"/>
      <c r="FN56" s="87"/>
      <c r="FO56" s="87"/>
      <c r="FP56" s="87"/>
      <c r="FQ56" s="87"/>
      <c r="FR56" s="87"/>
      <c r="FS56" s="87"/>
      <c r="FT56" s="87"/>
      <c r="FU56" s="87"/>
      <c r="FV56" s="87"/>
      <c r="FW56" s="87"/>
      <c r="FX56" s="87"/>
      <c r="FY56" s="87"/>
      <c r="FZ56" s="87"/>
      <c r="GA56" s="87"/>
      <c r="GB56" s="87"/>
      <c r="GC56" s="87"/>
      <c r="GD56" s="87"/>
    </row>
    <row r="57">
      <c r="A57" s="96">
        <v>46277</v>
      </c>
      <c r="B57" s="94" t="s">
        <v>84</v>
      </c>
      <c r="C57" s="85" t="s">
        <v>88</v>
      </c>
      <c r="D57" s="75">
        <v>4</v>
      </c>
      <c r="E57" s="99">
        <v>14279.990000000002</v>
      </c>
      <c r="F57" s="110">
        <v>12</v>
      </c>
      <c r="G57" s="106">
        <v>8</v>
      </c>
      <c r="H57" s="106">
        <v>11601.600000000006</v>
      </c>
      <c r="I57" s="99">
        <v>3</v>
      </c>
      <c r="J57" s="99">
        <v>1512</v>
      </c>
      <c r="K57" s="103">
        <f t="shared" si="13"/>
      </c>
      <c r="L57" s="104">
        <v>11</v>
      </c>
      <c r="M57" s="105">
        <v>10</v>
      </c>
      <c r="N57" s="106">
        <v>1</v>
      </c>
      <c r="O57" s="77">
        <v>4</v>
      </c>
      <c r="P57" s="103">
        <f t="shared" si="44"/>
      </c>
      <c r="Q57" s="83">
        <f t="shared" si="0"/>
      </c>
      <c r="R57" s="115">
        <f t="shared" si="32"/>
      </c>
      <c r="S57" s="115">
        <f t="shared" si="1"/>
      </c>
      <c r="T57" s="116" t="s">
        <v>82</v>
      </c>
      <c r="U57" s="73">
        <v>8</v>
      </c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  <c r="BM57" s="94"/>
      <c r="BN57" s="94"/>
      <c r="BO57" s="94"/>
      <c r="BP57" s="94"/>
      <c r="BQ57" s="94"/>
      <c r="BR57" s="94"/>
      <c r="BS57" s="94"/>
      <c r="BT57" s="94"/>
      <c r="BU57" s="94"/>
      <c r="BV57" s="94"/>
      <c r="BW57" s="94"/>
      <c r="BX57" s="94"/>
      <c r="BY57" s="94"/>
      <c r="BZ57" s="94"/>
      <c r="CA57" s="94"/>
      <c r="CB57" s="94"/>
      <c r="CC57" s="94"/>
      <c r="CD57" s="94"/>
      <c r="CE57" s="94"/>
      <c r="CF57" s="94"/>
      <c r="CG57" s="94"/>
      <c r="CH57" s="94"/>
      <c r="CI57" s="94"/>
      <c r="CJ57" s="94"/>
      <c r="CK57" s="94"/>
      <c r="CL57" s="94"/>
      <c r="CM57" s="94"/>
      <c r="CN57" s="94"/>
      <c r="CO57" s="94"/>
      <c r="CP57" s="94"/>
      <c r="CQ57" s="94"/>
      <c r="CR57" s="94"/>
      <c r="CS57" s="94"/>
      <c r="CT57" s="94"/>
      <c r="CU57" s="94"/>
      <c r="CV57" s="94"/>
      <c r="CW57" s="94"/>
      <c r="CX57" s="94"/>
      <c r="CY57" s="94"/>
      <c r="CZ57" s="94"/>
      <c r="DA57" s="94"/>
      <c r="DB57" s="94"/>
      <c r="DC57" s="94"/>
      <c r="DD57" s="94"/>
      <c r="DE57" s="94"/>
      <c r="DF57" s="94"/>
      <c r="DG57" s="94"/>
      <c r="DH57" s="94"/>
      <c r="DI57" s="94"/>
      <c r="DJ57" s="94"/>
      <c r="DK57" s="94"/>
      <c r="DL57" s="94"/>
      <c r="DM57" s="94"/>
      <c r="DN57" s="94"/>
      <c r="DO57" s="94"/>
      <c r="DP57" s="94"/>
      <c r="DQ57" s="94"/>
      <c r="DR57" s="94"/>
      <c r="DS57" s="94"/>
      <c r="DT57" s="94"/>
      <c r="DU57" s="94"/>
      <c r="DV57" s="94"/>
      <c r="DW57" s="94"/>
      <c r="DX57" s="94"/>
      <c r="DY57" s="94"/>
      <c r="DZ57" s="94"/>
      <c r="EA57" s="94"/>
      <c r="EB57" s="94"/>
      <c r="EC57" s="94"/>
      <c r="ED57" s="94"/>
      <c r="EE57" s="94"/>
      <c r="EF57" s="94"/>
      <c r="EG57" s="94"/>
      <c r="EH57" s="94"/>
      <c r="EI57" s="94"/>
      <c r="EJ57" s="94"/>
      <c r="EK57" s="94"/>
      <c r="EL57" s="94"/>
      <c r="EM57" s="94"/>
      <c r="EN57" s="94"/>
      <c r="EO57" s="94"/>
      <c r="EP57" s="94"/>
      <c r="EQ57" s="94"/>
      <c r="ER57" s="94"/>
      <c r="ES57" s="94"/>
      <c r="ET57" s="94"/>
      <c r="EU57" s="94"/>
      <c r="EV57" s="94"/>
      <c r="EW57" s="94"/>
      <c r="EX57" s="94"/>
      <c r="EY57" s="94"/>
      <c r="EZ57" s="94"/>
      <c r="FA57" s="94"/>
      <c r="FB57" s="94"/>
      <c r="FC57" s="94"/>
      <c r="FD57" s="94"/>
      <c r="FE57" s="94"/>
      <c r="FF57" s="94"/>
      <c r="FG57" s="94"/>
      <c r="FH57" s="94"/>
      <c r="FI57" s="94"/>
      <c r="FJ57" s="94"/>
      <c r="FK57" s="94"/>
      <c r="FL57" s="94"/>
      <c r="FM57" s="94"/>
      <c r="FN57" s="94"/>
      <c r="FO57" s="94"/>
      <c r="FP57" s="94"/>
      <c r="FQ57" s="94"/>
      <c r="FR57" s="94"/>
      <c r="FS57" s="94"/>
      <c r="FT57" s="94"/>
      <c r="FU57" s="94"/>
      <c r="FV57" s="94"/>
      <c r="FW57" s="94"/>
      <c r="FX57" s="94"/>
      <c r="FY57" s="94"/>
      <c r="FZ57" s="94"/>
      <c r="GA57" s="94"/>
      <c r="GB57" s="94"/>
      <c r="GC57" s="94"/>
      <c r="GD57" s="94"/>
    </row>
    <row r="58">
      <c r="A58" s="111">
        <v>46277</v>
      </c>
      <c r="B58" s="112" t="s">
        <v>83</v>
      </c>
      <c r="C58" s="113"/>
      <c r="D58" s="92">
        <f>SUM(D54:D57)</f>
      </c>
      <c r="E58" s="92">
        <f>SUM(E54:E57)</f>
      </c>
      <c r="F58" s="92">
        <f>SUM(F54:F57)</f>
      </c>
      <c r="G58" s="92">
        <f>SUM(G54:G57)</f>
      </c>
      <c r="H58" s="92">
        <f>SUM(H54:H57)</f>
      </c>
      <c r="I58" s="92">
        <f>SUM(I54:I57)</f>
      </c>
      <c r="J58" s="92">
        <f>SUM(J54:J57)</f>
      </c>
      <c r="K58" s="92">
        <f>SUM(K54:K57)</f>
      </c>
      <c r="L58" s="92">
        <f>SUM(L54:L57)</f>
      </c>
      <c r="M58" s="92">
        <f>SUM(M54:M57)</f>
      </c>
      <c r="N58" s="92">
        <f>SUM(N54:N57)</f>
      </c>
      <c r="O58" s="92">
        <f>SUM(O54:O57)</f>
      </c>
      <c r="P58" s="92">
        <f>SUM(P54:P57)</f>
      </c>
      <c r="Q58" s="93">
        <f t="shared" si="0"/>
      </c>
      <c r="R58" s="117">
        <f t="shared" si="32"/>
      </c>
      <c r="S58" s="117">
        <f t="shared" si="1"/>
      </c>
      <c r="T58" s="92"/>
      <c r="U58" s="92">
        <f>SUM(U54:U57)</f>
      </c>
      <c r="V58" s="92"/>
      <c r="W58" s="92">
        <f>SUM(W54:W57)</f>
      </c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  <c r="DQ58" s="92"/>
      <c r="DR58" s="92"/>
      <c r="DS58" s="92"/>
      <c r="DT58" s="92"/>
      <c r="DU58" s="92"/>
      <c r="DV58" s="92"/>
      <c r="DW58" s="92"/>
      <c r="DX58" s="92"/>
      <c r="DY58" s="92"/>
      <c r="DZ58" s="92"/>
      <c r="EA58" s="92"/>
      <c r="EB58" s="92"/>
      <c r="EC58" s="92"/>
      <c r="ED58" s="92"/>
      <c r="EE58" s="92"/>
      <c r="EF58" s="92"/>
      <c r="EG58" s="92"/>
      <c r="EH58" s="92"/>
      <c r="EI58" s="92"/>
      <c r="EJ58" s="92"/>
      <c r="EK58" s="92"/>
      <c r="EL58" s="92"/>
      <c r="EM58" s="92"/>
      <c r="EN58" s="92"/>
      <c r="EO58" s="92"/>
      <c r="EP58" s="92"/>
      <c r="EQ58" s="92"/>
      <c r="ER58" s="92"/>
      <c r="ES58" s="92"/>
      <c r="ET58" s="92"/>
      <c r="EU58" s="92"/>
      <c r="EV58" s="92"/>
      <c r="EW58" s="92"/>
      <c r="EX58" s="92"/>
      <c r="EY58" s="92"/>
      <c r="EZ58" s="92"/>
      <c r="FA58" s="92"/>
      <c r="FB58" s="92"/>
      <c r="FC58" s="92"/>
      <c r="FD58" s="92"/>
      <c r="FE58" s="92"/>
      <c r="FF58" s="92"/>
      <c r="FG58" s="92"/>
      <c r="FH58" s="92"/>
      <c r="FI58" s="92"/>
      <c r="FJ58" s="92"/>
      <c r="FK58" s="92"/>
      <c r="FL58" s="92"/>
      <c r="FM58" s="92"/>
      <c r="FN58" s="92"/>
      <c r="FO58" s="92"/>
      <c r="FP58" s="92"/>
      <c r="FQ58" s="92"/>
      <c r="FR58" s="92"/>
      <c r="FS58" s="92"/>
      <c r="FT58" s="92"/>
      <c r="FU58" s="92"/>
      <c r="FV58" s="92"/>
      <c r="FW58" s="92"/>
      <c r="FX58" s="92"/>
      <c r="FY58" s="92"/>
      <c r="FZ58" s="92"/>
      <c r="GA58" s="92"/>
      <c r="GB58" s="92"/>
      <c r="GC58" s="92"/>
      <c r="GD58" s="92"/>
    </row>
    <row r="59">
      <c r="A59" s="96">
        <v>46278</v>
      </c>
      <c r="B59" s="94" t="s">
        <v>90</v>
      </c>
      <c r="C59" s="97" t="s">
        <v>93</v>
      </c>
      <c r="D59" s="98">
        <v>4</v>
      </c>
      <c r="E59" s="99">
        <v>12094.810000000001</v>
      </c>
      <c r="F59" s="98">
        <v>16</v>
      </c>
      <c r="G59" s="106">
        <v>12</v>
      </c>
      <c r="H59" s="106">
        <v>23525.9</v>
      </c>
      <c r="I59" s="99">
        <v>3</v>
      </c>
      <c r="J59" s="99">
        <v>1092</v>
      </c>
      <c r="K59" s="103">
        <f t="shared" ref="K59:K63" si="14">G59+I59</f>
      </c>
      <c r="L59" s="104">
        <v>10</v>
      </c>
      <c r="M59" s="105">
        <v>10</v>
      </c>
      <c r="N59" s="106">
        <v>2</v>
      </c>
      <c r="O59" s="106">
        <v>8</v>
      </c>
      <c r="P59" s="103">
        <f t="shared" ref="P59:P63" si="45">J59+H59</f>
      </c>
      <c r="Q59" s="82">
        <f t="shared" si="0"/>
      </c>
      <c r="R59" s="83">
        <f t="shared" si="32"/>
      </c>
      <c r="S59" s="82">
        <f t="shared" si="1"/>
      </c>
      <c r="T59" s="94" t="s">
        <v>91</v>
      </c>
      <c r="U59" s="94">
        <v>1</v>
      </c>
      <c r="V59" s="94" t="s">
        <v>76</v>
      </c>
      <c r="W59" s="94">
        <v>16</v>
      </c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  <c r="BM59" s="94"/>
      <c r="BN59" s="94"/>
      <c r="BO59" s="94"/>
      <c r="BP59" s="94"/>
      <c r="BQ59" s="94"/>
      <c r="BR59" s="94"/>
      <c r="BS59" s="94"/>
      <c r="BT59" s="94"/>
      <c r="BU59" s="94"/>
      <c r="BV59" s="94"/>
      <c r="BW59" s="94"/>
      <c r="BX59" s="94"/>
      <c r="BY59" s="94"/>
      <c r="BZ59" s="94"/>
      <c r="CA59" s="94"/>
      <c r="CB59" s="94"/>
      <c r="CC59" s="94"/>
      <c r="CD59" s="94"/>
      <c r="CE59" s="94"/>
      <c r="CF59" s="94"/>
      <c r="CG59" s="94"/>
      <c r="CH59" s="94"/>
      <c r="CI59" s="94"/>
      <c r="CJ59" s="94"/>
      <c r="CK59" s="94"/>
      <c r="CL59" s="94"/>
      <c r="CM59" s="94"/>
      <c r="CN59" s="94"/>
      <c r="CO59" s="94"/>
      <c r="CP59" s="94"/>
      <c r="CQ59" s="94"/>
      <c r="CR59" s="94"/>
      <c r="CS59" s="94"/>
      <c r="CT59" s="94"/>
      <c r="CU59" s="94"/>
      <c r="CV59" s="94"/>
      <c r="CW59" s="94"/>
      <c r="CX59" s="94"/>
      <c r="CY59" s="94"/>
      <c r="CZ59" s="94"/>
      <c r="DA59" s="94"/>
      <c r="DB59" s="94"/>
      <c r="DC59" s="94"/>
      <c r="DD59" s="94"/>
      <c r="DE59" s="94"/>
      <c r="DF59" s="94"/>
      <c r="DG59" s="94"/>
      <c r="DH59" s="94"/>
      <c r="DI59" s="94"/>
      <c r="DJ59" s="94"/>
      <c r="DK59" s="94"/>
      <c r="DL59" s="94"/>
      <c r="DM59" s="94"/>
      <c r="DN59" s="94"/>
      <c r="DO59" s="94"/>
      <c r="DP59" s="94"/>
      <c r="DQ59" s="94"/>
      <c r="DR59" s="94"/>
      <c r="DS59" s="94"/>
      <c r="DT59" s="94"/>
      <c r="DU59" s="94"/>
      <c r="DV59" s="94"/>
      <c r="DW59" s="94"/>
      <c r="DX59" s="94"/>
      <c r="DY59" s="94"/>
      <c r="DZ59" s="94"/>
      <c r="EA59" s="94"/>
      <c r="EB59" s="94"/>
      <c r="EC59" s="94"/>
      <c r="ED59" s="94"/>
      <c r="EE59" s="94"/>
      <c r="EF59" s="94"/>
      <c r="EG59" s="94"/>
      <c r="EH59" s="94"/>
      <c r="EI59" s="94"/>
      <c r="EJ59" s="94"/>
      <c r="EK59" s="94"/>
      <c r="EL59" s="94"/>
      <c r="EM59" s="94"/>
      <c r="EN59" s="94"/>
      <c r="EO59" s="94"/>
      <c r="EP59" s="94"/>
      <c r="EQ59" s="94"/>
      <c r="ER59" s="94"/>
      <c r="ES59" s="94"/>
      <c r="ET59" s="94"/>
      <c r="EU59" s="94"/>
      <c r="EV59" s="94"/>
      <c r="EW59" s="94"/>
      <c r="EX59" s="94"/>
      <c r="EY59" s="94"/>
      <c r="EZ59" s="94"/>
      <c r="FA59" s="94"/>
      <c r="FB59" s="94"/>
      <c r="FC59" s="94"/>
      <c r="FD59" s="94"/>
      <c r="FE59" s="94"/>
      <c r="FF59" s="94"/>
      <c r="FG59" s="94"/>
      <c r="FH59" s="94"/>
      <c r="FI59" s="94"/>
      <c r="FJ59" s="94"/>
      <c r="FK59" s="94"/>
      <c r="FL59" s="94"/>
      <c r="FM59" s="94"/>
      <c r="FN59" s="94"/>
      <c r="FO59" s="94"/>
      <c r="FP59" s="94"/>
      <c r="FQ59" s="94"/>
      <c r="FR59" s="94"/>
      <c r="FS59" s="94"/>
      <c r="FT59" s="94"/>
      <c r="FU59" s="94"/>
      <c r="FV59" s="94"/>
      <c r="FW59" s="94"/>
      <c r="FX59" s="94"/>
      <c r="FY59" s="94"/>
      <c r="FZ59" s="94"/>
      <c r="GA59" s="94"/>
      <c r="GB59" s="94"/>
      <c r="GC59" s="94"/>
      <c r="GD59" s="94"/>
    </row>
    <row r="60">
      <c r="A60" s="96">
        <v>46278</v>
      </c>
      <c r="B60" s="94" t="s">
        <v>84</v>
      </c>
      <c r="C60" s="107" t="s">
        <v>94</v>
      </c>
      <c r="D60" s="98">
        <v>4</v>
      </c>
      <c r="E60" s="99">
        <v>10912.349999999999</v>
      </c>
      <c r="F60" s="108">
        <v>11</v>
      </c>
      <c r="G60" s="106">
        <v>6</v>
      </c>
      <c r="H60" s="106">
        <v>11974.400000000001</v>
      </c>
      <c r="I60" s="99">
        <v>2</v>
      </c>
      <c r="J60" s="99">
        <v>304.79999999999995</v>
      </c>
      <c r="K60" s="103">
        <f t="shared" si="14"/>
      </c>
      <c r="L60" s="104">
        <v>4</v>
      </c>
      <c r="M60" s="105">
        <v>6</v>
      </c>
      <c r="N60" s="106">
        <v>1</v>
      </c>
      <c r="O60" s="106">
        <v>4</v>
      </c>
      <c r="P60" s="103">
        <f t="shared" si="45"/>
      </c>
      <c r="Q60" s="82">
        <f t="shared" si="0"/>
      </c>
      <c r="R60" s="83">
        <f t="shared" si="32"/>
      </c>
      <c r="S60" s="82">
        <f t="shared" si="1"/>
      </c>
      <c r="T60" s="94" t="s">
        <v>89</v>
      </c>
      <c r="U60" s="94">
        <v>7</v>
      </c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  <c r="EJ60" s="87"/>
      <c r="EK60" s="87"/>
      <c r="EL60" s="87"/>
      <c r="EM60" s="87"/>
      <c r="EN60" s="87"/>
      <c r="EO60" s="87"/>
      <c r="EP60" s="87"/>
      <c r="EQ60" s="87"/>
      <c r="ER60" s="87"/>
      <c r="ES60" s="87"/>
      <c r="ET60" s="87"/>
      <c r="EU60" s="87"/>
      <c r="EV60" s="87"/>
      <c r="EW60" s="87"/>
      <c r="EX60" s="87"/>
      <c r="EY60" s="87"/>
      <c r="EZ60" s="87"/>
      <c r="FA60" s="87"/>
      <c r="FB60" s="87"/>
      <c r="FC60" s="87"/>
      <c r="FD60" s="87"/>
      <c r="FE60" s="87"/>
      <c r="FF60" s="87"/>
      <c r="FG60" s="87"/>
      <c r="FH60" s="87"/>
      <c r="FI60" s="87"/>
      <c r="FJ60" s="87"/>
      <c r="FK60" s="87"/>
      <c r="FL60" s="87"/>
      <c r="FM60" s="87"/>
      <c r="FN60" s="87"/>
      <c r="FO60" s="87"/>
      <c r="FP60" s="87"/>
      <c r="FQ60" s="87"/>
      <c r="FR60" s="87"/>
      <c r="FS60" s="87"/>
      <c r="FT60" s="87"/>
      <c r="FU60" s="87"/>
      <c r="FV60" s="87"/>
      <c r="FW60" s="87"/>
      <c r="FX60" s="87"/>
      <c r="FY60" s="87"/>
      <c r="FZ60" s="87"/>
      <c r="GA60" s="87"/>
      <c r="GB60" s="87"/>
      <c r="GC60" s="87"/>
      <c r="GD60" s="87"/>
    </row>
    <row r="61">
      <c r="A61" s="96">
        <v>46278</v>
      </c>
      <c r="B61" s="94" t="s">
        <v>97</v>
      </c>
      <c r="C61" s="107" t="s">
        <v>98</v>
      </c>
      <c r="D61" s="98">
        <v>2</v>
      </c>
      <c r="E61" s="99">
        <v>3485.98</v>
      </c>
      <c r="F61" s="108">
        <v>2</v>
      </c>
      <c r="G61" s="106">
        <v>2</v>
      </c>
      <c r="H61" s="106">
        <v>2220.5999999999985</v>
      </c>
      <c r="I61" s="99">
        <v>0</v>
      </c>
      <c r="J61" s="99">
        <v>0</v>
      </c>
      <c r="K61" s="103">
        <f t="shared" si="14"/>
      </c>
      <c r="L61" s="104">
        <v>1</v>
      </c>
      <c r="M61" s="105">
        <v>1</v>
      </c>
      <c r="N61" s="106">
        <v>0</v>
      </c>
      <c r="O61" s="106">
        <v>1</v>
      </c>
      <c r="P61" s="103">
        <f t="shared" si="45"/>
      </c>
      <c r="Q61" s="82">
        <f t="shared" si="0"/>
      </c>
      <c r="R61" s="83">
        <f t="shared" si="32"/>
      </c>
      <c r="S61" s="82">
        <f t="shared" si="1"/>
      </c>
      <c r="T61" s="94"/>
      <c r="U61" s="94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  <c r="EY61" s="87"/>
      <c r="EZ61" s="87"/>
      <c r="FA61" s="87"/>
      <c r="FB61" s="87"/>
      <c r="FC61" s="87"/>
      <c r="FD61" s="87"/>
      <c r="FE61" s="87"/>
      <c r="FF61" s="87"/>
      <c r="FG61" s="87"/>
      <c r="FH61" s="87"/>
      <c r="FI61" s="87"/>
      <c r="FJ61" s="87"/>
      <c r="FK61" s="87"/>
      <c r="FL61" s="87"/>
      <c r="FM61" s="87"/>
      <c r="FN61" s="87"/>
      <c r="FO61" s="87"/>
      <c r="FP61" s="87"/>
      <c r="FQ61" s="87"/>
      <c r="FR61" s="87"/>
      <c r="FS61" s="87"/>
      <c r="FT61" s="87"/>
      <c r="FU61" s="87"/>
      <c r="FV61" s="87"/>
      <c r="FW61" s="87"/>
      <c r="FX61" s="87"/>
      <c r="FY61" s="87"/>
      <c r="FZ61" s="87"/>
      <c r="GA61" s="87"/>
      <c r="GB61" s="87"/>
      <c r="GC61" s="87"/>
      <c r="GD61" s="87"/>
    </row>
    <row r="62">
      <c r="A62" s="96">
        <v>46278</v>
      </c>
      <c r="B62" s="94" t="s">
        <v>80</v>
      </c>
      <c r="C62" s="107" t="s">
        <v>99</v>
      </c>
      <c r="D62" s="98">
        <v>2</v>
      </c>
      <c r="E62" s="99">
        <v>3394.85</v>
      </c>
      <c r="F62" s="114">
        <v>5</v>
      </c>
      <c r="G62" s="106">
        <v>5</v>
      </c>
      <c r="H62" s="106">
        <v>5514.800000000003</v>
      </c>
      <c r="I62" s="99">
        <v>0</v>
      </c>
      <c r="J62" s="99">
        <v>0</v>
      </c>
      <c r="K62" s="103">
        <f t="shared" si="14"/>
      </c>
      <c r="L62" s="104">
        <v>4</v>
      </c>
      <c r="M62" s="105">
        <v>5</v>
      </c>
      <c r="N62" s="106">
        <v>0</v>
      </c>
      <c r="O62" s="106">
        <v>1</v>
      </c>
      <c r="P62" s="103">
        <f t="shared" si="45"/>
      </c>
      <c r="Q62" s="82">
        <f t="shared" si="0"/>
      </c>
      <c r="R62" s="83">
        <f t="shared" si="32"/>
      </c>
      <c r="S62" s="82">
        <f t="shared" si="1"/>
      </c>
      <c r="T62" s="94"/>
      <c r="U62" s="94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  <c r="EJ62" s="87"/>
      <c r="EK62" s="87"/>
      <c r="EL62" s="87"/>
      <c r="EM62" s="87"/>
      <c r="EN62" s="87"/>
      <c r="EO62" s="87"/>
      <c r="EP62" s="87"/>
      <c r="EQ62" s="87"/>
      <c r="ER62" s="87"/>
      <c r="ES62" s="87"/>
      <c r="ET62" s="87"/>
      <c r="EU62" s="87"/>
      <c r="EV62" s="87"/>
      <c r="EW62" s="87"/>
      <c r="EX62" s="87"/>
      <c r="EY62" s="87"/>
      <c r="EZ62" s="87"/>
      <c r="FA62" s="87"/>
      <c r="FB62" s="87"/>
      <c r="FC62" s="87"/>
      <c r="FD62" s="87"/>
      <c r="FE62" s="87"/>
      <c r="FF62" s="87"/>
      <c r="FG62" s="87"/>
      <c r="FH62" s="87"/>
      <c r="FI62" s="87"/>
      <c r="FJ62" s="87"/>
      <c r="FK62" s="87"/>
      <c r="FL62" s="87"/>
      <c r="FM62" s="87"/>
      <c r="FN62" s="87"/>
      <c r="FO62" s="87"/>
      <c r="FP62" s="87"/>
      <c r="FQ62" s="87"/>
      <c r="FR62" s="87"/>
      <c r="FS62" s="87"/>
      <c r="FT62" s="87"/>
      <c r="FU62" s="87"/>
      <c r="FV62" s="87"/>
      <c r="FW62" s="87"/>
      <c r="FX62" s="87"/>
      <c r="FY62" s="87"/>
      <c r="FZ62" s="87"/>
      <c r="GA62" s="87"/>
      <c r="GB62" s="87"/>
      <c r="GC62" s="87"/>
      <c r="GD62" s="87"/>
    </row>
    <row r="63">
      <c r="A63" s="96">
        <v>46278</v>
      </c>
      <c r="B63" s="94" t="s">
        <v>77</v>
      </c>
      <c r="C63" s="107" t="s">
        <v>88</v>
      </c>
      <c r="D63" s="98">
        <v>4</v>
      </c>
      <c r="E63" s="99">
        <v>8908.64</v>
      </c>
      <c r="F63" s="110">
        <v>10</v>
      </c>
      <c r="G63" s="106">
        <v>6</v>
      </c>
      <c r="H63" s="106">
        <v>4605.199999999997</v>
      </c>
      <c r="I63" s="99">
        <v>1</v>
      </c>
      <c r="J63" s="99">
        <v>403</v>
      </c>
      <c r="K63" s="103">
        <f t="shared" si="14"/>
      </c>
      <c r="L63" s="104">
        <v>8</v>
      </c>
      <c r="M63" s="105">
        <v>10</v>
      </c>
      <c r="N63" s="106">
        <v>0</v>
      </c>
      <c r="O63" s="106">
        <v>1</v>
      </c>
      <c r="P63" s="103">
        <f t="shared" si="45"/>
      </c>
      <c r="Q63" s="82">
        <f t="shared" si="0"/>
      </c>
      <c r="R63" s="83">
        <f t="shared" si="32"/>
      </c>
      <c r="S63" s="82">
        <f t="shared" si="1"/>
      </c>
      <c r="T63" s="94" t="s">
        <v>82</v>
      </c>
      <c r="U63" s="94">
        <v>8</v>
      </c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  <c r="BM63" s="94"/>
      <c r="BN63" s="94"/>
      <c r="BO63" s="94"/>
      <c r="BP63" s="94"/>
      <c r="BQ63" s="94"/>
      <c r="BR63" s="94"/>
      <c r="BS63" s="94"/>
      <c r="BT63" s="94"/>
      <c r="BU63" s="94"/>
      <c r="BV63" s="94"/>
      <c r="BW63" s="94"/>
      <c r="BX63" s="94"/>
      <c r="BY63" s="94"/>
      <c r="BZ63" s="94"/>
      <c r="CA63" s="94"/>
      <c r="CB63" s="94"/>
      <c r="CC63" s="94"/>
      <c r="CD63" s="94"/>
      <c r="CE63" s="94"/>
      <c r="CF63" s="94"/>
      <c r="CG63" s="94"/>
      <c r="CH63" s="94"/>
      <c r="CI63" s="94"/>
      <c r="CJ63" s="94"/>
      <c r="CK63" s="94"/>
      <c r="CL63" s="94"/>
      <c r="CM63" s="94"/>
      <c r="CN63" s="94"/>
      <c r="CO63" s="94"/>
      <c r="CP63" s="94"/>
      <c r="CQ63" s="94"/>
      <c r="CR63" s="94"/>
      <c r="CS63" s="94"/>
      <c r="CT63" s="94"/>
      <c r="CU63" s="94"/>
      <c r="CV63" s="94"/>
      <c r="CW63" s="94"/>
      <c r="CX63" s="94"/>
      <c r="CY63" s="94"/>
      <c r="CZ63" s="94"/>
      <c r="DA63" s="94"/>
      <c r="DB63" s="94"/>
      <c r="DC63" s="94"/>
      <c r="DD63" s="94"/>
      <c r="DE63" s="94"/>
      <c r="DF63" s="94"/>
      <c r="DG63" s="94"/>
      <c r="DH63" s="94"/>
      <c r="DI63" s="94"/>
      <c r="DJ63" s="94"/>
      <c r="DK63" s="94"/>
      <c r="DL63" s="94"/>
      <c r="DM63" s="94"/>
      <c r="DN63" s="94"/>
      <c r="DO63" s="94"/>
      <c r="DP63" s="94"/>
      <c r="DQ63" s="94"/>
      <c r="DR63" s="94"/>
      <c r="DS63" s="94"/>
      <c r="DT63" s="94"/>
      <c r="DU63" s="94"/>
      <c r="DV63" s="94"/>
      <c r="DW63" s="94"/>
      <c r="DX63" s="94"/>
      <c r="DY63" s="94"/>
      <c r="DZ63" s="94"/>
      <c r="EA63" s="94"/>
      <c r="EB63" s="94"/>
      <c r="EC63" s="94"/>
      <c r="ED63" s="94"/>
      <c r="EE63" s="94"/>
      <c r="EF63" s="94"/>
      <c r="EG63" s="94"/>
      <c r="EH63" s="94"/>
      <c r="EI63" s="94"/>
      <c r="EJ63" s="94"/>
      <c r="EK63" s="94"/>
      <c r="EL63" s="94"/>
      <c r="EM63" s="94"/>
      <c r="EN63" s="94"/>
      <c r="EO63" s="94"/>
      <c r="EP63" s="94"/>
      <c r="EQ63" s="94"/>
      <c r="ER63" s="94"/>
      <c r="ES63" s="94"/>
      <c r="ET63" s="94"/>
      <c r="EU63" s="94"/>
      <c r="EV63" s="94"/>
      <c r="EW63" s="94"/>
      <c r="EX63" s="94"/>
      <c r="EY63" s="94"/>
      <c r="EZ63" s="94"/>
      <c r="FA63" s="94"/>
      <c r="FB63" s="94"/>
      <c r="FC63" s="94"/>
      <c r="FD63" s="94"/>
      <c r="FE63" s="94"/>
      <c r="FF63" s="94"/>
      <c r="FG63" s="94"/>
      <c r="FH63" s="94"/>
      <c r="FI63" s="94"/>
      <c r="FJ63" s="94"/>
      <c r="FK63" s="94"/>
      <c r="FL63" s="94"/>
      <c r="FM63" s="94"/>
      <c r="FN63" s="94"/>
      <c r="FO63" s="94"/>
      <c r="FP63" s="94"/>
      <c r="FQ63" s="94"/>
      <c r="FR63" s="94"/>
      <c r="FS63" s="94"/>
      <c r="FT63" s="94"/>
      <c r="FU63" s="94"/>
      <c r="FV63" s="94"/>
      <c r="FW63" s="94"/>
      <c r="FX63" s="94"/>
      <c r="FY63" s="94"/>
      <c r="FZ63" s="94"/>
      <c r="GA63" s="94"/>
      <c r="GB63" s="94"/>
      <c r="GC63" s="94"/>
      <c r="GD63" s="94"/>
    </row>
    <row r="64">
      <c r="A64" s="111">
        <v>46278</v>
      </c>
      <c r="B64" s="112" t="s">
        <v>83</v>
      </c>
      <c r="C64" s="113"/>
      <c r="D64" s="92">
        <f>SUM(D59:D63)</f>
      </c>
      <c r="E64" s="92">
        <f>SUM(E59:E63)</f>
      </c>
      <c r="F64" s="92">
        <f>SUM(F59:F63)</f>
      </c>
      <c r="G64" s="92">
        <f>SUM(G59:G63)</f>
      </c>
      <c r="H64" s="92">
        <f>SUM(H59:H63)</f>
      </c>
      <c r="I64" s="92">
        <f>SUM(I59:I63)</f>
      </c>
      <c r="J64" s="92">
        <f>SUM(J59:J63)</f>
      </c>
      <c r="K64" s="92">
        <f>SUM(K59:K63)</f>
      </c>
      <c r="L64" s="92">
        <f>SUM(L59:L63)</f>
      </c>
      <c r="M64" s="92">
        <f>SUM(M59:M63)</f>
      </c>
      <c r="N64" s="92">
        <f>SUM(N59:N63)</f>
      </c>
      <c r="O64" s="92">
        <f>SUM(O59:O63)</f>
      </c>
      <c r="P64" s="92">
        <f>SUM(P59:P63)</f>
      </c>
      <c r="Q64" s="93">
        <f t="shared" si="0"/>
      </c>
      <c r="R64" s="93">
        <f t="shared" si="32"/>
      </c>
      <c r="S64" s="93">
        <f t="shared" si="1"/>
      </c>
      <c r="T64" s="92"/>
      <c r="U64" s="92">
        <f>SUM(U59:U63)</f>
      </c>
      <c r="V64" s="92"/>
      <c r="W64" s="92">
        <f>SUM(W59:W63)</f>
      </c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  <c r="DQ64" s="92"/>
      <c r="DR64" s="92"/>
      <c r="DS64" s="92"/>
      <c r="DT64" s="92"/>
      <c r="DU64" s="92"/>
      <c r="DV64" s="92"/>
      <c r="DW64" s="92"/>
      <c r="DX64" s="92"/>
      <c r="DY64" s="92"/>
      <c r="DZ64" s="92"/>
      <c r="EA64" s="92"/>
      <c r="EB64" s="92"/>
      <c r="EC64" s="92"/>
      <c r="ED64" s="92"/>
      <c r="EE64" s="92"/>
      <c r="EF64" s="92"/>
      <c r="EG64" s="92"/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2"/>
      <c r="ET64" s="92"/>
      <c r="EU64" s="92"/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2"/>
      <c r="FH64" s="92"/>
      <c r="FI64" s="92"/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2"/>
      <c r="FV64" s="92"/>
      <c r="FW64" s="92"/>
      <c r="FX64" s="92"/>
      <c r="FY64" s="92"/>
      <c r="FZ64" s="92"/>
      <c r="GA64" s="92"/>
      <c r="GB64" s="92"/>
      <c r="GC64" s="92"/>
      <c r="GD64" s="92"/>
    </row>
    <row r="65">
      <c r="A65" s="96">
        <v>46279</v>
      </c>
      <c r="B65" s="94" t="s">
        <v>90</v>
      </c>
      <c r="C65" s="97" t="s">
        <v>93</v>
      </c>
      <c r="D65" s="98">
        <v>4</v>
      </c>
      <c r="E65" s="99">
        <v>8595.21</v>
      </c>
      <c r="F65" s="98">
        <v>8</v>
      </c>
      <c r="G65" s="106">
        <v>4</v>
      </c>
      <c r="H65" s="106">
        <v>6289.200000000001</v>
      </c>
      <c r="I65" s="99">
        <v>1</v>
      </c>
      <c r="J65" s="99">
        <v>372</v>
      </c>
      <c r="K65" s="103">
        <f t="shared" ref="K65:K69" si="15">G65+I65</f>
      </c>
      <c r="L65" s="104">
        <v>3</v>
      </c>
      <c r="M65" s="105">
        <v>5</v>
      </c>
      <c r="N65" s="106">
        <v>1</v>
      </c>
      <c r="O65" s="77">
        <v>2</v>
      </c>
      <c r="P65" s="103">
        <f t="shared" ref="P65:P69" si="46">J65+H65</f>
      </c>
      <c r="Q65" s="82">
        <f t="shared" si="0"/>
      </c>
      <c r="R65" s="83">
        <f t="shared" si="32"/>
      </c>
      <c r="S65" s="82">
        <f t="shared" si="1"/>
      </c>
      <c r="T65" s="94" t="s">
        <v>89</v>
      </c>
      <c r="U65" s="94">
        <v>8</v>
      </c>
      <c r="V65" s="94" t="s">
        <v>76</v>
      </c>
      <c r="W65" s="94">
        <v>16</v>
      </c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  <c r="BW65" s="94"/>
      <c r="BX65" s="94"/>
      <c r="BY65" s="94"/>
      <c r="BZ65" s="94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  <c r="CN65" s="94"/>
      <c r="CO65" s="94"/>
      <c r="CP65" s="94"/>
      <c r="CQ65" s="94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94"/>
      <c r="DS65" s="94"/>
      <c r="DT65" s="94"/>
      <c r="DU65" s="94"/>
      <c r="DV65" s="94"/>
      <c r="DW65" s="94"/>
      <c r="DX65" s="94"/>
      <c r="DY65" s="94"/>
      <c r="DZ65" s="94"/>
      <c r="EA65" s="94"/>
      <c r="EB65" s="94"/>
      <c r="EC65" s="94"/>
      <c r="ED65" s="94"/>
      <c r="EE65" s="94"/>
      <c r="EF65" s="94"/>
      <c r="EG65" s="94"/>
      <c r="EH65" s="94"/>
      <c r="EI65" s="94"/>
      <c r="EJ65" s="94"/>
      <c r="EK65" s="94"/>
      <c r="EL65" s="94"/>
      <c r="EM65" s="94"/>
      <c r="EN65" s="94"/>
      <c r="EO65" s="94"/>
      <c r="EP65" s="94"/>
      <c r="EQ65" s="94"/>
      <c r="ER65" s="94"/>
      <c r="ES65" s="94"/>
      <c r="ET65" s="94"/>
      <c r="EU65" s="94"/>
      <c r="EV65" s="94"/>
      <c r="EW65" s="94"/>
      <c r="EX65" s="94"/>
      <c r="EY65" s="94"/>
      <c r="EZ65" s="94"/>
      <c r="FA65" s="94"/>
      <c r="FB65" s="94"/>
      <c r="FC65" s="94"/>
      <c r="FD65" s="94"/>
      <c r="FE65" s="94"/>
      <c r="FF65" s="94"/>
      <c r="FG65" s="94"/>
      <c r="FH65" s="94"/>
      <c r="FI65" s="94"/>
      <c r="FJ65" s="94"/>
      <c r="FK65" s="94"/>
      <c r="FL65" s="94"/>
      <c r="FM65" s="94"/>
      <c r="FN65" s="94"/>
      <c r="FO65" s="94"/>
      <c r="FP65" s="94"/>
      <c r="FQ65" s="94"/>
      <c r="FR65" s="94"/>
      <c r="FS65" s="94"/>
      <c r="FT65" s="94"/>
      <c r="FU65" s="94"/>
      <c r="FV65" s="94"/>
      <c r="FW65" s="94"/>
      <c r="FX65" s="94"/>
      <c r="FY65" s="94"/>
      <c r="FZ65" s="94"/>
      <c r="GA65" s="94"/>
      <c r="GB65" s="94"/>
      <c r="GC65" s="94"/>
      <c r="GD65" s="94"/>
    </row>
    <row r="66">
      <c r="A66" s="96">
        <v>46279</v>
      </c>
      <c r="B66" s="94" t="s">
        <v>77</v>
      </c>
      <c r="C66" s="107" t="s">
        <v>100</v>
      </c>
      <c r="D66" s="98">
        <v>3</v>
      </c>
      <c r="E66" s="99">
        <v>6193.379999999999</v>
      </c>
      <c r="F66" s="108">
        <v>8</v>
      </c>
      <c r="G66" s="106">
        <v>5</v>
      </c>
      <c r="H66" s="106">
        <v>9073.4</v>
      </c>
      <c r="I66" s="99">
        <v>1</v>
      </c>
      <c r="J66" s="99">
        <v>265</v>
      </c>
      <c r="K66" s="103">
        <f t="shared" si="15"/>
      </c>
      <c r="L66" s="104">
        <v>5</v>
      </c>
      <c r="M66" s="105">
        <v>6</v>
      </c>
      <c r="N66" s="106">
        <v>1</v>
      </c>
      <c r="O66" s="77">
        <v>2</v>
      </c>
      <c r="P66" s="103">
        <f t="shared" si="46"/>
      </c>
      <c r="Q66" s="82">
        <f t="shared" si="0"/>
      </c>
      <c r="R66" s="83">
        <f t="shared" si="32"/>
      </c>
      <c r="S66" s="82">
        <f t="shared" si="1"/>
      </c>
      <c r="T66" s="94"/>
      <c r="U66" s="94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  <c r="DK66" s="87"/>
      <c r="DL66" s="87"/>
      <c r="DM66" s="87"/>
      <c r="DN66" s="87"/>
      <c r="DO66" s="87"/>
      <c r="DP66" s="87"/>
      <c r="DQ66" s="87"/>
      <c r="DR66" s="87"/>
      <c r="DS66" s="87"/>
      <c r="DT66" s="87"/>
      <c r="DU66" s="87"/>
      <c r="DV66" s="87"/>
      <c r="DW66" s="87"/>
      <c r="DX66" s="87"/>
      <c r="DY66" s="87"/>
      <c r="DZ66" s="87"/>
      <c r="EA66" s="87"/>
      <c r="EB66" s="87"/>
      <c r="EC66" s="87"/>
      <c r="ED66" s="87"/>
      <c r="EE66" s="87"/>
      <c r="EF66" s="87"/>
      <c r="EG66" s="87"/>
      <c r="EH66" s="87"/>
      <c r="EI66" s="87"/>
      <c r="EJ66" s="87"/>
      <c r="EK66" s="87"/>
      <c r="EL66" s="87"/>
      <c r="EM66" s="87"/>
      <c r="EN66" s="87"/>
      <c r="EO66" s="87"/>
      <c r="EP66" s="87"/>
      <c r="EQ66" s="87"/>
      <c r="ER66" s="87"/>
      <c r="ES66" s="87"/>
      <c r="ET66" s="87"/>
      <c r="EU66" s="87"/>
      <c r="EV66" s="87"/>
      <c r="EW66" s="87"/>
      <c r="EX66" s="87"/>
      <c r="EY66" s="87"/>
      <c r="EZ66" s="87"/>
      <c r="FA66" s="87"/>
      <c r="FB66" s="87"/>
      <c r="FC66" s="87"/>
      <c r="FD66" s="87"/>
      <c r="FE66" s="87"/>
      <c r="FF66" s="87"/>
      <c r="FG66" s="87"/>
      <c r="FH66" s="87"/>
      <c r="FI66" s="87"/>
      <c r="FJ66" s="87"/>
      <c r="FK66" s="87"/>
      <c r="FL66" s="87"/>
      <c r="FM66" s="87"/>
      <c r="FN66" s="87"/>
      <c r="FO66" s="87"/>
      <c r="FP66" s="87"/>
      <c r="FQ66" s="87"/>
      <c r="FR66" s="87"/>
      <c r="FS66" s="87"/>
      <c r="FT66" s="87"/>
      <c r="FU66" s="87"/>
      <c r="FV66" s="87"/>
      <c r="FW66" s="87"/>
      <c r="FX66" s="87"/>
      <c r="FY66" s="87"/>
      <c r="FZ66" s="87"/>
      <c r="GA66" s="87"/>
      <c r="GB66" s="87"/>
      <c r="GC66" s="87"/>
      <c r="GD66" s="87"/>
    </row>
    <row r="67">
      <c r="A67" s="96">
        <v>46279</v>
      </c>
      <c r="B67" s="94" t="s">
        <v>97</v>
      </c>
      <c r="C67" s="107" t="s">
        <v>101</v>
      </c>
      <c r="D67" s="98">
        <v>2</v>
      </c>
      <c r="E67" s="99">
        <v>4329.04</v>
      </c>
      <c r="F67" s="108">
        <v>4</v>
      </c>
      <c r="G67" s="106">
        <v>3</v>
      </c>
      <c r="H67" s="106">
        <v>3247.6000000000004</v>
      </c>
      <c r="I67" s="99">
        <v>0</v>
      </c>
      <c r="J67" s="99">
        <v>0</v>
      </c>
      <c r="K67" s="103">
        <f t="shared" si="15"/>
      </c>
      <c r="L67" s="104">
        <v>2</v>
      </c>
      <c r="M67" s="105">
        <v>3</v>
      </c>
      <c r="N67" s="106">
        <v>0</v>
      </c>
      <c r="O67" s="77">
        <v>1</v>
      </c>
      <c r="P67" s="103">
        <f t="shared" si="46"/>
      </c>
      <c r="Q67" s="82">
        <f t="shared" si="0"/>
      </c>
      <c r="R67" s="83">
        <f t="shared" si="32"/>
      </c>
      <c r="S67" s="82">
        <f t="shared" si="1"/>
      </c>
      <c r="T67" s="94"/>
      <c r="U67" s="94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/>
      <c r="EE67" s="87"/>
      <c r="EF67" s="87"/>
      <c r="EG67" s="87"/>
      <c r="EH67" s="87"/>
      <c r="EI67" s="87"/>
      <c r="EJ67" s="87"/>
      <c r="EK67" s="87"/>
      <c r="EL67" s="87"/>
      <c r="EM67" s="87"/>
      <c r="EN67" s="87"/>
      <c r="EO67" s="87"/>
      <c r="EP67" s="87"/>
      <c r="EQ67" s="87"/>
      <c r="ER67" s="87"/>
      <c r="ES67" s="87"/>
      <c r="ET67" s="87"/>
      <c r="EU67" s="87"/>
      <c r="EV67" s="87"/>
      <c r="EW67" s="87"/>
      <c r="EX67" s="87"/>
      <c r="EY67" s="87"/>
      <c r="EZ67" s="87"/>
      <c r="FA67" s="87"/>
      <c r="FB67" s="87"/>
      <c r="FC67" s="87"/>
      <c r="FD67" s="87"/>
      <c r="FE67" s="87"/>
      <c r="FF67" s="87"/>
      <c r="FG67" s="87"/>
      <c r="FH67" s="87"/>
      <c r="FI67" s="87"/>
      <c r="FJ67" s="87"/>
      <c r="FK67" s="87"/>
      <c r="FL67" s="87"/>
      <c r="FM67" s="87"/>
      <c r="FN67" s="87"/>
      <c r="FO67" s="87"/>
      <c r="FP67" s="87"/>
      <c r="FQ67" s="87"/>
      <c r="FR67" s="87"/>
      <c r="FS67" s="87"/>
      <c r="FT67" s="87"/>
      <c r="FU67" s="87"/>
      <c r="FV67" s="87"/>
      <c r="FW67" s="87"/>
      <c r="FX67" s="87"/>
      <c r="FY67" s="87"/>
      <c r="FZ67" s="87"/>
      <c r="GA67" s="87"/>
      <c r="GB67" s="87"/>
      <c r="GC67" s="87"/>
      <c r="GD67" s="87"/>
    </row>
    <row r="68">
      <c r="A68" s="96">
        <v>46279</v>
      </c>
      <c r="B68" s="94" t="s">
        <v>84</v>
      </c>
      <c r="C68" s="107" t="s">
        <v>87</v>
      </c>
      <c r="D68" s="98">
        <v>3</v>
      </c>
      <c r="E68" s="99">
        <v>4555.429999999999</v>
      </c>
      <c r="F68" s="114">
        <v>3</v>
      </c>
      <c r="G68" s="106">
        <v>3</v>
      </c>
      <c r="H68" s="106">
        <v>3116.399999999998</v>
      </c>
      <c r="I68" s="99">
        <v>0</v>
      </c>
      <c r="J68" s="99">
        <v>0</v>
      </c>
      <c r="K68" s="103">
        <f t="shared" si="15"/>
      </c>
      <c r="L68" s="104">
        <v>1</v>
      </c>
      <c r="M68" s="105">
        <v>1</v>
      </c>
      <c r="N68" s="77">
        <v>1</v>
      </c>
      <c r="O68" s="77">
        <v>1</v>
      </c>
      <c r="P68" s="103">
        <f t="shared" si="46"/>
      </c>
      <c r="Q68" s="82">
        <f t="shared" si="0"/>
      </c>
      <c r="R68" s="83">
        <f t="shared" si="32"/>
      </c>
      <c r="S68" s="82">
        <f t="shared" si="1"/>
      </c>
      <c r="T68" s="94"/>
      <c r="U68" s="94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  <c r="DK68" s="87"/>
      <c r="DL68" s="87"/>
      <c r="DM68" s="87"/>
      <c r="DN68" s="87"/>
      <c r="DO68" s="87"/>
      <c r="DP68" s="87"/>
      <c r="DQ68" s="87"/>
      <c r="DR68" s="87"/>
      <c r="DS68" s="87"/>
      <c r="DT68" s="87"/>
      <c r="DU68" s="87"/>
      <c r="DV68" s="87"/>
      <c r="DW68" s="87"/>
      <c r="DX68" s="87"/>
      <c r="DY68" s="87"/>
      <c r="DZ68" s="87"/>
      <c r="EA68" s="87"/>
      <c r="EB68" s="87"/>
      <c r="EC68" s="87"/>
      <c r="ED68" s="87"/>
      <c r="EE68" s="87"/>
      <c r="EF68" s="87"/>
      <c r="EG68" s="87"/>
      <c r="EH68" s="87"/>
      <c r="EI68" s="87"/>
      <c r="EJ68" s="87"/>
      <c r="EK68" s="87"/>
      <c r="EL68" s="87"/>
      <c r="EM68" s="87"/>
      <c r="EN68" s="87"/>
      <c r="EO68" s="87"/>
      <c r="EP68" s="87"/>
      <c r="EQ68" s="87"/>
      <c r="ER68" s="87"/>
      <c r="ES68" s="87"/>
      <c r="ET68" s="87"/>
      <c r="EU68" s="87"/>
      <c r="EV68" s="87"/>
      <c r="EW68" s="87"/>
      <c r="EX68" s="87"/>
      <c r="EY68" s="87"/>
      <c r="EZ68" s="87"/>
      <c r="FA68" s="87"/>
      <c r="FB68" s="87"/>
      <c r="FC68" s="87"/>
      <c r="FD68" s="87"/>
      <c r="FE68" s="87"/>
      <c r="FF68" s="87"/>
      <c r="FG68" s="87"/>
      <c r="FH68" s="87"/>
      <c r="FI68" s="87"/>
      <c r="FJ68" s="87"/>
      <c r="FK68" s="87"/>
      <c r="FL68" s="87"/>
      <c r="FM68" s="87"/>
      <c r="FN68" s="87"/>
      <c r="FO68" s="87"/>
      <c r="FP68" s="87"/>
      <c r="FQ68" s="87"/>
      <c r="FR68" s="87"/>
      <c r="FS68" s="87"/>
      <c r="FT68" s="87"/>
      <c r="FU68" s="87"/>
      <c r="FV68" s="87"/>
      <c r="FW68" s="87"/>
      <c r="FX68" s="87"/>
      <c r="FY68" s="87"/>
      <c r="FZ68" s="87"/>
      <c r="GA68" s="87"/>
      <c r="GB68" s="87"/>
      <c r="GC68" s="87"/>
      <c r="GD68" s="87"/>
    </row>
    <row r="69">
      <c r="A69" s="96">
        <v>46279</v>
      </c>
      <c r="B69" s="94" t="s">
        <v>73</v>
      </c>
      <c r="C69" s="107" t="s">
        <v>88</v>
      </c>
      <c r="D69" s="98">
        <v>4</v>
      </c>
      <c r="E69" s="99">
        <v>6728.13</v>
      </c>
      <c r="F69" s="110">
        <v>7</v>
      </c>
      <c r="G69" s="106">
        <v>6</v>
      </c>
      <c r="H69" s="106">
        <v>12096.400000000001</v>
      </c>
      <c r="I69" s="99">
        <v>0</v>
      </c>
      <c r="J69" s="99">
        <v>0</v>
      </c>
      <c r="K69" s="103">
        <f t="shared" si="15"/>
      </c>
      <c r="L69" s="104">
        <v>4</v>
      </c>
      <c r="M69" s="105">
        <v>5</v>
      </c>
      <c r="N69" s="106">
        <v>1</v>
      </c>
      <c r="O69" s="77">
        <v>4</v>
      </c>
      <c r="P69" s="103">
        <f t="shared" si="46"/>
      </c>
      <c r="Q69" s="82">
        <f t="shared" si="0"/>
      </c>
      <c r="R69" s="83">
        <f t="shared" si="32"/>
      </c>
      <c r="S69" s="82">
        <f t="shared" si="1"/>
      </c>
      <c r="T69" s="94" t="s">
        <v>82</v>
      </c>
      <c r="U69" s="94">
        <v>8</v>
      </c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4"/>
      <c r="BK69" s="94"/>
      <c r="BL69" s="94"/>
      <c r="BM69" s="94"/>
      <c r="BN69" s="94"/>
      <c r="BO69" s="94"/>
      <c r="BP69" s="94"/>
      <c r="BQ69" s="94"/>
      <c r="BR69" s="94"/>
      <c r="BS69" s="94"/>
      <c r="BT69" s="94"/>
      <c r="BU69" s="94"/>
      <c r="BV69" s="94"/>
      <c r="BW69" s="94"/>
      <c r="BX69" s="94"/>
      <c r="BY69" s="94"/>
      <c r="BZ69" s="94"/>
      <c r="CA69" s="94"/>
      <c r="CB69" s="94"/>
      <c r="CC69" s="94"/>
      <c r="CD69" s="94"/>
      <c r="CE69" s="94"/>
      <c r="CF69" s="94"/>
      <c r="CG69" s="94"/>
      <c r="CH69" s="94"/>
      <c r="CI69" s="94"/>
      <c r="CJ69" s="94"/>
      <c r="CK69" s="94"/>
      <c r="CL69" s="94"/>
      <c r="CM69" s="94"/>
      <c r="CN69" s="94"/>
      <c r="CO69" s="94"/>
      <c r="CP69" s="94"/>
      <c r="CQ69" s="94"/>
      <c r="CR69" s="94"/>
      <c r="CS69" s="94"/>
      <c r="CT69" s="94"/>
      <c r="CU69" s="94"/>
      <c r="CV69" s="94"/>
      <c r="CW69" s="94"/>
      <c r="CX69" s="94"/>
      <c r="CY69" s="94"/>
      <c r="CZ69" s="94"/>
      <c r="DA69" s="94"/>
      <c r="DB69" s="94"/>
      <c r="DC69" s="94"/>
      <c r="DD69" s="94"/>
      <c r="DE69" s="94"/>
      <c r="DF69" s="94"/>
      <c r="DG69" s="94"/>
      <c r="DH69" s="94"/>
      <c r="DI69" s="94"/>
      <c r="DJ69" s="94"/>
      <c r="DK69" s="94"/>
      <c r="DL69" s="94"/>
      <c r="DM69" s="94"/>
      <c r="DN69" s="94"/>
      <c r="DO69" s="94"/>
      <c r="DP69" s="94"/>
      <c r="DQ69" s="94"/>
      <c r="DR69" s="94"/>
      <c r="DS69" s="94"/>
      <c r="DT69" s="94"/>
      <c r="DU69" s="94"/>
      <c r="DV69" s="94"/>
      <c r="DW69" s="94"/>
      <c r="DX69" s="94"/>
      <c r="DY69" s="94"/>
      <c r="DZ69" s="94"/>
      <c r="EA69" s="94"/>
      <c r="EB69" s="94"/>
      <c r="EC69" s="94"/>
      <c r="ED69" s="94"/>
      <c r="EE69" s="94"/>
      <c r="EF69" s="94"/>
      <c r="EG69" s="94"/>
      <c r="EH69" s="94"/>
      <c r="EI69" s="94"/>
      <c r="EJ69" s="94"/>
      <c r="EK69" s="94"/>
      <c r="EL69" s="94"/>
      <c r="EM69" s="94"/>
      <c r="EN69" s="94"/>
      <c r="EO69" s="94"/>
      <c r="EP69" s="94"/>
      <c r="EQ69" s="94"/>
      <c r="ER69" s="94"/>
      <c r="ES69" s="94"/>
      <c r="ET69" s="94"/>
      <c r="EU69" s="94"/>
      <c r="EV69" s="94"/>
      <c r="EW69" s="94"/>
      <c r="EX69" s="94"/>
      <c r="EY69" s="94"/>
      <c r="EZ69" s="94"/>
      <c r="FA69" s="94"/>
      <c r="FB69" s="94"/>
      <c r="FC69" s="94"/>
      <c r="FD69" s="94"/>
      <c r="FE69" s="94"/>
      <c r="FF69" s="94"/>
      <c r="FG69" s="94"/>
      <c r="FH69" s="94"/>
      <c r="FI69" s="94"/>
      <c r="FJ69" s="94"/>
      <c r="FK69" s="94"/>
      <c r="FL69" s="94"/>
      <c r="FM69" s="94"/>
      <c r="FN69" s="94"/>
      <c r="FO69" s="94"/>
      <c r="FP69" s="94"/>
      <c r="FQ69" s="94"/>
      <c r="FR69" s="94"/>
      <c r="FS69" s="94"/>
      <c r="FT69" s="94"/>
      <c r="FU69" s="94"/>
      <c r="FV69" s="94"/>
      <c r="FW69" s="94"/>
      <c r="FX69" s="94"/>
      <c r="FY69" s="94"/>
      <c r="FZ69" s="94"/>
      <c r="GA69" s="94"/>
      <c r="GB69" s="94"/>
      <c r="GC69" s="94"/>
      <c r="GD69" s="94"/>
    </row>
    <row r="70">
      <c r="A70" s="111">
        <v>46279</v>
      </c>
      <c r="B70" s="112" t="s">
        <v>83</v>
      </c>
      <c r="C70" s="113"/>
      <c r="D70" s="92">
        <f>SUM(D65:D69)</f>
      </c>
      <c r="E70" s="92">
        <f>SUM(E65:E69)</f>
      </c>
      <c r="F70" s="92">
        <f>SUM(F65:F69)</f>
      </c>
      <c r="G70" s="92">
        <f>SUM(G65:G69)</f>
      </c>
      <c r="H70" s="92">
        <f>SUM(H65:H69)</f>
      </c>
      <c r="I70" s="92">
        <f>SUM(I65:I69)</f>
      </c>
      <c r="J70" s="92">
        <f>SUM(J65:J69)</f>
      </c>
      <c r="K70" s="92">
        <f>SUM(K65:K69)</f>
      </c>
      <c r="L70" s="92">
        <f>SUM(L65:L69)</f>
      </c>
      <c r="M70" s="92">
        <f>SUM(M65:M69)</f>
      </c>
      <c r="N70" s="92">
        <f>SUM(N65:N69)</f>
      </c>
      <c r="O70" s="92">
        <f>SUM(O65:O69)</f>
      </c>
      <c r="P70" s="92">
        <f>SUM(P65:P69)</f>
      </c>
      <c r="Q70" s="93">
        <f t="shared" si="0"/>
      </c>
      <c r="R70" s="93">
        <f t="shared" si="32"/>
      </c>
      <c r="S70" s="93">
        <f t="shared" si="1"/>
      </c>
      <c r="T70" s="92"/>
      <c r="U70" s="92">
        <f>SUM(U65:U69)</f>
      </c>
      <c r="V70" s="92"/>
      <c r="W70" s="92">
        <f>SUM(W65:W69)</f>
      </c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  <c r="CV70" s="92"/>
      <c r="CW70" s="92"/>
      <c r="CX70" s="92"/>
      <c r="CY70" s="92"/>
      <c r="CZ70" s="92"/>
      <c r="DA70" s="92"/>
      <c r="DB70" s="92"/>
      <c r="DC70" s="92"/>
      <c r="DD70" s="92"/>
      <c r="DE70" s="92"/>
      <c r="DF70" s="92"/>
      <c r="DG70" s="92"/>
      <c r="DH70" s="92"/>
      <c r="DI70" s="92"/>
      <c r="DJ70" s="92"/>
      <c r="DK70" s="92"/>
      <c r="DL70" s="92"/>
      <c r="DM70" s="92"/>
      <c r="DN70" s="92"/>
      <c r="DO70" s="92"/>
      <c r="DP70" s="92"/>
      <c r="DQ70" s="92"/>
      <c r="DR70" s="92"/>
      <c r="DS70" s="92"/>
      <c r="DT70" s="92"/>
      <c r="DU70" s="92"/>
      <c r="DV70" s="92"/>
      <c r="DW70" s="92"/>
      <c r="DX70" s="92"/>
      <c r="DY70" s="92"/>
      <c r="DZ70" s="92"/>
      <c r="EA70" s="92"/>
      <c r="EB70" s="92"/>
      <c r="EC70" s="92"/>
      <c r="ED70" s="92"/>
      <c r="EE70" s="92"/>
      <c r="EF70" s="92"/>
      <c r="EG70" s="92"/>
      <c r="EH70" s="92"/>
      <c r="EI70" s="92"/>
      <c r="EJ70" s="92"/>
      <c r="EK70" s="92"/>
      <c r="EL70" s="92"/>
      <c r="EM70" s="92"/>
      <c r="EN70" s="92"/>
      <c r="EO70" s="92"/>
      <c r="EP70" s="92"/>
      <c r="EQ70" s="92"/>
      <c r="ER70" s="92"/>
      <c r="ES70" s="92"/>
      <c r="ET70" s="92"/>
      <c r="EU70" s="92"/>
      <c r="EV70" s="92"/>
      <c r="EW70" s="92"/>
      <c r="EX70" s="92"/>
      <c r="EY70" s="92"/>
      <c r="EZ70" s="92"/>
      <c r="FA70" s="92"/>
      <c r="FB70" s="92"/>
      <c r="FC70" s="92"/>
      <c r="FD70" s="92"/>
      <c r="FE70" s="92"/>
      <c r="FF70" s="92"/>
      <c r="FG70" s="92"/>
      <c r="FH70" s="92"/>
      <c r="FI70" s="92"/>
      <c r="FJ70" s="92"/>
      <c r="FK70" s="92"/>
      <c r="FL70" s="92"/>
      <c r="FM70" s="92"/>
      <c r="FN70" s="92"/>
      <c r="FO70" s="92"/>
      <c r="FP70" s="92"/>
      <c r="FQ70" s="92"/>
      <c r="FR70" s="92"/>
      <c r="FS70" s="92"/>
      <c r="FT70" s="92"/>
      <c r="FU70" s="92"/>
      <c r="FV70" s="92"/>
      <c r="FW70" s="92"/>
      <c r="FX70" s="92"/>
      <c r="FY70" s="92"/>
      <c r="FZ70" s="92"/>
      <c r="GA70" s="92"/>
      <c r="GB70" s="92"/>
      <c r="GC70" s="92"/>
      <c r="GD70" s="92"/>
    </row>
    <row r="71">
      <c r="A71" s="72">
        <v>46280</v>
      </c>
      <c r="B71" s="94" t="s">
        <v>90</v>
      </c>
      <c r="C71" s="97" t="s">
        <v>93</v>
      </c>
      <c r="D71" s="98">
        <v>4</v>
      </c>
      <c r="E71" s="99">
        <v>7239.17</v>
      </c>
      <c r="F71" s="98">
        <v>8</v>
      </c>
      <c r="G71" s="106">
        <v>6</v>
      </c>
      <c r="H71" s="106">
        <v>10256.400000000001</v>
      </c>
      <c r="I71" s="99">
        <v>1</v>
      </c>
      <c r="J71" s="99">
        <v>1944</v>
      </c>
      <c r="K71" s="103">
        <f t="shared" ref="K71:K75" si="16">G71+I71</f>
      </c>
      <c r="L71" s="104">
        <v>4</v>
      </c>
      <c r="M71" s="105">
        <v>5</v>
      </c>
      <c r="N71" s="106">
        <v>2</v>
      </c>
      <c r="O71" s="77">
        <v>5</v>
      </c>
      <c r="P71" s="103">
        <f t="shared" ref="P71:P75" si="47">J71+H71</f>
      </c>
      <c r="Q71" s="82">
        <f t="shared" si="0"/>
      </c>
      <c r="R71" s="83">
        <f t="shared" si="32"/>
      </c>
      <c r="S71" s="82">
        <f t="shared" si="1"/>
      </c>
      <c r="T71" s="94" t="s">
        <v>89</v>
      </c>
      <c r="U71" s="94">
        <v>8</v>
      </c>
      <c r="V71" s="94" t="s">
        <v>76</v>
      </c>
      <c r="W71" s="94">
        <v>16</v>
      </c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  <c r="BO71" s="94"/>
      <c r="BP71" s="94"/>
      <c r="BQ71" s="94"/>
      <c r="BR71" s="94"/>
      <c r="BS71" s="94"/>
      <c r="BT71" s="94"/>
      <c r="BU71" s="94"/>
      <c r="BV71" s="94"/>
      <c r="BW71" s="94"/>
      <c r="BX71" s="94"/>
      <c r="BY71" s="94"/>
      <c r="BZ71" s="94"/>
      <c r="CA71" s="94"/>
      <c r="CB71" s="94"/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  <c r="CN71" s="94"/>
      <c r="CO71" s="94"/>
      <c r="CP71" s="94"/>
      <c r="CQ71" s="94"/>
      <c r="CR71" s="94"/>
      <c r="CS71" s="94"/>
      <c r="CT71" s="94"/>
      <c r="CU71" s="94"/>
      <c r="CV71" s="94"/>
      <c r="CW71" s="94"/>
      <c r="CX71" s="94"/>
      <c r="CY71" s="94"/>
      <c r="CZ71" s="94"/>
      <c r="DA71" s="94"/>
      <c r="DB71" s="94"/>
      <c r="DC71" s="94"/>
      <c r="DD71" s="94"/>
      <c r="DE71" s="94"/>
      <c r="DF71" s="94"/>
      <c r="DG71" s="94"/>
      <c r="DH71" s="94"/>
      <c r="DI71" s="94"/>
      <c r="DJ71" s="94"/>
      <c r="DK71" s="94"/>
      <c r="DL71" s="94"/>
      <c r="DM71" s="94"/>
      <c r="DN71" s="94"/>
      <c r="DO71" s="94"/>
      <c r="DP71" s="94"/>
      <c r="DQ71" s="94"/>
      <c r="DR71" s="94"/>
      <c r="DS71" s="94"/>
      <c r="DT71" s="94"/>
      <c r="DU71" s="94"/>
      <c r="DV71" s="94"/>
      <c r="DW71" s="94"/>
      <c r="DX71" s="94"/>
      <c r="DY71" s="94"/>
      <c r="DZ71" s="94"/>
      <c r="EA71" s="94"/>
      <c r="EB71" s="94"/>
      <c r="EC71" s="94"/>
      <c r="ED71" s="94"/>
      <c r="EE71" s="94"/>
      <c r="EF71" s="94"/>
      <c r="EG71" s="94"/>
      <c r="EH71" s="94"/>
      <c r="EI71" s="94"/>
      <c r="EJ71" s="94"/>
      <c r="EK71" s="94"/>
      <c r="EL71" s="94"/>
      <c r="EM71" s="94"/>
      <c r="EN71" s="94"/>
      <c r="EO71" s="94"/>
      <c r="EP71" s="94"/>
      <c r="EQ71" s="94"/>
      <c r="ER71" s="94"/>
      <c r="ES71" s="94"/>
      <c r="ET71" s="94"/>
      <c r="EU71" s="94"/>
      <c r="EV71" s="94"/>
      <c r="EW71" s="94"/>
      <c r="EX71" s="94"/>
      <c r="EY71" s="94"/>
      <c r="EZ71" s="94"/>
      <c r="FA71" s="94"/>
      <c r="FB71" s="94"/>
      <c r="FC71" s="94"/>
      <c r="FD71" s="94"/>
      <c r="FE71" s="94"/>
      <c r="FF71" s="94"/>
      <c r="FG71" s="94"/>
      <c r="FH71" s="94"/>
      <c r="FI71" s="94"/>
      <c r="FJ71" s="94"/>
      <c r="FK71" s="94"/>
      <c r="FL71" s="94"/>
      <c r="FM71" s="94"/>
      <c r="FN71" s="94"/>
      <c r="FO71" s="94"/>
      <c r="FP71" s="94"/>
      <c r="FQ71" s="94"/>
      <c r="FR71" s="94"/>
      <c r="FS71" s="94"/>
      <c r="FT71" s="94"/>
      <c r="FU71" s="94"/>
      <c r="FV71" s="94"/>
      <c r="FW71" s="94"/>
      <c r="FX71" s="94"/>
      <c r="FY71" s="94"/>
      <c r="FZ71" s="94"/>
      <c r="GA71" s="94"/>
      <c r="GB71" s="94"/>
      <c r="GC71" s="94"/>
      <c r="GD71" s="94"/>
    </row>
    <row r="72">
      <c r="A72" s="72">
        <v>46280</v>
      </c>
      <c r="B72" s="94" t="s">
        <v>73</v>
      </c>
      <c r="C72" s="85" t="s">
        <v>94</v>
      </c>
      <c r="D72" s="75">
        <v>4</v>
      </c>
      <c r="E72" s="99">
        <v>10722.150000000001</v>
      </c>
      <c r="F72" s="108">
        <v>16</v>
      </c>
      <c r="G72" s="106">
        <v>13</v>
      </c>
      <c r="H72" s="106">
        <v>16020</v>
      </c>
      <c r="I72" s="99">
        <v>0</v>
      </c>
      <c r="J72" s="99">
        <v>0</v>
      </c>
      <c r="K72" s="103">
        <f t="shared" si="16"/>
      </c>
      <c r="L72" s="104">
        <v>9</v>
      </c>
      <c r="M72" s="105">
        <v>10</v>
      </c>
      <c r="N72" s="106">
        <v>2</v>
      </c>
      <c r="O72" s="77">
        <v>7</v>
      </c>
      <c r="P72" s="103">
        <f t="shared" si="47"/>
      </c>
      <c r="Q72" s="82">
        <f t="shared" si="0"/>
      </c>
      <c r="R72" s="83">
        <f t="shared" si="32"/>
      </c>
      <c r="S72" s="82">
        <f t="shared" si="1"/>
      </c>
      <c r="T72" s="94"/>
      <c r="U72" s="94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/>
      <c r="EE72" s="87"/>
      <c r="EF72" s="87"/>
      <c r="EG72" s="87"/>
      <c r="EH72" s="87"/>
      <c r="EI72" s="87"/>
      <c r="EJ72" s="87"/>
      <c r="EK72" s="87"/>
      <c r="EL72" s="87"/>
      <c r="EM72" s="87"/>
      <c r="EN72" s="87"/>
      <c r="EO72" s="87"/>
      <c r="EP72" s="87"/>
      <c r="EQ72" s="87"/>
      <c r="ER72" s="87"/>
      <c r="ES72" s="87"/>
      <c r="ET72" s="87"/>
      <c r="EU72" s="87"/>
      <c r="EV72" s="87"/>
      <c r="EW72" s="87"/>
      <c r="EX72" s="87"/>
      <c r="EY72" s="87"/>
      <c r="EZ72" s="87"/>
      <c r="FA72" s="87"/>
      <c r="FB72" s="87"/>
      <c r="FC72" s="87"/>
      <c r="FD72" s="87"/>
      <c r="FE72" s="87"/>
      <c r="FF72" s="87"/>
      <c r="FG72" s="87"/>
      <c r="FH72" s="87"/>
      <c r="FI72" s="87"/>
      <c r="FJ72" s="87"/>
      <c r="FK72" s="87"/>
      <c r="FL72" s="87"/>
      <c r="FM72" s="87"/>
      <c r="FN72" s="87"/>
      <c r="FO72" s="87"/>
      <c r="FP72" s="87"/>
      <c r="FQ72" s="87"/>
      <c r="FR72" s="87"/>
      <c r="FS72" s="87"/>
      <c r="FT72" s="87"/>
      <c r="FU72" s="87"/>
      <c r="FV72" s="87"/>
      <c r="FW72" s="87"/>
      <c r="FX72" s="87"/>
      <c r="FY72" s="87"/>
      <c r="FZ72" s="87"/>
      <c r="GA72" s="87"/>
      <c r="GB72" s="87"/>
      <c r="GC72" s="87"/>
      <c r="GD72" s="87"/>
    </row>
    <row r="73">
      <c r="A73" s="72">
        <v>46280</v>
      </c>
      <c r="B73" s="94" t="s">
        <v>77</v>
      </c>
      <c r="C73" s="85" t="s">
        <v>102</v>
      </c>
      <c r="D73" s="75">
        <v>3</v>
      </c>
      <c r="E73" s="99">
        <v>6908.210000000001</v>
      </c>
      <c r="F73" s="108">
        <v>9</v>
      </c>
      <c r="G73" s="106">
        <v>5</v>
      </c>
      <c r="H73" s="106">
        <v>7147.4000000000015</v>
      </c>
      <c r="I73" s="99">
        <v>2</v>
      </c>
      <c r="J73" s="99">
        <v>973.1999999999998</v>
      </c>
      <c r="K73" s="103">
        <f t="shared" si="16"/>
      </c>
      <c r="L73" s="104">
        <v>3</v>
      </c>
      <c r="M73" s="105">
        <v>6</v>
      </c>
      <c r="N73" s="106">
        <v>1</v>
      </c>
      <c r="O73" s="77">
        <v>3</v>
      </c>
      <c r="P73" s="103">
        <f t="shared" si="47"/>
      </c>
      <c r="Q73" s="82">
        <f t="shared" si="0"/>
      </c>
      <c r="R73" s="83">
        <f t="shared" si="32"/>
      </c>
      <c r="S73" s="82">
        <f t="shared" si="1"/>
      </c>
      <c r="T73" s="94"/>
      <c r="U73" s="94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  <c r="DK73" s="87"/>
      <c r="DL73" s="87"/>
      <c r="DM73" s="87"/>
      <c r="DN73" s="87"/>
      <c r="DO73" s="87"/>
      <c r="DP73" s="87"/>
      <c r="DQ73" s="87"/>
      <c r="DR73" s="87"/>
      <c r="DS73" s="87"/>
      <c r="DT73" s="87"/>
      <c r="DU73" s="87"/>
      <c r="DV73" s="87"/>
      <c r="DW73" s="87"/>
      <c r="DX73" s="87"/>
      <c r="DY73" s="87"/>
      <c r="DZ73" s="87"/>
      <c r="EA73" s="87"/>
      <c r="EB73" s="87"/>
      <c r="EC73" s="87"/>
      <c r="ED73" s="87"/>
      <c r="EE73" s="87"/>
      <c r="EF73" s="87"/>
      <c r="EG73" s="87"/>
      <c r="EH73" s="87"/>
      <c r="EI73" s="87"/>
      <c r="EJ73" s="87"/>
      <c r="EK73" s="87"/>
      <c r="EL73" s="87"/>
      <c r="EM73" s="87"/>
      <c r="EN73" s="87"/>
      <c r="EO73" s="87"/>
      <c r="EP73" s="87"/>
      <c r="EQ73" s="87"/>
      <c r="ER73" s="87"/>
      <c r="ES73" s="87"/>
      <c r="ET73" s="87"/>
      <c r="EU73" s="87"/>
      <c r="EV73" s="87"/>
      <c r="EW73" s="87"/>
      <c r="EX73" s="87"/>
      <c r="EY73" s="87"/>
      <c r="EZ73" s="87"/>
      <c r="FA73" s="87"/>
      <c r="FB73" s="87"/>
      <c r="FC73" s="87"/>
      <c r="FD73" s="87"/>
      <c r="FE73" s="87"/>
      <c r="FF73" s="87"/>
      <c r="FG73" s="87"/>
      <c r="FH73" s="87"/>
      <c r="FI73" s="87"/>
      <c r="FJ73" s="87"/>
      <c r="FK73" s="87"/>
      <c r="FL73" s="87"/>
      <c r="FM73" s="87"/>
      <c r="FN73" s="87"/>
      <c r="FO73" s="87"/>
      <c r="FP73" s="87"/>
      <c r="FQ73" s="87"/>
      <c r="FR73" s="87"/>
      <c r="FS73" s="87"/>
      <c r="FT73" s="87"/>
      <c r="FU73" s="87"/>
      <c r="FV73" s="87"/>
      <c r="FW73" s="87"/>
      <c r="FX73" s="87"/>
      <c r="FY73" s="87"/>
      <c r="FZ73" s="87"/>
      <c r="GA73" s="87"/>
      <c r="GB73" s="87"/>
      <c r="GC73" s="87"/>
      <c r="GD73" s="87"/>
    </row>
    <row r="74">
      <c r="A74" s="72">
        <v>46280</v>
      </c>
      <c r="B74" s="94" t="s">
        <v>97</v>
      </c>
      <c r="C74" s="85" t="s">
        <v>103</v>
      </c>
      <c r="D74" s="118">
        <f>2-0.1</f>
      </c>
      <c r="E74" s="99">
        <v>2919.54</v>
      </c>
      <c r="F74" s="114">
        <v>2</v>
      </c>
      <c r="G74" s="106">
        <v>1</v>
      </c>
      <c r="H74" s="106">
        <v>781.1999999999971</v>
      </c>
      <c r="I74" s="99">
        <v>0</v>
      </c>
      <c r="J74" s="99">
        <v>0</v>
      </c>
      <c r="K74" s="103">
        <f t="shared" si="16"/>
      </c>
      <c r="L74" s="104">
        <v>2</v>
      </c>
      <c r="M74" s="105">
        <v>1</v>
      </c>
      <c r="N74" s="77">
        <v>0</v>
      </c>
      <c r="O74" s="77">
        <v>1</v>
      </c>
      <c r="P74" s="103">
        <f t="shared" si="47"/>
      </c>
      <c r="Q74" s="82">
        <f t="shared" si="0"/>
      </c>
      <c r="R74" s="83">
        <f t="shared" si="32"/>
      </c>
      <c r="S74" s="82">
        <f t="shared" si="1"/>
      </c>
      <c r="T74" s="94"/>
      <c r="U74" s="94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  <c r="DK74" s="87"/>
      <c r="DL74" s="87"/>
      <c r="DM74" s="87"/>
      <c r="DN74" s="87"/>
      <c r="DO74" s="87"/>
      <c r="DP74" s="87"/>
      <c r="DQ74" s="87"/>
      <c r="DR74" s="87"/>
      <c r="DS74" s="87"/>
      <c r="DT74" s="87"/>
      <c r="DU74" s="87"/>
      <c r="DV74" s="87"/>
      <c r="DW74" s="87"/>
      <c r="DX74" s="87"/>
      <c r="DY74" s="87"/>
      <c r="DZ74" s="87"/>
      <c r="EA74" s="87"/>
      <c r="EB74" s="87"/>
      <c r="EC74" s="87"/>
      <c r="ED74" s="87"/>
      <c r="EE74" s="87"/>
      <c r="EF74" s="87"/>
      <c r="EG74" s="87"/>
      <c r="EH74" s="87"/>
      <c r="EI74" s="87"/>
      <c r="EJ74" s="87"/>
      <c r="EK74" s="87"/>
      <c r="EL74" s="87"/>
      <c r="EM74" s="87"/>
      <c r="EN74" s="87"/>
      <c r="EO74" s="87"/>
      <c r="EP74" s="87"/>
      <c r="EQ74" s="87"/>
      <c r="ER74" s="87"/>
      <c r="ES74" s="87"/>
      <c r="ET74" s="87"/>
      <c r="EU74" s="87"/>
      <c r="EV74" s="87"/>
      <c r="EW74" s="87"/>
      <c r="EX74" s="87"/>
      <c r="EY74" s="87"/>
      <c r="EZ74" s="87"/>
      <c r="FA74" s="87"/>
      <c r="FB74" s="87"/>
      <c r="FC74" s="87"/>
      <c r="FD74" s="87"/>
      <c r="FE74" s="87"/>
      <c r="FF74" s="87"/>
      <c r="FG74" s="87"/>
      <c r="FH74" s="87"/>
      <c r="FI74" s="87"/>
      <c r="FJ74" s="87"/>
      <c r="FK74" s="87"/>
      <c r="FL74" s="87"/>
      <c r="FM74" s="87"/>
      <c r="FN74" s="87"/>
      <c r="FO74" s="87"/>
      <c r="FP74" s="87"/>
      <c r="FQ74" s="87"/>
      <c r="FR74" s="87"/>
      <c r="FS74" s="87"/>
      <c r="FT74" s="87"/>
      <c r="FU74" s="87"/>
      <c r="FV74" s="87"/>
      <c r="FW74" s="87"/>
      <c r="FX74" s="87"/>
      <c r="FY74" s="87"/>
      <c r="FZ74" s="87"/>
      <c r="GA74" s="87"/>
      <c r="GB74" s="87"/>
      <c r="GC74" s="87"/>
      <c r="GD74" s="87"/>
    </row>
    <row r="75">
      <c r="A75" s="72">
        <v>46280</v>
      </c>
      <c r="B75" s="94" t="s">
        <v>84</v>
      </c>
      <c r="C75" s="85" t="s">
        <v>104</v>
      </c>
      <c r="D75" s="75">
        <v>3</v>
      </c>
      <c r="E75" s="99">
        <v>4827.64</v>
      </c>
      <c r="F75" s="110">
        <v>8</v>
      </c>
      <c r="G75" s="106">
        <v>3</v>
      </c>
      <c r="H75" s="106">
        <v>5743.199999999997</v>
      </c>
      <c r="I75" s="99">
        <v>2</v>
      </c>
      <c r="J75" s="99">
        <v>2148.000000000001</v>
      </c>
      <c r="K75" s="103">
        <f t="shared" si="16"/>
      </c>
      <c r="L75" s="104">
        <v>3</v>
      </c>
      <c r="M75" s="105">
        <v>6</v>
      </c>
      <c r="N75" s="106">
        <v>2</v>
      </c>
      <c r="O75" s="77">
        <v>3</v>
      </c>
      <c r="P75" s="103">
        <f t="shared" si="47"/>
      </c>
      <c r="Q75" s="82">
        <f t="shared" si="0"/>
      </c>
      <c r="R75" s="83">
        <f t="shared" si="32"/>
      </c>
      <c r="S75" s="82">
        <f t="shared" si="1"/>
      </c>
      <c r="T75" s="94" t="s">
        <v>82</v>
      </c>
      <c r="U75" s="94">
        <v>8</v>
      </c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  <c r="BU75" s="94"/>
      <c r="BV75" s="94"/>
      <c r="BW75" s="94"/>
      <c r="BX75" s="94"/>
      <c r="BY75" s="94"/>
      <c r="BZ75" s="94"/>
      <c r="CA75" s="94"/>
      <c r="CB75" s="94"/>
      <c r="CC75" s="94"/>
      <c r="CD75" s="94"/>
      <c r="CE75" s="94"/>
      <c r="CF75" s="94"/>
      <c r="CG75" s="94"/>
      <c r="CH75" s="94"/>
      <c r="CI75" s="94"/>
      <c r="CJ75" s="94"/>
      <c r="CK75" s="94"/>
      <c r="CL75" s="94"/>
      <c r="CM75" s="94"/>
      <c r="CN75" s="94"/>
      <c r="CO75" s="94"/>
      <c r="CP75" s="94"/>
      <c r="CQ75" s="94"/>
      <c r="CR75" s="94"/>
      <c r="CS75" s="94"/>
      <c r="CT75" s="94"/>
      <c r="CU75" s="94"/>
      <c r="CV75" s="94"/>
      <c r="CW75" s="94"/>
      <c r="CX75" s="94"/>
      <c r="CY75" s="94"/>
      <c r="CZ75" s="94"/>
      <c r="DA75" s="94"/>
      <c r="DB75" s="94"/>
      <c r="DC75" s="94"/>
      <c r="DD75" s="94"/>
      <c r="DE75" s="94"/>
      <c r="DF75" s="94"/>
      <c r="DG75" s="94"/>
      <c r="DH75" s="94"/>
      <c r="DI75" s="94"/>
      <c r="DJ75" s="94"/>
      <c r="DK75" s="94"/>
      <c r="DL75" s="94"/>
      <c r="DM75" s="94"/>
      <c r="DN75" s="94"/>
      <c r="DO75" s="94"/>
      <c r="DP75" s="94"/>
      <c r="DQ75" s="94"/>
      <c r="DR75" s="94"/>
      <c r="DS75" s="94"/>
      <c r="DT75" s="94"/>
      <c r="DU75" s="94"/>
      <c r="DV75" s="94"/>
      <c r="DW75" s="94"/>
      <c r="DX75" s="94"/>
      <c r="DY75" s="94"/>
      <c r="DZ75" s="94"/>
      <c r="EA75" s="94"/>
      <c r="EB75" s="94"/>
      <c r="EC75" s="94"/>
      <c r="ED75" s="94"/>
      <c r="EE75" s="94"/>
      <c r="EF75" s="94"/>
      <c r="EG75" s="94"/>
      <c r="EH75" s="94"/>
      <c r="EI75" s="94"/>
      <c r="EJ75" s="94"/>
      <c r="EK75" s="94"/>
      <c r="EL75" s="94"/>
      <c r="EM75" s="94"/>
      <c r="EN75" s="94"/>
      <c r="EO75" s="94"/>
      <c r="EP75" s="94"/>
      <c r="EQ75" s="94"/>
      <c r="ER75" s="94"/>
      <c r="ES75" s="94"/>
      <c r="ET75" s="94"/>
      <c r="EU75" s="94"/>
      <c r="EV75" s="94"/>
      <c r="EW75" s="94"/>
      <c r="EX75" s="94"/>
      <c r="EY75" s="94"/>
      <c r="EZ75" s="94"/>
      <c r="FA75" s="94"/>
      <c r="FB75" s="94"/>
      <c r="FC75" s="94"/>
      <c r="FD75" s="94"/>
      <c r="FE75" s="94"/>
      <c r="FF75" s="94"/>
      <c r="FG75" s="94"/>
      <c r="FH75" s="94"/>
      <c r="FI75" s="94"/>
      <c r="FJ75" s="94"/>
      <c r="FK75" s="94"/>
      <c r="FL75" s="94"/>
      <c r="FM75" s="94"/>
      <c r="FN75" s="94"/>
      <c r="FO75" s="94"/>
      <c r="FP75" s="94"/>
      <c r="FQ75" s="94"/>
      <c r="FR75" s="94"/>
      <c r="FS75" s="94"/>
      <c r="FT75" s="94"/>
      <c r="FU75" s="94"/>
      <c r="FV75" s="94"/>
      <c r="FW75" s="94"/>
      <c r="FX75" s="94"/>
      <c r="FY75" s="94"/>
      <c r="FZ75" s="94"/>
      <c r="GA75" s="94"/>
      <c r="GB75" s="94"/>
      <c r="GC75" s="94"/>
      <c r="GD75" s="94"/>
    </row>
    <row r="76">
      <c r="A76" s="119">
        <v>46280</v>
      </c>
      <c r="B76" s="112" t="s">
        <v>83</v>
      </c>
      <c r="C76" s="113"/>
      <c r="D76" s="92">
        <f>SUM(D71:D75)</f>
      </c>
      <c r="E76" s="92">
        <f>SUM(E71:E75)</f>
      </c>
      <c r="F76" s="92">
        <f>SUM(F71:F75)</f>
      </c>
      <c r="G76" s="92">
        <f>SUM(G71:G75)</f>
      </c>
      <c r="H76" s="92">
        <f>SUM(H71:H75)</f>
      </c>
      <c r="I76" s="92">
        <f>SUM(I71:I75)</f>
      </c>
      <c r="J76" s="92">
        <f>SUM(J71:J75)</f>
      </c>
      <c r="K76" s="92">
        <f>SUM(K71:K75)</f>
      </c>
      <c r="L76" s="92">
        <f>SUM(L71:L75)</f>
      </c>
      <c r="M76" s="92">
        <f>SUM(M71:M75)</f>
      </c>
      <c r="N76" s="92">
        <f>SUM(N71:N75)</f>
      </c>
      <c r="O76" s="92">
        <f>SUM(O71:O75)</f>
      </c>
      <c r="P76" s="92">
        <f>SUM(P71:P75)</f>
      </c>
      <c r="Q76" s="93">
        <f t="shared" si="0"/>
      </c>
      <c r="R76" s="93">
        <f t="shared" si="32"/>
      </c>
      <c r="S76" s="93">
        <f t="shared" si="1"/>
      </c>
      <c r="T76" s="92"/>
      <c r="U76" s="92">
        <f>SUM(U71:U75)</f>
      </c>
      <c r="V76" s="92"/>
      <c r="W76" s="92">
        <f>SUM(W71:W75)</f>
      </c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2"/>
      <c r="FX76" s="92"/>
      <c r="FY76" s="92"/>
      <c r="FZ76" s="92"/>
      <c r="GA76" s="92"/>
      <c r="GB76" s="92"/>
      <c r="GC76" s="92"/>
      <c r="GD76" s="92"/>
    </row>
    <row r="77">
      <c r="A77" s="96">
        <v>46281</v>
      </c>
      <c r="B77" s="94" t="s">
        <v>73</v>
      </c>
      <c r="C77" s="97" t="s">
        <v>93</v>
      </c>
      <c r="D77" s="98">
        <v>4</v>
      </c>
      <c r="E77" s="99">
        <v>6624.400000000001</v>
      </c>
      <c r="F77" s="98">
        <v>18</v>
      </c>
      <c r="G77" s="106">
        <v>15</v>
      </c>
      <c r="H77" s="106">
        <v>26655.600000000006</v>
      </c>
      <c r="I77" s="99">
        <v>0</v>
      </c>
      <c r="J77" s="99">
        <v>0</v>
      </c>
      <c r="K77" s="103">
        <f t="shared" ref="K77:K81" si="17">G77+I77</f>
      </c>
      <c r="L77" s="104">
        <v>8</v>
      </c>
      <c r="M77" s="105">
        <v>10</v>
      </c>
      <c r="N77" s="106">
        <v>2</v>
      </c>
      <c r="O77" s="106">
        <v>11</v>
      </c>
      <c r="P77" s="103">
        <f t="shared" ref="P77:P81" si="48">J77+H77</f>
      </c>
      <c r="Q77" s="82">
        <f t="shared" si="0"/>
      </c>
      <c r="R77" s="83">
        <f t="shared" si="32"/>
      </c>
      <c r="S77" s="82">
        <f t="shared" si="1"/>
      </c>
      <c r="T77" s="94" t="s">
        <v>89</v>
      </c>
      <c r="U77" s="94">
        <v>8</v>
      </c>
      <c r="V77" s="94" t="s">
        <v>76</v>
      </c>
      <c r="W77" s="94">
        <v>16</v>
      </c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4"/>
      <c r="BY77" s="94"/>
      <c r="BZ77" s="94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  <c r="CN77" s="94"/>
      <c r="CO77" s="94"/>
      <c r="CP77" s="94"/>
      <c r="CQ77" s="94"/>
      <c r="CR77" s="94"/>
      <c r="CS77" s="94"/>
      <c r="CT77" s="94"/>
      <c r="CU77" s="94"/>
      <c r="CV77" s="94"/>
      <c r="CW77" s="94"/>
      <c r="CX77" s="94"/>
      <c r="CY77" s="94"/>
      <c r="CZ77" s="94"/>
      <c r="DA77" s="94"/>
      <c r="DB77" s="94"/>
      <c r="DC77" s="94"/>
      <c r="DD77" s="94"/>
      <c r="DE77" s="94"/>
      <c r="DF77" s="94"/>
      <c r="DG77" s="94"/>
      <c r="DH77" s="94"/>
      <c r="DI77" s="94"/>
      <c r="DJ77" s="94"/>
      <c r="DK77" s="94"/>
      <c r="DL77" s="94"/>
      <c r="DM77" s="94"/>
      <c r="DN77" s="94"/>
      <c r="DO77" s="94"/>
      <c r="DP77" s="94"/>
      <c r="DQ77" s="94"/>
      <c r="DR77" s="94"/>
      <c r="DS77" s="94"/>
      <c r="DT77" s="94"/>
      <c r="DU77" s="94"/>
      <c r="DV77" s="94"/>
      <c r="DW77" s="94"/>
      <c r="DX77" s="94"/>
      <c r="DY77" s="94"/>
      <c r="DZ77" s="94"/>
      <c r="EA77" s="94"/>
      <c r="EB77" s="94"/>
      <c r="EC77" s="94"/>
      <c r="ED77" s="94"/>
      <c r="EE77" s="94"/>
      <c r="EF77" s="94"/>
      <c r="EG77" s="94"/>
      <c r="EH77" s="94"/>
      <c r="EI77" s="94"/>
      <c r="EJ77" s="94"/>
      <c r="EK77" s="94"/>
      <c r="EL77" s="94"/>
      <c r="EM77" s="94"/>
      <c r="EN77" s="94"/>
      <c r="EO77" s="94"/>
      <c r="EP77" s="94"/>
      <c r="EQ77" s="94"/>
      <c r="ER77" s="94"/>
      <c r="ES77" s="94"/>
      <c r="ET77" s="94"/>
      <c r="EU77" s="94"/>
      <c r="EV77" s="94"/>
      <c r="EW77" s="94"/>
      <c r="EX77" s="94"/>
      <c r="EY77" s="94"/>
      <c r="EZ77" s="94"/>
      <c r="FA77" s="94"/>
      <c r="FB77" s="94"/>
      <c r="FC77" s="94"/>
      <c r="FD77" s="94"/>
      <c r="FE77" s="94"/>
      <c r="FF77" s="94"/>
      <c r="FG77" s="94"/>
      <c r="FH77" s="94"/>
      <c r="FI77" s="94"/>
      <c r="FJ77" s="94"/>
      <c r="FK77" s="94"/>
      <c r="FL77" s="94"/>
      <c r="FM77" s="94"/>
      <c r="FN77" s="94"/>
      <c r="FO77" s="94"/>
      <c r="FP77" s="94"/>
      <c r="FQ77" s="94"/>
      <c r="FR77" s="94"/>
      <c r="FS77" s="94"/>
      <c r="FT77" s="94"/>
      <c r="FU77" s="94"/>
      <c r="FV77" s="94"/>
      <c r="FW77" s="94"/>
      <c r="FX77" s="94"/>
      <c r="FY77" s="94"/>
      <c r="FZ77" s="94"/>
      <c r="GA77" s="94"/>
      <c r="GB77" s="94"/>
      <c r="GC77" s="94"/>
      <c r="GD77" s="94"/>
    </row>
    <row r="78">
      <c r="A78" s="96">
        <v>46281</v>
      </c>
      <c r="B78" s="94" t="s">
        <v>84</v>
      </c>
      <c r="C78" s="107" t="s">
        <v>100</v>
      </c>
      <c r="D78" s="98">
        <v>3</v>
      </c>
      <c r="E78" s="99">
        <v>8540.220000000001</v>
      </c>
      <c r="F78" s="108">
        <v>9</v>
      </c>
      <c r="G78" s="106">
        <v>5</v>
      </c>
      <c r="H78" s="106">
        <v>9173.599999999999</v>
      </c>
      <c r="I78" s="99">
        <v>3</v>
      </c>
      <c r="J78" s="99">
        <v>1008</v>
      </c>
      <c r="K78" s="103">
        <f t="shared" si="17"/>
      </c>
      <c r="L78" s="104">
        <v>8</v>
      </c>
      <c r="M78" s="105">
        <v>10</v>
      </c>
      <c r="N78" s="106">
        <v>0</v>
      </c>
      <c r="O78" s="106">
        <v>2</v>
      </c>
      <c r="P78" s="103">
        <f t="shared" si="48"/>
      </c>
      <c r="Q78" s="82">
        <f t="shared" si="0"/>
      </c>
      <c r="R78" s="83">
        <f t="shared" si="32"/>
      </c>
      <c r="S78" s="82">
        <f t="shared" si="1"/>
      </c>
      <c r="T78" s="94"/>
      <c r="U78" s="94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  <c r="EJ78" s="87"/>
      <c r="EK78" s="87"/>
      <c r="EL78" s="87"/>
      <c r="EM78" s="87"/>
      <c r="EN78" s="87"/>
      <c r="EO78" s="87"/>
      <c r="EP78" s="87"/>
      <c r="EQ78" s="87"/>
      <c r="ER78" s="87"/>
      <c r="ES78" s="87"/>
      <c r="ET78" s="87"/>
      <c r="EU78" s="87"/>
      <c r="EV78" s="87"/>
      <c r="EW78" s="87"/>
      <c r="EX78" s="87"/>
      <c r="EY78" s="87"/>
      <c r="EZ78" s="87"/>
      <c r="FA78" s="87"/>
      <c r="FB78" s="87"/>
      <c r="FC78" s="87"/>
      <c r="FD78" s="87"/>
      <c r="FE78" s="87"/>
      <c r="FF78" s="87"/>
      <c r="FG78" s="87"/>
      <c r="FH78" s="87"/>
      <c r="FI78" s="87"/>
      <c r="FJ78" s="87"/>
      <c r="FK78" s="87"/>
      <c r="FL78" s="87"/>
      <c r="FM78" s="87"/>
      <c r="FN78" s="87"/>
      <c r="FO78" s="87"/>
      <c r="FP78" s="87"/>
      <c r="FQ78" s="87"/>
      <c r="FR78" s="87"/>
      <c r="FS78" s="87"/>
      <c r="FT78" s="87"/>
      <c r="FU78" s="87"/>
      <c r="FV78" s="87"/>
      <c r="FW78" s="87"/>
      <c r="FX78" s="87"/>
      <c r="FY78" s="87"/>
      <c r="FZ78" s="87"/>
      <c r="GA78" s="87"/>
      <c r="GB78" s="87"/>
      <c r="GC78" s="87"/>
      <c r="GD78" s="87"/>
    </row>
    <row r="79">
      <c r="A79" s="96">
        <v>46281</v>
      </c>
      <c r="B79" s="94" t="s">
        <v>80</v>
      </c>
      <c r="C79" s="107" t="s">
        <v>101</v>
      </c>
      <c r="D79" s="98">
        <v>2</v>
      </c>
      <c r="E79" s="99">
        <v>6566.469999999999</v>
      </c>
      <c r="F79" s="108">
        <v>12</v>
      </c>
      <c r="G79" s="106">
        <v>9</v>
      </c>
      <c r="H79" s="106">
        <v>12136.299999999996</v>
      </c>
      <c r="I79" s="99">
        <v>3</v>
      </c>
      <c r="J79" s="99">
        <v>1899.6000000000004</v>
      </c>
      <c r="K79" s="103">
        <f t="shared" si="17"/>
      </c>
      <c r="L79" s="104">
        <v>5</v>
      </c>
      <c r="M79" s="105">
        <v>5</v>
      </c>
      <c r="N79" s="106">
        <v>2</v>
      </c>
      <c r="O79" s="106">
        <v>6</v>
      </c>
      <c r="P79" s="103">
        <f t="shared" si="48"/>
      </c>
      <c r="Q79" s="82">
        <f t="shared" si="0"/>
      </c>
      <c r="R79" s="83">
        <f t="shared" si="32"/>
      </c>
      <c r="S79" s="82">
        <f t="shared" si="1"/>
      </c>
      <c r="T79" s="94"/>
      <c r="U79" s="94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  <c r="DK79" s="87"/>
      <c r="DL79" s="87"/>
      <c r="DM79" s="87"/>
      <c r="DN79" s="87"/>
      <c r="DO79" s="87"/>
      <c r="DP79" s="87"/>
      <c r="DQ79" s="87"/>
      <c r="DR79" s="87"/>
      <c r="DS79" s="87"/>
      <c r="DT79" s="87"/>
      <c r="DU79" s="87"/>
      <c r="DV79" s="87"/>
      <c r="DW79" s="87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  <c r="EJ79" s="87"/>
      <c r="EK79" s="87"/>
      <c r="EL79" s="87"/>
      <c r="EM79" s="87"/>
      <c r="EN79" s="87"/>
      <c r="EO79" s="87"/>
      <c r="EP79" s="87"/>
      <c r="EQ79" s="87"/>
      <c r="ER79" s="87"/>
      <c r="ES79" s="87"/>
      <c r="ET79" s="87"/>
      <c r="EU79" s="87"/>
      <c r="EV79" s="87"/>
      <c r="EW79" s="87"/>
      <c r="EX79" s="87"/>
      <c r="EY79" s="87"/>
      <c r="EZ79" s="87"/>
      <c r="FA79" s="87"/>
      <c r="FB79" s="87"/>
      <c r="FC79" s="87"/>
      <c r="FD79" s="87"/>
      <c r="FE79" s="87"/>
      <c r="FF79" s="87"/>
      <c r="FG79" s="87"/>
      <c r="FH79" s="87"/>
      <c r="FI79" s="87"/>
      <c r="FJ79" s="87"/>
      <c r="FK79" s="87"/>
      <c r="FL79" s="87"/>
      <c r="FM79" s="87"/>
      <c r="FN79" s="87"/>
      <c r="FO79" s="87"/>
      <c r="FP79" s="87"/>
      <c r="FQ79" s="87"/>
      <c r="FR79" s="87"/>
      <c r="FS79" s="87"/>
      <c r="FT79" s="87"/>
      <c r="FU79" s="87"/>
      <c r="FV79" s="87"/>
      <c r="FW79" s="87"/>
      <c r="FX79" s="87"/>
      <c r="FY79" s="87"/>
      <c r="FZ79" s="87"/>
      <c r="GA79" s="87"/>
      <c r="GB79" s="87"/>
      <c r="GC79" s="87"/>
      <c r="GD79" s="87"/>
    </row>
    <row r="80">
      <c r="A80" s="96">
        <v>46281</v>
      </c>
      <c r="B80" s="94" t="s">
        <v>77</v>
      </c>
      <c r="C80" s="107" t="s">
        <v>87</v>
      </c>
      <c r="D80" s="98">
        <v>3</v>
      </c>
      <c r="E80" s="99">
        <v>7055.4400000000005</v>
      </c>
      <c r="F80" s="114">
        <v>6</v>
      </c>
      <c r="G80" s="106">
        <v>4</v>
      </c>
      <c r="H80" s="106">
        <v>4328.4000000000015</v>
      </c>
      <c r="I80" s="99">
        <v>0</v>
      </c>
      <c r="J80" s="99">
        <v>0</v>
      </c>
      <c r="K80" s="103">
        <f t="shared" si="17"/>
      </c>
      <c r="L80" s="104">
        <v>6</v>
      </c>
      <c r="M80" s="105">
        <v>8</v>
      </c>
      <c r="N80" s="106">
        <v>0</v>
      </c>
      <c r="O80" s="106">
        <v>1</v>
      </c>
      <c r="P80" s="103">
        <f t="shared" si="48"/>
      </c>
      <c r="Q80" s="82">
        <f t="shared" si="0"/>
      </c>
      <c r="R80" s="83">
        <f t="shared" si="32"/>
      </c>
      <c r="S80" s="82">
        <f t="shared" si="1"/>
      </c>
      <c r="T80" s="94"/>
      <c r="U80" s="94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  <c r="DK80" s="87"/>
      <c r="DL80" s="87"/>
      <c r="DM80" s="87"/>
      <c r="DN80" s="87"/>
      <c r="DO80" s="87"/>
      <c r="DP80" s="87"/>
      <c r="DQ80" s="87"/>
      <c r="DR80" s="87"/>
      <c r="DS80" s="87"/>
      <c r="DT80" s="87"/>
      <c r="DU80" s="87"/>
      <c r="DV80" s="87"/>
      <c r="DW80" s="87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  <c r="EJ80" s="87"/>
      <c r="EK80" s="87"/>
      <c r="EL80" s="87"/>
      <c r="EM80" s="87"/>
      <c r="EN80" s="87"/>
      <c r="EO80" s="87"/>
      <c r="EP80" s="87"/>
      <c r="EQ80" s="87"/>
      <c r="ER80" s="87"/>
      <c r="ES80" s="87"/>
      <c r="ET80" s="87"/>
      <c r="EU80" s="87"/>
      <c r="EV80" s="87"/>
      <c r="EW80" s="87"/>
      <c r="EX80" s="87"/>
      <c r="EY80" s="87"/>
      <c r="EZ80" s="87"/>
      <c r="FA80" s="87"/>
      <c r="FB80" s="87"/>
      <c r="FC80" s="87"/>
      <c r="FD80" s="87"/>
      <c r="FE80" s="87"/>
      <c r="FF80" s="87"/>
      <c r="FG80" s="87"/>
      <c r="FH80" s="87"/>
      <c r="FI80" s="87"/>
      <c r="FJ80" s="87"/>
      <c r="FK80" s="87"/>
      <c r="FL80" s="87"/>
      <c r="FM80" s="87"/>
      <c r="FN80" s="87"/>
      <c r="FO80" s="87"/>
      <c r="FP80" s="87"/>
      <c r="FQ80" s="87"/>
      <c r="FR80" s="87"/>
      <c r="FS80" s="87"/>
      <c r="FT80" s="87"/>
      <c r="FU80" s="87"/>
      <c r="FV80" s="87"/>
      <c r="FW80" s="87"/>
      <c r="FX80" s="87"/>
      <c r="FY80" s="87"/>
      <c r="FZ80" s="87"/>
      <c r="GA80" s="87"/>
      <c r="GB80" s="87"/>
      <c r="GC80" s="87"/>
      <c r="GD80" s="87"/>
    </row>
    <row r="81">
      <c r="A81" s="96">
        <v>46281</v>
      </c>
      <c r="B81" s="94" t="s">
        <v>90</v>
      </c>
      <c r="C81" s="107" t="s">
        <v>88</v>
      </c>
      <c r="D81" s="98">
        <v>4</v>
      </c>
      <c r="E81" s="99">
        <v>9324.81</v>
      </c>
      <c r="F81" s="110">
        <v>12</v>
      </c>
      <c r="G81" s="106">
        <v>9</v>
      </c>
      <c r="H81" s="106">
        <v>13741.799999999996</v>
      </c>
      <c r="I81" s="99">
        <v>1</v>
      </c>
      <c r="J81" s="99">
        <v>372</v>
      </c>
      <c r="K81" s="103">
        <f t="shared" si="17"/>
      </c>
      <c r="L81" s="104">
        <v>10</v>
      </c>
      <c r="M81" s="105">
        <v>12</v>
      </c>
      <c r="N81" s="106">
        <v>0</v>
      </c>
      <c r="O81" s="106">
        <v>3</v>
      </c>
      <c r="P81" s="103">
        <f t="shared" si="48"/>
      </c>
      <c r="Q81" s="82">
        <f t="shared" si="0"/>
      </c>
      <c r="R81" s="83">
        <f t="shared" si="32"/>
      </c>
      <c r="S81" s="82">
        <f t="shared" si="1"/>
      </c>
      <c r="T81" s="94" t="s">
        <v>82</v>
      </c>
      <c r="U81" s="94">
        <v>8</v>
      </c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  <c r="BW81" s="94"/>
      <c r="BX81" s="94"/>
      <c r="BY81" s="94"/>
      <c r="BZ81" s="94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  <c r="CN81" s="94"/>
      <c r="CO81" s="94"/>
      <c r="CP81" s="94"/>
      <c r="CQ81" s="94"/>
      <c r="CR81" s="94"/>
      <c r="CS81" s="94"/>
      <c r="CT81" s="94"/>
      <c r="CU81" s="94"/>
      <c r="CV81" s="94"/>
      <c r="CW81" s="94"/>
      <c r="CX81" s="94"/>
      <c r="CY81" s="94"/>
      <c r="CZ81" s="94"/>
      <c r="DA81" s="94"/>
      <c r="DB81" s="94"/>
      <c r="DC81" s="94"/>
      <c r="DD81" s="94"/>
      <c r="DE81" s="94"/>
      <c r="DF81" s="94"/>
      <c r="DG81" s="94"/>
      <c r="DH81" s="94"/>
      <c r="DI81" s="94"/>
      <c r="DJ81" s="94"/>
      <c r="DK81" s="94"/>
      <c r="DL81" s="94"/>
      <c r="DM81" s="94"/>
      <c r="DN81" s="94"/>
      <c r="DO81" s="94"/>
      <c r="DP81" s="94"/>
      <c r="DQ81" s="94"/>
      <c r="DR81" s="94"/>
      <c r="DS81" s="94"/>
      <c r="DT81" s="94"/>
      <c r="DU81" s="94"/>
      <c r="DV81" s="94"/>
      <c r="DW81" s="94"/>
      <c r="DX81" s="94"/>
      <c r="DY81" s="94"/>
      <c r="DZ81" s="94"/>
      <c r="EA81" s="94"/>
      <c r="EB81" s="94"/>
      <c r="EC81" s="94"/>
      <c r="ED81" s="94"/>
      <c r="EE81" s="94"/>
      <c r="EF81" s="94"/>
      <c r="EG81" s="94"/>
      <c r="EH81" s="94"/>
      <c r="EI81" s="94"/>
      <c r="EJ81" s="94"/>
      <c r="EK81" s="94"/>
      <c r="EL81" s="94"/>
      <c r="EM81" s="94"/>
      <c r="EN81" s="94"/>
      <c r="EO81" s="94"/>
      <c r="EP81" s="94"/>
      <c r="EQ81" s="94"/>
      <c r="ER81" s="94"/>
      <c r="ES81" s="94"/>
      <c r="ET81" s="94"/>
      <c r="EU81" s="94"/>
      <c r="EV81" s="94"/>
      <c r="EW81" s="94"/>
      <c r="EX81" s="94"/>
      <c r="EY81" s="94"/>
      <c r="EZ81" s="94"/>
      <c r="FA81" s="94"/>
      <c r="FB81" s="94"/>
      <c r="FC81" s="94"/>
      <c r="FD81" s="94"/>
      <c r="FE81" s="94"/>
      <c r="FF81" s="94"/>
      <c r="FG81" s="94"/>
      <c r="FH81" s="94"/>
      <c r="FI81" s="94"/>
      <c r="FJ81" s="94"/>
      <c r="FK81" s="94"/>
      <c r="FL81" s="94"/>
      <c r="FM81" s="94"/>
      <c r="FN81" s="94"/>
      <c r="FO81" s="94"/>
      <c r="FP81" s="94"/>
      <c r="FQ81" s="94"/>
      <c r="FR81" s="94"/>
      <c r="FS81" s="94"/>
      <c r="FT81" s="94"/>
      <c r="FU81" s="94"/>
      <c r="FV81" s="94"/>
      <c r="FW81" s="94"/>
      <c r="FX81" s="94"/>
      <c r="FY81" s="94"/>
      <c r="FZ81" s="94"/>
      <c r="GA81" s="94"/>
      <c r="GB81" s="94"/>
      <c r="GC81" s="94"/>
      <c r="GD81" s="94"/>
    </row>
    <row r="82">
      <c r="A82" s="111">
        <v>46281</v>
      </c>
      <c r="B82" s="112" t="s">
        <v>83</v>
      </c>
      <c r="C82" s="113"/>
      <c r="D82" s="92">
        <f>SUM(D77:D81)</f>
      </c>
      <c r="E82" s="92">
        <f>SUM(E77:E81)</f>
      </c>
      <c r="F82" s="92">
        <f>SUM(F77:F81)</f>
      </c>
      <c r="G82" s="92">
        <f>SUM(G77:G81)</f>
      </c>
      <c r="H82" s="92">
        <f>SUM(H77:H81)</f>
      </c>
      <c r="I82" s="92">
        <f>SUM(I77:I81)</f>
      </c>
      <c r="J82" s="92">
        <f>SUM(J77:J81)</f>
      </c>
      <c r="K82" s="92">
        <f>SUM(K77:K81)</f>
      </c>
      <c r="L82" s="92">
        <f>SUM(L77:L81)</f>
      </c>
      <c r="M82" s="92">
        <f>SUM(M77:M81)</f>
      </c>
      <c r="N82" s="92">
        <f>SUM(N77:N81)</f>
      </c>
      <c r="O82" s="92">
        <f>SUM(O77:O81)</f>
      </c>
      <c r="P82" s="92">
        <f>SUM(P77:P81)</f>
      </c>
      <c r="Q82" s="93">
        <f t="shared" si="0"/>
      </c>
      <c r="R82" s="93">
        <f t="shared" si="32"/>
      </c>
      <c r="S82" s="93">
        <f t="shared" si="1"/>
      </c>
      <c r="T82" s="92"/>
      <c r="U82" s="92">
        <f>SUM(U77:U81)</f>
      </c>
      <c r="V82" s="92"/>
      <c r="W82" s="92">
        <f>SUM(W77:W81)</f>
      </c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  <c r="CA82" s="92"/>
      <c r="CB82" s="92"/>
      <c r="CC82" s="92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  <c r="CV82" s="92"/>
      <c r="CW82" s="92"/>
      <c r="CX82" s="92"/>
      <c r="CY82" s="92"/>
      <c r="CZ82" s="92"/>
      <c r="DA82" s="92"/>
      <c r="DB82" s="92"/>
      <c r="DC82" s="92"/>
      <c r="DD82" s="92"/>
      <c r="DE82" s="92"/>
      <c r="DF82" s="92"/>
      <c r="DG82" s="92"/>
      <c r="DH82" s="92"/>
      <c r="DI82" s="92"/>
      <c r="DJ82" s="92"/>
      <c r="DK82" s="92"/>
      <c r="DL82" s="92"/>
      <c r="DM82" s="92"/>
      <c r="DN82" s="92"/>
      <c r="DO82" s="92"/>
      <c r="DP82" s="92"/>
      <c r="DQ82" s="92"/>
      <c r="DR82" s="92"/>
      <c r="DS82" s="92"/>
      <c r="DT82" s="92"/>
      <c r="DU82" s="92"/>
      <c r="DV82" s="92"/>
      <c r="DW82" s="92"/>
      <c r="DX82" s="92"/>
      <c r="DY82" s="92"/>
      <c r="DZ82" s="92"/>
      <c r="EA82" s="92"/>
      <c r="EB82" s="92"/>
      <c r="EC82" s="92"/>
      <c r="ED82" s="92"/>
      <c r="EE82" s="92"/>
      <c r="EF82" s="92"/>
      <c r="EG82" s="92"/>
      <c r="EH82" s="92"/>
      <c r="EI82" s="92"/>
      <c r="EJ82" s="92"/>
      <c r="EK82" s="92"/>
      <c r="EL82" s="92"/>
      <c r="EM82" s="92"/>
      <c r="EN82" s="92"/>
      <c r="EO82" s="92"/>
      <c r="EP82" s="92"/>
      <c r="EQ82" s="92"/>
      <c r="ER82" s="92"/>
      <c r="ES82" s="92"/>
      <c r="ET82" s="92"/>
      <c r="EU82" s="92"/>
      <c r="EV82" s="92"/>
      <c r="EW82" s="92"/>
      <c r="EX82" s="92"/>
      <c r="EY82" s="92"/>
      <c r="EZ82" s="92"/>
      <c r="FA82" s="92"/>
      <c r="FB82" s="92"/>
      <c r="FC82" s="92"/>
      <c r="FD82" s="92"/>
      <c r="FE82" s="92"/>
      <c r="FF82" s="92"/>
      <c r="FG82" s="92"/>
      <c r="FH82" s="92"/>
      <c r="FI82" s="92"/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2"/>
      <c r="FV82" s="92"/>
      <c r="FW82" s="92"/>
      <c r="FX82" s="92"/>
      <c r="FY82" s="92"/>
      <c r="FZ82" s="92"/>
      <c r="GA82" s="92"/>
      <c r="GB82" s="92"/>
      <c r="GC82" s="92"/>
      <c r="GD82" s="92"/>
    </row>
    <row r="83">
      <c r="A83" s="96">
        <v>46282</v>
      </c>
      <c r="B83" s="94" t="s">
        <v>73</v>
      </c>
      <c r="C83" s="97" t="s">
        <v>93</v>
      </c>
      <c r="D83" s="98">
        <v>4</v>
      </c>
      <c r="E83" s="99">
        <v>9536.48</v>
      </c>
      <c r="F83" s="98">
        <v>22</v>
      </c>
      <c r="G83" s="106">
        <v>21</v>
      </c>
      <c r="H83" s="106">
        <v>35462.4</v>
      </c>
      <c r="I83" s="99">
        <v>0</v>
      </c>
      <c r="J83" s="99">
        <v>0</v>
      </c>
      <c r="K83" s="103">
        <f t="shared" ref="K83:K86" si="18">G83+I83</f>
      </c>
      <c r="L83" s="104">
        <v>10</v>
      </c>
      <c r="M83" s="105">
        <v>11</v>
      </c>
      <c r="N83" s="106">
        <v>3</v>
      </c>
      <c r="O83" s="106">
        <v>13</v>
      </c>
      <c r="P83" s="103">
        <f t="shared" ref="P83:P86" si="49">J83+H83</f>
      </c>
      <c r="Q83" s="82">
        <f t="shared" si="0"/>
      </c>
      <c r="R83" s="83">
        <f t="shared" si="32"/>
      </c>
      <c r="S83" s="82">
        <f t="shared" si="1"/>
      </c>
      <c r="T83" s="94" t="s">
        <v>89</v>
      </c>
      <c r="U83" s="94">
        <v>8</v>
      </c>
      <c r="V83" s="94" t="s">
        <v>76</v>
      </c>
      <c r="W83" s="94">
        <v>16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94"/>
      <c r="BS83" s="94"/>
      <c r="BT83" s="94"/>
      <c r="BU83" s="94"/>
      <c r="BV83" s="94"/>
      <c r="BW83" s="94"/>
      <c r="BX83" s="94"/>
      <c r="BY83" s="94"/>
      <c r="BZ83" s="94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  <c r="CN83" s="94"/>
      <c r="CO83" s="94"/>
      <c r="CP83" s="94"/>
      <c r="CQ83" s="94"/>
      <c r="CR83" s="94"/>
      <c r="CS83" s="94"/>
      <c r="CT83" s="94"/>
      <c r="CU83" s="94"/>
      <c r="CV83" s="94"/>
      <c r="CW83" s="94"/>
      <c r="CX83" s="94"/>
      <c r="CY83" s="94"/>
      <c r="CZ83" s="94"/>
      <c r="DA83" s="94"/>
      <c r="DB83" s="94"/>
      <c r="DC83" s="94"/>
      <c r="DD83" s="94"/>
      <c r="DE83" s="94"/>
      <c r="DF83" s="94"/>
      <c r="DG83" s="94"/>
      <c r="DH83" s="94"/>
      <c r="DI83" s="94"/>
      <c r="DJ83" s="94"/>
      <c r="DK83" s="94"/>
      <c r="DL83" s="94"/>
      <c r="DM83" s="94"/>
      <c r="DN83" s="94"/>
      <c r="DO83" s="94"/>
      <c r="DP83" s="94"/>
      <c r="DQ83" s="94"/>
      <c r="DR83" s="94"/>
      <c r="DS83" s="94"/>
      <c r="DT83" s="94"/>
      <c r="DU83" s="94"/>
      <c r="DV83" s="94"/>
      <c r="DW83" s="94"/>
      <c r="DX83" s="94"/>
      <c r="DY83" s="94"/>
      <c r="DZ83" s="94"/>
      <c r="EA83" s="94"/>
      <c r="EB83" s="94"/>
      <c r="EC83" s="94"/>
      <c r="ED83" s="94"/>
      <c r="EE83" s="94"/>
      <c r="EF83" s="94"/>
      <c r="EG83" s="94"/>
      <c r="EH83" s="94"/>
      <c r="EI83" s="94"/>
      <c r="EJ83" s="94"/>
      <c r="EK83" s="94"/>
      <c r="EL83" s="94"/>
      <c r="EM83" s="94"/>
      <c r="EN83" s="94"/>
      <c r="EO83" s="94"/>
      <c r="EP83" s="94"/>
      <c r="EQ83" s="94"/>
      <c r="ER83" s="94"/>
      <c r="ES83" s="94"/>
      <c r="ET83" s="94"/>
      <c r="EU83" s="94"/>
      <c r="EV83" s="94"/>
      <c r="EW83" s="94"/>
      <c r="EX83" s="94"/>
      <c r="EY83" s="94"/>
      <c r="EZ83" s="94"/>
      <c r="FA83" s="94"/>
      <c r="FB83" s="94"/>
      <c r="FC83" s="94"/>
      <c r="FD83" s="94"/>
      <c r="FE83" s="94"/>
      <c r="FF83" s="94"/>
      <c r="FG83" s="94"/>
      <c r="FH83" s="94"/>
      <c r="FI83" s="94"/>
      <c r="FJ83" s="94"/>
      <c r="FK83" s="94"/>
      <c r="FL83" s="94"/>
      <c r="FM83" s="94"/>
      <c r="FN83" s="94"/>
      <c r="FO83" s="94"/>
      <c r="FP83" s="94"/>
      <c r="FQ83" s="94"/>
      <c r="FR83" s="94"/>
      <c r="FS83" s="94"/>
      <c r="FT83" s="94"/>
      <c r="FU83" s="94"/>
      <c r="FV83" s="94"/>
      <c r="FW83" s="94"/>
      <c r="FX83" s="94"/>
      <c r="FY83" s="94"/>
      <c r="FZ83" s="94"/>
      <c r="GA83" s="94"/>
      <c r="GB83" s="94"/>
      <c r="GC83" s="94"/>
      <c r="GD83" s="94"/>
    </row>
    <row r="84">
      <c r="A84" s="96">
        <v>46282</v>
      </c>
      <c r="B84" s="94" t="s">
        <v>80</v>
      </c>
      <c r="C84" s="107" t="s">
        <v>94</v>
      </c>
      <c r="D84" s="98">
        <v>4</v>
      </c>
      <c r="E84" s="99">
        <v>12317.07</v>
      </c>
      <c r="F84" s="108">
        <v>14</v>
      </c>
      <c r="G84" s="106">
        <v>9</v>
      </c>
      <c r="H84" s="106">
        <v>10841.199999999997</v>
      </c>
      <c r="I84" s="99">
        <v>0</v>
      </c>
      <c r="J84" s="99">
        <v>0</v>
      </c>
      <c r="K84" s="103">
        <f t="shared" si="18"/>
      </c>
      <c r="L84" s="104">
        <v>9</v>
      </c>
      <c r="M84" s="105">
        <v>14</v>
      </c>
      <c r="N84" s="106">
        <v>0</v>
      </c>
      <c r="O84" s="106">
        <v>4</v>
      </c>
      <c r="P84" s="103">
        <f t="shared" si="49"/>
      </c>
      <c r="Q84" s="82">
        <f t="shared" si="0"/>
      </c>
      <c r="R84" s="83">
        <f t="shared" si="32"/>
      </c>
      <c r="S84" s="82">
        <f t="shared" si="1"/>
      </c>
      <c r="T84" s="94"/>
      <c r="U84" s="94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  <c r="EJ84" s="87"/>
      <c r="EK84" s="87"/>
      <c r="EL84" s="87"/>
      <c r="EM84" s="87"/>
      <c r="EN84" s="87"/>
      <c r="EO84" s="87"/>
      <c r="EP84" s="87"/>
      <c r="EQ84" s="87"/>
      <c r="ER84" s="87"/>
      <c r="ES84" s="87"/>
      <c r="ET84" s="87"/>
      <c r="EU84" s="87"/>
      <c r="EV84" s="87"/>
      <c r="EW84" s="87"/>
      <c r="EX84" s="87"/>
      <c r="EY84" s="87"/>
      <c r="EZ84" s="87"/>
      <c r="FA84" s="87"/>
      <c r="FB84" s="87"/>
      <c r="FC84" s="87"/>
      <c r="FD84" s="87"/>
      <c r="FE84" s="87"/>
      <c r="FF84" s="87"/>
      <c r="FG84" s="87"/>
      <c r="FH84" s="87"/>
      <c r="FI84" s="87"/>
      <c r="FJ84" s="87"/>
      <c r="FK84" s="87"/>
      <c r="FL84" s="87"/>
      <c r="FM84" s="87"/>
      <c r="FN84" s="87"/>
      <c r="FO84" s="87"/>
      <c r="FP84" s="87"/>
      <c r="FQ84" s="87"/>
      <c r="FR84" s="87"/>
      <c r="FS84" s="87"/>
      <c r="FT84" s="87"/>
      <c r="FU84" s="87"/>
      <c r="FV84" s="87"/>
      <c r="FW84" s="87"/>
      <c r="FX84" s="87"/>
      <c r="FY84" s="87"/>
      <c r="FZ84" s="87"/>
      <c r="GA84" s="87"/>
      <c r="GB84" s="87"/>
      <c r="GC84" s="87"/>
      <c r="GD84" s="87"/>
    </row>
    <row r="85">
      <c r="A85" s="96">
        <v>46282</v>
      </c>
      <c r="B85" s="94" t="s">
        <v>84</v>
      </c>
      <c r="C85" s="107" t="s">
        <v>95</v>
      </c>
      <c r="D85" s="98">
        <v>4</v>
      </c>
      <c r="E85" s="99">
        <v>8999.73</v>
      </c>
      <c r="F85" s="114">
        <v>5</v>
      </c>
      <c r="G85" s="106">
        <v>2</v>
      </c>
      <c r="H85" s="106">
        <v>3614.4000000000015</v>
      </c>
      <c r="I85" s="99">
        <v>1</v>
      </c>
      <c r="J85" s="99">
        <v>504</v>
      </c>
      <c r="K85" s="103">
        <f t="shared" si="18"/>
      </c>
      <c r="L85" s="104">
        <v>3</v>
      </c>
      <c r="M85" s="105">
        <v>5</v>
      </c>
      <c r="N85" s="106">
        <v>0</v>
      </c>
      <c r="O85" s="106">
        <v>0</v>
      </c>
      <c r="P85" s="103">
        <f t="shared" si="49"/>
      </c>
      <c r="Q85" s="82">
        <f t="shared" si="0"/>
      </c>
      <c r="R85" s="83">
        <f t="shared" si="32"/>
      </c>
      <c r="S85" s="82">
        <f t="shared" si="1"/>
      </c>
      <c r="T85" s="94"/>
      <c r="U85" s="94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  <c r="DK85" s="87"/>
      <c r="DL85" s="87"/>
      <c r="DM85" s="87"/>
      <c r="DN85" s="87"/>
      <c r="DO85" s="87"/>
      <c r="DP85" s="87"/>
      <c r="DQ85" s="87"/>
      <c r="DR85" s="87"/>
      <c r="DS85" s="87"/>
      <c r="DT85" s="87"/>
      <c r="DU85" s="87"/>
      <c r="DV85" s="87"/>
      <c r="DW85" s="87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  <c r="EJ85" s="87"/>
      <c r="EK85" s="87"/>
      <c r="EL85" s="87"/>
      <c r="EM85" s="87"/>
      <c r="EN85" s="87"/>
      <c r="EO85" s="87"/>
      <c r="EP85" s="87"/>
      <c r="EQ85" s="87"/>
      <c r="ER85" s="87"/>
      <c r="ES85" s="87"/>
      <c r="ET85" s="87"/>
      <c r="EU85" s="87"/>
      <c r="EV85" s="87"/>
      <c r="EW85" s="87"/>
      <c r="EX85" s="87"/>
      <c r="EY85" s="87"/>
      <c r="EZ85" s="87"/>
      <c r="FA85" s="87"/>
      <c r="FB85" s="87"/>
      <c r="FC85" s="87"/>
      <c r="FD85" s="87"/>
      <c r="FE85" s="87"/>
      <c r="FF85" s="87"/>
      <c r="FG85" s="87"/>
      <c r="FH85" s="87"/>
      <c r="FI85" s="87"/>
      <c r="FJ85" s="87"/>
      <c r="FK85" s="87"/>
      <c r="FL85" s="87"/>
      <c r="FM85" s="87"/>
      <c r="FN85" s="87"/>
      <c r="FO85" s="87"/>
      <c r="FP85" s="87"/>
      <c r="FQ85" s="87"/>
      <c r="FR85" s="87"/>
      <c r="FS85" s="87"/>
      <c r="FT85" s="87"/>
      <c r="FU85" s="87"/>
      <c r="FV85" s="87"/>
      <c r="FW85" s="87"/>
      <c r="FX85" s="87"/>
      <c r="FY85" s="87"/>
      <c r="FZ85" s="87"/>
      <c r="GA85" s="87"/>
      <c r="GB85" s="87"/>
      <c r="GC85" s="87"/>
      <c r="GD85" s="87"/>
    </row>
    <row r="86">
      <c r="A86" s="96">
        <v>46282</v>
      </c>
      <c r="B86" s="94" t="s">
        <v>90</v>
      </c>
      <c r="C86" s="107" t="s">
        <v>88</v>
      </c>
      <c r="D86" s="98">
        <v>4</v>
      </c>
      <c r="E86" s="99">
        <v>8934.38</v>
      </c>
      <c r="F86" s="110">
        <v>16</v>
      </c>
      <c r="G86" s="106">
        <v>10</v>
      </c>
      <c r="H86" s="106">
        <v>12827.200000000004</v>
      </c>
      <c r="I86" s="99">
        <v>3</v>
      </c>
      <c r="J86" s="99">
        <v>2552.4</v>
      </c>
      <c r="K86" s="103">
        <f t="shared" si="18"/>
      </c>
      <c r="L86" s="104">
        <v>8</v>
      </c>
      <c r="M86" s="105">
        <v>12</v>
      </c>
      <c r="N86" s="106">
        <v>2</v>
      </c>
      <c r="O86" s="106">
        <v>6</v>
      </c>
      <c r="P86" s="103">
        <f t="shared" si="49"/>
      </c>
      <c r="Q86" s="82">
        <f t="shared" si="0"/>
      </c>
      <c r="R86" s="83">
        <f t="shared" si="32"/>
      </c>
      <c r="S86" s="82">
        <f t="shared" si="1"/>
      </c>
      <c r="T86" s="94" t="s">
        <v>105</v>
      </c>
      <c r="U86" s="94">
        <v>8</v>
      </c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  <c r="CN86" s="94"/>
      <c r="CO86" s="94"/>
      <c r="CP86" s="94"/>
      <c r="CQ86" s="94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4"/>
      <c r="DH86" s="94"/>
      <c r="DI86" s="94"/>
      <c r="DJ86" s="94"/>
      <c r="DK86" s="94"/>
      <c r="DL86" s="94"/>
      <c r="DM86" s="94"/>
      <c r="DN86" s="94"/>
      <c r="DO86" s="94"/>
      <c r="DP86" s="94"/>
      <c r="DQ86" s="94"/>
      <c r="DR86" s="94"/>
      <c r="DS86" s="94"/>
      <c r="DT86" s="94"/>
      <c r="DU86" s="94"/>
      <c r="DV86" s="94"/>
      <c r="DW86" s="94"/>
      <c r="DX86" s="94"/>
      <c r="DY86" s="94"/>
      <c r="DZ86" s="94"/>
      <c r="EA86" s="94"/>
      <c r="EB86" s="94"/>
      <c r="EC86" s="94"/>
      <c r="ED86" s="94"/>
      <c r="EE86" s="94"/>
      <c r="EF86" s="94"/>
      <c r="EG86" s="94"/>
      <c r="EH86" s="94"/>
      <c r="EI86" s="94"/>
      <c r="EJ86" s="94"/>
      <c r="EK86" s="94"/>
      <c r="EL86" s="94"/>
      <c r="EM86" s="94"/>
      <c r="EN86" s="94"/>
      <c r="EO86" s="94"/>
      <c r="EP86" s="94"/>
      <c r="EQ86" s="94"/>
      <c r="ER86" s="94"/>
      <c r="ES86" s="94"/>
      <c r="ET86" s="94"/>
      <c r="EU86" s="94"/>
      <c r="EV86" s="94"/>
      <c r="EW86" s="94"/>
      <c r="EX86" s="94"/>
      <c r="EY86" s="94"/>
      <c r="EZ86" s="94"/>
      <c r="FA86" s="94"/>
      <c r="FB86" s="94"/>
      <c r="FC86" s="94"/>
      <c r="FD86" s="94"/>
      <c r="FE86" s="94"/>
      <c r="FF86" s="94"/>
      <c r="FG86" s="94"/>
      <c r="FH86" s="94"/>
      <c r="FI86" s="94"/>
      <c r="FJ86" s="94"/>
      <c r="FK86" s="94"/>
      <c r="FL86" s="94"/>
      <c r="FM86" s="94"/>
      <c r="FN86" s="94"/>
      <c r="FO86" s="94"/>
      <c r="FP86" s="94"/>
      <c r="FQ86" s="94"/>
      <c r="FR86" s="94"/>
      <c r="FS86" s="94"/>
      <c r="FT86" s="94"/>
      <c r="FU86" s="94"/>
      <c r="FV86" s="94"/>
      <c r="FW86" s="94"/>
      <c r="FX86" s="94"/>
      <c r="FY86" s="94"/>
      <c r="FZ86" s="94"/>
      <c r="GA86" s="94"/>
      <c r="GB86" s="94"/>
      <c r="GC86" s="94"/>
      <c r="GD86" s="94"/>
    </row>
    <row r="87">
      <c r="A87" s="111">
        <v>46282</v>
      </c>
      <c r="B87" s="112" t="s">
        <v>83</v>
      </c>
      <c r="C87" s="113"/>
      <c r="D87" s="92">
        <f>SUM(D83:D86)</f>
      </c>
      <c r="E87" s="92">
        <f>SUM(E83:E86)</f>
      </c>
      <c r="F87" s="92">
        <f>SUM(F83:F86)</f>
      </c>
      <c r="G87" s="92">
        <f>SUM(G83:G86)</f>
      </c>
      <c r="H87" s="92">
        <f>SUM(H83:H86)</f>
      </c>
      <c r="I87" s="92">
        <f>SUM(I83:I86)</f>
      </c>
      <c r="J87" s="92">
        <f>SUM(J83:J86)</f>
      </c>
      <c r="K87" s="92">
        <f>SUM(K83:K86)</f>
      </c>
      <c r="L87" s="92">
        <f>SUM(L83:L86)</f>
      </c>
      <c r="M87" s="92">
        <f>SUM(M83:M86)</f>
      </c>
      <c r="N87" s="92">
        <f>SUM(N83:N86)</f>
      </c>
      <c r="O87" s="92">
        <f>SUM(O83:O86)</f>
      </c>
      <c r="P87" s="92">
        <f>SUM(P83:P86)</f>
      </c>
      <c r="Q87" s="93">
        <f t="shared" si="0"/>
      </c>
      <c r="R87" s="93">
        <f t="shared" si="32"/>
      </c>
      <c r="S87" s="93">
        <f t="shared" si="1"/>
      </c>
      <c r="T87" s="92"/>
      <c r="U87" s="92">
        <f>SUM(U83:U86)</f>
      </c>
      <c r="V87" s="92"/>
      <c r="W87" s="92">
        <f>SUM(W83:W86)</f>
      </c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92"/>
      <c r="DF87" s="92"/>
      <c r="DG87" s="92"/>
      <c r="DH87" s="92"/>
      <c r="DI87" s="92"/>
      <c r="DJ87" s="92"/>
      <c r="DK87" s="92"/>
      <c r="DL87" s="92"/>
      <c r="DM87" s="92"/>
      <c r="DN87" s="92"/>
      <c r="DO87" s="92"/>
      <c r="DP87" s="92"/>
      <c r="DQ87" s="92"/>
      <c r="DR87" s="92"/>
      <c r="DS87" s="92"/>
      <c r="DT87" s="92"/>
      <c r="DU87" s="92"/>
      <c r="DV87" s="92"/>
      <c r="DW87" s="92"/>
      <c r="DX87" s="92"/>
      <c r="DY87" s="92"/>
      <c r="DZ87" s="92"/>
      <c r="EA87" s="92"/>
      <c r="EB87" s="92"/>
      <c r="EC87" s="92"/>
      <c r="ED87" s="92"/>
      <c r="EE87" s="92"/>
      <c r="EF87" s="92"/>
      <c r="EG87" s="92"/>
      <c r="EH87" s="92"/>
      <c r="EI87" s="92"/>
      <c r="EJ87" s="92"/>
      <c r="EK87" s="92"/>
      <c r="EL87" s="92"/>
      <c r="EM87" s="92"/>
      <c r="EN87" s="92"/>
      <c r="EO87" s="92"/>
      <c r="EP87" s="92"/>
      <c r="EQ87" s="92"/>
      <c r="ER87" s="92"/>
      <c r="ES87" s="92"/>
      <c r="ET87" s="92"/>
      <c r="EU87" s="92"/>
      <c r="EV87" s="92"/>
      <c r="EW87" s="92"/>
      <c r="EX87" s="92"/>
      <c r="EY87" s="92"/>
      <c r="EZ87" s="92"/>
      <c r="FA87" s="92"/>
      <c r="FB87" s="92"/>
      <c r="FC87" s="92"/>
      <c r="FD87" s="92"/>
      <c r="FE87" s="92"/>
      <c r="FF87" s="92"/>
      <c r="FG87" s="92"/>
      <c r="FH87" s="92"/>
      <c r="FI87" s="92"/>
      <c r="FJ87" s="92"/>
      <c r="FK87" s="92"/>
      <c r="FL87" s="92"/>
      <c r="FM87" s="92"/>
      <c r="FN87" s="92"/>
      <c r="FO87" s="92"/>
      <c r="FP87" s="92"/>
      <c r="FQ87" s="92"/>
      <c r="FR87" s="92"/>
      <c r="FS87" s="92"/>
      <c r="FT87" s="92"/>
      <c r="FU87" s="92"/>
      <c r="FV87" s="92"/>
      <c r="FW87" s="92"/>
      <c r="FX87" s="92"/>
      <c r="FY87" s="92"/>
      <c r="FZ87" s="92"/>
      <c r="GA87" s="92"/>
      <c r="GB87" s="92"/>
      <c r="GC87" s="92"/>
      <c r="GD87" s="92"/>
    </row>
    <row r="88">
      <c r="A88" s="96">
        <v>46283</v>
      </c>
      <c r="B88" s="94" t="s">
        <v>73</v>
      </c>
      <c r="C88" s="97" t="s">
        <v>93</v>
      </c>
      <c r="D88" s="98">
        <v>4</v>
      </c>
      <c r="E88" s="99">
        <v>9106.72</v>
      </c>
      <c r="F88" s="98">
        <v>12</v>
      </c>
      <c r="G88" s="106">
        <v>7</v>
      </c>
      <c r="H88" s="106">
        <v>8381</v>
      </c>
      <c r="I88" s="99">
        <v>0</v>
      </c>
      <c r="J88" s="99">
        <v>0</v>
      </c>
      <c r="K88" s="103">
        <f t="shared" ref="K88:K91" si="19">G88+I88</f>
      </c>
      <c r="L88" s="104">
        <v>7</v>
      </c>
      <c r="M88" s="105">
        <v>10</v>
      </c>
      <c r="N88" s="106">
        <v>0</v>
      </c>
      <c r="O88" s="106">
        <v>2</v>
      </c>
      <c r="P88" s="103">
        <f t="shared" ref="P88:P91" si="50">J88+H88</f>
      </c>
      <c r="Q88" s="82">
        <f t="shared" si="0"/>
      </c>
      <c r="R88" s="83">
        <f t="shared" si="32"/>
      </c>
      <c r="S88" s="82">
        <f t="shared" si="1"/>
      </c>
      <c r="T88" s="94" t="s">
        <v>82</v>
      </c>
      <c r="U88" s="94">
        <v>8</v>
      </c>
      <c r="V88" s="94" t="s">
        <v>76</v>
      </c>
      <c r="W88" s="94">
        <v>8</v>
      </c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4"/>
      <c r="BY88" s="94"/>
      <c r="BZ88" s="94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  <c r="CN88" s="94"/>
      <c r="CO88" s="94"/>
      <c r="CP88" s="94"/>
      <c r="CQ88" s="94"/>
      <c r="CR88" s="94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94"/>
      <c r="DS88" s="94"/>
      <c r="DT88" s="94"/>
      <c r="DU88" s="94"/>
      <c r="DV88" s="94"/>
      <c r="DW88" s="94"/>
      <c r="DX88" s="94"/>
      <c r="DY88" s="94"/>
      <c r="DZ88" s="94"/>
      <c r="EA88" s="94"/>
      <c r="EB88" s="94"/>
      <c r="EC88" s="94"/>
      <c r="ED88" s="94"/>
      <c r="EE88" s="94"/>
      <c r="EF88" s="94"/>
      <c r="EG88" s="94"/>
      <c r="EH88" s="94"/>
      <c r="EI88" s="94"/>
      <c r="EJ88" s="94"/>
      <c r="EK88" s="94"/>
      <c r="EL88" s="94"/>
      <c r="EM88" s="94"/>
      <c r="EN88" s="94"/>
      <c r="EO88" s="94"/>
      <c r="EP88" s="94"/>
      <c r="EQ88" s="94"/>
      <c r="ER88" s="94"/>
      <c r="ES88" s="94"/>
      <c r="ET88" s="94"/>
      <c r="EU88" s="94"/>
      <c r="EV88" s="94"/>
      <c r="EW88" s="94"/>
      <c r="EX88" s="94"/>
      <c r="EY88" s="94"/>
      <c r="EZ88" s="94"/>
      <c r="FA88" s="94"/>
      <c r="FB88" s="94"/>
      <c r="FC88" s="94"/>
      <c r="FD88" s="94"/>
      <c r="FE88" s="94"/>
      <c r="FF88" s="94"/>
      <c r="FG88" s="94"/>
      <c r="FH88" s="94"/>
      <c r="FI88" s="94"/>
      <c r="FJ88" s="94"/>
      <c r="FK88" s="94"/>
      <c r="FL88" s="94"/>
      <c r="FM88" s="94"/>
      <c r="FN88" s="94"/>
      <c r="FO88" s="94"/>
      <c r="FP88" s="94"/>
      <c r="FQ88" s="94"/>
      <c r="FR88" s="94"/>
      <c r="FS88" s="94"/>
      <c r="FT88" s="94"/>
      <c r="FU88" s="94"/>
      <c r="FV88" s="94"/>
      <c r="FW88" s="94"/>
      <c r="FX88" s="94"/>
      <c r="FY88" s="94"/>
      <c r="FZ88" s="94"/>
      <c r="GA88" s="94"/>
      <c r="GB88" s="94"/>
      <c r="GC88" s="94"/>
      <c r="GD88" s="94"/>
    </row>
    <row r="89">
      <c r="A89" s="96">
        <v>46283</v>
      </c>
      <c r="B89" s="94" t="s">
        <v>84</v>
      </c>
      <c r="C89" s="107" t="s">
        <v>94</v>
      </c>
      <c r="D89" s="98">
        <v>4</v>
      </c>
      <c r="E89" s="99">
        <v>7647.19</v>
      </c>
      <c r="F89" s="108">
        <v>10</v>
      </c>
      <c r="G89" s="77">
        <v>6</v>
      </c>
      <c r="H89" s="77">
        <v>10652.5</v>
      </c>
      <c r="I89" s="76">
        <v>2</v>
      </c>
      <c r="J89" s="76">
        <v>2244</v>
      </c>
      <c r="K89" s="103">
        <f t="shared" si="19"/>
      </c>
      <c r="L89" s="79">
        <v>5</v>
      </c>
      <c r="M89" s="80">
        <v>6</v>
      </c>
      <c r="N89" s="77">
        <v>1</v>
      </c>
      <c r="O89" s="77">
        <v>6</v>
      </c>
      <c r="P89" s="103">
        <f t="shared" si="50"/>
      </c>
      <c r="Q89" s="82">
        <f t="shared" si="0"/>
      </c>
      <c r="R89" s="83">
        <f t="shared" si="32"/>
      </c>
      <c r="S89" s="82">
        <f t="shared" si="1"/>
      </c>
      <c r="T89" s="94"/>
      <c r="U89" s="94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  <c r="DK89" s="87"/>
      <c r="DL89" s="87"/>
      <c r="DM89" s="87"/>
      <c r="DN89" s="87"/>
      <c r="DO89" s="87"/>
      <c r="DP89" s="87"/>
      <c r="DQ89" s="87"/>
      <c r="DR89" s="87"/>
      <c r="DS89" s="87"/>
      <c r="DT89" s="87"/>
      <c r="DU89" s="87"/>
      <c r="DV89" s="87"/>
      <c r="DW89" s="87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  <c r="EJ89" s="87"/>
      <c r="EK89" s="87"/>
      <c r="EL89" s="87"/>
      <c r="EM89" s="87"/>
      <c r="EN89" s="87"/>
      <c r="EO89" s="87"/>
      <c r="EP89" s="87"/>
      <c r="EQ89" s="87"/>
      <c r="ER89" s="87"/>
      <c r="ES89" s="87"/>
      <c r="ET89" s="87"/>
      <c r="EU89" s="87"/>
      <c r="EV89" s="87"/>
      <c r="EW89" s="87"/>
      <c r="EX89" s="87"/>
      <c r="EY89" s="87"/>
      <c r="EZ89" s="87"/>
      <c r="FA89" s="87"/>
      <c r="FB89" s="87"/>
      <c r="FC89" s="87"/>
      <c r="FD89" s="87"/>
      <c r="FE89" s="87"/>
      <c r="FF89" s="87"/>
      <c r="FG89" s="87"/>
      <c r="FH89" s="87"/>
      <c r="FI89" s="87"/>
      <c r="FJ89" s="87"/>
      <c r="FK89" s="87"/>
      <c r="FL89" s="87"/>
      <c r="FM89" s="87"/>
      <c r="FN89" s="87"/>
      <c r="FO89" s="87"/>
      <c r="FP89" s="87"/>
      <c r="FQ89" s="87"/>
      <c r="FR89" s="87"/>
      <c r="FS89" s="87"/>
      <c r="FT89" s="87"/>
      <c r="FU89" s="87"/>
      <c r="FV89" s="87"/>
      <c r="FW89" s="87"/>
      <c r="FX89" s="87"/>
      <c r="FY89" s="87"/>
      <c r="FZ89" s="87"/>
      <c r="GA89" s="87"/>
      <c r="GB89" s="87"/>
      <c r="GC89" s="87"/>
      <c r="GD89" s="87"/>
    </row>
    <row r="90">
      <c r="A90" s="96">
        <v>46283</v>
      </c>
      <c r="B90" s="94" t="s">
        <v>90</v>
      </c>
      <c r="C90" s="107" t="s">
        <v>95</v>
      </c>
      <c r="D90" s="98">
        <v>4</v>
      </c>
      <c r="E90" s="76">
        <v>6922</v>
      </c>
      <c r="F90" s="120">
        <v>8</v>
      </c>
      <c r="G90" s="77">
        <v>8</v>
      </c>
      <c r="H90" s="77">
        <v>9417.6</v>
      </c>
      <c r="I90" s="76">
        <v>0</v>
      </c>
      <c r="J90" s="76">
        <v>0</v>
      </c>
      <c r="K90" s="103">
        <f t="shared" si="19"/>
      </c>
      <c r="L90" s="79">
        <v>5</v>
      </c>
      <c r="M90" s="80">
        <v>6</v>
      </c>
      <c r="N90" s="77">
        <v>1</v>
      </c>
      <c r="O90" s="77">
        <v>4</v>
      </c>
      <c r="P90" s="103">
        <f t="shared" si="50"/>
      </c>
      <c r="Q90" s="82">
        <f t="shared" si="0"/>
      </c>
      <c r="R90" s="83">
        <f t="shared" si="32"/>
      </c>
      <c r="S90" s="82">
        <f t="shared" si="1"/>
      </c>
      <c r="T90" s="94"/>
      <c r="U90" s="94"/>
      <c r="V90" s="87" t="s">
        <v>106</v>
      </c>
      <c r="W90" s="121">
        <v>8</v>
      </c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</row>
    <row r="91">
      <c r="A91" s="96">
        <v>46283</v>
      </c>
      <c r="B91" s="94" t="s">
        <v>77</v>
      </c>
      <c r="C91" s="107" t="s">
        <v>88</v>
      </c>
      <c r="D91" s="98">
        <v>4</v>
      </c>
      <c r="E91" s="76">
        <v>12569.87</v>
      </c>
      <c r="F91" s="95">
        <v>14</v>
      </c>
      <c r="G91" s="77">
        <v>11</v>
      </c>
      <c r="H91" s="77">
        <v>16342.8</v>
      </c>
      <c r="I91" s="76">
        <v>3</v>
      </c>
      <c r="J91" s="76">
        <v>580</v>
      </c>
      <c r="K91" s="103">
        <f t="shared" si="19"/>
      </c>
      <c r="L91" s="79">
        <v>12</v>
      </c>
      <c r="M91" s="80">
        <v>12</v>
      </c>
      <c r="N91" s="77">
        <v>1</v>
      </c>
      <c r="O91" s="77">
        <v>6</v>
      </c>
      <c r="P91" s="103">
        <f t="shared" si="50"/>
      </c>
      <c r="Q91" s="82">
        <f t="shared" si="0"/>
      </c>
      <c r="R91" s="83">
        <f t="shared" si="32"/>
      </c>
      <c r="S91" s="82">
        <f t="shared" si="1"/>
      </c>
      <c r="T91" s="94" t="s">
        <v>107</v>
      </c>
      <c r="U91" s="94">
        <v>8</v>
      </c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  <c r="CN91" s="94"/>
      <c r="CO91" s="94"/>
      <c r="CP91" s="94"/>
      <c r="CQ91" s="94"/>
      <c r="CR91" s="94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94"/>
      <c r="DS91" s="94"/>
      <c r="DT91" s="94"/>
      <c r="DU91" s="94"/>
      <c r="DV91" s="94"/>
      <c r="DW91" s="94"/>
      <c r="DX91" s="94"/>
      <c r="DY91" s="94"/>
      <c r="DZ91" s="94"/>
      <c r="EA91" s="94"/>
      <c r="EB91" s="94"/>
      <c r="EC91" s="94"/>
      <c r="ED91" s="94"/>
      <c r="EE91" s="94"/>
      <c r="EF91" s="94"/>
      <c r="EG91" s="94"/>
      <c r="EH91" s="94"/>
      <c r="EI91" s="94"/>
      <c r="EJ91" s="94"/>
      <c r="EK91" s="94"/>
      <c r="EL91" s="94"/>
      <c r="EM91" s="94"/>
      <c r="EN91" s="94"/>
      <c r="EO91" s="94"/>
      <c r="EP91" s="94"/>
      <c r="EQ91" s="94"/>
      <c r="ER91" s="94"/>
      <c r="ES91" s="94"/>
      <c r="ET91" s="94"/>
      <c r="EU91" s="94"/>
      <c r="EV91" s="94"/>
      <c r="EW91" s="94"/>
      <c r="EX91" s="94"/>
      <c r="EY91" s="94"/>
      <c r="EZ91" s="94"/>
      <c r="FA91" s="94"/>
      <c r="FB91" s="94"/>
      <c r="FC91" s="94"/>
      <c r="FD91" s="94"/>
      <c r="FE91" s="94"/>
      <c r="FF91" s="94"/>
      <c r="FG91" s="94"/>
      <c r="FH91" s="94"/>
      <c r="FI91" s="94"/>
      <c r="FJ91" s="94"/>
      <c r="FK91" s="94"/>
      <c r="FL91" s="94"/>
      <c r="FM91" s="94"/>
      <c r="FN91" s="94"/>
      <c r="FO91" s="94"/>
      <c r="FP91" s="94"/>
      <c r="FQ91" s="94"/>
      <c r="FR91" s="94"/>
      <c r="FS91" s="94"/>
      <c r="FT91" s="94"/>
      <c r="FU91" s="94"/>
      <c r="FV91" s="94"/>
      <c r="FW91" s="94"/>
      <c r="FX91" s="94"/>
      <c r="FY91" s="94"/>
      <c r="FZ91" s="94"/>
      <c r="GA91" s="94"/>
      <c r="GB91" s="94"/>
      <c r="GC91" s="94"/>
      <c r="GD91" s="94"/>
    </row>
    <row r="92">
      <c r="A92" s="111">
        <v>46283</v>
      </c>
      <c r="B92" s="112" t="s">
        <v>83</v>
      </c>
      <c r="C92" s="113"/>
      <c r="D92" s="92">
        <f>SUM(D88:D91)</f>
      </c>
      <c r="E92" s="92">
        <f>SUM(E88:E91)</f>
      </c>
      <c r="F92" s="92">
        <f>SUM(F88:F91)</f>
      </c>
      <c r="G92" s="92">
        <f>SUM(G88:G91)</f>
      </c>
      <c r="H92" s="92">
        <f>SUM(H88:H91)</f>
      </c>
      <c r="I92" s="92">
        <f>SUM(I88:I91)</f>
      </c>
      <c r="J92" s="92">
        <f>SUM(J88:J91)</f>
      </c>
      <c r="K92" s="92">
        <f>SUM(K88:K91)</f>
      </c>
      <c r="L92" s="92">
        <f>SUM(L88:L91)</f>
      </c>
      <c r="M92" s="92">
        <f>SUM(M88:M91)</f>
      </c>
      <c r="N92" s="92">
        <f>SUM(N88:N91)</f>
      </c>
      <c r="O92" s="92">
        <f>SUM(O88:O91)</f>
      </c>
      <c r="P92" s="92">
        <f>SUM(P88:P91)</f>
      </c>
      <c r="Q92" s="93">
        <f t="shared" si="0"/>
      </c>
      <c r="R92" s="93">
        <f t="shared" si="32"/>
      </c>
      <c r="S92" s="93">
        <f t="shared" si="1"/>
      </c>
      <c r="T92" s="92"/>
      <c r="U92" s="92">
        <f>SUM(U88:U91)</f>
      </c>
      <c r="V92" s="92"/>
      <c r="W92" s="92">
        <f>SUM(W88:W91)</f>
      </c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  <c r="CA92" s="92"/>
      <c r="CB92" s="92"/>
      <c r="CC92" s="92"/>
      <c r="CD92" s="92"/>
      <c r="CE92" s="92"/>
      <c r="CF92" s="92"/>
      <c r="CG92" s="92"/>
      <c r="CH92" s="92"/>
      <c r="CI92" s="92"/>
      <c r="CJ92" s="92"/>
      <c r="CK92" s="92"/>
      <c r="CL92" s="92"/>
      <c r="CM92" s="92"/>
      <c r="CN92" s="92"/>
      <c r="CO92" s="92"/>
      <c r="CP92" s="92"/>
      <c r="CQ92" s="92"/>
      <c r="CR92" s="92"/>
      <c r="CS92" s="92"/>
      <c r="CT92" s="92"/>
      <c r="CU92" s="92"/>
      <c r="CV92" s="92"/>
      <c r="CW92" s="92"/>
      <c r="CX92" s="92"/>
      <c r="CY92" s="92"/>
      <c r="CZ92" s="92"/>
      <c r="DA92" s="92"/>
      <c r="DB92" s="92"/>
      <c r="DC92" s="92"/>
      <c r="DD92" s="92"/>
      <c r="DE92" s="92"/>
      <c r="DF92" s="92"/>
      <c r="DG92" s="92"/>
      <c r="DH92" s="92"/>
      <c r="DI92" s="92"/>
      <c r="DJ92" s="92"/>
      <c r="DK92" s="92"/>
      <c r="DL92" s="92"/>
      <c r="DM92" s="92"/>
      <c r="DN92" s="92"/>
      <c r="DO92" s="92"/>
      <c r="DP92" s="92"/>
      <c r="DQ92" s="92"/>
      <c r="DR92" s="92"/>
      <c r="DS92" s="92"/>
      <c r="DT92" s="92"/>
      <c r="DU92" s="92"/>
      <c r="DV92" s="92"/>
      <c r="DW92" s="92"/>
      <c r="DX92" s="92"/>
      <c r="DY92" s="92"/>
      <c r="DZ92" s="92"/>
      <c r="EA92" s="92"/>
      <c r="EB92" s="92"/>
      <c r="EC92" s="92"/>
      <c r="ED92" s="92"/>
      <c r="EE92" s="92"/>
      <c r="EF92" s="92"/>
      <c r="EG92" s="92"/>
      <c r="EH92" s="92"/>
      <c r="EI92" s="92"/>
      <c r="EJ92" s="92"/>
      <c r="EK92" s="92"/>
      <c r="EL92" s="92"/>
      <c r="EM92" s="92"/>
      <c r="EN92" s="92"/>
      <c r="EO92" s="92"/>
      <c r="EP92" s="92"/>
      <c r="EQ92" s="92"/>
      <c r="ER92" s="92"/>
      <c r="ES92" s="92"/>
      <c r="ET92" s="92"/>
      <c r="EU92" s="92"/>
      <c r="EV92" s="92"/>
      <c r="EW92" s="92"/>
      <c r="EX92" s="92"/>
      <c r="EY92" s="92"/>
      <c r="EZ92" s="92"/>
      <c r="FA92" s="92"/>
      <c r="FB92" s="92"/>
      <c r="FC92" s="92"/>
      <c r="FD92" s="92"/>
      <c r="FE92" s="92"/>
      <c r="FF92" s="92"/>
      <c r="FG92" s="92"/>
      <c r="FH92" s="92"/>
      <c r="FI92" s="92"/>
      <c r="FJ92" s="92"/>
      <c r="FK92" s="92"/>
      <c r="FL92" s="92"/>
      <c r="FM92" s="92"/>
      <c r="FN92" s="92"/>
      <c r="FO92" s="92"/>
      <c r="FP92" s="92"/>
      <c r="FQ92" s="92"/>
      <c r="FR92" s="92"/>
      <c r="FS92" s="92"/>
      <c r="FT92" s="92"/>
      <c r="FU92" s="92"/>
      <c r="FV92" s="92"/>
      <c r="FW92" s="92"/>
      <c r="FX92" s="92"/>
      <c r="FY92" s="92"/>
      <c r="FZ92" s="92"/>
      <c r="GA92" s="92"/>
      <c r="GB92" s="92"/>
      <c r="GC92" s="92"/>
      <c r="GD92" s="92"/>
    </row>
    <row r="93">
      <c r="A93" s="72">
        <v>46284</v>
      </c>
      <c r="B93" s="94" t="s">
        <v>90</v>
      </c>
      <c r="C93" s="97" t="s">
        <v>93</v>
      </c>
      <c r="D93" s="98">
        <v>4</v>
      </c>
      <c r="E93" s="99">
        <v>9666.27</v>
      </c>
      <c r="F93" s="98">
        <v>15</v>
      </c>
      <c r="G93" s="106">
        <v>9</v>
      </c>
      <c r="H93" s="106">
        <v>15838.800000000001</v>
      </c>
      <c r="I93" s="99">
        <v>4</v>
      </c>
      <c r="J93" s="99">
        <v>1500</v>
      </c>
      <c r="K93" s="103">
        <f t="shared" ref="K93:K96" si="20">G93+I93</f>
      </c>
      <c r="L93" s="104">
        <v>8</v>
      </c>
      <c r="M93" s="105">
        <v>9</v>
      </c>
      <c r="N93" s="106">
        <v>3</v>
      </c>
      <c r="O93" s="77">
        <v>7</v>
      </c>
      <c r="P93" s="103">
        <f t="shared" ref="P93:P96" si="51">J93+H93</f>
      </c>
      <c r="Q93" s="82">
        <f t="shared" si="0"/>
      </c>
      <c r="R93" s="83">
        <f t="shared" si="32"/>
      </c>
      <c r="S93" s="82">
        <f t="shared" si="1"/>
      </c>
      <c r="T93" s="94" t="s">
        <v>82</v>
      </c>
      <c r="U93" s="94">
        <v>8</v>
      </c>
      <c r="V93" s="94" t="s">
        <v>76</v>
      </c>
      <c r="W93" s="94">
        <v>8</v>
      </c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4"/>
      <c r="BX93" s="94"/>
      <c r="BY93" s="94"/>
      <c r="BZ93" s="94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  <c r="CN93" s="94"/>
      <c r="CO93" s="94"/>
      <c r="CP93" s="94"/>
      <c r="CQ93" s="94"/>
      <c r="CR93" s="94"/>
      <c r="CS93" s="94"/>
      <c r="CT93" s="94"/>
      <c r="CU93" s="94"/>
      <c r="CV93" s="94"/>
      <c r="CW93" s="94"/>
      <c r="CX93" s="94"/>
      <c r="CY93" s="94"/>
      <c r="CZ93" s="94"/>
      <c r="DA93" s="94"/>
      <c r="DB93" s="94"/>
      <c r="DC93" s="94"/>
      <c r="DD93" s="94"/>
      <c r="DE93" s="94"/>
      <c r="DF93" s="94"/>
      <c r="DG93" s="94"/>
      <c r="DH93" s="94"/>
      <c r="DI93" s="94"/>
      <c r="DJ93" s="94"/>
      <c r="DK93" s="94"/>
      <c r="DL93" s="94"/>
      <c r="DM93" s="94"/>
      <c r="DN93" s="94"/>
      <c r="DO93" s="94"/>
      <c r="DP93" s="94"/>
      <c r="DQ93" s="94"/>
      <c r="DR93" s="94"/>
      <c r="DS93" s="94"/>
      <c r="DT93" s="94"/>
      <c r="DU93" s="94"/>
      <c r="DV93" s="94"/>
      <c r="DW93" s="94"/>
      <c r="DX93" s="94"/>
      <c r="DY93" s="94"/>
      <c r="DZ93" s="94"/>
      <c r="EA93" s="94"/>
      <c r="EB93" s="94"/>
      <c r="EC93" s="94"/>
      <c r="ED93" s="94"/>
      <c r="EE93" s="94"/>
      <c r="EF93" s="94"/>
      <c r="EG93" s="94"/>
      <c r="EH93" s="94"/>
      <c r="EI93" s="94"/>
      <c r="EJ93" s="94"/>
      <c r="EK93" s="94"/>
      <c r="EL93" s="94"/>
      <c r="EM93" s="94"/>
      <c r="EN93" s="94"/>
      <c r="EO93" s="94"/>
      <c r="EP93" s="94"/>
      <c r="EQ93" s="94"/>
      <c r="ER93" s="94"/>
      <c r="ES93" s="94"/>
      <c r="ET93" s="94"/>
      <c r="EU93" s="94"/>
      <c r="EV93" s="94"/>
      <c r="EW93" s="94"/>
      <c r="EX93" s="94"/>
      <c r="EY93" s="94"/>
      <c r="EZ93" s="94"/>
      <c r="FA93" s="94"/>
      <c r="FB93" s="94"/>
      <c r="FC93" s="94"/>
      <c r="FD93" s="94"/>
      <c r="FE93" s="94"/>
      <c r="FF93" s="94"/>
      <c r="FG93" s="94"/>
      <c r="FH93" s="94"/>
      <c r="FI93" s="94"/>
      <c r="FJ93" s="94"/>
      <c r="FK93" s="94"/>
      <c r="FL93" s="94"/>
      <c r="FM93" s="94"/>
      <c r="FN93" s="94"/>
      <c r="FO93" s="94"/>
      <c r="FP93" s="94"/>
      <c r="FQ93" s="94"/>
      <c r="FR93" s="94"/>
      <c r="FS93" s="94"/>
      <c r="FT93" s="94"/>
      <c r="FU93" s="94"/>
      <c r="FV93" s="94"/>
      <c r="FW93" s="94"/>
      <c r="FX93" s="94"/>
      <c r="FY93" s="94"/>
      <c r="FZ93" s="94"/>
      <c r="GA93" s="94"/>
      <c r="GB93" s="94"/>
      <c r="GC93" s="94"/>
      <c r="GD93" s="94"/>
    </row>
    <row r="94">
      <c r="A94" s="72">
        <v>46284</v>
      </c>
      <c r="B94" s="94" t="s">
        <v>84</v>
      </c>
      <c r="C94" s="107" t="s">
        <v>94</v>
      </c>
      <c r="D94" s="98">
        <v>4</v>
      </c>
      <c r="E94" s="76">
        <v>11248.13</v>
      </c>
      <c r="F94" s="122">
        <v>13</v>
      </c>
      <c r="G94" s="77">
        <v>10</v>
      </c>
      <c r="H94" s="77">
        <v>10701.2</v>
      </c>
      <c r="I94" s="76">
        <v>2</v>
      </c>
      <c r="J94" s="76">
        <v>884.4</v>
      </c>
      <c r="K94" s="103">
        <f t="shared" si="20"/>
      </c>
      <c r="L94" s="79">
        <v>10</v>
      </c>
      <c r="M94" s="80">
        <v>11</v>
      </c>
      <c r="N94" s="77">
        <v>1</v>
      </c>
      <c r="O94" s="77">
        <v>1</v>
      </c>
      <c r="P94" s="103">
        <f t="shared" si="51"/>
      </c>
      <c r="Q94" s="82">
        <f t="shared" si="0"/>
      </c>
      <c r="R94" s="83">
        <f t="shared" si="32"/>
      </c>
      <c r="S94" s="82">
        <f t="shared" si="1"/>
      </c>
      <c r="T94" s="94"/>
      <c r="U94" s="94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7"/>
      <c r="DL94" s="87"/>
      <c r="DM94" s="87"/>
      <c r="DN94" s="87"/>
      <c r="DO94" s="87"/>
      <c r="DP94" s="87"/>
      <c r="DQ94" s="87"/>
      <c r="DR94" s="87"/>
      <c r="DS94" s="87"/>
      <c r="DT94" s="87"/>
      <c r="DU94" s="87"/>
      <c r="DV94" s="87"/>
      <c r="DW94" s="87"/>
      <c r="DX94" s="87"/>
      <c r="DY94" s="87"/>
      <c r="DZ94" s="87"/>
      <c r="EA94" s="87"/>
      <c r="EB94" s="87"/>
      <c r="EC94" s="87"/>
      <c r="ED94" s="87"/>
      <c r="EE94" s="87"/>
      <c r="EF94" s="87"/>
      <c r="EG94" s="87"/>
      <c r="EH94" s="87"/>
      <c r="EI94" s="87"/>
      <c r="EJ94" s="87"/>
      <c r="EK94" s="87"/>
      <c r="EL94" s="87"/>
      <c r="EM94" s="87"/>
      <c r="EN94" s="87"/>
      <c r="EO94" s="87"/>
      <c r="EP94" s="87"/>
      <c r="EQ94" s="87"/>
      <c r="ER94" s="87"/>
      <c r="ES94" s="87"/>
      <c r="ET94" s="87"/>
      <c r="EU94" s="87"/>
      <c r="EV94" s="87"/>
      <c r="EW94" s="87"/>
      <c r="EX94" s="87"/>
      <c r="EY94" s="87"/>
      <c r="EZ94" s="87"/>
      <c r="FA94" s="87"/>
      <c r="FB94" s="87"/>
      <c r="FC94" s="87"/>
      <c r="FD94" s="87"/>
      <c r="FE94" s="87"/>
      <c r="FF94" s="87"/>
      <c r="FG94" s="87"/>
      <c r="FH94" s="87"/>
      <c r="FI94" s="87"/>
      <c r="FJ94" s="87"/>
      <c r="FK94" s="87"/>
      <c r="FL94" s="87"/>
      <c r="FM94" s="87"/>
      <c r="FN94" s="87"/>
      <c r="FO94" s="87"/>
      <c r="FP94" s="87"/>
      <c r="FQ94" s="87"/>
      <c r="FR94" s="87"/>
      <c r="FS94" s="87"/>
      <c r="FT94" s="87"/>
      <c r="FU94" s="87"/>
      <c r="FV94" s="87"/>
      <c r="FW94" s="87"/>
      <c r="FX94" s="87"/>
      <c r="FY94" s="87"/>
      <c r="FZ94" s="87"/>
      <c r="GA94" s="87"/>
      <c r="GB94" s="87"/>
      <c r="GC94" s="87"/>
      <c r="GD94" s="87"/>
    </row>
    <row r="95">
      <c r="A95" s="72">
        <v>46284</v>
      </c>
      <c r="B95" s="94" t="s">
        <v>77</v>
      </c>
      <c r="C95" s="107" t="s">
        <v>95</v>
      </c>
      <c r="D95" s="98">
        <v>4</v>
      </c>
      <c r="E95" s="76">
        <v>9066.23</v>
      </c>
      <c r="F95" s="120">
        <v>11</v>
      </c>
      <c r="G95" s="77">
        <v>9</v>
      </c>
      <c r="H95" s="77">
        <v>11521</v>
      </c>
      <c r="I95" s="76">
        <v>1</v>
      </c>
      <c r="J95" s="76">
        <v>517</v>
      </c>
      <c r="K95" s="103">
        <f t="shared" si="20"/>
      </c>
      <c r="L95" s="79">
        <v>5</v>
      </c>
      <c r="M95" s="80">
        <v>5</v>
      </c>
      <c r="N95" s="77">
        <v>1</v>
      </c>
      <c r="O95" s="77">
        <v>2</v>
      </c>
      <c r="P95" s="103">
        <f t="shared" si="51"/>
      </c>
      <c r="Q95" s="82">
        <f t="shared" si="0"/>
      </c>
      <c r="R95" s="83">
        <f t="shared" si="32"/>
      </c>
      <c r="S95" s="82">
        <f t="shared" si="1"/>
      </c>
      <c r="T95" s="94" t="s">
        <v>107</v>
      </c>
      <c r="U95" s="73">
        <v>7</v>
      </c>
      <c r="V95" s="87" t="s">
        <v>106</v>
      </c>
      <c r="W95" s="123">
        <v>7</v>
      </c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23"/>
      <c r="BO95" s="123"/>
      <c r="BP95" s="123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3"/>
      <c r="CI95" s="123"/>
      <c r="CJ95" s="123"/>
      <c r="CK95" s="123"/>
      <c r="CL95" s="123"/>
      <c r="CM95" s="123"/>
      <c r="CN95" s="123"/>
      <c r="CO95" s="123"/>
      <c r="CP95" s="123"/>
      <c r="CQ95" s="123"/>
      <c r="CR95" s="123"/>
      <c r="CS95" s="123"/>
      <c r="CT95" s="123"/>
      <c r="CU95" s="123"/>
      <c r="CV95" s="123"/>
      <c r="CW95" s="123"/>
      <c r="CX95" s="123"/>
      <c r="CY95" s="123"/>
      <c r="CZ95" s="123"/>
      <c r="DA95" s="123"/>
      <c r="DB95" s="123"/>
      <c r="DC95" s="123"/>
      <c r="DD95" s="123"/>
      <c r="DE95" s="123"/>
      <c r="DF95" s="123"/>
      <c r="DG95" s="123"/>
      <c r="DH95" s="123"/>
      <c r="DI95" s="123"/>
      <c r="DJ95" s="123"/>
      <c r="DK95" s="123"/>
      <c r="DL95" s="123"/>
      <c r="DM95" s="123"/>
      <c r="DN95" s="123"/>
      <c r="DO95" s="123"/>
      <c r="DP95" s="123"/>
      <c r="DQ95" s="123"/>
      <c r="DR95" s="123"/>
      <c r="DS95" s="123"/>
      <c r="DT95" s="123"/>
      <c r="DU95" s="123"/>
      <c r="DV95" s="123"/>
      <c r="DW95" s="123"/>
      <c r="DX95" s="123"/>
      <c r="DY95" s="123"/>
      <c r="DZ95" s="123"/>
      <c r="EA95" s="123"/>
      <c r="EB95" s="123"/>
      <c r="EC95" s="123"/>
      <c r="ED95" s="123"/>
      <c r="EE95" s="123"/>
      <c r="EF95" s="123"/>
      <c r="EG95" s="123"/>
      <c r="EH95" s="123"/>
      <c r="EI95" s="123"/>
      <c r="EJ95" s="123"/>
      <c r="EK95" s="123"/>
      <c r="EL95" s="123"/>
      <c r="EM95" s="123"/>
      <c r="EN95" s="123"/>
      <c r="EO95" s="123"/>
      <c r="EP95" s="123"/>
      <c r="EQ95" s="123"/>
      <c r="ER95" s="123"/>
      <c r="ES95" s="123"/>
      <c r="ET95" s="123"/>
      <c r="EU95" s="123"/>
      <c r="EV95" s="123"/>
      <c r="EW95" s="123"/>
      <c r="EX95" s="123"/>
      <c r="EY95" s="123"/>
      <c r="EZ95" s="123"/>
      <c r="FA95" s="123"/>
      <c r="FB95" s="123"/>
      <c r="FC95" s="123"/>
      <c r="FD95" s="123"/>
      <c r="FE95" s="123"/>
      <c r="FF95" s="123"/>
      <c r="FG95" s="123"/>
      <c r="FH95" s="123"/>
      <c r="FI95" s="123"/>
      <c r="FJ95" s="123"/>
      <c r="FK95" s="123"/>
      <c r="FL95" s="123"/>
      <c r="FM95" s="123"/>
      <c r="FN95" s="123"/>
      <c r="FO95" s="123"/>
      <c r="FP95" s="123"/>
      <c r="FQ95" s="123"/>
      <c r="FR95" s="123"/>
      <c r="FS95" s="123"/>
      <c r="FT95" s="123"/>
      <c r="FU95" s="123"/>
      <c r="FV95" s="123"/>
      <c r="FW95" s="123"/>
      <c r="FX95" s="123"/>
      <c r="FY95" s="123"/>
      <c r="FZ95" s="123"/>
      <c r="GA95" s="123"/>
      <c r="GB95" s="123"/>
      <c r="GC95" s="123"/>
      <c r="GD95" s="123"/>
    </row>
    <row r="96">
      <c r="A96" s="72">
        <v>46284</v>
      </c>
      <c r="B96" s="94" t="s">
        <v>80</v>
      </c>
      <c r="C96" s="85" t="s">
        <v>108</v>
      </c>
      <c r="D96" s="75">
        <v>3</v>
      </c>
      <c r="E96" s="76">
        <v>6386.200000000001</v>
      </c>
      <c r="F96" s="95">
        <v>6</v>
      </c>
      <c r="G96" s="77">
        <v>4</v>
      </c>
      <c r="H96" s="77">
        <v>8823.2</v>
      </c>
      <c r="I96" s="76">
        <v>1</v>
      </c>
      <c r="J96" s="76">
        <v>582</v>
      </c>
      <c r="K96" s="103">
        <f t="shared" si="20"/>
      </c>
      <c r="L96" s="79">
        <v>4</v>
      </c>
      <c r="M96" s="80">
        <v>5</v>
      </c>
      <c r="N96" s="77">
        <v>1</v>
      </c>
      <c r="O96" s="77">
        <v>3</v>
      </c>
      <c r="P96" s="103">
        <f t="shared" si="51"/>
      </c>
      <c r="Q96" s="82">
        <f t="shared" si="0"/>
      </c>
      <c r="R96" s="83">
        <f t="shared" si="32"/>
      </c>
      <c r="S96" s="82">
        <f t="shared" si="1"/>
      </c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94"/>
      <c r="BW96" s="94"/>
      <c r="BX96" s="94"/>
      <c r="BY96" s="94"/>
      <c r="BZ96" s="94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  <c r="CN96" s="94"/>
      <c r="CO96" s="94"/>
      <c r="CP96" s="94"/>
      <c r="CQ96" s="94"/>
      <c r="CR96" s="94"/>
      <c r="CS96" s="94"/>
      <c r="CT96" s="94"/>
      <c r="CU96" s="94"/>
      <c r="CV96" s="94"/>
      <c r="CW96" s="94"/>
      <c r="CX96" s="94"/>
      <c r="CY96" s="94"/>
      <c r="CZ96" s="94"/>
      <c r="DA96" s="94"/>
      <c r="DB96" s="94"/>
      <c r="DC96" s="94"/>
      <c r="DD96" s="94"/>
      <c r="DE96" s="94"/>
      <c r="DF96" s="94"/>
      <c r="DG96" s="94"/>
      <c r="DH96" s="94"/>
      <c r="DI96" s="94"/>
      <c r="DJ96" s="94"/>
      <c r="DK96" s="94"/>
      <c r="DL96" s="94"/>
      <c r="DM96" s="94"/>
      <c r="DN96" s="94"/>
      <c r="DO96" s="94"/>
      <c r="DP96" s="94"/>
      <c r="DQ96" s="94"/>
      <c r="DR96" s="94"/>
      <c r="DS96" s="94"/>
      <c r="DT96" s="94"/>
      <c r="DU96" s="94"/>
      <c r="DV96" s="94"/>
      <c r="DW96" s="94"/>
      <c r="DX96" s="94"/>
      <c r="DY96" s="94"/>
      <c r="DZ96" s="94"/>
      <c r="EA96" s="94"/>
      <c r="EB96" s="94"/>
      <c r="EC96" s="94"/>
      <c r="ED96" s="94"/>
      <c r="EE96" s="94"/>
      <c r="EF96" s="94"/>
      <c r="EG96" s="94"/>
      <c r="EH96" s="94"/>
      <c r="EI96" s="94"/>
      <c r="EJ96" s="94"/>
      <c r="EK96" s="94"/>
      <c r="EL96" s="94"/>
      <c r="EM96" s="94"/>
      <c r="EN96" s="94"/>
      <c r="EO96" s="94"/>
      <c r="EP96" s="94"/>
      <c r="EQ96" s="94"/>
      <c r="ER96" s="94"/>
      <c r="ES96" s="94"/>
      <c r="ET96" s="94"/>
      <c r="EU96" s="94"/>
      <c r="EV96" s="94"/>
      <c r="EW96" s="94"/>
      <c r="EX96" s="94"/>
      <c r="EY96" s="94"/>
      <c r="EZ96" s="94"/>
      <c r="FA96" s="94"/>
      <c r="FB96" s="94"/>
      <c r="FC96" s="94"/>
      <c r="FD96" s="94"/>
      <c r="FE96" s="94"/>
      <c r="FF96" s="94"/>
      <c r="FG96" s="94"/>
      <c r="FH96" s="94"/>
      <c r="FI96" s="94"/>
      <c r="FJ96" s="94"/>
      <c r="FK96" s="94"/>
      <c r="FL96" s="94"/>
      <c r="FM96" s="94"/>
      <c r="FN96" s="94"/>
      <c r="FO96" s="94"/>
      <c r="FP96" s="94"/>
      <c r="FQ96" s="94"/>
      <c r="FR96" s="94"/>
      <c r="FS96" s="94"/>
      <c r="FT96" s="94"/>
      <c r="FU96" s="94"/>
      <c r="FV96" s="94"/>
      <c r="FW96" s="94"/>
      <c r="FX96" s="94"/>
      <c r="FY96" s="94"/>
      <c r="FZ96" s="94"/>
      <c r="GA96" s="94"/>
      <c r="GB96" s="94"/>
      <c r="GC96" s="94"/>
      <c r="GD96" s="94"/>
    </row>
    <row r="97">
      <c r="A97" s="119">
        <v>46284</v>
      </c>
      <c r="B97" s="112" t="s">
        <v>83</v>
      </c>
      <c r="C97" s="113"/>
      <c r="D97" s="92">
        <f>SUM(D93:D96)</f>
      </c>
      <c r="E97" s="92">
        <f>SUM(E93:E96)</f>
      </c>
      <c r="F97" s="92">
        <f>SUM(F93:F96)</f>
      </c>
      <c r="G97" s="92">
        <f>SUM(G93:G96)</f>
      </c>
      <c r="H97" s="92">
        <f>SUM(H93:H96)</f>
      </c>
      <c r="I97" s="92">
        <f>SUM(I93:I96)</f>
      </c>
      <c r="J97" s="92">
        <f>SUM(J93:J96)</f>
      </c>
      <c r="K97" s="92">
        <f>SUM(K93:K96)</f>
      </c>
      <c r="L97" s="92">
        <f>SUM(L93:L96)</f>
      </c>
      <c r="M97" s="92">
        <f>SUM(M93:M96)</f>
      </c>
      <c r="N97" s="92">
        <f>SUM(N93:N96)</f>
      </c>
      <c r="O97" s="92">
        <f>SUM(O93:O96)</f>
      </c>
      <c r="P97" s="92">
        <f>SUM(P93:P96)</f>
      </c>
      <c r="Q97" s="93">
        <f t="shared" si="0"/>
      </c>
      <c r="R97" s="93">
        <f t="shared" si="32"/>
      </c>
      <c r="S97" s="93">
        <f t="shared" si="1"/>
      </c>
      <c r="T97" s="92"/>
      <c r="U97" s="92">
        <f>SUM(U93:U96)</f>
      </c>
      <c r="V97" s="92"/>
      <c r="W97" s="92">
        <f>SUM(W93:W96)</f>
      </c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/>
      <c r="CD97" s="92"/>
      <c r="CE97" s="92"/>
      <c r="CF97" s="92"/>
      <c r="CG97" s="92"/>
      <c r="CH97" s="92"/>
      <c r="CI97" s="92"/>
      <c r="CJ97" s="92"/>
      <c r="CK97" s="92"/>
      <c r="CL97" s="92"/>
      <c r="CM97" s="92"/>
      <c r="CN97" s="92"/>
      <c r="CO97" s="92"/>
      <c r="CP97" s="92"/>
      <c r="CQ97" s="92"/>
      <c r="CR97" s="92"/>
      <c r="CS97" s="92"/>
      <c r="CT97" s="92"/>
      <c r="CU97" s="92"/>
      <c r="CV97" s="92"/>
      <c r="CW97" s="92"/>
      <c r="CX97" s="92"/>
      <c r="CY97" s="92"/>
      <c r="CZ97" s="92"/>
      <c r="DA97" s="92"/>
      <c r="DB97" s="92"/>
      <c r="DC97" s="92"/>
      <c r="DD97" s="92"/>
      <c r="DE97" s="92"/>
      <c r="DF97" s="92"/>
      <c r="DG97" s="92"/>
      <c r="DH97" s="92"/>
      <c r="DI97" s="92"/>
      <c r="DJ97" s="92"/>
      <c r="DK97" s="92"/>
      <c r="DL97" s="92"/>
      <c r="DM97" s="92"/>
      <c r="DN97" s="92"/>
      <c r="DO97" s="92"/>
      <c r="DP97" s="92"/>
      <c r="DQ97" s="92"/>
      <c r="DR97" s="92"/>
      <c r="DS97" s="92"/>
      <c r="DT97" s="92"/>
      <c r="DU97" s="92"/>
      <c r="DV97" s="92"/>
      <c r="DW97" s="92"/>
      <c r="DX97" s="92"/>
      <c r="DY97" s="92"/>
      <c r="DZ97" s="92"/>
      <c r="EA97" s="92"/>
      <c r="EB97" s="92"/>
      <c r="EC97" s="92"/>
      <c r="ED97" s="92"/>
      <c r="EE97" s="92"/>
      <c r="EF97" s="92"/>
      <c r="EG97" s="92"/>
      <c r="EH97" s="92"/>
      <c r="EI97" s="92"/>
      <c r="EJ97" s="92"/>
      <c r="EK97" s="92"/>
      <c r="EL97" s="92"/>
      <c r="EM97" s="92"/>
      <c r="EN97" s="92"/>
      <c r="EO97" s="92"/>
      <c r="EP97" s="92"/>
      <c r="EQ97" s="92"/>
      <c r="ER97" s="92"/>
      <c r="ES97" s="92"/>
      <c r="ET97" s="92"/>
      <c r="EU97" s="92"/>
      <c r="EV97" s="92"/>
      <c r="EW97" s="92"/>
      <c r="EX97" s="92"/>
      <c r="EY97" s="92"/>
      <c r="EZ97" s="92"/>
      <c r="FA97" s="92"/>
      <c r="FB97" s="92"/>
      <c r="FC97" s="92"/>
      <c r="FD97" s="92"/>
      <c r="FE97" s="92"/>
      <c r="FF97" s="92"/>
      <c r="FG97" s="92"/>
      <c r="FH97" s="92"/>
      <c r="FI97" s="92"/>
      <c r="FJ97" s="92"/>
      <c r="FK97" s="92"/>
      <c r="FL97" s="92"/>
      <c r="FM97" s="92"/>
      <c r="FN97" s="92"/>
      <c r="FO97" s="92"/>
      <c r="FP97" s="92"/>
      <c r="FQ97" s="92"/>
      <c r="FR97" s="92"/>
      <c r="FS97" s="92"/>
      <c r="FT97" s="92"/>
      <c r="FU97" s="92"/>
      <c r="FV97" s="92"/>
      <c r="FW97" s="92"/>
      <c r="FX97" s="92"/>
      <c r="FY97" s="92"/>
      <c r="FZ97" s="92"/>
      <c r="GA97" s="92"/>
      <c r="GB97" s="92"/>
      <c r="GC97" s="92"/>
      <c r="GD97" s="92"/>
    </row>
    <row r="98">
      <c r="A98" s="72">
        <v>46285</v>
      </c>
      <c r="B98" s="94" t="s">
        <v>90</v>
      </c>
      <c r="C98" s="97" t="s">
        <v>93</v>
      </c>
      <c r="D98" s="98">
        <v>4</v>
      </c>
      <c r="E98" s="99">
        <v>8432.39</v>
      </c>
      <c r="F98" s="98">
        <v>9</v>
      </c>
      <c r="G98" s="106">
        <v>6</v>
      </c>
      <c r="H98" s="106">
        <v>7687.200000000001</v>
      </c>
      <c r="I98" s="99">
        <v>2</v>
      </c>
      <c r="J98" s="99">
        <v>520.8</v>
      </c>
      <c r="K98" s="103">
        <f t="shared" ref="K98:K101" si="21">G98+I98</f>
      </c>
      <c r="L98" s="79">
        <v>5</v>
      </c>
      <c r="M98" s="80">
        <v>6</v>
      </c>
      <c r="N98" s="77">
        <v>1</v>
      </c>
      <c r="O98" s="77">
        <v>3</v>
      </c>
      <c r="P98" s="103">
        <f t="shared" ref="P98:P101" si="52">J98+H98</f>
      </c>
      <c r="Q98" s="82">
        <f t="shared" si="0"/>
      </c>
      <c r="R98" s="83">
        <f t="shared" si="32"/>
      </c>
      <c r="S98" s="82">
        <f t="shared" si="1"/>
      </c>
      <c r="T98" s="94" t="s">
        <v>82</v>
      </c>
      <c r="U98" s="94">
        <v>8</v>
      </c>
      <c r="V98" s="94" t="s">
        <v>76</v>
      </c>
      <c r="W98" s="94">
        <v>8</v>
      </c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  <c r="CN98" s="94"/>
      <c r="CO98" s="94"/>
      <c r="CP98" s="94"/>
      <c r="CQ98" s="94"/>
      <c r="CR98" s="94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94"/>
      <c r="DS98" s="94"/>
      <c r="DT98" s="94"/>
      <c r="DU98" s="94"/>
      <c r="DV98" s="94"/>
      <c r="DW98" s="94"/>
      <c r="DX98" s="94"/>
      <c r="DY98" s="94"/>
      <c r="DZ98" s="94"/>
      <c r="EA98" s="94"/>
      <c r="EB98" s="94"/>
      <c r="EC98" s="94"/>
      <c r="ED98" s="94"/>
      <c r="EE98" s="94"/>
      <c r="EF98" s="94"/>
      <c r="EG98" s="94"/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4"/>
      <c r="FH98" s="94"/>
      <c r="FI98" s="94"/>
      <c r="FJ98" s="94"/>
      <c r="FK98" s="94"/>
      <c r="FL98" s="94"/>
      <c r="FM98" s="94"/>
      <c r="FN98" s="94"/>
      <c r="FO98" s="94"/>
      <c r="FP98" s="94"/>
      <c r="FQ98" s="94"/>
      <c r="FR98" s="94"/>
      <c r="FS98" s="94"/>
      <c r="FT98" s="94"/>
      <c r="FU98" s="94"/>
      <c r="FV98" s="94"/>
      <c r="FW98" s="94"/>
      <c r="FX98" s="94"/>
      <c r="FY98" s="94"/>
      <c r="FZ98" s="94"/>
      <c r="GA98" s="94"/>
      <c r="GB98" s="94"/>
      <c r="GC98" s="94"/>
      <c r="GD98" s="94"/>
    </row>
    <row r="99">
      <c r="A99" s="72">
        <v>46285</v>
      </c>
      <c r="B99" s="94" t="s">
        <v>73</v>
      </c>
      <c r="C99" s="107" t="s">
        <v>94</v>
      </c>
      <c r="D99" s="98">
        <v>4</v>
      </c>
      <c r="E99" s="124">
        <v>15213.41</v>
      </c>
      <c r="F99" s="122">
        <v>26</v>
      </c>
      <c r="G99" s="77">
        <v>16</v>
      </c>
      <c r="H99" s="77">
        <v>24959.6</v>
      </c>
      <c r="I99" s="76">
        <v>2</v>
      </c>
      <c r="J99" s="76">
        <v>1776</v>
      </c>
      <c r="K99" s="103">
        <f t="shared" si="21"/>
      </c>
      <c r="L99" s="79">
        <v>13</v>
      </c>
      <c r="M99" s="80">
        <v>17</v>
      </c>
      <c r="N99" s="77">
        <v>2</v>
      </c>
      <c r="O99" s="77">
        <v>10</v>
      </c>
      <c r="P99" s="103">
        <f t="shared" si="52"/>
      </c>
      <c r="Q99" s="82">
        <f t="shared" si="0"/>
      </c>
      <c r="R99" s="83">
        <f t="shared" si="32"/>
      </c>
      <c r="S99" s="82">
        <f t="shared" si="1"/>
      </c>
      <c r="T99" s="94"/>
      <c r="U99" s="94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87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7"/>
      <c r="DL99" s="87"/>
      <c r="DM99" s="87"/>
      <c r="DN99" s="87"/>
      <c r="DO99" s="87"/>
      <c r="DP99" s="87"/>
      <c r="DQ99" s="87"/>
      <c r="DR99" s="87"/>
      <c r="DS99" s="87"/>
      <c r="DT99" s="87"/>
      <c r="DU99" s="87"/>
      <c r="DV99" s="87"/>
      <c r="DW99" s="87"/>
      <c r="DX99" s="87"/>
      <c r="DY99" s="87"/>
      <c r="DZ99" s="87"/>
      <c r="EA99" s="87"/>
      <c r="EB99" s="87"/>
      <c r="EC99" s="87"/>
      <c r="ED99" s="87"/>
      <c r="EE99" s="87"/>
      <c r="EF99" s="87"/>
      <c r="EG99" s="87"/>
      <c r="EH99" s="87"/>
      <c r="EI99" s="87"/>
      <c r="EJ99" s="87"/>
      <c r="EK99" s="87"/>
      <c r="EL99" s="87"/>
      <c r="EM99" s="87"/>
      <c r="EN99" s="87"/>
      <c r="EO99" s="87"/>
      <c r="EP99" s="87"/>
      <c r="EQ99" s="87"/>
      <c r="ER99" s="87"/>
      <c r="ES99" s="87"/>
      <c r="ET99" s="87"/>
      <c r="EU99" s="87"/>
      <c r="EV99" s="87"/>
      <c r="EW99" s="87"/>
      <c r="EX99" s="87"/>
      <c r="EY99" s="87"/>
      <c r="EZ99" s="87"/>
      <c r="FA99" s="87"/>
      <c r="FB99" s="87"/>
      <c r="FC99" s="87"/>
      <c r="FD99" s="87"/>
      <c r="FE99" s="87"/>
      <c r="FF99" s="87"/>
      <c r="FG99" s="87"/>
      <c r="FH99" s="87"/>
      <c r="FI99" s="87"/>
      <c r="FJ99" s="87"/>
      <c r="FK99" s="87"/>
      <c r="FL99" s="87"/>
      <c r="FM99" s="87"/>
      <c r="FN99" s="87"/>
      <c r="FO99" s="87"/>
      <c r="FP99" s="87"/>
      <c r="FQ99" s="87"/>
      <c r="FR99" s="87"/>
      <c r="FS99" s="87"/>
      <c r="FT99" s="87"/>
      <c r="FU99" s="87"/>
      <c r="FV99" s="87"/>
      <c r="FW99" s="87"/>
      <c r="FX99" s="87"/>
      <c r="FY99" s="87"/>
      <c r="FZ99" s="87"/>
      <c r="GA99" s="87"/>
      <c r="GB99" s="87"/>
      <c r="GC99" s="87"/>
      <c r="GD99" s="87"/>
    </row>
    <row r="100">
      <c r="A100" s="72">
        <v>46285</v>
      </c>
      <c r="B100" s="94" t="s">
        <v>80</v>
      </c>
      <c r="C100" s="107" t="s">
        <v>95</v>
      </c>
      <c r="D100" s="98">
        <v>4</v>
      </c>
      <c r="E100" s="76">
        <v>10639.47</v>
      </c>
      <c r="F100" s="120">
        <v>15</v>
      </c>
      <c r="G100" s="77">
        <v>13</v>
      </c>
      <c r="H100" s="77">
        <v>12943.4</v>
      </c>
      <c r="I100" s="76">
        <v>1</v>
      </c>
      <c r="J100" s="76">
        <v>3936</v>
      </c>
      <c r="K100" s="103">
        <f t="shared" si="21"/>
      </c>
      <c r="L100" s="79">
        <v>11</v>
      </c>
      <c r="M100" s="80">
        <v>13</v>
      </c>
      <c r="N100" s="77">
        <v>1</v>
      </c>
      <c r="O100" s="77">
        <v>5</v>
      </c>
      <c r="P100" s="103">
        <f t="shared" si="52"/>
      </c>
      <c r="Q100" s="82">
        <f t="shared" si="0"/>
      </c>
      <c r="R100" s="83">
        <f t="shared" si="32"/>
      </c>
      <c r="S100" s="82">
        <f t="shared" si="1"/>
      </c>
      <c r="T100" s="94" t="s">
        <v>107</v>
      </c>
      <c r="U100" s="73">
        <v>6.15</v>
      </c>
      <c r="V100" s="87" t="s">
        <v>106</v>
      </c>
      <c r="W100" s="73">
        <v>6.15</v>
      </c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</row>
    <row r="101">
      <c r="A101" s="72">
        <v>46285</v>
      </c>
      <c r="B101" s="94" t="s">
        <v>84</v>
      </c>
      <c r="C101" s="85" t="s">
        <v>109</v>
      </c>
      <c r="D101" s="75">
        <v>2.15</v>
      </c>
      <c r="E101" s="76">
        <v>6250.91</v>
      </c>
      <c r="F101" s="95">
        <v>7</v>
      </c>
      <c r="G101" s="77">
        <v>4</v>
      </c>
      <c r="H101" s="77">
        <v>5875.2</v>
      </c>
      <c r="I101" s="76">
        <v>0</v>
      </c>
      <c r="J101" s="76">
        <v>0</v>
      </c>
      <c r="K101" s="103">
        <f t="shared" si="21"/>
      </c>
      <c r="L101" s="79">
        <v>4</v>
      </c>
      <c r="M101" s="80">
        <v>6</v>
      </c>
      <c r="N101" s="77">
        <v>0</v>
      </c>
      <c r="O101" s="77">
        <v>2</v>
      </c>
      <c r="P101" s="103">
        <f t="shared" si="52"/>
      </c>
      <c r="Q101" s="82">
        <f t="shared" si="0"/>
      </c>
      <c r="R101" s="83">
        <f t="shared" si="32"/>
      </c>
      <c r="S101" s="82">
        <f t="shared" si="1"/>
      </c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4"/>
      <c r="EA101" s="94"/>
      <c r="EB101" s="94"/>
      <c r="EC101" s="94"/>
      <c r="ED101" s="94"/>
      <c r="EE101" s="94"/>
      <c r="EF101" s="94"/>
      <c r="EG101" s="94"/>
      <c r="EH101" s="94"/>
      <c r="EI101" s="94"/>
      <c r="EJ101" s="94"/>
      <c r="EK101" s="94"/>
      <c r="EL101" s="94"/>
      <c r="EM101" s="94"/>
      <c r="EN101" s="94"/>
      <c r="EO101" s="94"/>
      <c r="EP101" s="94"/>
      <c r="EQ101" s="94"/>
      <c r="ER101" s="94"/>
      <c r="ES101" s="94"/>
      <c r="ET101" s="94"/>
      <c r="EU101" s="94"/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  <c r="FF101" s="94"/>
      <c r="FG101" s="94"/>
      <c r="FH101" s="94"/>
      <c r="FI101" s="94"/>
      <c r="FJ101" s="94"/>
      <c r="FK101" s="94"/>
      <c r="FL101" s="94"/>
      <c r="FM101" s="94"/>
      <c r="FN101" s="94"/>
      <c r="FO101" s="94"/>
      <c r="FP101" s="94"/>
      <c r="FQ101" s="94"/>
      <c r="FR101" s="94"/>
      <c r="FS101" s="94"/>
      <c r="FT101" s="94"/>
      <c r="FU101" s="94"/>
      <c r="FV101" s="94"/>
      <c r="FW101" s="94"/>
      <c r="FX101" s="94"/>
      <c r="FY101" s="94"/>
      <c r="FZ101" s="94"/>
      <c r="GA101" s="94"/>
      <c r="GB101" s="94"/>
      <c r="GC101" s="94"/>
      <c r="GD101" s="94"/>
    </row>
    <row r="102">
      <c r="A102" s="119">
        <v>46285</v>
      </c>
      <c r="B102" s="112" t="s">
        <v>83</v>
      </c>
      <c r="C102" s="113"/>
      <c r="D102" s="92">
        <f>SUM(D98:D101)</f>
      </c>
      <c r="E102" s="92">
        <f>SUM(E98:E101)</f>
      </c>
      <c r="F102" s="92">
        <f>SUM(F98:F101)</f>
      </c>
      <c r="G102" s="92">
        <f>SUM(G98:G101)</f>
      </c>
      <c r="H102" s="92">
        <f>SUM(H98:H101)</f>
      </c>
      <c r="I102" s="92">
        <f>SUM(I98:I101)</f>
      </c>
      <c r="J102" s="92">
        <f>SUM(J98:J101)</f>
      </c>
      <c r="K102" s="92">
        <f>SUM(K98:K101)</f>
      </c>
      <c r="L102" s="92">
        <f>SUM(L98:L101)</f>
      </c>
      <c r="M102" s="92">
        <f>SUM(M98:M101)</f>
      </c>
      <c r="N102" s="92">
        <f>SUM(N98:N101)</f>
      </c>
      <c r="O102" s="92">
        <f>SUM(O98:O101)</f>
      </c>
      <c r="P102" s="92">
        <f>SUM(P98:P101)</f>
      </c>
      <c r="Q102" s="93">
        <f t="shared" si="0"/>
      </c>
      <c r="R102" s="93">
        <f t="shared" si="32"/>
      </c>
      <c r="S102" s="93">
        <f t="shared" si="1"/>
      </c>
      <c r="T102" s="92"/>
      <c r="U102" s="92">
        <f>SUM(U98:U101)</f>
      </c>
      <c r="V102" s="92"/>
      <c r="W102" s="92">
        <f>SUM(W98:W101)</f>
      </c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92"/>
      <c r="CW102" s="92"/>
      <c r="CX102" s="92"/>
      <c r="CY102" s="92"/>
      <c r="CZ102" s="92"/>
      <c r="DA102" s="92"/>
      <c r="DB102" s="92"/>
      <c r="DC102" s="92"/>
      <c r="DD102" s="92"/>
      <c r="DE102" s="92"/>
      <c r="DF102" s="92"/>
      <c r="DG102" s="92"/>
      <c r="DH102" s="92"/>
      <c r="DI102" s="92"/>
      <c r="DJ102" s="92"/>
      <c r="DK102" s="92"/>
      <c r="DL102" s="92"/>
      <c r="DM102" s="92"/>
      <c r="DN102" s="92"/>
      <c r="DO102" s="92"/>
      <c r="DP102" s="92"/>
      <c r="DQ102" s="92"/>
      <c r="DR102" s="92"/>
      <c r="DS102" s="92"/>
      <c r="DT102" s="92"/>
      <c r="DU102" s="92"/>
      <c r="DV102" s="92"/>
      <c r="DW102" s="92"/>
      <c r="DX102" s="92"/>
      <c r="DY102" s="92"/>
      <c r="DZ102" s="92"/>
      <c r="EA102" s="92"/>
      <c r="EB102" s="92"/>
      <c r="EC102" s="92"/>
      <c r="ED102" s="92"/>
      <c r="EE102" s="92"/>
      <c r="EF102" s="92"/>
      <c r="EG102" s="92"/>
      <c r="EH102" s="92"/>
      <c r="EI102" s="92"/>
      <c r="EJ102" s="92"/>
      <c r="EK102" s="92"/>
      <c r="EL102" s="92"/>
      <c r="EM102" s="92"/>
      <c r="EN102" s="92"/>
      <c r="EO102" s="92"/>
      <c r="EP102" s="92"/>
      <c r="EQ102" s="92"/>
      <c r="ER102" s="92"/>
      <c r="ES102" s="92"/>
      <c r="ET102" s="92"/>
      <c r="EU102" s="92"/>
      <c r="EV102" s="92"/>
      <c r="EW102" s="92"/>
      <c r="EX102" s="92"/>
      <c r="EY102" s="92"/>
      <c r="EZ102" s="92"/>
      <c r="FA102" s="92"/>
      <c r="FB102" s="92"/>
      <c r="FC102" s="92"/>
      <c r="FD102" s="92"/>
      <c r="FE102" s="92"/>
      <c r="FF102" s="92"/>
      <c r="FG102" s="92"/>
      <c r="FH102" s="92"/>
      <c r="FI102" s="92"/>
      <c r="FJ102" s="92"/>
      <c r="FK102" s="92"/>
      <c r="FL102" s="92"/>
      <c r="FM102" s="92"/>
      <c r="FN102" s="92"/>
      <c r="FO102" s="92"/>
      <c r="FP102" s="92"/>
      <c r="FQ102" s="92"/>
      <c r="FR102" s="92"/>
      <c r="FS102" s="92"/>
      <c r="FT102" s="92"/>
      <c r="FU102" s="92"/>
      <c r="FV102" s="92"/>
      <c r="FW102" s="92"/>
      <c r="FX102" s="92"/>
      <c r="FY102" s="92"/>
      <c r="FZ102" s="92"/>
      <c r="GA102" s="92"/>
      <c r="GB102" s="92"/>
      <c r="GC102" s="92"/>
      <c r="GD102" s="92"/>
    </row>
    <row r="103">
      <c r="A103" s="72">
        <v>46286</v>
      </c>
      <c r="B103" s="94" t="s">
        <v>73</v>
      </c>
      <c r="C103" s="97" t="s">
        <v>93</v>
      </c>
      <c r="D103" s="98">
        <v>4</v>
      </c>
      <c r="E103" s="99">
        <v>11258.41</v>
      </c>
      <c r="F103" s="98">
        <v>23</v>
      </c>
      <c r="G103" s="106">
        <v>17</v>
      </c>
      <c r="H103" s="106">
        <v>31234.4</v>
      </c>
      <c r="I103" s="99">
        <v>5</v>
      </c>
      <c r="J103" s="99">
        <v>2084</v>
      </c>
      <c r="K103" s="103">
        <f t="shared" ref="K103:K106" si="22">G103+I103</f>
      </c>
      <c r="L103" s="79">
        <v>12</v>
      </c>
      <c r="M103" s="80">
        <v>13</v>
      </c>
      <c r="N103" s="77">
        <v>4</v>
      </c>
      <c r="O103" s="77">
        <v>12</v>
      </c>
      <c r="P103" s="103">
        <f t="shared" ref="P103:P106" si="53">J103+H103</f>
      </c>
      <c r="Q103" s="82">
        <f t="shared" si="0"/>
      </c>
      <c r="R103" s="83">
        <f t="shared" si="32"/>
      </c>
      <c r="S103" s="82">
        <f t="shared" si="1"/>
      </c>
      <c r="T103" s="94" t="s">
        <v>82</v>
      </c>
      <c r="U103" s="94">
        <v>8</v>
      </c>
      <c r="V103" s="73" t="s">
        <v>110</v>
      </c>
      <c r="W103" s="94">
        <v>8</v>
      </c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94"/>
      <c r="BW103" s="94"/>
      <c r="BX103" s="94"/>
      <c r="BY103" s="94"/>
      <c r="BZ103" s="94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  <c r="CN103" s="94"/>
      <c r="CO103" s="94"/>
      <c r="CP103" s="94"/>
      <c r="CQ103" s="94"/>
      <c r="CR103" s="94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C103" s="94"/>
      <c r="DD103" s="94"/>
      <c r="DE103" s="94"/>
      <c r="DF103" s="94"/>
      <c r="DG103" s="94"/>
      <c r="DH103" s="94"/>
      <c r="DI103" s="94"/>
      <c r="DJ103" s="94"/>
      <c r="DK103" s="94"/>
      <c r="DL103" s="94"/>
      <c r="DM103" s="94"/>
      <c r="DN103" s="94"/>
      <c r="DO103" s="94"/>
      <c r="DP103" s="94"/>
      <c r="DQ103" s="94"/>
      <c r="DR103" s="94"/>
      <c r="DS103" s="94"/>
      <c r="DT103" s="94"/>
      <c r="DU103" s="94"/>
      <c r="DV103" s="94"/>
      <c r="DW103" s="94"/>
      <c r="DX103" s="94"/>
      <c r="DY103" s="94"/>
      <c r="DZ103" s="94"/>
      <c r="EA103" s="94"/>
      <c r="EB103" s="94"/>
      <c r="EC103" s="94"/>
      <c r="ED103" s="94"/>
      <c r="EE103" s="94"/>
      <c r="EF103" s="94"/>
      <c r="EG103" s="94"/>
      <c r="EH103" s="94"/>
      <c r="EI103" s="94"/>
      <c r="EJ103" s="94"/>
      <c r="EK103" s="94"/>
      <c r="EL103" s="94"/>
      <c r="EM103" s="94"/>
      <c r="EN103" s="94"/>
      <c r="EO103" s="94"/>
      <c r="EP103" s="94"/>
      <c r="EQ103" s="94"/>
      <c r="ER103" s="94"/>
      <c r="ES103" s="94"/>
      <c r="ET103" s="94"/>
      <c r="EU103" s="94"/>
      <c r="EV103" s="94"/>
      <c r="EW103" s="94"/>
      <c r="EX103" s="94"/>
      <c r="EY103" s="94"/>
      <c r="EZ103" s="94"/>
      <c r="FA103" s="94"/>
      <c r="FB103" s="94"/>
      <c r="FC103" s="94"/>
      <c r="FD103" s="94"/>
      <c r="FE103" s="94"/>
      <c r="FF103" s="94"/>
      <c r="FG103" s="94"/>
      <c r="FH103" s="94"/>
      <c r="FI103" s="94"/>
      <c r="FJ103" s="94"/>
      <c r="FK103" s="94"/>
      <c r="FL103" s="94"/>
      <c r="FM103" s="94"/>
      <c r="FN103" s="94"/>
      <c r="FO103" s="94"/>
      <c r="FP103" s="94"/>
      <c r="FQ103" s="94"/>
      <c r="FR103" s="94"/>
      <c r="FS103" s="94"/>
      <c r="FT103" s="94"/>
      <c r="FU103" s="94"/>
      <c r="FV103" s="94"/>
      <c r="FW103" s="94"/>
      <c r="FX103" s="94"/>
      <c r="FY103" s="94"/>
      <c r="FZ103" s="94"/>
      <c r="GA103" s="94"/>
      <c r="GB103" s="94"/>
      <c r="GC103" s="94"/>
      <c r="GD103" s="94"/>
    </row>
    <row r="104">
      <c r="A104" s="72">
        <v>46286</v>
      </c>
      <c r="B104" s="94" t="s">
        <v>80</v>
      </c>
      <c r="C104" s="107" t="s">
        <v>94</v>
      </c>
      <c r="D104" s="98">
        <v>4</v>
      </c>
      <c r="E104" s="124">
        <v>13051.65</v>
      </c>
      <c r="F104" s="122">
        <v>16</v>
      </c>
      <c r="G104" s="77">
        <v>13</v>
      </c>
      <c r="H104" s="77">
        <v>20876.8</v>
      </c>
      <c r="I104" s="76">
        <v>1</v>
      </c>
      <c r="J104" s="76">
        <v>3936</v>
      </c>
      <c r="K104" s="103">
        <f t="shared" si="22"/>
      </c>
      <c r="L104" s="79">
        <v>12</v>
      </c>
      <c r="M104" s="80">
        <v>13</v>
      </c>
      <c r="N104" s="77">
        <v>0</v>
      </c>
      <c r="O104" s="77">
        <v>8</v>
      </c>
      <c r="P104" s="103">
        <f t="shared" si="53"/>
      </c>
      <c r="Q104" s="82">
        <f t="shared" si="0"/>
      </c>
      <c r="R104" s="83">
        <f t="shared" si="32"/>
      </c>
      <c r="S104" s="82">
        <f t="shared" si="1"/>
      </c>
      <c r="T104" s="94"/>
      <c r="U104" s="94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  <c r="EJ104" s="87"/>
      <c r="EK104" s="87"/>
      <c r="EL104" s="87"/>
      <c r="EM104" s="87"/>
      <c r="EN104" s="87"/>
      <c r="EO104" s="87"/>
      <c r="EP104" s="87"/>
      <c r="EQ104" s="87"/>
      <c r="ER104" s="87"/>
      <c r="ES104" s="87"/>
      <c r="ET104" s="87"/>
      <c r="EU104" s="87"/>
      <c r="EV104" s="87"/>
      <c r="EW104" s="87"/>
      <c r="EX104" s="87"/>
      <c r="EY104" s="87"/>
      <c r="EZ104" s="87"/>
      <c r="FA104" s="87"/>
      <c r="FB104" s="87"/>
      <c r="FC104" s="87"/>
      <c r="FD104" s="87"/>
      <c r="FE104" s="87"/>
      <c r="FF104" s="87"/>
      <c r="FG104" s="87"/>
      <c r="FH104" s="87"/>
      <c r="FI104" s="87"/>
      <c r="FJ104" s="87"/>
      <c r="FK104" s="87"/>
      <c r="FL104" s="87"/>
      <c r="FM104" s="87"/>
      <c r="FN104" s="87"/>
      <c r="FO104" s="87"/>
      <c r="FP104" s="87"/>
      <c r="FQ104" s="87"/>
      <c r="FR104" s="87"/>
      <c r="FS104" s="87"/>
      <c r="FT104" s="87"/>
      <c r="FU104" s="87"/>
      <c r="FV104" s="87"/>
      <c r="FW104" s="87"/>
      <c r="FX104" s="87"/>
      <c r="FY104" s="87"/>
      <c r="FZ104" s="87"/>
      <c r="GA104" s="87"/>
      <c r="GB104" s="87"/>
      <c r="GC104" s="87"/>
      <c r="GD104" s="87"/>
    </row>
    <row r="105">
      <c r="A105" s="72">
        <v>46286</v>
      </c>
      <c r="B105" s="94" t="s">
        <v>84</v>
      </c>
      <c r="C105" s="107" t="s">
        <v>95</v>
      </c>
      <c r="D105" s="98">
        <v>4</v>
      </c>
      <c r="E105" s="76">
        <v>9114.37</v>
      </c>
      <c r="F105" s="120">
        <v>6</v>
      </c>
      <c r="G105" s="77">
        <v>4</v>
      </c>
      <c r="H105" s="77">
        <v>4598</v>
      </c>
      <c r="I105" s="76">
        <v>2</v>
      </c>
      <c r="J105" s="76">
        <v>780</v>
      </c>
      <c r="K105" s="103">
        <f t="shared" si="22"/>
      </c>
      <c r="L105" s="79">
        <v>4</v>
      </c>
      <c r="M105" s="80">
        <v>4</v>
      </c>
      <c r="N105" s="77">
        <v>1</v>
      </c>
      <c r="O105" s="77">
        <v>2</v>
      </c>
      <c r="P105" s="103">
        <f t="shared" si="53"/>
      </c>
      <c r="Q105" s="82">
        <f t="shared" si="0"/>
      </c>
      <c r="R105" s="83">
        <f t="shared" si="32"/>
      </c>
      <c r="S105" s="82">
        <f t="shared" si="1"/>
      </c>
      <c r="T105" s="94" t="s">
        <v>107</v>
      </c>
      <c r="U105" s="73">
        <v>7.5</v>
      </c>
      <c r="V105" s="87" t="s">
        <v>106</v>
      </c>
      <c r="W105" s="73">
        <v>7.5</v>
      </c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/>
      <c r="FX105" s="73"/>
      <c r="FY105" s="73"/>
      <c r="FZ105" s="73"/>
      <c r="GA105" s="73"/>
      <c r="GB105" s="73"/>
      <c r="GC105" s="73"/>
      <c r="GD105" s="73"/>
    </row>
    <row r="106">
      <c r="A106" s="72">
        <v>46286</v>
      </c>
      <c r="B106" s="94" t="s">
        <v>77</v>
      </c>
      <c r="C106" s="85" t="s">
        <v>111</v>
      </c>
      <c r="D106" s="75">
        <v>3.5</v>
      </c>
      <c r="E106" s="76">
        <v>8915.27</v>
      </c>
      <c r="F106" s="95">
        <v>7</v>
      </c>
      <c r="G106" s="77">
        <v>3</v>
      </c>
      <c r="H106" s="77">
        <v>3600</v>
      </c>
      <c r="I106" s="76">
        <v>2</v>
      </c>
      <c r="J106" s="76">
        <v>577</v>
      </c>
      <c r="K106" s="103">
        <f t="shared" si="22"/>
      </c>
      <c r="L106" s="79">
        <v>5</v>
      </c>
      <c r="M106" s="80">
        <v>7</v>
      </c>
      <c r="N106" s="77">
        <v>0</v>
      </c>
      <c r="O106" s="77">
        <v>1</v>
      </c>
      <c r="P106" s="103">
        <f t="shared" si="53"/>
      </c>
      <c r="Q106" s="82">
        <f t="shared" si="0"/>
      </c>
      <c r="R106" s="83">
        <f t="shared" si="32"/>
      </c>
      <c r="S106" s="82">
        <f t="shared" si="1"/>
      </c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94"/>
      <c r="DS106" s="94"/>
      <c r="DT106" s="94"/>
      <c r="DU106" s="94"/>
      <c r="DV106" s="94"/>
      <c r="DW106" s="94"/>
      <c r="DX106" s="94"/>
      <c r="DY106" s="94"/>
      <c r="DZ106" s="94"/>
      <c r="EA106" s="94"/>
      <c r="EB106" s="94"/>
      <c r="EC106" s="94"/>
      <c r="ED106" s="94"/>
      <c r="EE106" s="94"/>
      <c r="EF106" s="94"/>
      <c r="EG106" s="94"/>
      <c r="EH106" s="94"/>
      <c r="EI106" s="94"/>
      <c r="EJ106" s="94"/>
      <c r="EK106" s="94"/>
      <c r="EL106" s="94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  <c r="FF106" s="94"/>
      <c r="FG106" s="94"/>
      <c r="FH106" s="94"/>
      <c r="FI106" s="94"/>
      <c r="FJ106" s="94"/>
      <c r="FK106" s="94"/>
      <c r="FL106" s="94"/>
      <c r="FM106" s="94"/>
      <c r="FN106" s="94"/>
      <c r="FO106" s="94"/>
      <c r="FP106" s="94"/>
      <c r="FQ106" s="94"/>
      <c r="FR106" s="94"/>
      <c r="FS106" s="94"/>
      <c r="FT106" s="94"/>
      <c r="FU106" s="94"/>
      <c r="FV106" s="94"/>
      <c r="FW106" s="94"/>
      <c r="FX106" s="94"/>
      <c r="FY106" s="94"/>
      <c r="FZ106" s="94"/>
      <c r="GA106" s="94"/>
      <c r="GB106" s="94"/>
      <c r="GC106" s="94"/>
      <c r="GD106" s="94"/>
    </row>
    <row r="107">
      <c r="A107" s="119">
        <v>46286</v>
      </c>
      <c r="B107" s="112" t="s">
        <v>83</v>
      </c>
      <c r="C107" s="113"/>
      <c r="D107" s="92">
        <f>SUM(D103:D106)</f>
      </c>
      <c r="E107" s="92">
        <f>SUM(E103:E106)</f>
      </c>
      <c r="F107" s="92">
        <f>SUM(F103:F106)</f>
      </c>
      <c r="G107" s="92">
        <f>SUM(G103:G106)</f>
      </c>
      <c r="H107" s="92">
        <f>SUM(H103:H106)</f>
      </c>
      <c r="I107" s="92">
        <f>SUM(I103:I106)</f>
      </c>
      <c r="J107" s="92">
        <f>SUM(J103:J106)</f>
      </c>
      <c r="K107" s="92">
        <f>SUM(K103:K106)</f>
      </c>
      <c r="L107" s="92">
        <f>SUM(L103:L106)</f>
      </c>
      <c r="M107" s="92">
        <f>SUM(M103:M106)</f>
      </c>
      <c r="N107" s="92">
        <f>SUM(N103:N106)</f>
      </c>
      <c r="O107" s="92">
        <f>SUM(O103:O106)</f>
      </c>
      <c r="P107" s="92">
        <f>SUM(P103:P106)</f>
      </c>
      <c r="Q107" s="93">
        <f t="shared" si="0"/>
      </c>
      <c r="R107" s="93">
        <f t="shared" si="32"/>
      </c>
      <c r="S107" s="93">
        <f t="shared" si="1"/>
      </c>
      <c r="T107" s="92"/>
      <c r="U107" s="92">
        <f>SUM(U103:U106)</f>
      </c>
      <c r="V107" s="92"/>
      <c r="W107" s="92">
        <f>SUM(W103:W106)</f>
      </c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  <c r="BZ107" s="92"/>
      <c r="CA107" s="92"/>
      <c r="CB107" s="92"/>
      <c r="CC107" s="92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  <c r="CU107" s="92"/>
      <c r="CV107" s="92"/>
      <c r="CW107" s="92"/>
      <c r="CX107" s="92"/>
      <c r="CY107" s="92"/>
      <c r="CZ107" s="92"/>
      <c r="DA107" s="92"/>
      <c r="DB107" s="92"/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  <c r="DQ107" s="92"/>
      <c r="DR107" s="92"/>
      <c r="DS107" s="92"/>
      <c r="DT107" s="92"/>
      <c r="DU107" s="92"/>
      <c r="DV107" s="92"/>
      <c r="DW107" s="92"/>
      <c r="DX107" s="92"/>
      <c r="DY107" s="92"/>
      <c r="DZ107" s="92"/>
      <c r="EA107" s="92"/>
      <c r="EB107" s="92"/>
      <c r="EC107" s="92"/>
      <c r="ED107" s="92"/>
      <c r="EE107" s="92"/>
      <c r="EF107" s="92"/>
      <c r="EG107" s="92"/>
      <c r="EH107" s="92"/>
      <c r="EI107" s="92"/>
      <c r="EJ107" s="92"/>
      <c r="EK107" s="92"/>
      <c r="EL107" s="92"/>
      <c r="EM107" s="92"/>
      <c r="EN107" s="92"/>
      <c r="EO107" s="92"/>
      <c r="EP107" s="92"/>
      <c r="EQ107" s="92"/>
      <c r="ER107" s="92"/>
      <c r="ES107" s="92"/>
      <c r="ET107" s="92"/>
      <c r="EU107" s="92"/>
      <c r="EV107" s="92"/>
      <c r="EW107" s="92"/>
      <c r="EX107" s="92"/>
      <c r="EY107" s="92"/>
      <c r="EZ107" s="92"/>
      <c r="FA107" s="92"/>
      <c r="FB107" s="92"/>
      <c r="FC107" s="92"/>
      <c r="FD107" s="92"/>
      <c r="FE107" s="92"/>
      <c r="FF107" s="92"/>
      <c r="FG107" s="92"/>
      <c r="FH107" s="92"/>
      <c r="FI107" s="92"/>
      <c r="FJ107" s="92"/>
      <c r="FK107" s="92"/>
      <c r="FL107" s="92"/>
      <c r="FM107" s="92"/>
      <c r="FN107" s="92"/>
      <c r="FO107" s="92"/>
      <c r="FP107" s="92"/>
      <c r="FQ107" s="92"/>
      <c r="FR107" s="92"/>
      <c r="FS107" s="92"/>
      <c r="FT107" s="92"/>
      <c r="FU107" s="92"/>
      <c r="FV107" s="92"/>
      <c r="FW107" s="92"/>
      <c r="FX107" s="92"/>
      <c r="FY107" s="92"/>
      <c r="FZ107" s="92"/>
      <c r="GA107" s="92"/>
      <c r="GB107" s="92"/>
      <c r="GC107" s="92"/>
      <c r="GD107" s="92"/>
    </row>
    <row r="108">
      <c r="A108" s="96">
        <v>46287</v>
      </c>
      <c r="B108" s="94" t="s">
        <v>73</v>
      </c>
      <c r="C108" s="97" t="s">
        <v>93</v>
      </c>
      <c r="D108" s="98">
        <v>4</v>
      </c>
      <c r="E108" s="99">
        <v>9228.57</v>
      </c>
      <c r="F108" s="98">
        <v>12</v>
      </c>
      <c r="G108" s="106">
        <v>7</v>
      </c>
      <c r="H108" s="106">
        <v>11267.5</v>
      </c>
      <c r="I108" s="99">
        <v>3</v>
      </c>
      <c r="J108" s="99">
        <v>1563</v>
      </c>
      <c r="K108" s="103">
        <f t="shared" ref="K108:K111" si="23">G108+I108</f>
      </c>
      <c r="L108" s="104">
        <v>6</v>
      </c>
      <c r="M108" s="105">
        <v>8</v>
      </c>
      <c r="N108" s="106">
        <v>1</v>
      </c>
      <c r="O108" s="106">
        <v>6</v>
      </c>
      <c r="P108" s="103">
        <f t="shared" ref="P108:P111" si="54">J108+H108</f>
      </c>
      <c r="Q108" s="82">
        <f t="shared" si="0"/>
      </c>
      <c r="R108" s="83">
        <f t="shared" si="32"/>
      </c>
      <c r="S108" s="82">
        <f t="shared" si="1"/>
      </c>
      <c r="T108" s="94" t="s">
        <v>82</v>
      </c>
      <c r="U108" s="94">
        <v>8</v>
      </c>
      <c r="V108" s="94" t="s">
        <v>110</v>
      </c>
      <c r="W108" s="94">
        <v>8</v>
      </c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B108" s="94"/>
      <c r="CC108" s="94"/>
      <c r="CD108" s="94"/>
      <c r="CE108" s="94"/>
      <c r="CF108" s="94"/>
      <c r="CG108" s="94"/>
      <c r="CH108" s="94"/>
      <c r="CI108" s="94"/>
      <c r="CJ108" s="94"/>
      <c r="CK108" s="94"/>
      <c r="CL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C108" s="94"/>
      <c r="DD108" s="94"/>
      <c r="DE108" s="94"/>
      <c r="DF108" s="94"/>
      <c r="DG108" s="94"/>
      <c r="DH108" s="94"/>
      <c r="DI108" s="94"/>
      <c r="DJ108" s="94"/>
      <c r="DK108" s="94"/>
      <c r="DL108" s="94"/>
      <c r="DM108" s="94"/>
      <c r="DN108" s="94"/>
      <c r="DO108" s="94"/>
      <c r="DP108" s="94"/>
      <c r="DQ108" s="94"/>
      <c r="DR108" s="94"/>
      <c r="DS108" s="94"/>
      <c r="DT108" s="94"/>
      <c r="DU108" s="94"/>
      <c r="DV108" s="94"/>
      <c r="DW108" s="94"/>
      <c r="DX108" s="94"/>
      <c r="DY108" s="94"/>
      <c r="DZ108" s="94"/>
      <c r="EA108" s="94"/>
      <c r="EB108" s="94"/>
      <c r="EC108" s="94"/>
      <c r="ED108" s="94"/>
      <c r="EE108" s="94"/>
      <c r="EF108" s="94"/>
      <c r="EG108" s="94"/>
      <c r="EH108" s="94"/>
      <c r="EI108" s="94"/>
      <c r="EJ108" s="94"/>
      <c r="EK108" s="94"/>
      <c r="EL108" s="94"/>
      <c r="EM108" s="94"/>
      <c r="EN108" s="94"/>
      <c r="EO108" s="94"/>
      <c r="EP108" s="94"/>
      <c r="EQ108" s="94"/>
      <c r="ER108" s="94"/>
      <c r="ES108" s="94"/>
      <c r="ET108" s="94"/>
      <c r="EU108" s="94"/>
      <c r="EV108" s="94"/>
      <c r="EW108" s="94"/>
      <c r="EX108" s="94"/>
      <c r="EY108" s="94"/>
      <c r="EZ108" s="94"/>
      <c r="FA108" s="94"/>
      <c r="FB108" s="94"/>
      <c r="FC108" s="94"/>
      <c r="FD108" s="94"/>
      <c r="FE108" s="94"/>
      <c r="FF108" s="94"/>
      <c r="FG108" s="94"/>
      <c r="FH108" s="94"/>
      <c r="FI108" s="94"/>
      <c r="FJ108" s="94"/>
      <c r="FK108" s="94"/>
      <c r="FL108" s="94"/>
      <c r="FM108" s="94"/>
      <c r="FN108" s="94"/>
      <c r="FO108" s="94"/>
      <c r="FP108" s="94"/>
      <c r="FQ108" s="94"/>
      <c r="FR108" s="94"/>
      <c r="FS108" s="94"/>
      <c r="FT108" s="94"/>
      <c r="FU108" s="94"/>
      <c r="FV108" s="94"/>
      <c r="FW108" s="94"/>
      <c r="FX108" s="94"/>
      <c r="FY108" s="94"/>
      <c r="FZ108" s="94"/>
      <c r="GA108" s="94"/>
      <c r="GB108" s="94"/>
      <c r="GC108" s="94"/>
      <c r="GD108" s="94"/>
    </row>
    <row r="109">
      <c r="A109" s="96">
        <v>46287</v>
      </c>
      <c r="B109" s="94" t="s">
        <v>90</v>
      </c>
      <c r="C109" s="107" t="s">
        <v>94</v>
      </c>
      <c r="D109" s="98">
        <v>4</v>
      </c>
      <c r="E109" s="125">
        <v>7732.5</v>
      </c>
      <c r="F109" s="108">
        <v>12</v>
      </c>
      <c r="G109" s="106">
        <v>10</v>
      </c>
      <c r="H109" s="106">
        <v>11692.8</v>
      </c>
      <c r="I109" s="99">
        <v>2</v>
      </c>
      <c r="J109" s="99">
        <v>1368</v>
      </c>
      <c r="K109" s="103">
        <f t="shared" si="23"/>
      </c>
      <c r="L109" s="104">
        <v>8</v>
      </c>
      <c r="M109" s="105">
        <v>8</v>
      </c>
      <c r="N109" s="106">
        <v>1</v>
      </c>
      <c r="O109" s="106">
        <v>1</v>
      </c>
      <c r="P109" s="103">
        <f t="shared" si="54"/>
      </c>
      <c r="Q109" s="82">
        <f t="shared" si="0"/>
      </c>
      <c r="R109" s="83">
        <f t="shared" si="32"/>
      </c>
      <c r="S109" s="82">
        <f t="shared" si="1"/>
      </c>
      <c r="T109" s="94"/>
      <c r="U109" s="94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7"/>
      <c r="EX109" s="87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7"/>
      <c r="FO109" s="87"/>
      <c r="FP109" s="87"/>
      <c r="FQ109" s="87"/>
      <c r="FR109" s="87"/>
      <c r="FS109" s="87"/>
      <c r="FT109" s="87"/>
      <c r="FU109" s="87"/>
      <c r="FV109" s="87"/>
      <c r="FW109" s="87"/>
      <c r="FX109" s="87"/>
      <c r="FY109" s="87"/>
      <c r="FZ109" s="87"/>
      <c r="GA109" s="87"/>
      <c r="GB109" s="87"/>
      <c r="GC109" s="87"/>
      <c r="GD109" s="87"/>
    </row>
    <row r="110">
      <c r="A110" s="96">
        <v>46287</v>
      </c>
      <c r="B110" s="94" t="s">
        <v>80</v>
      </c>
      <c r="C110" s="107" t="s">
        <v>95</v>
      </c>
      <c r="D110" s="98">
        <v>4</v>
      </c>
      <c r="E110" s="99">
        <v>7924.3</v>
      </c>
      <c r="F110" s="114">
        <v>11</v>
      </c>
      <c r="G110" s="106">
        <v>9</v>
      </c>
      <c r="H110" s="106">
        <v>15433.9</v>
      </c>
      <c r="I110" s="99">
        <v>1</v>
      </c>
      <c r="J110" s="99">
        <v>504</v>
      </c>
      <c r="K110" s="103">
        <f t="shared" si="23"/>
      </c>
      <c r="L110" s="104">
        <v>7</v>
      </c>
      <c r="M110" s="105">
        <v>8</v>
      </c>
      <c r="N110" s="106">
        <v>2</v>
      </c>
      <c r="O110" s="106">
        <v>5</v>
      </c>
      <c r="P110" s="103">
        <f t="shared" si="54"/>
      </c>
      <c r="Q110" s="82">
        <f t="shared" si="0"/>
      </c>
      <c r="R110" s="83">
        <f t="shared" si="32"/>
      </c>
      <c r="S110" s="82">
        <f t="shared" si="1"/>
      </c>
      <c r="T110" s="94" t="s">
        <v>107</v>
      </c>
      <c r="U110" s="94">
        <v>8</v>
      </c>
      <c r="V110" s="87" t="s">
        <v>110</v>
      </c>
      <c r="W110" s="94">
        <v>8</v>
      </c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  <c r="BB110" s="94"/>
      <c r="BC110" s="94"/>
      <c r="BD110" s="94"/>
      <c r="BE110" s="94"/>
      <c r="BF110" s="94"/>
      <c r="BG110" s="94"/>
      <c r="BH110" s="94"/>
      <c r="BI110" s="94"/>
      <c r="BJ110" s="94"/>
      <c r="BK110" s="94"/>
      <c r="BL110" s="94"/>
      <c r="BM110" s="94"/>
      <c r="BN110" s="94"/>
      <c r="BO110" s="94"/>
      <c r="BP110" s="94"/>
      <c r="BQ110" s="94"/>
      <c r="BR110" s="94"/>
      <c r="BS110" s="94"/>
      <c r="BT110" s="94"/>
      <c r="BU110" s="94"/>
      <c r="BV110" s="94"/>
      <c r="BW110" s="94"/>
      <c r="BX110" s="94"/>
      <c r="BY110" s="94"/>
      <c r="BZ110" s="94"/>
      <c r="CA110" s="94"/>
      <c r="CB110" s="94"/>
      <c r="CC110" s="94"/>
      <c r="CD110" s="94"/>
      <c r="CE110" s="94"/>
      <c r="CF110" s="94"/>
      <c r="CG110" s="94"/>
      <c r="CH110" s="94"/>
      <c r="CI110" s="94"/>
      <c r="CJ110" s="94"/>
      <c r="CK110" s="94"/>
      <c r="CL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C110" s="94"/>
      <c r="DD110" s="94"/>
      <c r="DE110" s="94"/>
      <c r="DF110" s="94"/>
      <c r="DG110" s="94"/>
      <c r="DH110" s="94"/>
      <c r="DI110" s="94"/>
      <c r="DJ110" s="94"/>
      <c r="DK110" s="94"/>
      <c r="DL110" s="94"/>
      <c r="DM110" s="94"/>
      <c r="DN110" s="94"/>
      <c r="DO110" s="94"/>
      <c r="DP110" s="94"/>
      <c r="DQ110" s="94"/>
      <c r="DR110" s="94"/>
      <c r="DS110" s="94"/>
      <c r="DT110" s="94"/>
      <c r="DU110" s="94"/>
      <c r="DV110" s="94"/>
      <c r="DW110" s="94"/>
      <c r="DX110" s="94"/>
      <c r="DY110" s="94"/>
      <c r="DZ110" s="94"/>
      <c r="EA110" s="94"/>
      <c r="EB110" s="94"/>
      <c r="EC110" s="94"/>
      <c r="ED110" s="94"/>
      <c r="EE110" s="94"/>
      <c r="EF110" s="94"/>
      <c r="EG110" s="94"/>
      <c r="EH110" s="94"/>
      <c r="EI110" s="94"/>
      <c r="EJ110" s="94"/>
      <c r="EK110" s="94"/>
      <c r="EL110" s="94"/>
      <c r="EM110" s="94"/>
      <c r="EN110" s="94"/>
      <c r="EO110" s="94"/>
      <c r="EP110" s="94"/>
      <c r="EQ110" s="94"/>
      <c r="ER110" s="94"/>
      <c r="ES110" s="94"/>
      <c r="ET110" s="94"/>
      <c r="EU110" s="94"/>
      <c r="EV110" s="94"/>
      <c r="EW110" s="94"/>
      <c r="EX110" s="94"/>
      <c r="EY110" s="94"/>
      <c r="EZ110" s="94"/>
      <c r="FA110" s="94"/>
      <c r="FB110" s="94"/>
      <c r="FC110" s="94"/>
      <c r="FD110" s="94"/>
      <c r="FE110" s="94"/>
      <c r="FF110" s="94"/>
      <c r="FG110" s="94"/>
      <c r="FH110" s="94"/>
      <c r="FI110" s="94"/>
      <c r="FJ110" s="94"/>
      <c r="FK110" s="94"/>
      <c r="FL110" s="94"/>
      <c r="FM110" s="94"/>
      <c r="FN110" s="94"/>
      <c r="FO110" s="94"/>
      <c r="FP110" s="94"/>
      <c r="FQ110" s="94"/>
      <c r="FR110" s="94"/>
      <c r="FS110" s="94"/>
      <c r="FT110" s="94"/>
      <c r="FU110" s="94"/>
      <c r="FV110" s="94"/>
      <c r="FW110" s="94"/>
      <c r="FX110" s="94"/>
      <c r="FY110" s="94"/>
      <c r="FZ110" s="94"/>
      <c r="GA110" s="94"/>
      <c r="GB110" s="94"/>
      <c r="GC110" s="94"/>
      <c r="GD110" s="94"/>
    </row>
    <row r="111">
      <c r="A111" s="96">
        <v>46287</v>
      </c>
      <c r="B111" s="94" t="s">
        <v>77</v>
      </c>
      <c r="C111" s="107" t="s">
        <v>88</v>
      </c>
      <c r="D111" s="98">
        <v>4</v>
      </c>
      <c r="E111" s="99">
        <v>9336.31</v>
      </c>
      <c r="F111" s="110">
        <v>22</v>
      </c>
      <c r="G111" s="106">
        <v>17</v>
      </c>
      <c r="H111" s="106">
        <v>21814.4</v>
      </c>
      <c r="I111" s="99">
        <v>2</v>
      </c>
      <c r="J111" s="99">
        <v>1471.2</v>
      </c>
      <c r="K111" s="103">
        <f t="shared" si="23"/>
      </c>
      <c r="L111" s="104">
        <v>11</v>
      </c>
      <c r="M111" s="105">
        <v>13</v>
      </c>
      <c r="N111" s="106">
        <v>2</v>
      </c>
      <c r="O111" s="106">
        <v>5</v>
      </c>
      <c r="P111" s="103">
        <f t="shared" si="54"/>
      </c>
      <c r="Q111" s="82">
        <f t="shared" si="0"/>
      </c>
      <c r="R111" s="83">
        <f t="shared" si="32"/>
      </c>
      <c r="S111" s="82">
        <f t="shared" si="1"/>
      </c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  <c r="BM111" s="94"/>
      <c r="BN111" s="94"/>
      <c r="BO111" s="94"/>
      <c r="BP111" s="94"/>
      <c r="BQ111" s="94"/>
      <c r="BR111" s="94"/>
      <c r="BS111" s="94"/>
      <c r="BT111" s="94"/>
      <c r="BU111" s="94"/>
      <c r="BV111" s="94"/>
      <c r="BW111" s="94"/>
      <c r="BX111" s="94"/>
      <c r="BY111" s="94"/>
      <c r="BZ111" s="94"/>
      <c r="CA111" s="94"/>
      <c r="CB111" s="94"/>
      <c r="CC111" s="94"/>
      <c r="CD111" s="94"/>
      <c r="CE111" s="94"/>
      <c r="CF111" s="94"/>
      <c r="CG111" s="94"/>
      <c r="CH111" s="94"/>
      <c r="CI111" s="94"/>
      <c r="CJ111" s="94"/>
      <c r="CK111" s="94"/>
      <c r="CL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C111" s="94"/>
      <c r="DD111" s="94"/>
      <c r="DE111" s="94"/>
      <c r="DF111" s="94"/>
      <c r="DG111" s="94"/>
      <c r="DH111" s="94"/>
      <c r="DI111" s="94"/>
      <c r="DJ111" s="94"/>
      <c r="DK111" s="94"/>
      <c r="DL111" s="94"/>
      <c r="DM111" s="94"/>
      <c r="DN111" s="94"/>
      <c r="DO111" s="94"/>
      <c r="DP111" s="94"/>
      <c r="DQ111" s="94"/>
      <c r="DR111" s="94"/>
      <c r="DS111" s="94"/>
      <c r="DT111" s="94"/>
      <c r="DU111" s="94"/>
      <c r="DV111" s="94"/>
      <c r="DW111" s="94"/>
      <c r="DX111" s="94"/>
      <c r="DY111" s="94"/>
      <c r="DZ111" s="94"/>
      <c r="EA111" s="94"/>
      <c r="EB111" s="94"/>
      <c r="EC111" s="94"/>
      <c r="ED111" s="94"/>
      <c r="EE111" s="94"/>
      <c r="EF111" s="94"/>
      <c r="EG111" s="94"/>
      <c r="EH111" s="94"/>
      <c r="EI111" s="94"/>
      <c r="EJ111" s="94"/>
      <c r="EK111" s="94"/>
      <c r="EL111" s="94"/>
      <c r="EM111" s="94"/>
      <c r="EN111" s="94"/>
      <c r="EO111" s="94"/>
      <c r="EP111" s="94"/>
      <c r="EQ111" s="94"/>
      <c r="ER111" s="94"/>
      <c r="ES111" s="94"/>
      <c r="ET111" s="94"/>
      <c r="EU111" s="94"/>
      <c r="EV111" s="94"/>
      <c r="EW111" s="94"/>
      <c r="EX111" s="94"/>
      <c r="EY111" s="94"/>
      <c r="EZ111" s="94"/>
      <c r="FA111" s="94"/>
      <c r="FB111" s="94"/>
      <c r="FC111" s="94"/>
      <c r="FD111" s="94"/>
      <c r="FE111" s="94"/>
      <c r="FF111" s="94"/>
      <c r="FG111" s="94"/>
      <c r="FH111" s="94"/>
      <c r="FI111" s="94"/>
      <c r="FJ111" s="94"/>
      <c r="FK111" s="94"/>
      <c r="FL111" s="94"/>
      <c r="FM111" s="94"/>
      <c r="FN111" s="94"/>
      <c r="FO111" s="94"/>
      <c r="FP111" s="94"/>
      <c r="FQ111" s="94"/>
      <c r="FR111" s="94"/>
      <c r="FS111" s="94"/>
      <c r="FT111" s="94"/>
      <c r="FU111" s="94"/>
      <c r="FV111" s="94"/>
      <c r="FW111" s="94"/>
      <c r="FX111" s="94"/>
      <c r="FY111" s="94"/>
      <c r="FZ111" s="94"/>
      <c r="GA111" s="94"/>
      <c r="GB111" s="94"/>
      <c r="GC111" s="94"/>
      <c r="GD111" s="94"/>
    </row>
    <row r="112">
      <c r="A112" s="111">
        <v>46287</v>
      </c>
      <c r="B112" s="112" t="s">
        <v>83</v>
      </c>
      <c r="C112" s="113"/>
      <c r="D112" s="92">
        <f>SUM(D108:D111)</f>
      </c>
      <c r="E112" s="92">
        <f>SUM(E108:E111)</f>
      </c>
      <c r="F112" s="92">
        <f>SUM(F108:F111)</f>
      </c>
      <c r="G112" s="92">
        <f>SUM(G108:G111)</f>
      </c>
      <c r="H112" s="92">
        <f>SUM(H108:H111)</f>
      </c>
      <c r="I112" s="92">
        <f>SUM(I108:I111)</f>
      </c>
      <c r="J112" s="92">
        <f>SUM(J108:J111)</f>
      </c>
      <c r="K112" s="92">
        <f>SUM(K108:K111)</f>
      </c>
      <c r="L112" s="92">
        <f>SUM(L108:L111)</f>
      </c>
      <c r="M112" s="92">
        <f>SUM(M108:M111)</f>
      </c>
      <c r="N112" s="92">
        <f>SUM(N108:N111)</f>
      </c>
      <c r="O112" s="92">
        <f>SUM(O108:O111)</f>
      </c>
      <c r="P112" s="92">
        <f>SUM(P108:P111)</f>
      </c>
      <c r="Q112" s="93">
        <f t="shared" si="0"/>
      </c>
      <c r="R112" s="93">
        <f t="shared" si="32"/>
      </c>
      <c r="S112" s="93">
        <f t="shared" si="1"/>
      </c>
      <c r="T112" s="92"/>
      <c r="U112" s="92">
        <f>SUM(U108:U111)</f>
      </c>
      <c r="V112" s="92"/>
      <c r="W112" s="92">
        <f>SUM(W108:W111)</f>
      </c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  <c r="CW112" s="92"/>
      <c r="CX112" s="92"/>
      <c r="CY112" s="92"/>
      <c r="CZ112" s="92"/>
      <c r="DA112" s="92"/>
      <c r="DB112" s="92"/>
      <c r="DC112" s="92"/>
      <c r="DD112" s="92"/>
      <c r="DE112" s="92"/>
      <c r="DF112" s="92"/>
      <c r="DG112" s="92"/>
      <c r="DH112" s="92"/>
      <c r="DI112" s="92"/>
      <c r="DJ112" s="92"/>
      <c r="DK112" s="92"/>
      <c r="DL112" s="92"/>
      <c r="DM112" s="92"/>
      <c r="DN112" s="92"/>
      <c r="DO112" s="92"/>
      <c r="DP112" s="92"/>
      <c r="DQ112" s="92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92"/>
      <c r="EE112" s="92"/>
      <c r="EF112" s="92"/>
      <c r="EG112" s="92"/>
      <c r="EH112" s="92"/>
      <c r="EI112" s="92"/>
      <c r="EJ112" s="92"/>
      <c r="EK112" s="92"/>
      <c r="EL112" s="92"/>
      <c r="EM112" s="92"/>
      <c r="EN112" s="92"/>
      <c r="EO112" s="92"/>
      <c r="EP112" s="92"/>
      <c r="EQ112" s="92"/>
      <c r="ER112" s="92"/>
      <c r="ES112" s="92"/>
      <c r="ET112" s="92"/>
      <c r="EU112" s="92"/>
      <c r="EV112" s="92"/>
      <c r="EW112" s="92"/>
      <c r="EX112" s="92"/>
      <c r="EY112" s="92"/>
      <c r="EZ112" s="92"/>
      <c r="FA112" s="92"/>
      <c r="FB112" s="92"/>
      <c r="FC112" s="92"/>
      <c r="FD112" s="92"/>
      <c r="FE112" s="92"/>
      <c r="FF112" s="92"/>
      <c r="FG112" s="92"/>
      <c r="FH112" s="92"/>
      <c r="FI112" s="92"/>
      <c r="FJ112" s="92"/>
      <c r="FK112" s="92"/>
      <c r="FL112" s="92"/>
      <c r="FM112" s="92"/>
      <c r="FN112" s="92"/>
      <c r="FO112" s="92"/>
      <c r="FP112" s="92"/>
      <c r="FQ112" s="92"/>
      <c r="FR112" s="92"/>
      <c r="FS112" s="92"/>
      <c r="FT112" s="92"/>
      <c r="FU112" s="92"/>
      <c r="FV112" s="92"/>
      <c r="FW112" s="92"/>
      <c r="FX112" s="92"/>
      <c r="FY112" s="92"/>
      <c r="FZ112" s="92"/>
      <c r="GA112" s="92"/>
      <c r="GB112" s="92"/>
      <c r="GC112" s="92"/>
      <c r="GD112" s="92"/>
    </row>
    <row r="113">
      <c r="A113" s="96">
        <v>46288</v>
      </c>
      <c r="B113" s="94" t="s">
        <v>90</v>
      </c>
      <c r="C113" s="97" t="s">
        <v>93</v>
      </c>
      <c r="D113" s="98">
        <v>4</v>
      </c>
      <c r="E113" s="99">
        <v>8810.54</v>
      </c>
      <c r="F113" s="98">
        <v>7</v>
      </c>
      <c r="G113" s="106">
        <v>6</v>
      </c>
      <c r="H113" s="106">
        <v>10743.8</v>
      </c>
      <c r="I113" s="99">
        <v>0</v>
      </c>
      <c r="J113" s="99">
        <v>0</v>
      </c>
      <c r="K113" s="103">
        <f t="shared" ref="K113:K116" si="24">G113+I113</f>
      </c>
      <c r="L113" s="104">
        <v>5</v>
      </c>
      <c r="M113" s="105">
        <v>6</v>
      </c>
      <c r="N113" s="106">
        <v>0</v>
      </c>
      <c r="O113" s="106">
        <v>3</v>
      </c>
      <c r="P113" s="103">
        <f t="shared" ref="P113:P116" si="55">J113+H113</f>
      </c>
      <c r="Q113" s="82">
        <f t="shared" si="0"/>
      </c>
      <c r="R113" s="83">
        <f t="shared" si="32"/>
      </c>
      <c r="S113" s="82">
        <f t="shared" si="1"/>
      </c>
      <c r="T113" s="94" t="s">
        <v>82</v>
      </c>
      <c r="U113" s="94">
        <v>8</v>
      </c>
      <c r="V113" s="94" t="s">
        <v>110</v>
      </c>
      <c r="W113" s="94">
        <v>8</v>
      </c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  <c r="BB113" s="94"/>
      <c r="BC113" s="94"/>
      <c r="BD113" s="94"/>
      <c r="BE113" s="94"/>
      <c r="BF113" s="94"/>
      <c r="BG113" s="94"/>
      <c r="BH113" s="94"/>
      <c r="BI113" s="94"/>
      <c r="BJ113" s="94"/>
      <c r="BK113" s="94"/>
      <c r="BL113" s="94"/>
      <c r="BM113" s="94"/>
      <c r="BN113" s="94"/>
      <c r="BO113" s="94"/>
      <c r="BP113" s="94"/>
      <c r="BQ113" s="94"/>
      <c r="BR113" s="94"/>
      <c r="BS113" s="94"/>
      <c r="BT113" s="94"/>
      <c r="BU113" s="94"/>
      <c r="BV113" s="94"/>
      <c r="BW113" s="94"/>
      <c r="BX113" s="94"/>
      <c r="BY113" s="94"/>
      <c r="BZ113" s="94"/>
      <c r="CA113" s="94"/>
      <c r="CB113" s="94"/>
      <c r="CC113" s="94"/>
      <c r="CD113" s="94"/>
      <c r="CE113" s="94"/>
      <c r="CF113" s="94"/>
      <c r="CG113" s="94"/>
      <c r="CH113" s="94"/>
      <c r="CI113" s="94"/>
      <c r="CJ113" s="94"/>
      <c r="CK113" s="94"/>
      <c r="CL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C113" s="94"/>
      <c r="DD113" s="94"/>
      <c r="DE113" s="94"/>
      <c r="DF113" s="94"/>
      <c r="DG113" s="94"/>
      <c r="DH113" s="94"/>
      <c r="DI113" s="94"/>
      <c r="DJ113" s="94"/>
      <c r="DK113" s="94"/>
      <c r="DL113" s="94"/>
      <c r="DM113" s="94"/>
      <c r="DN113" s="94"/>
      <c r="DO113" s="94"/>
      <c r="DP113" s="94"/>
      <c r="DQ113" s="94"/>
      <c r="DR113" s="94"/>
      <c r="DS113" s="94"/>
      <c r="DT113" s="94"/>
      <c r="DU113" s="94"/>
      <c r="DV113" s="94"/>
      <c r="DW113" s="94"/>
      <c r="DX113" s="94"/>
      <c r="DY113" s="94"/>
      <c r="DZ113" s="94"/>
      <c r="EA113" s="94"/>
      <c r="EB113" s="94"/>
      <c r="EC113" s="94"/>
      <c r="ED113" s="94"/>
      <c r="EE113" s="94"/>
      <c r="EF113" s="94"/>
      <c r="EG113" s="94"/>
      <c r="EH113" s="94"/>
      <c r="EI113" s="94"/>
      <c r="EJ113" s="94"/>
      <c r="EK113" s="94"/>
      <c r="EL113" s="94"/>
      <c r="EM113" s="94"/>
      <c r="EN113" s="94"/>
      <c r="EO113" s="94"/>
      <c r="EP113" s="94"/>
      <c r="EQ113" s="94"/>
      <c r="ER113" s="94"/>
      <c r="ES113" s="94"/>
      <c r="ET113" s="94"/>
      <c r="EU113" s="94"/>
      <c r="EV113" s="94"/>
      <c r="EW113" s="94"/>
      <c r="EX113" s="94"/>
      <c r="EY113" s="94"/>
      <c r="EZ113" s="94"/>
      <c r="FA113" s="94"/>
      <c r="FB113" s="94"/>
      <c r="FC113" s="94"/>
      <c r="FD113" s="94"/>
      <c r="FE113" s="94"/>
      <c r="FF113" s="94"/>
      <c r="FG113" s="94"/>
      <c r="FH113" s="94"/>
      <c r="FI113" s="94"/>
      <c r="FJ113" s="94"/>
      <c r="FK113" s="94"/>
      <c r="FL113" s="94"/>
      <c r="FM113" s="94"/>
      <c r="FN113" s="94"/>
      <c r="FO113" s="94"/>
      <c r="FP113" s="94"/>
      <c r="FQ113" s="94"/>
      <c r="FR113" s="94"/>
      <c r="FS113" s="94"/>
      <c r="FT113" s="94"/>
      <c r="FU113" s="94"/>
      <c r="FV113" s="94"/>
      <c r="FW113" s="94"/>
      <c r="FX113" s="94"/>
      <c r="FY113" s="94"/>
      <c r="FZ113" s="94"/>
      <c r="GA113" s="94"/>
      <c r="GB113" s="94"/>
      <c r="GC113" s="94"/>
      <c r="GD113" s="94"/>
    </row>
    <row r="114">
      <c r="A114" s="96">
        <v>46288</v>
      </c>
      <c r="B114" s="94" t="s">
        <v>80</v>
      </c>
      <c r="C114" s="107" t="s">
        <v>94</v>
      </c>
      <c r="D114" s="98">
        <v>4</v>
      </c>
      <c r="E114" s="125">
        <v>7826.86</v>
      </c>
      <c r="F114" s="108">
        <v>10</v>
      </c>
      <c r="G114" s="106">
        <v>7</v>
      </c>
      <c r="H114" s="106">
        <v>11013.6</v>
      </c>
      <c r="I114" s="99">
        <v>1</v>
      </c>
      <c r="J114" s="99">
        <v>372</v>
      </c>
      <c r="K114" s="103">
        <f t="shared" si="24"/>
      </c>
      <c r="L114" s="104">
        <v>8</v>
      </c>
      <c r="M114" s="105">
        <v>10</v>
      </c>
      <c r="N114" s="106">
        <v>0</v>
      </c>
      <c r="O114" s="106">
        <v>3</v>
      </c>
      <c r="P114" s="103">
        <f t="shared" si="55"/>
      </c>
      <c r="Q114" s="82">
        <f t="shared" si="0"/>
      </c>
      <c r="R114" s="83">
        <f t="shared" si="32"/>
      </c>
      <c r="S114" s="82">
        <f t="shared" si="1"/>
      </c>
      <c r="T114" s="94"/>
      <c r="U114" s="94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  <c r="FU114" s="87"/>
      <c r="FV114" s="87"/>
      <c r="FW114" s="87"/>
      <c r="FX114" s="87"/>
      <c r="FY114" s="87"/>
      <c r="FZ114" s="87"/>
      <c r="GA114" s="87"/>
      <c r="GB114" s="87"/>
      <c r="GC114" s="87"/>
      <c r="GD114" s="87"/>
    </row>
    <row r="115">
      <c r="A115" s="96">
        <v>46288</v>
      </c>
      <c r="B115" s="94" t="s">
        <v>77</v>
      </c>
      <c r="C115" s="107" t="s">
        <v>95</v>
      </c>
      <c r="D115" s="98">
        <v>4</v>
      </c>
      <c r="E115" s="99">
        <v>7796.89</v>
      </c>
      <c r="F115" s="114">
        <v>3</v>
      </c>
      <c r="G115" s="106">
        <v>2</v>
      </c>
      <c r="H115" s="106">
        <v>3068.4</v>
      </c>
      <c r="I115" s="99">
        <v>1</v>
      </c>
      <c r="J115" s="99">
        <v>582</v>
      </c>
      <c r="K115" s="103">
        <f t="shared" si="24"/>
      </c>
      <c r="L115" s="104">
        <v>3</v>
      </c>
      <c r="M115" s="105">
        <v>3</v>
      </c>
      <c r="N115" s="106">
        <v>0</v>
      </c>
      <c r="O115" s="106">
        <v>2</v>
      </c>
      <c r="P115" s="103">
        <f t="shared" si="55"/>
      </c>
      <c r="Q115" s="82">
        <f t="shared" si="0"/>
      </c>
      <c r="R115" s="83">
        <f t="shared" si="32"/>
      </c>
      <c r="S115" s="82">
        <f t="shared" si="1"/>
      </c>
      <c r="T115" s="94" t="s">
        <v>107</v>
      </c>
      <c r="U115" s="94">
        <v>8</v>
      </c>
      <c r="V115" s="87" t="s">
        <v>110</v>
      </c>
      <c r="W115" s="94">
        <v>8</v>
      </c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  <c r="BB115" s="94"/>
      <c r="BC115" s="94"/>
      <c r="BD115" s="94"/>
      <c r="BE115" s="94"/>
      <c r="BF115" s="94"/>
      <c r="BG115" s="94"/>
      <c r="BH115" s="94"/>
      <c r="BI115" s="94"/>
      <c r="BJ115" s="94"/>
      <c r="BK115" s="94"/>
      <c r="BL115" s="94"/>
      <c r="BM115" s="94"/>
      <c r="BN115" s="94"/>
      <c r="BO115" s="94"/>
      <c r="BP115" s="94"/>
      <c r="BQ115" s="94"/>
      <c r="BR115" s="94"/>
      <c r="BS115" s="94"/>
      <c r="BT115" s="94"/>
      <c r="BU115" s="94"/>
      <c r="BV115" s="94"/>
      <c r="BW115" s="94"/>
      <c r="BX115" s="94"/>
      <c r="BY115" s="94"/>
      <c r="BZ115" s="94"/>
      <c r="CA115" s="94"/>
      <c r="CB115" s="94"/>
      <c r="CC115" s="94"/>
      <c r="CD115" s="94"/>
      <c r="CE115" s="94"/>
      <c r="CF115" s="94"/>
      <c r="CG115" s="94"/>
      <c r="CH115" s="94"/>
      <c r="CI115" s="94"/>
      <c r="CJ115" s="94"/>
      <c r="CK115" s="94"/>
      <c r="CL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C115" s="94"/>
      <c r="DD115" s="94"/>
      <c r="DE115" s="94"/>
      <c r="DF115" s="94"/>
      <c r="DG115" s="94"/>
      <c r="DH115" s="94"/>
      <c r="DI115" s="94"/>
      <c r="DJ115" s="94"/>
      <c r="DK115" s="94"/>
      <c r="DL115" s="94"/>
      <c r="DM115" s="94"/>
      <c r="DN115" s="94"/>
      <c r="DO115" s="94"/>
      <c r="DP115" s="94"/>
      <c r="DQ115" s="94"/>
      <c r="DR115" s="94"/>
      <c r="DS115" s="94"/>
      <c r="DT115" s="94"/>
      <c r="DU115" s="94"/>
      <c r="DV115" s="94"/>
      <c r="DW115" s="94"/>
      <c r="DX115" s="94"/>
      <c r="DY115" s="94"/>
      <c r="DZ115" s="94"/>
      <c r="EA115" s="94"/>
      <c r="EB115" s="94"/>
      <c r="EC115" s="94"/>
      <c r="ED115" s="94"/>
      <c r="EE115" s="94"/>
      <c r="EF115" s="94"/>
      <c r="EG115" s="94"/>
      <c r="EH115" s="94"/>
      <c r="EI115" s="94"/>
      <c r="EJ115" s="94"/>
      <c r="EK115" s="94"/>
      <c r="EL115" s="94"/>
      <c r="EM115" s="94"/>
      <c r="EN115" s="94"/>
      <c r="EO115" s="94"/>
      <c r="EP115" s="94"/>
      <c r="EQ115" s="94"/>
      <c r="ER115" s="94"/>
      <c r="ES115" s="94"/>
      <c r="ET115" s="94"/>
      <c r="EU115" s="94"/>
      <c r="EV115" s="94"/>
      <c r="EW115" s="94"/>
      <c r="EX115" s="94"/>
      <c r="EY115" s="94"/>
      <c r="EZ115" s="94"/>
      <c r="FA115" s="94"/>
      <c r="FB115" s="94"/>
      <c r="FC115" s="94"/>
      <c r="FD115" s="94"/>
      <c r="FE115" s="94"/>
      <c r="FF115" s="94"/>
      <c r="FG115" s="94"/>
      <c r="FH115" s="94"/>
      <c r="FI115" s="94"/>
      <c r="FJ115" s="94"/>
      <c r="FK115" s="94"/>
      <c r="FL115" s="94"/>
      <c r="FM115" s="94"/>
      <c r="FN115" s="94"/>
      <c r="FO115" s="94"/>
      <c r="FP115" s="94"/>
      <c r="FQ115" s="94"/>
      <c r="FR115" s="94"/>
      <c r="FS115" s="94"/>
      <c r="FT115" s="94"/>
      <c r="FU115" s="94"/>
      <c r="FV115" s="94"/>
      <c r="FW115" s="94"/>
      <c r="FX115" s="94"/>
      <c r="FY115" s="94"/>
      <c r="FZ115" s="94"/>
      <c r="GA115" s="94"/>
      <c r="GB115" s="94"/>
      <c r="GC115" s="94"/>
      <c r="GD115" s="94"/>
    </row>
    <row r="116">
      <c r="A116" s="96">
        <v>46288</v>
      </c>
      <c r="B116" s="94" t="s">
        <v>84</v>
      </c>
      <c r="C116" s="107" t="s">
        <v>88</v>
      </c>
      <c r="D116" s="98">
        <v>4</v>
      </c>
      <c r="E116" s="99">
        <v>6939.09</v>
      </c>
      <c r="F116" s="110">
        <v>8</v>
      </c>
      <c r="G116" s="106">
        <v>7</v>
      </c>
      <c r="H116" s="106">
        <v>10815.6</v>
      </c>
      <c r="I116" s="99">
        <v>0</v>
      </c>
      <c r="J116" s="99">
        <v>0</v>
      </c>
      <c r="K116" s="103">
        <f t="shared" si="24"/>
      </c>
      <c r="L116" s="104">
        <v>7</v>
      </c>
      <c r="M116" s="105">
        <v>8</v>
      </c>
      <c r="N116" s="106">
        <v>0</v>
      </c>
      <c r="O116" s="106">
        <v>5</v>
      </c>
      <c r="P116" s="103">
        <f t="shared" si="55"/>
      </c>
      <c r="Q116" s="82">
        <f t="shared" si="0"/>
      </c>
      <c r="R116" s="83">
        <f t="shared" si="32"/>
      </c>
      <c r="S116" s="82">
        <f t="shared" si="1"/>
      </c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  <c r="BB116" s="94"/>
      <c r="BC116" s="94"/>
      <c r="BD116" s="94"/>
      <c r="BE116" s="94"/>
      <c r="BF116" s="94"/>
      <c r="BG116" s="94"/>
      <c r="BH116" s="94"/>
      <c r="BI116" s="94"/>
      <c r="BJ116" s="94"/>
      <c r="BK116" s="94"/>
      <c r="BL116" s="94"/>
      <c r="BM116" s="94"/>
      <c r="BN116" s="94"/>
      <c r="BO116" s="94"/>
      <c r="BP116" s="94"/>
      <c r="BQ116" s="94"/>
      <c r="BR116" s="94"/>
      <c r="BS116" s="94"/>
      <c r="BT116" s="94"/>
      <c r="BU116" s="94"/>
      <c r="BV116" s="94"/>
      <c r="BW116" s="94"/>
      <c r="BX116" s="94"/>
      <c r="BY116" s="94"/>
      <c r="BZ116" s="94"/>
      <c r="CA116" s="94"/>
      <c r="CB116" s="94"/>
      <c r="CC116" s="94"/>
      <c r="CD116" s="94"/>
      <c r="CE116" s="94"/>
      <c r="CF116" s="94"/>
      <c r="CG116" s="94"/>
      <c r="CH116" s="94"/>
      <c r="CI116" s="94"/>
      <c r="CJ116" s="94"/>
      <c r="CK116" s="94"/>
      <c r="CL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C116" s="94"/>
      <c r="DD116" s="94"/>
      <c r="DE116" s="94"/>
      <c r="DF116" s="94"/>
      <c r="DG116" s="94"/>
      <c r="DH116" s="94"/>
      <c r="DI116" s="94"/>
      <c r="DJ116" s="94"/>
      <c r="DK116" s="94"/>
      <c r="DL116" s="94"/>
      <c r="DM116" s="94"/>
      <c r="DN116" s="94"/>
      <c r="DO116" s="94"/>
      <c r="DP116" s="94"/>
      <c r="DQ116" s="94"/>
      <c r="DR116" s="94"/>
      <c r="DS116" s="94"/>
      <c r="DT116" s="94"/>
      <c r="DU116" s="94"/>
      <c r="DV116" s="94"/>
      <c r="DW116" s="94"/>
      <c r="DX116" s="94"/>
      <c r="DY116" s="94"/>
      <c r="DZ116" s="94"/>
      <c r="EA116" s="94"/>
      <c r="EB116" s="94"/>
      <c r="EC116" s="94"/>
      <c r="ED116" s="94"/>
      <c r="EE116" s="94"/>
      <c r="EF116" s="94"/>
      <c r="EG116" s="94"/>
      <c r="EH116" s="94"/>
      <c r="EI116" s="94"/>
      <c r="EJ116" s="94"/>
      <c r="EK116" s="94"/>
      <c r="EL116" s="94"/>
      <c r="EM116" s="94"/>
      <c r="EN116" s="94"/>
      <c r="EO116" s="94"/>
      <c r="EP116" s="94"/>
      <c r="EQ116" s="94"/>
      <c r="ER116" s="94"/>
      <c r="ES116" s="94"/>
      <c r="ET116" s="94"/>
      <c r="EU116" s="94"/>
      <c r="EV116" s="94"/>
      <c r="EW116" s="94"/>
      <c r="EX116" s="94"/>
      <c r="EY116" s="94"/>
      <c r="EZ116" s="94"/>
      <c r="FA116" s="94"/>
      <c r="FB116" s="94"/>
      <c r="FC116" s="94"/>
      <c r="FD116" s="94"/>
      <c r="FE116" s="94"/>
      <c r="FF116" s="94"/>
      <c r="FG116" s="94"/>
      <c r="FH116" s="94"/>
      <c r="FI116" s="94"/>
      <c r="FJ116" s="94"/>
      <c r="FK116" s="94"/>
      <c r="FL116" s="94"/>
      <c r="FM116" s="94"/>
      <c r="FN116" s="94"/>
      <c r="FO116" s="94"/>
      <c r="FP116" s="94"/>
      <c r="FQ116" s="94"/>
      <c r="FR116" s="94"/>
      <c r="FS116" s="94"/>
      <c r="FT116" s="94"/>
      <c r="FU116" s="94"/>
      <c r="FV116" s="94"/>
      <c r="FW116" s="94"/>
      <c r="FX116" s="94"/>
      <c r="FY116" s="94"/>
      <c r="FZ116" s="94"/>
      <c r="GA116" s="94"/>
      <c r="GB116" s="94"/>
      <c r="GC116" s="94"/>
      <c r="GD116" s="94"/>
    </row>
    <row r="117">
      <c r="A117" s="111">
        <v>46288</v>
      </c>
      <c r="B117" s="112" t="s">
        <v>83</v>
      </c>
      <c r="C117" s="113"/>
      <c r="D117" s="92">
        <f>SUM(D113:D116)</f>
      </c>
      <c r="E117" s="92">
        <f>SUM(E113:E116)</f>
      </c>
      <c r="F117" s="92">
        <f>SUM(F113:F116)</f>
      </c>
      <c r="G117" s="92">
        <f>SUM(G113:G116)</f>
      </c>
      <c r="H117" s="92">
        <f>SUM(H113:H116)</f>
      </c>
      <c r="I117" s="92">
        <f>SUM(I113:I116)</f>
      </c>
      <c r="J117" s="92">
        <f>SUM(J113:J116)</f>
      </c>
      <c r="K117" s="92">
        <f>SUM(K113:K116)</f>
      </c>
      <c r="L117" s="92">
        <f>SUM(L113:L116)</f>
      </c>
      <c r="M117" s="92">
        <f>SUM(M113:M116)</f>
      </c>
      <c r="N117" s="92">
        <f>SUM(N113:N116)</f>
      </c>
      <c r="O117" s="92">
        <f>SUM(O113:O116)</f>
      </c>
      <c r="P117" s="92">
        <f>SUM(P113:P116)</f>
      </c>
      <c r="Q117" s="93">
        <f t="shared" si="0"/>
      </c>
      <c r="R117" s="93">
        <f t="shared" si="32"/>
      </c>
      <c r="S117" s="93">
        <f t="shared" si="1"/>
      </c>
      <c r="T117" s="92"/>
      <c r="U117" s="92">
        <f>SUM(U113:U116)</f>
      </c>
      <c r="V117" s="92"/>
      <c r="W117" s="92">
        <f>SUM(W113:W116)</f>
      </c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  <c r="CW117" s="92"/>
      <c r="CX117" s="92"/>
      <c r="CY117" s="92"/>
      <c r="CZ117" s="92"/>
      <c r="DA117" s="92"/>
      <c r="DB117" s="92"/>
      <c r="DC117" s="92"/>
      <c r="DD117" s="92"/>
      <c r="DE117" s="92"/>
      <c r="DF117" s="92"/>
      <c r="DG117" s="92"/>
      <c r="DH117" s="92"/>
      <c r="DI117" s="92"/>
      <c r="DJ117" s="92"/>
      <c r="DK117" s="92"/>
      <c r="DL117" s="92"/>
      <c r="DM117" s="92"/>
      <c r="DN117" s="92"/>
      <c r="DO117" s="92"/>
      <c r="DP117" s="92"/>
      <c r="DQ117" s="92"/>
      <c r="DR117" s="92"/>
      <c r="DS117" s="92"/>
      <c r="DT117" s="92"/>
      <c r="DU117" s="92"/>
      <c r="DV117" s="92"/>
      <c r="DW117" s="92"/>
      <c r="DX117" s="92"/>
      <c r="DY117" s="92"/>
      <c r="DZ117" s="92"/>
      <c r="EA117" s="92"/>
      <c r="EB117" s="92"/>
      <c r="EC117" s="92"/>
      <c r="ED117" s="92"/>
      <c r="EE117" s="92"/>
      <c r="EF117" s="92"/>
      <c r="EG117" s="92"/>
      <c r="EH117" s="92"/>
      <c r="EI117" s="92"/>
      <c r="EJ117" s="92"/>
      <c r="EK117" s="92"/>
      <c r="EL117" s="92"/>
      <c r="EM117" s="92"/>
      <c r="EN117" s="92"/>
      <c r="EO117" s="92"/>
      <c r="EP117" s="92"/>
      <c r="EQ117" s="92"/>
      <c r="ER117" s="92"/>
      <c r="ES117" s="92"/>
      <c r="ET117" s="92"/>
      <c r="EU117" s="92"/>
      <c r="EV117" s="92"/>
      <c r="EW117" s="92"/>
      <c r="EX117" s="92"/>
      <c r="EY117" s="92"/>
      <c r="EZ117" s="92"/>
      <c r="FA117" s="92"/>
      <c r="FB117" s="92"/>
      <c r="FC117" s="92"/>
      <c r="FD117" s="92"/>
      <c r="FE117" s="92"/>
      <c r="FF117" s="92"/>
      <c r="FG117" s="92"/>
      <c r="FH117" s="92"/>
      <c r="FI117" s="92"/>
      <c r="FJ117" s="92"/>
      <c r="FK117" s="92"/>
      <c r="FL117" s="92"/>
      <c r="FM117" s="92"/>
      <c r="FN117" s="92"/>
      <c r="FO117" s="92"/>
      <c r="FP117" s="92"/>
      <c r="FQ117" s="92"/>
      <c r="FR117" s="92"/>
      <c r="FS117" s="92"/>
      <c r="FT117" s="92"/>
      <c r="FU117" s="92"/>
      <c r="FV117" s="92"/>
      <c r="FW117" s="92"/>
      <c r="FX117" s="92"/>
      <c r="FY117" s="92"/>
      <c r="FZ117" s="92"/>
      <c r="GA117" s="92"/>
      <c r="GB117" s="92"/>
      <c r="GC117" s="92"/>
      <c r="GD117" s="92"/>
    </row>
    <row r="118">
      <c r="A118" s="96">
        <v>46289</v>
      </c>
      <c r="B118" s="94" t="s">
        <v>73</v>
      </c>
      <c r="C118" s="97" t="s">
        <v>93</v>
      </c>
      <c r="D118" s="98">
        <v>4</v>
      </c>
      <c r="E118" s="99">
        <v>9687.970000000001</v>
      </c>
      <c r="F118" s="98">
        <v>17</v>
      </c>
      <c r="G118" s="106">
        <v>14</v>
      </c>
      <c r="H118" s="106">
        <v>23853.4</v>
      </c>
      <c r="I118" s="99">
        <v>1</v>
      </c>
      <c r="J118" s="99">
        <v>582</v>
      </c>
      <c r="K118" s="103">
        <f t="shared" ref="K118:K121" si="25">G118+I118</f>
      </c>
      <c r="L118" s="104">
        <v>11</v>
      </c>
      <c r="M118" s="105">
        <v>12</v>
      </c>
      <c r="N118" s="106">
        <v>2</v>
      </c>
      <c r="O118" s="106">
        <v>9</v>
      </c>
      <c r="P118" s="103">
        <f t="shared" ref="P118:P121" si="56">J118+H118</f>
      </c>
      <c r="Q118" s="82">
        <f t="shared" si="0"/>
      </c>
      <c r="R118" s="83">
        <f t="shared" si="32"/>
      </c>
      <c r="S118" s="82">
        <f t="shared" si="1"/>
      </c>
      <c r="T118" s="94" t="s">
        <v>82</v>
      </c>
      <c r="U118" s="94">
        <v>8</v>
      </c>
      <c r="V118" s="94" t="s">
        <v>110</v>
      </c>
      <c r="W118" s="94">
        <v>8</v>
      </c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  <c r="BM118" s="94"/>
      <c r="BN118" s="94"/>
      <c r="BO118" s="94"/>
      <c r="BP118" s="94"/>
      <c r="BQ118" s="94"/>
      <c r="BR118" s="94"/>
      <c r="BS118" s="94"/>
      <c r="BT118" s="94"/>
      <c r="BU118" s="94"/>
      <c r="BV118" s="94"/>
      <c r="BW118" s="94"/>
      <c r="BX118" s="94"/>
      <c r="BY118" s="94"/>
      <c r="BZ118" s="94"/>
      <c r="CA118" s="94"/>
      <c r="CB118" s="94"/>
      <c r="CC118" s="94"/>
      <c r="CD118" s="94"/>
      <c r="CE118" s="94"/>
      <c r="CF118" s="94"/>
      <c r="CG118" s="94"/>
      <c r="CH118" s="94"/>
      <c r="CI118" s="94"/>
      <c r="CJ118" s="94"/>
      <c r="CK118" s="94"/>
      <c r="CL118" s="94"/>
      <c r="CM118" s="94"/>
      <c r="CN118" s="94"/>
      <c r="CO118" s="94"/>
      <c r="CP118" s="94"/>
      <c r="CQ118" s="94"/>
      <c r="CR118" s="94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C118" s="94"/>
      <c r="DD118" s="94"/>
      <c r="DE118" s="94"/>
      <c r="DF118" s="94"/>
      <c r="DG118" s="94"/>
      <c r="DH118" s="94"/>
      <c r="DI118" s="94"/>
      <c r="DJ118" s="94"/>
      <c r="DK118" s="94"/>
      <c r="DL118" s="94"/>
      <c r="DM118" s="94"/>
      <c r="DN118" s="94"/>
      <c r="DO118" s="94"/>
      <c r="DP118" s="94"/>
      <c r="DQ118" s="94"/>
      <c r="DR118" s="94"/>
      <c r="DS118" s="94"/>
      <c r="DT118" s="94"/>
      <c r="DU118" s="94"/>
      <c r="DV118" s="94"/>
      <c r="DW118" s="94"/>
      <c r="DX118" s="94"/>
      <c r="DY118" s="94"/>
      <c r="DZ118" s="94"/>
      <c r="EA118" s="94"/>
      <c r="EB118" s="94"/>
      <c r="EC118" s="94"/>
      <c r="ED118" s="94"/>
      <c r="EE118" s="94"/>
      <c r="EF118" s="94"/>
      <c r="EG118" s="94"/>
      <c r="EH118" s="94"/>
      <c r="EI118" s="94"/>
      <c r="EJ118" s="94"/>
      <c r="EK118" s="94"/>
      <c r="EL118" s="94"/>
      <c r="EM118" s="94"/>
      <c r="EN118" s="94"/>
      <c r="EO118" s="94"/>
      <c r="EP118" s="94"/>
      <c r="EQ118" s="94"/>
      <c r="ER118" s="94"/>
      <c r="ES118" s="94"/>
      <c r="ET118" s="94"/>
      <c r="EU118" s="94"/>
      <c r="EV118" s="94"/>
      <c r="EW118" s="94"/>
      <c r="EX118" s="94"/>
      <c r="EY118" s="94"/>
      <c r="EZ118" s="94"/>
      <c r="FA118" s="94"/>
      <c r="FB118" s="94"/>
      <c r="FC118" s="94"/>
      <c r="FD118" s="94"/>
      <c r="FE118" s="94"/>
      <c r="FF118" s="94"/>
      <c r="FG118" s="94"/>
      <c r="FH118" s="94"/>
      <c r="FI118" s="94"/>
      <c r="FJ118" s="94"/>
      <c r="FK118" s="94"/>
      <c r="FL118" s="94"/>
      <c r="FM118" s="94"/>
      <c r="FN118" s="94"/>
      <c r="FO118" s="94"/>
      <c r="FP118" s="94"/>
      <c r="FQ118" s="94"/>
      <c r="FR118" s="94"/>
      <c r="FS118" s="94"/>
      <c r="FT118" s="94"/>
      <c r="FU118" s="94"/>
      <c r="FV118" s="94"/>
      <c r="FW118" s="94"/>
      <c r="FX118" s="94"/>
      <c r="FY118" s="94"/>
      <c r="FZ118" s="94"/>
      <c r="GA118" s="94"/>
      <c r="GB118" s="94"/>
      <c r="GC118" s="94"/>
      <c r="GD118" s="94"/>
    </row>
    <row r="119">
      <c r="A119" s="96">
        <v>46289</v>
      </c>
      <c r="B119" s="94" t="s">
        <v>80</v>
      </c>
      <c r="C119" s="107" t="s">
        <v>94</v>
      </c>
      <c r="D119" s="98">
        <v>4</v>
      </c>
      <c r="E119" s="124">
        <v>7931.27</v>
      </c>
      <c r="F119" s="122">
        <v>15</v>
      </c>
      <c r="G119" s="77">
        <v>12</v>
      </c>
      <c r="H119" s="77">
        <v>19728.8</v>
      </c>
      <c r="I119" s="76">
        <v>1</v>
      </c>
      <c r="J119" s="76">
        <v>517</v>
      </c>
      <c r="K119" s="103">
        <f t="shared" si="25"/>
      </c>
      <c r="L119" s="79">
        <v>7</v>
      </c>
      <c r="M119" s="80">
        <v>10</v>
      </c>
      <c r="N119" s="77">
        <v>2</v>
      </c>
      <c r="O119" s="77">
        <v>5</v>
      </c>
      <c r="P119" s="103">
        <f t="shared" si="56"/>
      </c>
      <c r="Q119" s="82">
        <f t="shared" si="0"/>
      </c>
      <c r="R119" s="83">
        <f t="shared" si="32"/>
      </c>
      <c r="S119" s="82">
        <f t="shared" si="1"/>
      </c>
      <c r="T119" s="94"/>
      <c r="U119" s="94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87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  <c r="DK119" s="87"/>
      <c r="DL119" s="87"/>
      <c r="DM119" s="87"/>
      <c r="DN119" s="87"/>
      <c r="DO119" s="87"/>
      <c r="DP119" s="87"/>
      <c r="DQ119" s="87"/>
      <c r="DR119" s="87"/>
      <c r="DS119" s="87"/>
      <c r="DT119" s="87"/>
      <c r="DU119" s="87"/>
      <c r="DV119" s="87"/>
      <c r="DW119" s="87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87"/>
      <c r="EQ119" s="87"/>
      <c r="ER119" s="87"/>
      <c r="ES119" s="87"/>
      <c r="ET119" s="87"/>
      <c r="EU119" s="87"/>
      <c r="EV119" s="87"/>
      <c r="EW119" s="87"/>
      <c r="EX119" s="87"/>
      <c r="EY119" s="87"/>
      <c r="EZ119" s="87"/>
      <c r="FA119" s="87"/>
      <c r="FB119" s="87"/>
      <c r="FC119" s="87"/>
      <c r="FD119" s="87"/>
      <c r="FE119" s="87"/>
      <c r="FF119" s="87"/>
      <c r="FG119" s="87"/>
      <c r="FH119" s="87"/>
      <c r="FI119" s="87"/>
      <c r="FJ119" s="87"/>
      <c r="FK119" s="87"/>
      <c r="FL119" s="87"/>
      <c r="FM119" s="87"/>
      <c r="FN119" s="87"/>
      <c r="FO119" s="87"/>
      <c r="FP119" s="87"/>
      <c r="FQ119" s="87"/>
      <c r="FR119" s="87"/>
      <c r="FS119" s="87"/>
      <c r="FT119" s="87"/>
      <c r="FU119" s="87"/>
      <c r="FV119" s="87"/>
      <c r="FW119" s="87"/>
      <c r="FX119" s="87"/>
      <c r="FY119" s="87"/>
      <c r="FZ119" s="87"/>
      <c r="GA119" s="87"/>
      <c r="GB119" s="87"/>
      <c r="GC119" s="87"/>
      <c r="GD119" s="87"/>
    </row>
    <row r="120">
      <c r="A120" s="96">
        <v>46289</v>
      </c>
      <c r="B120" s="94" t="s">
        <v>84</v>
      </c>
      <c r="C120" s="107" t="s">
        <v>95</v>
      </c>
      <c r="D120" s="98">
        <v>4</v>
      </c>
      <c r="E120" s="76">
        <v>8523.88</v>
      </c>
      <c r="F120" s="120">
        <v>7</v>
      </c>
      <c r="G120" s="77">
        <v>5</v>
      </c>
      <c r="H120" s="77">
        <v>5522.4</v>
      </c>
      <c r="I120" s="76">
        <v>1</v>
      </c>
      <c r="J120" s="76">
        <v>300</v>
      </c>
      <c r="K120" s="103">
        <f t="shared" si="25"/>
      </c>
      <c r="L120" s="79">
        <v>5</v>
      </c>
      <c r="M120" s="80">
        <v>4</v>
      </c>
      <c r="N120" s="77">
        <v>1</v>
      </c>
      <c r="O120" s="77">
        <v>2</v>
      </c>
      <c r="P120" s="103">
        <f t="shared" si="56"/>
      </c>
      <c r="Q120" s="82">
        <f t="shared" si="0"/>
      </c>
      <c r="R120" s="83">
        <f t="shared" si="32"/>
      </c>
      <c r="S120" s="82">
        <f t="shared" si="1"/>
      </c>
      <c r="T120" s="94" t="s">
        <v>107</v>
      </c>
      <c r="U120" s="94">
        <v>8</v>
      </c>
      <c r="V120" s="87" t="s">
        <v>110</v>
      </c>
      <c r="W120" s="94">
        <v>8</v>
      </c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  <c r="BB120" s="94"/>
      <c r="BC120" s="94"/>
      <c r="BD120" s="94"/>
      <c r="BE120" s="94"/>
      <c r="BF120" s="94"/>
      <c r="BG120" s="94"/>
      <c r="BH120" s="94"/>
      <c r="BI120" s="94"/>
      <c r="BJ120" s="94"/>
      <c r="BK120" s="94"/>
      <c r="BL120" s="94"/>
      <c r="BM120" s="94"/>
      <c r="BN120" s="94"/>
      <c r="BO120" s="94"/>
      <c r="BP120" s="94"/>
      <c r="BQ120" s="94"/>
      <c r="BR120" s="94"/>
      <c r="BS120" s="94"/>
      <c r="BT120" s="94"/>
      <c r="BU120" s="94"/>
      <c r="BV120" s="94"/>
      <c r="BW120" s="94"/>
      <c r="BX120" s="94"/>
      <c r="BY120" s="94"/>
      <c r="BZ120" s="94"/>
      <c r="CA120" s="94"/>
      <c r="CB120" s="94"/>
      <c r="CC120" s="94"/>
      <c r="CD120" s="94"/>
      <c r="CE120" s="94"/>
      <c r="CF120" s="94"/>
      <c r="CG120" s="94"/>
      <c r="CH120" s="94"/>
      <c r="CI120" s="94"/>
      <c r="CJ120" s="94"/>
      <c r="CK120" s="94"/>
      <c r="CL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94"/>
      <c r="DM120" s="94"/>
      <c r="DN120" s="94"/>
      <c r="DO120" s="94"/>
      <c r="DP120" s="94"/>
      <c r="DQ120" s="94"/>
      <c r="DR120" s="94"/>
      <c r="DS120" s="94"/>
      <c r="DT120" s="94"/>
      <c r="DU120" s="94"/>
      <c r="DV120" s="94"/>
      <c r="DW120" s="94"/>
      <c r="DX120" s="94"/>
      <c r="DY120" s="94"/>
      <c r="DZ120" s="94"/>
      <c r="EA120" s="94"/>
      <c r="EB120" s="94"/>
      <c r="EC120" s="94"/>
      <c r="ED120" s="94"/>
      <c r="EE120" s="94"/>
      <c r="EF120" s="94"/>
      <c r="EG120" s="94"/>
      <c r="EH120" s="94"/>
      <c r="EI120" s="94"/>
      <c r="EJ120" s="94"/>
      <c r="EK120" s="94"/>
      <c r="EL120" s="94"/>
      <c r="EM120" s="94"/>
      <c r="EN120" s="94"/>
      <c r="EO120" s="94"/>
      <c r="EP120" s="94"/>
      <c r="EQ120" s="94"/>
      <c r="ER120" s="94"/>
      <c r="ES120" s="94"/>
      <c r="ET120" s="94"/>
      <c r="EU120" s="94"/>
      <c r="EV120" s="94"/>
      <c r="EW120" s="94"/>
      <c r="EX120" s="94"/>
      <c r="EY120" s="94"/>
      <c r="EZ120" s="94"/>
      <c r="FA120" s="94"/>
      <c r="FB120" s="94"/>
      <c r="FC120" s="94"/>
      <c r="FD120" s="94"/>
      <c r="FE120" s="94"/>
      <c r="FF120" s="94"/>
      <c r="FG120" s="94"/>
      <c r="FH120" s="94"/>
      <c r="FI120" s="94"/>
      <c r="FJ120" s="94"/>
      <c r="FK120" s="94"/>
      <c r="FL120" s="94"/>
      <c r="FM120" s="94"/>
      <c r="FN120" s="94"/>
      <c r="FO120" s="94"/>
      <c r="FP120" s="94"/>
      <c r="FQ120" s="94"/>
      <c r="FR120" s="94"/>
      <c r="FS120" s="94"/>
      <c r="FT120" s="94"/>
      <c r="FU120" s="94"/>
      <c r="FV120" s="94"/>
      <c r="FW120" s="94"/>
      <c r="FX120" s="94"/>
      <c r="FY120" s="94"/>
      <c r="FZ120" s="94"/>
      <c r="GA120" s="94"/>
      <c r="GB120" s="94"/>
      <c r="GC120" s="94"/>
      <c r="GD120" s="94"/>
    </row>
    <row r="121">
      <c r="A121" s="96">
        <v>46289</v>
      </c>
      <c r="B121" s="94" t="s">
        <v>90</v>
      </c>
      <c r="C121" s="107" t="s">
        <v>88</v>
      </c>
      <c r="D121" s="98">
        <v>4</v>
      </c>
      <c r="E121" s="76">
        <v>8176.24</v>
      </c>
      <c r="F121" s="95">
        <v>11</v>
      </c>
      <c r="G121" s="77">
        <v>10</v>
      </c>
      <c r="H121" s="77">
        <v>13780.8</v>
      </c>
      <c r="I121" s="76">
        <v>2</v>
      </c>
      <c r="J121" s="76">
        <v>1011</v>
      </c>
      <c r="K121" s="103">
        <f t="shared" si="25"/>
      </c>
      <c r="L121" s="79">
        <v>9</v>
      </c>
      <c r="M121" s="80">
        <v>9</v>
      </c>
      <c r="N121" s="77">
        <v>3</v>
      </c>
      <c r="O121" s="77">
        <v>5</v>
      </c>
      <c r="P121" s="103">
        <f t="shared" si="56"/>
      </c>
      <c r="Q121" s="82">
        <f t="shared" si="0"/>
      </c>
      <c r="R121" s="83">
        <f t="shared" si="32"/>
      </c>
      <c r="S121" s="82">
        <f t="shared" si="1"/>
      </c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  <c r="BM121" s="94"/>
      <c r="BN121" s="94"/>
      <c r="BO121" s="94"/>
      <c r="BP121" s="94"/>
      <c r="BQ121" s="94"/>
      <c r="BR121" s="94"/>
      <c r="BS121" s="94"/>
      <c r="BT121" s="94"/>
      <c r="BU121" s="94"/>
      <c r="BV121" s="94"/>
      <c r="BW121" s="94"/>
      <c r="BX121" s="94"/>
      <c r="BY121" s="94"/>
      <c r="BZ121" s="94"/>
      <c r="CA121" s="94"/>
      <c r="CB121" s="94"/>
      <c r="CC121" s="94"/>
      <c r="CD121" s="94"/>
      <c r="CE121" s="94"/>
      <c r="CF121" s="94"/>
      <c r="CG121" s="94"/>
      <c r="CH121" s="94"/>
      <c r="CI121" s="94"/>
      <c r="CJ121" s="94"/>
      <c r="CK121" s="94"/>
      <c r="CL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C121" s="94"/>
      <c r="DD121" s="94"/>
      <c r="DE121" s="94"/>
      <c r="DF121" s="94"/>
      <c r="DG121" s="94"/>
      <c r="DH121" s="94"/>
      <c r="DI121" s="94"/>
      <c r="DJ121" s="94"/>
      <c r="DK121" s="94"/>
      <c r="DL121" s="94"/>
      <c r="DM121" s="94"/>
      <c r="DN121" s="94"/>
      <c r="DO121" s="94"/>
      <c r="DP121" s="94"/>
      <c r="DQ121" s="94"/>
      <c r="DR121" s="94"/>
      <c r="DS121" s="94"/>
      <c r="DT121" s="94"/>
      <c r="DU121" s="94"/>
      <c r="DV121" s="94"/>
      <c r="DW121" s="94"/>
      <c r="DX121" s="94"/>
      <c r="DY121" s="94"/>
      <c r="DZ121" s="94"/>
      <c r="EA121" s="94"/>
      <c r="EB121" s="94"/>
      <c r="EC121" s="94"/>
      <c r="ED121" s="94"/>
      <c r="EE121" s="94"/>
      <c r="EF121" s="94"/>
      <c r="EG121" s="94"/>
      <c r="EH121" s="94"/>
      <c r="EI121" s="94"/>
      <c r="EJ121" s="94"/>
      <c r="EK121" s="94"/>
      <c r="EL121" s="94"/>
      <c r="EM121" s="94"/>
      <c r="EN121" s="94"/>
      <c r="EO121" s="94"/>
      <c r="EP121" s="94"/>
      <c r="EQ121" s="94"/>
      <c r="ER121" s="94"/>
      <c r="ES121" s="94"/>
      <c r="ET121" s="94"/>
      <c r="EU121" s="94"/>
      <c r="EV121" s="94"/>
      <c r="EW121" s="94"/>
      <c r="EX121" s="94"/>
      <c r="EY121" s="94"/>
      <c r="EZ121" s="94"/>
      <c r="FA121" s="94"/>
      <c r="FB121" s="94"/>
      <c r="FC121" s="94"/>
      <c r="FD121" s="94"/>
      <c r="FE121" s="94"/>
      <c r="FF121" s="94"/>
      <c r="FG121" s="94"/>
      <c r="FH121" s="94"/>
      <c r="FI121" s="94"/>
      <c r="FJ121" s="94"/>
      <c r="FK121" s="94"/>
      <c r="FL121" s="94"/>
      <c r="FM121" s="94"/>
      <c r="FN121" s="94"/>
      <c r="FO121" s="94"/>
      <c r="FP121" s="94"/>
      <c r="FQ121" s="94"/>
      <c r="FR121" s="94"/>
      <c r="FS121" s="94"/>
      <c r="FT121" s="94"/>
      <c r="FU121" s="94"/>
      <c r="FV121" s="94"/>
      <c r="FW121" s="94"/>
      <c r="FX121" s="94"/>
      <c r="FY121" s="94"/>
      <c r="FZ121" s="94"/>
      <c r="GA121" s="94"/>
      <c r="GB121" s="94"/>
      <c r="GC121" s="94"/>
      <c r="GD121" s="94"/>
    </row>
    <row r="122">
      <c r="A122" s="111">
        <v>46289</v>
      </c>
      <c r="B122" s="112" t="s">
        <v>83</v>
      </c>
      <c r="C122" s="113"/>
      <c r="D122" s="92">
        <f>SUM(D118:D121)</f>
      </c>
      <c r="E122" s="92">
        <f>SUM(E118:E121)</f>
      </c>
      <c r="F122" s="92">
        <f>SUM(F118:F121)</f>
      </c>
      <c r="G122" s="92">
        <f>SUM(G118:G121)</f>
      </c>
      <c r="H122" s="92">
        <f>SUM(H118:H121)</f>
      </c>
      <c r="I122" s="92">
        <f>SUM(I118:I121)</f>
      </c>
      <c r="J122" s="92">
        <f>SUM(J118:J121)</f>
      </c>
      <c r="K122" s="92">
        <f>SUM(K118:K121)</f>
      </c>
      <c r="L122" s="92">
        <f>SUM(L118:L121)</f>
      </c>
      <c r="M122" s="92">
        <f>SUM(M118:M121)</f>
      </c>
      <c r="N122" s="92">
        <f>SUM(N118:N121)</f>
      </c>
      <c r="O122" s="92">
        <f>SUM(O118:O121)</f>
      </c>
      <c r="P122" s="92">
        <f>SUM(P118:P121)</f>
      </c>
      <c r="Q122" s="93">
        <f t="shared" si="0"/>
      </c>
      <c r="R122" s="93">
        <f t="shared" si="32"/>
      </c>
      <c r="S122" s="93">
        <f t="shared" si="1"/>
      </c>
      <c r="T122" s="92"/>
      <c r="U122" s="92">
        <f>SUM(U118:U121)</f>
      </c>
      <c r="V122" s="92"/>
      <c r="W122" s="92">
        <f>SUM(W118:W121)</f>
      </c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  <c r="CV122" s="92"/>
      <c r="CW122" s="92"/>
      <c r="CX122" s="92"/>
      <c r="CY122" s="92"/>
      <c r="CZ122" s="92"/>
      <c r="DA122" s="92"/>
      <c r="DB122" s="92"/>
      <c r="DC122" s="92"/>
      <c r="DD122" s="92"/>
      <c r="DE122" s="92"/>
      <c r="DF122" s="92"/>
      <c r="DG122" s="92"/>
      <c r="DH122" s="92"/>
      <c r="DI122" s="92"/>
      <c r="DJ122" s="92"/>
      <c r="DK122" s="92"/>
      <c r="DL122" s="92"/>
      <c r="DM122" s="92"/>
      <c r="DN122" s="92"/>
      <c r="DO122" s="92"/>
      <c r="DP122" s="92"/>
      <c r="DQ122" s="92"/>
      <c r="DR122" s="92"/>
      <c r="DS122" s="92"/>
      <c r="DT122" s="92"/>
      <c r="DU122" s="92"/>
      <c r="DV122" s="92"/>
      <c r="DW122" s="92"/>
      <c r="DX122" s="92"/>
      <c r="DY122" s="92"/>
      <c r="DZ122" s="92"/>
      <c r="EA122" s="92"/>
      <c r="EB122" s="92"/>
      <c r="EC122" s="92"/>
      <c r="ED122" s="92"/>
      <c r="EE122" s="92"/>
      <c r="EF122" s="92"/>
      <c r="EG122" s="92"/>
      <c r="EH122" s="92"/>
      <c r="EI122" s="92"/>
      <c r="EJ122" s="92"/>
      <c r="EK122" s="92"/>
      <c r="EL122" s="92"/>
      <c r="EM122" s="92"/>
      <c r="EN122" s="92"/>
      <c r="EO122" s="92"/>
      <c r="EP122" s="92"/>
      <c r="EQ122" s="92"/>
      <c r="ER122" s="92"/>
      <c r="ES122" s="92"/>
      <c r="ET122" s="92"/>
      <c r="EU122" s="92"/>
      <c r="EV122" s="92"/>
      <c r="EW122" s="92"/>
      <c r="EX122" s="92"/>
      <c r="EY122" s="92"/>
      <c r="EZ122" s="92"/>
      <c r="FA122" s="92"/>
      <c r="FB122" s="92"/>
      <c r="FC122" s="92"/>
      <c r="FD122" s="92"/>
      <c r="FE122" s="92"/>
      <c r="FF122" s="92"/>
      <c r="FG122" s="92"/>
      <c r="FH122" s="92"/>
      <c r="FI122" s="92"/>
      <c r="FJ122" s="92"/>
      <c r="FK122" s="92"/>
      <c r="FL122" s="92"/>
      <c r="FM122" s="92"/>
      <c r="FN122" s="92"/>
      <c r="FO122" s="92"/>
      <c r="FP122" s="92"/>
      <c r="FQ122" s="92"/>
      <c r="FR122" s="92"/>
      <c r="FS122" s="92"/>
      <c r="FT122" s="92"/>
      <c r="FU122" s="92"/>
      <c r="FV122" s="92"/>
      <c r="FW122" s="92"/>
      <c r="FX122" s="92"/>
      <c r="FY122" s="92"/>
      <c r="FZ122" s="92"/>
      <c r="GA122" s="92"/>
      <c r="GB122" s="92"/>
      <c r="GC122" s="92"/>
      <c r="GD122" s="92"/>
    </row>
    <row r="123">
      <c r="A123" s="72">
        <v>46290</v>
      </c>
      <c r="B123" s="94" t="s">
        <v>73</v>
      </c>
      <c r="C123" s="97" t="s">
        <v>93</v>
      </c>
      <c r="D123" s="98">
        <v>4</v>
      </c>
      <c r="E123" s="99">
        <v>13075.27</v>
      </c>
      <c r="F123" s="98">
        <v>19</v>
      </c>
      <c r="G123" s="106">
        <v>12</v>
      </c>
      <c r="H123" s="106">
        <v>23880.6</v>
      </c>
      <c r="I123" s="99">
        <v>3</v>
      </c>
      <c r="J123" s="99">
        <v>1995.6000000000001</v>
      </c>
      <c r="K123" s="103">
        <f t="shared" ref="K123:K126" si="26">G123+I123</f>
      </c>
      <c r="L123" s="104">
        <v>9</v>
      </c>
      <c r="M123" s="105">
        <v>11</v>
      </c>
      <c r="N123" s="106">
        <v>2</v>
      </c>
      <c r="O123" s="77">
        <v>9</v>
      </c>
      <c r="P123" s="103">
        <f t="shared" ref="P123:P126" si="57">J123+H123</f>
      </c>
      <c r="Q123" s="82">
        <f t="shared" si="0"/>
      </c>
      <c r="R123" s="83">
        <f t="shared" si="32"/>
      </c>
      <c r="S123" s="82">
        <f t="shared" si="1"/>
      </c>
      <c r="T123" s="94" t="s">
        <v>82</v>
      </c>
      <c r="U123" s="94">
        <v>8</v>
      </c>
      <c r="V123" s="94" t="s">
        <v>110</v>
      </c>
      <c r="W123" s="94">
        <v>8</v>
      </c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  <c r="AZ123" s="94"/>
      <c r="BA123" s="94"/>
      <c r="BB123" s="94"/>
      <c r="BC123" s="94"/>
      <c r="BD123" s="94"/>
      <c r="BE123" s="94"/>
      <c r="BF123" s="94"/>
      <c r="BG123" s="94"/>
      <c r="BH123" s="94"/>
      <c r="BI123" s="94"/>
      <c r="BJ123" s="94"/>
      <c r="BK123" s="94"/>
      <c r="BL123" s="94"/>
      <c r="BM123" s="94"/>
      <c r="BN123" s="94"/>
      <c r="BO123" s="94"/>
      <c r="BP123" s="94"/>
      <c r="BQ123" s="94"/>
      <c r="BR123" s="94"/>
      <c r="BS123" s="94"/>
      <c r="BT123" s="94"/>
      <c r="BU123" s="94"/>
      <c r="BV123" s="94"/>
      <c r="BW123" s="94"/>
      <c r="BX123" s="94"/>
      <c r="BY123" s="94"/>
      <c r="BZ123" s="94"/>
      <c r="CA123" s="94"/>
      <c r="CB123" s="94"/>
      <c r="CC123" s="94"/>
      <c r="CD123" s="94"/>
      <c r="CE123" s="94"/>
      <c r="CF123" s="94"/>
      <c r="CG123" s="94"/>
      <c r="CH123" s="94"/>
      <c r="CI123" s="94"/>
      <c r="CJ123" s="94"/>
      <c r="CK123" s="94"/>
      <c r="CL123" s="94"/>
      <c r="CM123" s="94"/>
      <c r="CN123" s="94"/>
      <c r="CO123" s="94"/>
      <c r="CP123" s="94"/>
      <c r="CQ123" s="94"/>
      <c r="CR123" s="94"/>
      <c r="CS123" s="94"/>
      <c r="CT123" s="94"/>
      <c r="CU123" s="94"/>
      <c r="CV123" s="94"/>
      <c r="CW123" s="94"/>
      <c r="CX123" s="94"/>
      <c r="CY123" s="94"/>
      <c r="CZ123" s="94"/>
      <c r="DA123" s="94"/>
      <c r="DB123" s="94"/>
      <c r="DC123" s="94"/>
      <c r="DD123" s="94"/>
      <c r="DE123" s="94"/>
      <c r="DF123" s="94"/>
      <c r="DG123" s="94"/>
      <c r="DH123" s="94"/>
      <c r="DI123" s="94"/>
      <c r="DJ123" s="94"/>
      <c r="DK123" s="94"/>
      <c r="DL123" s="94"/>
      <c r="DM123" s="94"/>
      <c r="DN123" s="94"/>
      <c r="DO123" s="94"/>
      <c r="DP123" s="94"/>
      <c r="DQ123" s="94"/>
      <c r="DR123" s="94"/>
      <c r="DS123" s="94"/>
      <c r="DT123" s="94"/>
      <c r="DU123" s="94"/>
      <c r="DV123" s="94"/>
      <c r="DW123" s="94"/>
      <c r="DX123" s="94"/>
      <c r="DY123" s="94"/>
      <c r="DZ123" s="94"/>
      <c r="EA123" s="94"/>
      <c r="EB123" s="94"/>
      <c r="EC123" s="94"/>
      <c r="ED123" s="94"/>
      <c r="EE123" s="94"/>
      <c r="EF123" s="94"/>
      <c r="EG123" s="94"/>
      <c r="EH123" s="94"/>
      <c r="EI123" s="94"/>
      <c r="EJ123" s="94"/>
      <c r="EK123" s="94"/>
      <c r="EL123" s="94"/>
      <c r="EM123" s="94"/>
      <c r="EN123" s="94"/>
      <c r="EO123" s="94"/>
      <c r="EP123" s="94"/>
      <c r="EQ123" s="94"/>
      <c r="ER123" s="94"/>
      <c r="ES123" s="94"/>
      <c r="ET123" s="94"/>
      <c r="EU123" s="94"/>
      <c r="EV123" s="94"/>
      <c r="EW123" s="94"/>
      <c r="EX123" s="94"/>
      <c r="EY123" s="94"/>
      <c r="EZ123" s="94"/>
      <c r="FA123" s="94"/>
      <c r="FB123" s="94"/>
      <c r="FC123" s="94"/>
      <c r="FD123" s="94"/>
      <c r="FE123" s="94"/>
      <c r="FF123" s="94"/>
      <c r="FG123" s="94"/>
      <c r="FH123" s="94"/>
      <c r="FI123" s="94"/>
      <c r="FJ123" s="94"/>
      <c r="FK123" s="94"/>
      <c r="FL123" s="94"/>
      <c r="FM123" s="94"/>
      <c r="FN123" s="94"/>
      <c r="FO123" s="94"/>
      <c r="FP123" s="94"/>
      <c r="FQ123" s="94"/>
      <c r="FR123" s="94"/>
      <c r="FS123" s="94"/>
      <c r="FT123" s="94"/>
      <c r="FU123" s="94"/>
      <c r="FV123" s="94"/>
      <c r="FW123" s="94"/>
      <c r="FX123" s="94"/>
      <c r="FY123" s="94"/>
      <c r="FZ123" s="94"/>
      <c r="GA123" s="94"/>
      <c r="GB123" s="94"/>
      <c r="GC123" s="94"/>
      <c r="GD123" s="94"/>
    </row>
    <row r="124">
      <c r="A124" s="72">
        <v>46290</v>
      </c>
      <c r="B124" s="94" t="s">
        <v>90</v>
      </c>
      <c r="C124" s="107" t="s">
        <v>94</v>
      </c>
      <c r="D124" s="98">
        <v>4</v>
      </c>
      <c r="E124" s="124">
        <v>7848.42</v>
      </c>
      <c r="F124" s="122">
        <v>7</v>
      </c>
      <c r="G124" s="77">
        <v>5</v>
      </c>
      <c r="H124" s="77">
        <v>10994.4</v>
      </c>
      <c r="I124" s="76">
        <v>1</v>
      </c>
      <c r="J124" s="76">
        <v>3036</v>
      </c>
      <c r="K124" s="103">
        <f t="shared" si="26"/>
      </c>
      <c r="L124" s="79">
        <v>4</v>
      </c>
      <c r="M124" s="80">
        <v>4</v>
      </c>
      <c r="N124" s="77">
        <v>1</v>
      </c>
      <c r="O124" s="77">
        <v>5</v>
      </c>
      <c r="P124" s="103">
        <f t="shared" si="57"/>
      </c>
      <c r="Q124" s="82">
        <f t="shared" si="0"/>
      </c>
      <c r="R124" s="83">
        <f t="shared" si="32"/>
      </c>
      <c r="S124" s="82">
        <f t="shared" si="1"/>
      </c>
      <c r="T124" s="94"/>
      <c r="U124" s="94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  <c r="FU124" s="87"/>
      <c r="FV124" s="87"/>
      <c r="FW124" s="87"/>
      <c r="FX124" s="87"/>
      <c r="FY124" s="87"/>
      <c r="FZ124" s="87"/>
      <c r="GA124" s="87"/>
      <c r="GB124" s="87"/>
      <c r="GC124" s="87"/>
      <c r="GD124" s="87"/>
    </row>
    <row r="125">
      <c r="A125" s="72">
        <v>46290</v>
      </c>
      <c r="B125" s="94" t="s">
        <v>84</v>
      </c>
      <c r="C125" s="107" t="s">
        <v>95</v>
      </c>
      <c r="D125" s="98">
        <v>4</v>
      </c>
      <c r="E125" s="76">
        <v>5960.8</v>
      </c>
      <c r="F125" s="120">
        <v>1</v>
      </c>
      <c r="G125" s="77">
        <v>1</v>
      </c>
      <c r="H125" s="77">
        <v>2961.6</v>
      </c>
      <c r="I125" s="76">
        <v>0</v>
      </c>
      <c r="J125" s="76">
        <v>0</v>
      </c>
      <c r="K125" s="103">
        <f t="shared" si="26"/>
      </c>
      <c r="L125" s="79">
        <v>0</v>
      </c>
      <c r="M125" s="80">
        <v>0</v>
      </c>
      <c r="N125" s="77">
        <v>0</v>
      </c>
      <c r="O125" s="77">
        <v>1</v>
      </c>
      <c r="P125" s="103">
        <f t="shared" si="57"/>
      </c>
      <c r="Q125" s="82">
        <f t="shared" si="0"/>
      </c>
      <c r="R125" s="83">
        <f t="shared" si="32"/>
      </c>
      <c r="S125" s="82">
        <f t="shared" si="1"/>
      </c>
      <c r="T125" s="94" t="s">
        <v>107</v>
      </c>
      <c r="U125" s="94">
        <v>8</v>
      </c>
      <c r="V125" s="126" t="s">
        <v>106</v>
      </c>
      <c r="W125" s="94">
        <v>8</v>
      </c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  <c r="BG125" s="94"/>
      <c r="BH125" s="94"/>
      <c r="BI125" s="94"/>
      <c r="BJ125" s="94"/>
      <c r="BK125" s="94"/>
      <c r="BL125" s="94"/>
      <c r="BM125" s="94"/>
      <c r="BN125" s="94"/>
      <c r="BO125" s="94"/>
      <c r="BP125" s="94"/>
      <c r="BQ125" s="94"/>
      <c r="BR125" s="94"/>
      <c r="BS125" s="94"/>
      <c r="BT125" s="94"/>
      <c r="BU125" s="94"/>
      <c r="BV125" s="94"/>
      <c r="BW125" s="94"/>
      <c r="BX125" s="94"/>
      <c r="BY125" s="94"/>
      <c r="BZ125" s="94"/>
      <c r="CA125" s="94"/>
      <c r="CB125" s="94"/>
      <c r="CC125" s="94"/>
      <c r="CD125" s="94"/>
      <c r="CE125" s="94"/>
      <c r="CF125" s="94"/>
      <c r="CG125" s="94"/>
      <c r="CH125" s="94"/>
      <c r="CI125" s="94"/>
      <c r="CJ125" s="94"/>
      <c r="CK125" s="94"/>
      <c r="CL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C125" s="94"/>
      <c r="DD125" s="94"/>
      <c r="DE125" s="94"/>
      <c r="DF125" s="94"/>
      <c r="DG125" s="94"/>
      <c r="DH125" s="94"/>
      <c r="DI125" s="94"/>
      <c r="DJ125" s="94"/>
      <c r="DK125" s="94"/>
      <c r="DL125" s="94"/>
      <c r="DM125" s="94"/>
      <c r="DN125" s="94"/>
      <c r="DO125" s="94"/>
      <c r="DP125" s="94"/>
      <c r="DQ125" s="94"/>
      <c r="DR125" s="94"/>
      <c r="DS125" s="94"/>
      <c r="DT125" s="94"/>
      <c r="DU125" s="94"/>
      <c r="DV125" s="94"/>
      <c r="DW125" s="94"/>
      <c r="DX125" s="94"/>
      <c r="DY125" s="94"/>
      <c r="DZ125" s="94"/>
      <c r="EA125" s="94"/>
      <c r="EB125" s="94"/>
      <c r="EC125" s="94"/>
      <c r="ED125" s="94"/>
      <c r="EE125" s="94"/>
      <c r="EF125" s="94"/>
      <c r="EG125" s="94"/>
      <c r="EH125" s="94"/>
      <c r="EI125" s="94"/>
      <c r="EJ125" s="94"/>
      <c r="EK125" s="94"/>
      <c r="EL125" s="94"/>
      <c r="EM125" s="94"/>
      <c r="EN125" s="94"/>
      <c r="EO125" s="94"/>
      <c r="EP125" s="94"/>
      <c r="EQ125" s="94"/>
      <c r="ER125" s="94"/>
      <c r="ES125" s="94"/>
      <c r="ET125" s="94"/>
      <c r="EU125" s="94"/>
      <c r="EV125" s="94"/>
      <c r="EW125" s="94"/>
      <c r="EX125" s="94"/>
      <c r="EY125" s="94"/>
      <c r="EZ125" s="94"/>
      <c r="FA125" s="94"/>
      <c r="FB125" s="94"/>
      <c r="FC125" s="94"/>
      <c r="FD125" s="94"/>
      <c r="FE125" s="94"/>
      <c r="FF125" s="94"/>
      <c r="FG125" s="94"/>
      <c r="FH125" s="94"/>
      <c r="FI125" s="94"/>
      <c r="FJ125" s="94"/>
      <c r="FK125" s="94"/>
      <c r="FL125" s="94"/>
      <c r="FM125" s="94"/>
      <c r="FN125" s="94"/>
      <c r="FO125" s="94"/>
      <c r="FP125" s="94"/>
      <c r="FQ125" s="94"/>
      <c r="FR125" s="94"/>
      <c r="FS125" s="94"/>
      <c r="FT125" s="94"/>
      <c r="FU125" s="94"/>
      <c r="FV125" s="94"/>
      <c r="FW125" s="94"/>
      <c r="FX125" s="94"/>
      <c r="FY125" s="94"/>
      <c r="FZ125" s="94"/>
      <c r="GA125" s="94"/>
      <c r="GB125" s="94"/>
      <c r="GC125" s="94"/>
      <c r="GD125" s="94"/>
    </row>
    <row r="126">
      <c r="A126" s="72">
        <v>46290</v>
      </c>
      <c r="B126" s="94" t="s">
        <v>80</v>
      </c>
      <c r="C126" s="107" t="s">
        <v>88</v>
      </c>
      <c r="D126" s="98">
        <v>4</v>
      </c>
      <c r="E126" s="76">
        <v>8461.86</v>
      </c>
      <c r="F126" s="95">
        <v>12</v>
      </c>
      <c r="G126" s="77">
        <v>8</v>
      </c>
      <c r="H126" s="77">
        <v>14457.6</v>
      </c>
      <c r="I126" s="76">
        <v>2</v>
      </c>
      <c r="J126" s="76">
        <v>912</v>
      </c>
      <c r="K126" s="103">
        <f t="shared" si="26"/>
      </c>
      <c r="L126" s="79">
        <v>8</v>
      </c>
      <c r="M126" s="80">
        <v>10</v>
      </c>
      <c r="N126" s="77">
        <v>1</v>
      </c>
      <c r="O126" s="77">
        <v>4</v>
      </c>
      <c r="P126" s="103">
        <f t="shared" si="57"/>
      </c>
      <c r="Q126" s="82">
        <f t="shared" si="0"/>
      </c>
      <c r="R126" s="83">
        <f t="shared" si="32"/>
      </c>
      <c r="S126" s="82">
        <f t="shared" si="1"/>
      </c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  <c r="AS126" s="94"/>
      <c r="AT126" s="94"/>
      <c r="AU126" s="94"/>
      <c r="AV126" s="94"/>
      <c r="AW126" s="94"/>
      <c r="AX126" s="94"/>
      <c r="AY126" s="94"/>
      <c r="AZ126" s="94"/>
      <c r="BA126" s="94"/>
      <c r="BB126" s="94"/>
      <c r="BC126" s="94"/>
      <c r="BD126" s="94"/>
      <c r="BE126" s="94"/>
      <c r="BF126" s="94"/>
      <c r="BG126" s="94"/>
      <c r="BH126" s="94"/>
      <c r="BI126" s="94"/>
      <c r="BJ126" s="94"/>
      <c r="BK126" s="94"/>
      <c r="BL126" s="94"/>
      <c r="BM126" s="94"/>
      <c r="BN126" s="94"/>
      <c r="BO126" s="94"/>
      <c r="BP126" s="94"/>
      <c r="BQ126" s="94"/>
      <c r="BR126" s="94"/>
      <c r="BS126" s="94"/>
      <c r="BT126" s="94"/>
      <c r="BU126" s="94"/>
      <c r="BV126" s="94"/>
      <c r="BW126" s="94"/>
      <c r="BX126" s="94"/>
      <c r="BY126" s="94"/>
      <c r="BZ126" s="94"/>
      <c r="CA126" s="94"/>
      <c r="CB126" s="94"/>
      <c r="CC126" s="94"/>
      <c r="CD126" s="94"/>
      <c r="CE126" s="94"/>
      <c r="CF126" s="94"/>
      <c r="CG126" s="94"/>
      <c r="CH126" s="94"/>
      <c r="CI126" s="94"/>
      <c r="CJ126" s="94"/>
      <c r="CK126" s="94"/>
      <c r="CL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C126" s="94"/>
      <c r="DD126" s="94"/>
      <c r="DE126" s="94"/>
      <c r="DF126" s="94"/>
      <c r="DG126" s="94"/>
      <c r="DH126" s="94"/>
      <c r="DI126" s="94"/>
      <c r="DJ126" s="94"/>
      <c r="DK126" s="94"/>
      <c r="DL126" s="94"/>
      <c r="DM126" s="94"/>
      <c r="DN126" s="94"/>
      <c r="DO126" s="94"/>
      <c r="DP126" s="94"/>
      <c r="DQ126" s="94"/>
      <c r="DR126" s="94"/>
      <c r="DS126" s="94"/>
      <c r="DT126" s="94"/>
      <c r="DU126" s="94"/>
      <c r="DV126" s="94"/>
      <c r="DW126" s="94"/>
      <c r="DX126" s="94"/>
      <c r="DY126" s="94"/>
      <c r="DZ126" s="94"/>
      <c r="EA126" s="94"/>
      <c r="EB126" s="94"/>
      <c r="EC126" s="94"/>
      <c r="ED126" s="94"/>
      <c r="EE126" s="94"/>
      <c r="EF126" s="94"/>
      <c r="EG126" s="94"/>
      <c r="EH126" s="94"/>
      <c r="EI126" s="94"/>
      <c r="EJ126" s="94"/>
      <c r="EK126" s="94"/>
      <c r="EL126" s="94"/>
      <c r="EM126" s="94"/>
      <c r="EN126" s="94"/>
      <c r="EO126" s="94"/>
      <c r="EP126" s="94"/>
      <c r="EQ126" s="94"/>
      <c r="ER126" s="94"/>
      <c r="ES126" s="94"/>
      <c r="ET126" s="94"/>
      <c r="EU126" s="94"/>
      <c r="EV126" s="94"/>
      <c r="EW126" s="94"/>
      <c r="EX126" s="94"/>
      <c r="EY126" s="94"/>
      <c r="EZ126" s="94"/>
      <c r="FA126" s="94"/>
      <c r="FB126" s="94"/>
      <c r="FC126" s="94"/>
      <c r="FD126" s="94"/>
      <c r="FE126" s="94"/>
      <c r="FF126" s="94"/>
      <c r="FG126" s="94"/>
      <c r="FH126" s="94"/>
      <c r="FI126" s="94"/>
      <c r="FJ126" s="94"/>
      <c r="FK126" s="94"/>
      <c r="FL126" s="94"/>
      <c r="FM126" s="94"/>
      <c r="FN126" s="94"/>
      <c r="FO126" s="94"/>
      <c r="FP126" s="94"/>
      <c r="FQ126" s="94"/>
      <c r="FR126" s="94"/>
      <c r="FS126" s="94"/>
      <c r="FT126" s="94"/>
      <c r="FU126" s="94"/>
      <c r="FV126" s="94"/>
      <c r="FW126" s="94"/>
      <c r="FX126" s="94"/>
      <c r="FY126" s="94"/>
      <c r="FZ126" s="94"/>
      <c r="GA126" s="94"/>
      <c r="GB126" s="94"/>
      <c r="GC126" s="94"/>
      <c r="GD126" s="94"/>
    </row>
    <row r="127">
      <c r="A127" s="119">
        <v>46290</v>
      </c>
      <c r="B127" s="112" t="s">
        <v>83</v>
      </c>
      <c r="C127" s="113"/>
      <c r="D127" s="92">
        <f>SUM(D123:D126)</f>
      </c>
      <c r="E127" s="92">
        <f>SUM(E123:E126)</f>
      </c>
      <c r="F127" s="92">
        <f>SUM(F123:F126)</f>
      </c>
      <c r="G127" s="92">
        <f>SUM(G123:G126)</f>
      </c>
      <c r="H127" s="92">
        <f>SUM(H123:H126)</f>
      </c>
      <c r="I127" s="92">
        <f>SUM(I123:I126)</f>
      </c>
      <c r="J127" s="92">
        <f>SUM(J123:J126)</f>
      </c>
      <c r="K127" s="92">
        <f>SUM(K123:K126)</f>
      </c>
      <c r="L127" s="92">
        <f>SUM(L123:L126)</f>
      </c>
      <c r="M127" s="92">
        <f>SUM(M123:M126)</f>
      </c>
      <c r="N127" s="92">
        <f>SUM(N123:N126)</f>
      </c>
      <c r="O127" s="92">
        <f>SUM(O123:O126)</f>
      </c>
      <c r="P127" s="92">
        <f>SUM(P123:P126)</f>
      </c>
      <c r="Q127" s="93">
        <f t="shared" si="0"/>
      </c>
      <c r="R127" s="93">
        <f t="shared" si="32"/>
      </c>
      <c r="S127" s="93">
        <f t="shared" si="1"/>
      </c>
      <c r="T127" s="92"/>
      <c r="U127" s="92">
        <f>SUM(U123:U126)</f>
      </c>
      <c r="V127" s="92"/>
      <c r="W127" s="92">
        <f>SUM(W123:W126)</f>
      </c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  <c r="CC127" s="92"/>
      <c r="CD127" s="92"/>
      <c r="CE127" s="92"/>
      <c r="CF127" s="92"/>
      <c r="CG127" s="92"/>
      <c r="CH127" s="92"/>
      <c r="CI127" s="92"/>
      <c r="CJ127" s="92"/>
      <c r="CK127" s="92"/>
      <c r="CL127" s="92"/>
      <c r="CM127" s="92"/>
      <c r="CN127" s="92"/>
      <c r="CO127" s="92"/>
      <c r="CP127" s="92"/>
      <c r="CQ127" s="92"/>
      <c r="CR127" s="92"/>
      <c r="CS127" s="92"/>
      <c r="CT127" s="92"/>
      <c r="CU127" s="92"/>
      <c r="CV127" s="92"/>
      <c r="CW127" s="92"/>
      <c r="CX127" s="92"/>
      <c r="CY127" s="92"/>
      <c r="CZ127" s="92"/>
      <c r="DA127" s="92"/>
      <c r="DB127" s="92"/>
      <c r="DC127" s="92"/>
      <c r="DD127" s="92"/>
      <c r="DE127" s="92"/>
      <c r="DF127" s="92"/>
      <c r="DG127" s="92"/>
      <c r="DH127" s="92"/>
      <c r="DI127" s="92"/>
      <c r="DJ127" s="92"/>
      <c r="DK127" s="92"/>
      <c r="DL127" s="92"/>
      <c r="DM127" s="92"/>
      <c r="DN127" s="92"/>
      <c r="DO127" s="92"/>
      <c r="DP127" s="92"/>
      <c r="DQ127" s="92"/>
      <c r="DR127" s="92"/>
      <c r="DS127" s="92"/>
      <c r="DT127" s="92"/>
      <c r="DU127" s="92"/>
      <c r="DV127" s="92"/>
      <c r="DW127" s="92"/>
      <c r="DX127" s="92"/>
      <c r="DY127" s="92"/>
      <c r="DZ127" s="92"/>
      <c r="EA127" s="92"/>
      <c r="EB127" s="92"/>
      <c r="EC127" s="92"/>
      <c r="ED127" s="92"/>
      <c r="EE127" s="92"/>
      <c r="EF127" s="92"/>
      <c r="EG127" s="92"/>
      <c r="EH127" s="92"/>
      <c r="EI127" s="92"/>
      <c r="EJ127" s="92"/>
      <c r="EK127" s="92"/>
      <c r="EL127" s="92"/>
      <c r="EM127" s="92"/>
      <c r="EN127" s="92"/>
      <c r="EO127" s="92"/>
      <c r="EP127" s="92"/>
      <c r="EQ127" s="92"/>
      <c r="ER127" s="92"/>
      <c r="ES127" s="92"/>
      <c r="ET127" s="92"/>
      <c r="EU127" s="92"/>
      <c r="EV127" s="92"/>
      <c r="EW127" s="92"/>
      <c r="EX127" s="92"/>
      <c r="EY127" s="92"/>
      <c r="EZ127" s="92"/>
      <c r="FA127" s="92"/>
      <c r="FB127" s="92"/>
      <c r="FC127" s="92"/>
      <c r="FD127" s="92"/>
      <c r="FE127" s="92"/>
      <c r="FF127" s="92"/>
      <c r="FG127" s="92"/>
      <c r="FH127" s="92"/>
      <c r="FI127" s="92"/>
      <c r="FJ127" s="92"/>
      <c r="FK127" s="92"/>
      <c r="FL127" s="92"/>
      <c r="FM127" s="92"/>
      <c r="FN127" s="92"/>
      <c r="FO127" s="92"/>
      <c r="FP127" s="92"/>
      <c r="FQ127" s="92"/>
      <c r="FR127" s="92"/>
      <c r="FS127" s="92"/>
      <c r="FT127" s="92"/>
      <c r="FU127" s="92"/>
      <c r="FV127" s="92"/>
      <c r="FW127" s="92"/>
      <c r="FX127" s="92"/>
      <c r="FY127" s="92"/>
      <c r="FZ127" s="92"/>
      <c r="GA127" s="92"/>
      <c r="GB127" s="92"/>
      <c r="GC127" s="92"/>
      <c r="GD127" s="92"/>
    </row>
    <row r="128">
      <c r="A128" s="72">
        <v>46291</v>
      </c>
      <c r="B128" s="94" t="s">
        <v>73</v>
      </c>
      <c r="C128" s="97" t="s">
        <v>93</v>
      </c>
      <c r="D128" s="98">
        <v>4</v>
      </c>
      <c r="E128" s="99">
        <v>8533.16</v>
      </c>
      <c r="F128" s="98">
        <v>8</v>
      </c>
      <c r="G128" s="106">
        <v>5</v>
      </c>
      <c r="H128" s="106">
        <v>6178.4</v>
      </c>
      <c r="I128" s="99">
        <v>1</v>
      </c>
      <c r="J128" s="99">
        <v>504</v>
      </c>
      <c r="K128" s="103">
        <f t="shared" ref="K128:K131" si="27">G128+I128</f>
      </c>
      <c r="L128" s="104">
        <v>3</v>
      </c>
      <c r="M128" s="105">
        <v>5</v>
      </c>
      <c r="N128" s="106">
        <v>0</v>
      </c>
      <c r="O128" s="77">
        <v>1</v>
      </c>
      <c r="P128" s="103">
        <f t="shared" ref="P128:P131" si="58">J128+H128</f>
      </c>
      <c r="Q128" s="82">
        <f t="shared" si="0"/>
      </c>
      <c r="R128" s="83">
        <f t="shared" si="32"/>
      </c>
      <c r="S128" s="82">
        <f t="shared" si="1"/>
      </c>
      <c r="T128" s="94" t="s">
        <v>82</v>
      </c>
      <c r="U128" s="94">
        <v>8</v>
      </c>
      <c r="V128" s="94" t="s">
        <v>110</v>
      </c>
      <c r="W128" s="94">
        <v>8</v>
      </c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4"/>
      <c r="AZ128" s="94"/>
      <c r="BA128" s="94"/>
      <c r="BB128" s="94"/>
      <c r="BC128" s="94"/>
      <c r="BD128" s="94"/>
      <c r="BE128" s="94"/>
      <c r="BF128" s="94"/>
      <c r="BG128" s="94"/>
      <c r="BH128" s="94"/>
      <c r="BI128" s="94"/>
      <c r="BJ128" s="94"/>
      <c r="BK128" s="94"/>
      <c r="BL128" s="94"/>
      <c r="BM128" s="94"/>
      <c r="BN128" s="94"/>
      <c r="BO128" s="94"/>
      <c r="BP128" s="94"/>
      <c r="BQ128" s="94"/>
      <c r="BR128" s="94"/>
      <c r="BS128" s="94"/>
      <c r="BT128" s="94"/>
      <c r="BU128" s="94"/>
      <c r="BV128" s="94"/>
      <c r="BW128" s="94"/>
      <c r="BX128" s="94"/>
      <c r="BY128" s="94"/>
      <c r="BZ128" s="94"/>
      <c r="CA128" s="94"/>
      <c r="CB128" s="94"/>
      <c r="CC128" s="94"/>
      <c r="CD128" s="94"/>
      <c r="CE128" s="94"/>
      <c r="CF128" s="94"/>
      <c r="CG128" s="94"/>
      <c r="CH128" s="94"/>
      <c r="CI128" s="94"/>
      <c r="CJ128" s="94"/>
      <c r="CK128" s="94"/>
      <c r="CL128" s="94"/>
      <c r="CM128" s="94"/>
      <c r="CN128" s="94"/>
      <c r="CO128" s="94"/>
      <c r="CP128" s="94"/>
      <c r="CQ128" s="94"/>
      <c r="CR128" s="94"/>
      <c r="CS128" s="94"/>
      <c r="CT128" s="94"/>
      <c r="CU128" s="94"/>
      <c r="CV128" s="94"/>
      <c r="CW128" s="94"/>
      <c r="CX128" s="94"/>
      <c r="CY128" s="94"/>
      <c r="CZ128" s="94"/>
      <c r="DA128" s="94"/>
      <c r="DB128" s="94"/>
      <c r="DC128" s="94"/>
      <c r="DD128" s="94"/>
      <c r="DE128" s="94"/>
      <c r="DF128" s="94"/>
      <c r="DG128" s="94"/>
      <c r="DH128" s="94"/>
      <c r="DI128" s="94"/>
      <c r="DJ128" s="94"/>
      <c r="DK128" s="94"/>
      <c r="DL128" s="94"/>
      <c r="DM128" s="94"/>
      <c r="DN128" s="94"/>
      <c r="DO128" s="94"/>
      <c r="DP128" s="94"/>
      <c r="DQ128" s="94"/>
      <c r="DR128" s="94"/>
      <c r="DS128" s="94"/>
      <c r="DT128" s="94"/>
      <c r="DU128" s="94"/>
      <c r="DV128" s="94"/>
      <c r="DW128" s="94"/>
      <c r="DX128" s="94"/>
      <c r="DY128" s="94"/>
      <c r="DZ128" s="94"/>
      <c r="EA128" s="94"/>
      <c r="EB128" s="94"/>
      <c r="EC128" s="94"/>
      <c r="ED128" s="94"/>
      <c r="EE128" s="94"/>
      <c r="EF128" s="94"/>
      <c r="EG128" s="94"/>
      <c r="EH128" s="94"/>
      <c r="EI128" s="94"/>
      <c r="EJ128" s="94"/>
      <c r="EK128" s="94"/>
      <c r="EL128" s="94"/>
      <c r="EM128" s="94"/>
      <c r="EN128" s="94"/>
      <c r="EO128" s="94"/>
      <c r="EP128" s="94"/>
      <c r="EQ128" s="94"/>
      <c r="ER128" s="94"/>
      <c r="ES128" s="94"/>
      <c r="ET128" s="94"/>
      <c r="EU128" s="94"/>
      <c r="EV128" s="94"/>
      <c r="EW128" s="94"/>
      <c r="EX128" s="94"/>
      <c r="EY128" s="94"/>
      <c r="EZ128" s="94"/>
      <c r="FA128" s="94"/>
      <c r="FB128" s="94"/>
      <c r="FC128" s="94"/>
      <c r="FD128" s="94"/>
      <c r="FE128" s="94"/>
      <c r="FF128" s="94"/>
      <c r="FG128" s="94"/>
      <c r="FH128" s="94"/>
      <c r="FI128" s="94"/>
      <c r="FJ128" s="94"/>
      <c r="FK128" s="94"/>
      <c r="FL128" s="94"/>
      <c r="FM128" s="94"/>
      <c r="FN128" s="94"/>
      <c r="FO128" s="94"/>
      <c r="FP128" s="94"/>
      <c r="FQ128" s="94"/>
      <c r="FR128" s="94"/>
      <c r="FS128" s="94"/>
      <c r="FT128" s="94"/>
      <c r="FU128" s="94"/>
      <c r="FV128" s="94"/>
      <c r="FW128" s="94"/>
      <c r="FX128" s="94"/>
      <c r="FY128" s="94"/>
      <c r="FZ128" s="94"/>
      <c r="GA128" s="94"/>
      <c r="GB128" s="94"/>
      <c r="GC128" s="94"/>
      <c r="GD128" s="94"/>
    </row>
    <row r="129">
      <c r="A129" s="72">
        <v>46291</v>
      </c>
      <c r="B129" s="94" t="s">
        <v>90</v>
      </c>
      <c r="C129" s="107" t="s">
        <v>94</v>
      </c>
      <c r="D129" s="98">
        <v>4</v>
      </c>
      <c r="E129" s="124">
        <v>8328.61</v>
      </c>
      <c r="F129" s="122">
        <v>14</v>
      </c>
      <c r="G129" s="77">
        <v>11</v>
      </c>
      <c r="H129" s="77">
        <v>13720.9</v>
      </c>
      <c r="I129" s="76">
        <v>2</v>
      </c>
      <c r="J129" s="76">
        <v>597</v>
      </c>
      <c r="K129" s="103">
        <f t="shared" si="27"/>
      </c>
      <c r="L129" s="79">
        <v>9</v>
      </c>
      <c r="M129" s="80">
        <v>10</v>
      </c>
      <c r="N129" s="77">
        <v>3</v>
      </c>
      <c r="O129" s="77">
        <v>6</v>
      </c>
      <c r="P129" s="103">
        <f t="shared" si="58"/>
      </c>
      <c r="Q129" s="82">
        <f t="shared" si="0"/>
      </c>
      <c r="R129" s="83">
        <f t="shared" si="32"/>
      </c>
      <c r="S129" s="82">
        <f t="shared" si="1"/>
      </c>
      <c r="T129" s="94"/>
      <c r="U129" s="94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  <c r="FU129" s="87"/>
      <c r="FV129" s="87"/>
      <c r="FW129" s="87"/>
      <c r="FX129" s="87"/>
      <c r="FY129" s="87"/>
      <c r="FZ129" s="87"/>
      <c r="GA129" s="87"/>
      <c r="GB129" s="87"/>
      <c r="GC129" s="87"/>
      <c r="GD129" s="87"/>
    </row>
    <row r="130">
      <c r="A130" s="72">
        <v>46291</v>
      </c>
      <c r="B130" s="94" t="s">
        <v>80</v>
      </c>
      <c r="C130" s="107" t="s">
        <v>95</v>
      </c>
      <c r="D130" s="98">
        <v>4</v>
      </c>
      <c r="E130" s="76">
        <v>9457.51</v>
      </c>
      <c r="F130" s="120">
        <v>12</v>
      </c>
      <c r="G130" s="77">
        <v>11</v>
      </c>
      <c r="H130" s="77">
        <v>19059.3</v>
      </c>
      <c r="I130" s="76">
        <v>0</v>
      </c>
      <c r="J130" s="76">
        <v>0</v>
      </c>
      <c r="K130" s="103">
        <f t="shared" si="27"/>
      </c>
      <c r="L130" s="79">
        <v>9</v>
      </c>
      <c r="M130" s="80">
        <v>10</v>
      </c>
      <c r="N130" s="77">
        <v>2</v>
      </c>
      <c r="O130" s="77">
        <v>5</v>
      </c>
      <c r="P130" s="103">
        <f t="shared" si="58"/>
      </c>
      <c r="Q130" s="82">
        <f t="shared" si="0"/>
      </c>
      <c r="R130" s="83">
        <f t="shared" si="32"/>
      </c>
      <c r="S130" s="82">
        <f t="shared" si="1"/>
      </c>
      <c r="T130" s="94" t="s">
        <v>107</v>
      </c>
      <c r="U130" s="94">
        <v>8</v>
      </c>
      <c r="V130" s="126" t="s">
        <v>106</v>
      </c>
      <c r="W130" s="94">
        <v>8</v>
      </c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94"/>
      <c r="AX130" s="94"/>
      <c r="AY130" s="94"/>
      <c r="AZ130" s="94"/>
      <c r="BA130" s="94"/>
      <c r="BB130" s="94"/>
      <c r="BC130" s="94"/>
      <c r="BD130" s="94"/>
      <c r="BE130" s="94"/>
      <c r="BF130" s="94"/>
      <c r="BG130" s="94"/>
      <c r="BH130" s="94"/>
      <c r="BI130" s="94"/>
      <c r="BJ130" s="94"/>
      <c r="BK130" s="94"/>
      <c r="BL130" s="94"/>
      <c r="BM130" s="94"/>
      <c r="BN130" s="94"/>
      <c r="BO130" s="94"/>
      <c r="BP130" s="94"/>
      <c r="BQ130" s="94"/>
      <c r="BR130" s="94"/>
      <c r="BS130" s="94"/>
      <c r="BT130" s="94"/>
      <c r="BU130" s="94"/>
      <c r="BV130" s="94"/>
      <c r="BW130" s="94"/>
      <c r="BX130" s="94"/>
      <c r="BY130" s="94"/>
      <c r="BZ130" s="94"/>
      <c r="CA130" s="94"/>
      <c r="CB130" s="94"/>
      <c r="CC130" s="94"/>
      <c r="CD130" s="94"/>
      <c r="CE130" s="94"/>
      <c r="CF130" s="94"/>
      <c r="CG130" s="94"/>
      <c r="CH130" s="94"/>
      <c r="CI130" s="94"/>
      <c r="CJ130" s="94"/>
      <c r="CK130" s="94"/>
      <c r="CL130" s="94"/>
      <c r="CM130" s="94"/>
      <c r="CN130" s="94"/>
      <c r="CO130" s="94"/>
      <c r="CP130" s="94"/>
      <c r="CQ130" s="94"/>
      <c r="CR130" s="94"/>
      <c r="CS130" s="94"/>
      <c r="CT130" s="94"/>
      <c r="CU130" s="94"/>
      <c r="CV130" s="94"/>
      <c r="CW130" s="94"/>
      <c r="CX130" s="94"/>
      <c r="CY130" s="94"/>
      <c r="CZ130" s="94"/>
      <c r="DA130" s="94"/>
      <c r="DB130" s="94"/>
      <c r="DC130" s="94"/>
      <c r="DD130" s="94"/>
      <c r="DE130" s="94"/>
      <c r="DF130" s="94"/>
      <c r="DG130" s="94"/>
      <c r="DH130" s="94"/>
      <c r="DI130" s="94"/>
      <c r="DJ130" s="94"/>
      <c r="DK130" s="94"/>
      <c r="DL130" s="94"/>
      <c r="DM130" s="94"/>
      <c r="DN130" s="94"/>
      <c r="DO130" s="94"/>
      <c r="DP130" s="94"/>
      <c r="DQ130" s="94"/>
      <c r="DR130" s="94"/>
      <c r="DS130" s="94"/>
      <c r="DT130" s="94"/>
      <c r="DU130" s="94"/>
      <c r="DV130" s="94"/>
      <c r="DW130" s="94"/>
      <c r="DX130" s="94"/>
      <c r="DY130" s="94"/>
      <c r="DZ130" s="94"/>
      <c r="EA130" s="94"/>
      <c r="EB130" s="94"/>
      <c r="EC130" s="94"/>
      <c r="ED130" s="94"/>
      <c r="EE130" s="94"/>
      <c r="EF130" s="94"/>
      <c r="EG130" s="94"/>
      <c r="EH130" s="94"/>
      <c r="EI130" s="94"/>
      <c r="EJ130" s="94"/>
      <c r="EK130" s="94"/>
      <c r="EL130" s="94"/>
      <c r="EM130" s="94"/>
      <c r="EN130" s="94"/>
      <c r="EO130" s="94"/>
      <c r="EP130" s="94"/>
      <c r="EQ130" s="94"/>
      <c r="ER130" s="94"/>
      <c r="ES130" s="94"/>
      <c r="ET130" s="94"/>
      <c r="EU130" s="94"/>
      <c r="EV130" s="94"/>
      <c r="EW130" s="94"/>
      <c r="EX130" s="94"/>
      <c r="EY130" s="94"/>
      <c r="EZ130" s="94"/>
      <c r="FA130" s="94"/>
      <c r="FB130" s="94"/>
      <c r="FC130" s="94"/>
      <c r="FD130" s="94"/>
      <c r="FE130" s="94"/>
      <c r="FF130" s="94"/>
      <c r="FG130" s="94"/>
      <c r="FH130" s="94"/>
      <c r="FI130" s="94"/>
      <c r="FJ130" s="94"/>
      <c r="FK130" s="94"/>
      <c r="FL130" s="94"/>
      <c r="FM130" s="94"/>
      <c r="FN130" s="94"/>
      <c r="FO130" s="94"/>
      <c r="FP130" s="94"/>
      <c r="FQ130" s="94"/>
      <c r="FR130" s="94"/>
      <c r="FS130" s="94"/>
      <c r="FT130" s="94"/>
      <c r="FU130" s="94"/>
      <c r="FV130" s="94"/>
      <c r="FW130" s="94"/>
      <c r="FX130" s="94"/>
      <c r="FY130" s="94"/>
      <c r="FZ130" s="94"/>
      <c r="GA130" s="94"/>
      <c r="GB130" s="94"/>
      <c r="GC130" s="94"/>
      <c r="GD130" s="94"/>
    </row>
    <row r="131">
      <c r="A131" s="72">
        <v>46291</v>
      </c>
      <c r="B131" s="94" t="s">
        <v>77</v>
      </c>
      <c r="C131" s="107" t="s">
        <v>88</v>
      </c>
      <c r="D131" s="98">
        <v>4</v>
      </c>
      <c r="E131" s="76">
        <v>7999.17</v>
      </c>
      <c r="F131" s="95">
        <v>15</v>
      </c>
      <c r="G131" s="77">
        <v>13</v>
      </c>
      <c r="H131" s="77">
        <v>17859.2</v>
      </c>
      <c r="I131" s="76">
        <v>1</v>
      </c>
      <c r="J131" s="76">
        <v>582</v>
      </c>
      <c r="K131" s="103">
        <f t="shared" si="27"/>
      </c>
      <c r="L131" s="79">
        <v>6</v>
      </c>
      <c r="M131" s="80">
        <v>7</v>
      </c>
      <c r="N131" s="77">
        <v>3</v>
      </c>
      <c r="O131" s="77">
        <v>6</v>
      </c>
      <c r="P131" s="103">
        <f t="shared" si="58"/>
      </c>
      <c r="Q131" s="82">
        <f t="shared" si="0"/>
      </c>
      <c r="R131" s="83">
        <f t="shared" si="32"/>
      </c>
      <c r="S131" s="82">
        <f t="shared" si="1"/>
      </c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4"/>
      <c r="AW131" s="94"/>
      <c r="AX131" s="94"/>
      <c r="AY131" s="94"/>
      <c r="AZ131" s="94"/>
      <c r="BA131" s="94"/>
      <c r="BB131" s="94"/>
      <c r="BC131" s="94"/>
      <c r="BD131" s="94"/>
      <c r="BE131" s="94"/>
      <c r="BF131" s="94"/>
      <c r="BG131" s="94"/>
      <c r="BH131" s="94"/>
      <c r="BI131" s="94"/>
      <c r="BJ131" s="94"/>
      <c r="BK131" s="94"/>
      <c r="BL131" s="94"/>
      <c r="BM131" s="94"/>
      <c r="BN131" s="94"/>
      <c r="BO131" s="94"/>
      <c r="BP131" s="94"/>
      <c r="BQ131" s="94"/>
      <c r="BR131" s="94"/>
      <c r="BS131" s="94"/>
      <c r="BT131" s="94"/>
      <c r="BU131" s="94"/>
      <c r="BV131" s="94"/>
      <c r="BW131" s="94"/>
      <c r="BX131" s="94"/>
      <c r="BY131" s="94"/>
      <c r="BZ131" s="94"/>
      <c r="CA131" s="94"/>
      <c r="CB131" s="94"/>
      <c r="CC131" s="94"/>
      <c r="CD131" s="94"/>
      <c r="CE131" s="94"/>
      <c r="CF131" s="94"/>
      <c r="CG131" s="94"/>
      <c r="CH131" s="94"/>
      <c r="CI131" s="94"/>
      <c r="CJ131" s="94"/>
      <c r="CK131" s="94"/>
      <c r="CL131" s="94"/>
      <c r="CM131" s="94"/>
      <c r="CN131" s="94"/>
      <c r="CO131" s="94"/>
      <c r="CP131" s="94"/>
      <c r="CQ131" s="94"/>
      <c r="CR131" s="94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C131" s="94"/>
      <c r="DD131" s="94"/>
      <c r="DE131" s="94"/>
      <c r="DF131" s="94"/>
      <c r="DG131" s="94"/>
      <c r="DH131" s="94"/>
      <c r="DI131" s="94"/>
      <c r="DJ131" s="94"/>
      <c r="DK131" s="94"/>
      <c r="DL131" s="94"/>
      <c r="DM131" s="94"/>
      <c r="DN131" s="94"/>
      <c r="DO131" s="94"/>
      <c r="DP131" s="94"/>
      <c r="DQ131" s="94"/>
      <c r="DR131" s="94"/>
      <c r="DS131" s="94"/>
      <c r="DT131" s="94"/>
      <c r="DU131" s="94"/>
      <c r="DV131" s="94"/>
      <c r="DW131" s="94"/>
      <c r="DX131" s="94"/>
      <c r="DY131" s="94"/>
      <c r="DZ131" s="94"/>
      <c r="EA131" s="94"/>
      <c r="EB131" s="94"/>
      <c r="EC131" s="94"/>
      <c r="ED131" s="94"/>
      <c r="EE131" s="94"/>
      <c r="EF131" s="94"/>
      <c r="EG131" s="94"/>
      <c r="EH131" s="94"/>
      <c r="EI131" s="94"/>
      <c r="EJ131" s="94"/>
      <c r="EK131" s="94"/>
      <c r="EL131" s="94"/>
      <c r="EM131" s="94"/>
      <c r="EN131" s="94"/>
      <c r="EO131" s="94"/>
      <c r="EP131" s="94"/>
      <c r="EQ131" s="94"/>
      <c r="ER131" s="94"/>
      <c r="ES131" s="94"/>
      <c r="ET131" s="94"/>
      <c r="EU131" s="94"/>
      <c r="EV131" s="94"/>
      <c r="EW131" s="94"/>
      <c r="EX131" s="94"/>
      <c r="EY131" s="94"/>
      <c r="EZ131" s="94"/>
      <c r="FA131" s="94"/>
      <c r="FB131" s="94"/>
      <c r="FC131" s="94"/>
      <c r="FD131" s="94"/>
      <c r="FE131" s="94"/>
      <c r="FF131" s="94"/>
      <c r="FG131" s="94"/>
      <c r="FH131" s="94"/>
      <c r="FI131" s="94"/>
      <c r="FJ131" s="94"/>
      <c r="FK131" s="94"/>
      <c r="FL131" s="94"/>
      <c r="FM131" s="94"/>
      <c r="FN131" s="94"/>
      <c r="FO131" s="94"/>
      <c r="FP131" s="94"/>
      <c r="FQ131" s="94"/>
      <c r="FR131" s="94"/>
      <c r="FS131" s="94"/>
      <c r="FT131" s="94"/>
      <c r="FU131" s="94"/>
      <c r="FV131" s="94"/>
      <c r="FW131" s="94"/>
      <c r="FX131" s="94"/>
      <c r="FY131" s="94"/>
      <c r="FZ131" s="94"/>
      <c r="GA131" s="94"/>
      <c r="GB131" s="94"/>
      <c r="GC131" s="94"/>
      <c r="GD131" s="94"/>
    </row>
    <row r="132">
      <c r="A132" s="119">
        <v>46291</v>
      </c>
      <c r="B132" s="112" t="s">
        <v>83</v>
      </c>
      <c r="C132" s="113"/>
      <c r="D132" s="92">
        <f>SUM(D128:D131)</f>
      </c>
      <c r="E132" s="92">
        <f>SUM(E128:E131)</f>
      </c>
      <c r="F132" s="92">
        <f>SUM(F128:F131)</f>
      </c>
      <c r="G132" s="92">
        <f>SUM(G128:G131)</f>
      </c>
      <c r="H132" s="92">
        <f>SUM(H128:H131)</f>
      </c>
      <c r="I132" s="92">
        <f>SUM(I128:I131)</f>
      </c>
      <c r="J132" s="92">
        <f>SUM(J128:J131)</f>
      </c>
      <c r="K132" s="92">
        <f>SUM(K128:K131)</f>
      </c>
      <c r="L132" s="92">
        <f>SUM(L128:L131)</f>
      </c>
      <c r="M132" s="92">
        <f>SUM(M128:M131)</f>
      </c>
      <c r="N132" s="92">
        <f>SUM(N128:N131)</f>
      </c>
      <c r="O132" s="92">
        <f>SUM(O128:O131)</f>
      </c>
      <c r="P132" s="92">
        <f>SUM(P128:P131)</f>
      </c>
      <c r="Q132" s="93">
        <f t="shared" si="0"/>
      </c>
      <c r="R132" s="93">
        <f t="shared" si="32"/>
      </c>
      <c r="S132" s="93">
        <f t="shared" si="1"/>
      </c>
      <c r="T132" s="92"/>
      <c r="U132" s="92">
        <f>SUM(U128:U131)</f>
      </c>
      <c r="V132" s="92"/>
      <c r="W132" s="92">
        <f>SUM(W128:W131)</f>
      </c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92"/>
      <c r="BS132" s="92"/>
      <c r="BT132" s="92"/>
      <c r="BU132" s="92"/>
      <c r="BV132" s="92"/>
      <c r="BW132" s="92"/>
      <c r="BX132" s="92"/>
      <c r="BY132" s="92"/>
      <c r="BZ132" s="92"/>
      <c r="CA132" s="92"/>
      <c r="CB132" s="92"/>
      <c r="CC132" s="92"/>
      <c r="CD132" s="92"/>
      <c r="CE132" s="92"/>
      <c r="CF132" s="92"/>
      <c r="CG132" s="92"/>
      <c r="CH132" s="92"/>
      <c r="CI132" s="92"/>
      <c r="CJ132" s="92"/>
      <c r="CK132" s="92"/>
      <c r="CL132" s="92"/>
      <c r="CM132" s="92"/>
      <c r="CN132" s="92"/>
      <c r="CO132" s="92"/>
      <c r="CP132" s="92"/>
      <c r="CQ132" s="92"/>
      <c r="CR132" s="92"/>
      <c r="CS132" s="92"/>
      <c r="CT132" s="92"/>
      <c r="CU132" s="92"/>
      <c r="CV132" s="92"/>
      <c r="CW132" s="92"/>
      <c r="CX132" s="92"/>
      <c r="CY132" s="92"/>
      <c r="CZ132" s="92"/>
      <c r="DA132" s="92"/>
      <c r="DB132" s="92"/>
      <c r="DC132" s="92"/>
      <c r="DD132" s="92"/>
      <c r="DE132" s="92"/>
      <c r="DF132" s="92"/>
      <c r="DG132" s="92"/>
      <c r="DH132" s="92"/>
      <c r="DI132" s="92"/>
      <c r="DJ132" s="92"/>
      <c r="DK132" s="92"/>
      <c r="DL132" s="92"/>
      <c r="DM132" s="92"/>
      <c r="DN132" s="92"/>
      <c r="DO132" s="92"/>
      <c r="DP132" s="92"/>
      <c r="DQ132" s="92"/>
      <c r="DR132" s="92"/>
      <c r="DS132" s="92"/>
      <c r="DT132" s="92"/>
      <c r="DU132" s="92"/>
      <c r="DV132" s="92"/>
      <c r="DW132" s="92"/>
      <c r="DX132" s="92"/>
      <c r="DY132" s="92"/>
      <c r="DZ132" s="92"/>
      <c r="EA132" s="92"/>
      <c r="EB132" s="92"/>
      <c r="EC132" s="92"/>
      <c r="ED132" s="92"/>
      <c r="EE132" s="92"/>
      <c r="EF132" s="92"/>
      <c r="EG132" s="92"/>
      <c r="EH132" s="92"/>
      <c r="EI132" s="92"/>
      <c r="EJ132" s="92"/>
      <c r="EK132" s="92"/>
      <c r="EL132" s="92"/>
      <c r="EM132" s="92"/>
      <c r="EN132" s="92"/>
      <c r="EO132" s="92"/>
      <c r="EP132" s="92"/>
      <c r="EQ132" s="92"/>
      <c r="ER132" s="92"/>
      <c r="ES132" s="92"/>
      <c r="ET132" s="92"/>
      <c r="EU132" s="92"/>
      <c r="EV132" s="92"/>
      <c r="EW132" s="92"/>
      <c r="EX132" s="92"/>
      <c r="EY132" s="92"/>
      <c r="EZ132" s="92"/>
      <c r="FA132" s="92"/>
      <c r="FB132" s="92"/>
      <c r="FC132" s="92"/>
      <c r="FD132" s="92"/>
      <c r="FE132" s="92"/>
      <c r="FF132" s="92"/>
      <c r="FG132" s="92"/>
      <c r="FH132" s="92"/>
      <c r="FI132" s="92"/>
      <c r="FJ132" s="92"/>
      <c r="FK132" s="92"/>
      <c r="FL132" s="92"/>
      <c r="FM132" s="92"/>
      <c r="FN132" s="92"/>
      <c r="FO132" s="92"/>
      <c r="FP132" s="92"/>
      <c r="FQ132" s="92"/>
      <c r="FR132" s="92"/>
      <c r="FS132" s="92"/>
      <c r="FT132" s="92"/>
      <c r="FU132" s="92"/>
      <c r="FV132" s="92"/>
      <c r="FW132" s="92"/>
      <c r="FX132" s="92"/>
      <c r="FY132" s="92"/>
      <c r="FZ132" s="92"/>
      <c r="GA132" s="92"/>
      <c r="GB132" s="92"/>
      <c r="GC132" s="92"/>
      <c r="GD132" s="92"/>
    </row>
    <row r="133">
      <c r="A133" s="72">
        <v>46292</v>
      </c>
      <c r="B133" s="94" t="s">
        <v>73</v>
      </c>
      <c r="C133" s="97" t="s">
        <v>93</v>
      </c>
      <c r="D133" s="98">
        <v>4</v>
      </c>
      <c r="E133" s="76">
        <v>8784.56</v>
      </c>
      <c r="F133" s="75">
        <v>15</v>
      </c>
      <c r="G133" s="77">
        <v>9</v>
      </c>
      <c r="H133" s="77">
        <v>10534.1</v>
      </c>
      <c r="I133" s="76">
        <v>1</v>
      </c>
      <c r="J133" s="76">
        <v>307.2</v>
      </c>
      <c r="K133" s="103">
        <f t="shared" ref="K133:K136" si="28">G133+I133</f>
      </c>
      <c r="L133" s="79">
        <v>5</v>
      </c>
      <c r="M133" s="80">
        <v>8</v>
      </c>
      <c r="N133" s="77">
        <v>2</v>
      </c>
      <c r="O133" s="77">
        <v>4</v>
      </c>
      <c r="P133" s="103">
        <f t="shared" ref="P133:P136" si="59">J133+H133</f>
      </c>
      <c r="Q133" s="82">
        <f t="shared" si="0"/>
      </c>
      <c r="R133" s="83">
        <f t="shared" si="32"/>
      </c>
      <c r="S133" s="82">
        <f t="shared" si="1"/>
      </c>
      <c r="T133" s="94" t="s">
        <v>82</v>
      </c>
      <c r="U133" s="94">
        <v>8</v>
      </c>
      <c r="V133" s="94" t="s">
        <v>110</v>
      </c>
      <c r="W133" s="94">
        <v>8</v>
      </c>
    </row>
    <row r="134">
      <c r="A134" s="72">
        <v>46292</v>
      </c>
      <c r="B134" s="94" t="s">
        <v>80</v>
      </c>
      <c r="C134" s="107" t="s">
        <v>94</v>
      </c>
      <c r="D134" s="98">
        <v>4</v>
      </c>
      <c r="E134" s="124">
        <v>3022.05</v>
      </c>
      <c r="F134" s="122">
        <v>1</v>
      </c>
      <c r="G134" s="77">
        <v>1</v>
      </c>
      <c r="H134" s="77">
        <v>3158.4</v>
      </c>
      <c r="I134" s="76">
        <v>0</v>
      </c>
      <c r="J134" s="76">
        <v>0</v>
      </c>
      <c r="K134" s="103">
        <f t="shared" si="28"/>
      </c>
      <c r="L134" s="79">
        <v>1</v>
      </c>
      <c r="M134" s="80">
        <v>1</v>
      </c>
      <c r="N134" s="77">
        <v>0</v>
      </c>
      <c r="O134" s="77">
        <v>1</v>
      </c>
      <c r="P134" s="103">
        <f t="shared" si="59"/>
      </c>
      <c r="Q134" s="82">
        <f t="shared" si="0"/>
      </c>
      <c r="R134" s="83">
        <f t="shared" si="32"/>
      </c>
      <c r="S134" s="82">
        <f t="shared" si="1"/>
      </c>
      <c r="T134" s="94"/>
      <c r="U134" s="94"/>
      <c r="V134" s="87"/>
      <c r="W134" s="87"/>
    </row>
    <row r="135">
      <c r="A135" s="72">
        <v>46292</v>
      </c>
      <c r="B135" s="94" t="s">
        <v>77</v>
      </c>
      <c r="C135" s="107" t="s">
        <v>95</v>
      </c>
      <c r="D135" s="98">
        <v>4</v>
      </c>
      <c r="E135" s="76">
        <v>7180.92</v>
      </c>
      <c r="F135" s="120">
        <v>14</v>
      </c>
      <c r="G135" s="77">
        <v>10</v>
      </c>
      <c r="H135" s="77">
        <v>16410.6</v>
      </c>
      <c r="I135" s="76">
        <v>1</v>
      </c>
      <c r="J135" s="76">
        <v>255</v>
      </c>
      <c r="K135" s="103">
        <f t="shared" si="28"/>
      </c>
      <c r="L135" s="79">
        <v>6</v>
      </c>
      <c r="M135" s="80">
        <v>9</v>
      </c>
      <c r="N135" s="77">
        <v>2</v>
      </c>
      <c r="O135" s="77">
        <v>4</v>
      </c>
      <c r="P135" s="103">
        <f t="shared" si="59"/>
      </c>
      <c r="Q135" s="82">
        <f t="shared" si="0"/>
      </c>
      <c r="R135" s="83">
        <f t="shared" si="32"/>
      </c>
      <c r="S135" s="82">
        <f t="shared" si="1"/>
      </c>
      <c r="T135" s="94" t="s">
        <v>107</v>
      </c>
      <c r="U135" s="94">
        <v>8</v>
      </c>
      <c r="V135" s="126" t="s">
        <v>106</v>
      </c>
      <c r="W135" s="94">
        <v>8</v>
      </c>
    </row>
    <row r="136">
      <c r="A136" s="72">
        <v>46292</v>
      </c>
      <c r="B136" s="94" t="s">
        <v>84</v>
      </c>
      <c r="C136" s="107" t="s">
        <v>88</v>
      </c>
      <c r="D136" s="98">
        <v>4</v>
      </c>
      <c r="E136" s="76">
        <v>9421.96</v>
      </c>
      <c r="F136" s="95">
        <v>11</v>
      </c>
      <c r="G136" s="77">
        <v>9</v>
      </c>
      <c r="H136" s="77">
        <v>16336.4</v>
      </c>
      <c r="I136" s="76">
        <v>2</v>
      </c>
      <c r="J136" s="76">
        <v>2397.6</v>
      </c>
      <c r="K136" s="103">
        <f t="shared" si="28"/>
      </c>
      <c r="L136" s="79">
        <v>6</v>
      </c>
      <c r="M136" s="80">
        <v>6</v>
      </c>
      <c r="N136" s="77">
        <v>2</v>
      </c>
      <c r="O136" s="77">
        <v>5</v>
      </c>
      <c r="P136" s="103">
        <f t="shared" si="59"/>
      </c>
      <c r="Q136" s="82">
        <f t="shared" si="0"/>
      </c>
      <c r="R136" s="83">
        <f t="shared" si="32"/>
      </c>
      <c r="S136" s="82">
        <f t="shared" si="1"/>
      </c>
      <c r="T136" s="94"/>
      <c r="U136" s="94"/>
      <c r="V136" s="94"/>
      <c r="W136" s="94"/>
    </row>
    <row r="137">
      <c r="A137" s="119">
        <v>46292</v>
      </c>
      <c r="B137" s="112" t="s">
        <v>83</v>
      </c>
      <c r="C137" s="113"/>
      <c r="D137" s="92">
        <f>SUM(D133:D136)</f>
      </c>
      <c r="E137" s="92">
        <f>SUM(E133:E136)</f>
      </c>
      <c r="F137" s="92">
        <f>SUM(F133:F136)</f>
      </c>
      <c r="G137" s="92">
        <f>SUM(G133:G136)</f>
      </c>
      <c r="H137" s="92">
        <f>SUM(H133:H136)</f>
      </c>
      <c r="I137" s="92">
        <f>SUM(I133:I136)</f>
      </c>
      <c r="J137" s="92">
        <f>SUM(J133:J136)</f>
      </c>
      <c r="K137" s="92">
        <f>SUM(K133:K136)</f>
      </c>
      <c r="L137" s="92">
        <f>SUM(L133:L136)</f>
      </c>
      <c r="M137" s="92">
        <f>SUM(M133:M136)</f>
      </c>
      <c r="N137" s="92">
        <f>SUM(N133:N136)</f>
      </c>
      <c r="O137" s="92">
        <f>SUM(O133:O136)</f>
      </c>
      <c r="P137" s="92">
        <f>SUM(P133:P136)</f>
      </c>
      <c r="Q137" s="93">
        <f t="shared" si="0"/>
      </c>
      <c r="R137" s="93">
        <f t="shared" si="32"/>
      </c>
      <c r="S137" s="93">
        <f t="shared" si="1"/>
      </c>
      <c r="T137" s="92"/>
      <c r="U137" s="92">
        <f>SUM(U133:U136)</f>
      </c>
      <c r="V137" s="92"/>
      <c r="W137" s="92">
        <f>SUM(W133:W136)</f>
      </c>
    </row>
    <row r="138">
      <c r="A138" s="72">
        <v>46293</v>
      </c>
      <c r="B138" s="94" t="s">
        <v>80</v>
      </c>
      <c r="C138" s="97" t="s">
        <v>93</v>
      </c>
      <c r="D138" s="98">
        <v>4</v>
      </c>
      <c r="E138" s="76">
        <v>7650.35</v>
      </c>
      <c r="F138" s="75">
        <v>5</v>
      </c>
      <c r="G138" s="77">
        <v>3</v>
      </c>
      <c r="H138" s="77">
        <v>2796</v>
      </c>
      <c r="I138" s="76">
        <v>0</v>
      </c>
      <c r="J138" s="76">
        <v>0</v>
      </c>
      <c r="K138" s="103">
        <f t="shared" ref="K138:K141" si="29">G138+I138</f>
      </c>
      <c r="L138" s="79">
        <v>2</v>
      </c>
      <c r="M138" s="80">
        <v>4</v>
      </c>
      <c r="N138" s="77">
        <v>0</v>
      </c>
      <c r="O138" s="77">
        <v>1</v>
      </c>
      <c r="P138" s="103">
        <f t="shared" ref="P138:P141" si="60">J138+H138</f>
      </c>
      <c r="Q138" s="82">
        <f t="shared" si="0"/>
      </c>
      <c r="R138" s="83">
        <f t="shared" si="32"/>
      </c>
      <c r="S138" s="82">
        <f t="shared" si="1"/>
      </c>
      <c r="T138" s="94" t="s">
        <v>82</v>
      </c>
      <c r="U138" s="94">
        <v>8</v>
      </c>
      <c r="V138" s="94" t="s">
        <v>76</v>
      </c>
      <c r="W138" s="94">
        <v>8</v>
      </c>
    </row>
    <row r="139">
      <c r="A139" s="72">
        <v>46293</v>
      </c>
      <c r="B139" s="94" t="s">
        <v>90</v>
      </c>
      <c r="C139" s="107" t="s">
        <v>94</v>
      </c>
      <c r="D139" s="98">
        <v>4</v>
      </c>
      <c r="E139" s="124">
        <v>6863.08</v>
      </c>
      <c r="F139" s="122">
        <v>10</v>
      </c>
      <c r="G139" s="77">
        <v>10</v>
      </c>
      <c r="H139" s="77">
        <v>16309.2</v>
      </c>
      <c r="I139" s="76">
        <v>0</v>
      </c>
      <c r="J139" s="76">
        <v>0</v>
      </c>
      <c r="K139" s="103">
        <f t="shared" si="29"/>
      </c>
      <c r="L139" s="79">
        <v>4</v>
      </c>
      <c r="M139" s="80">
        <v>4</v>
      </c>
      <c r="N139" s="77">
        <v>1</v>
      </c>
      <c r="O139" s="77">
        <v>5</v>
      </c>
      <c r="P139" s="103">
        <f t="shared" si="60"/>
      </c>
      <c r="Q139" s="82">
        <f t="shared" si="0"/>
      </c>
      <c r="R139" s="83">
        <f t="shared" si="32"/>
      </c>
      <c r="S139" s="82">
        <f t="shared" si="1"/>
      </c>
      <c r="T139" s="94"/>
      <c r="U139" s="94"/>
      <c r="V139" s="87"/>
      <c r="W139" s="87"/>
    </row>
    <row r="140">
      <c r="A140" s="72">
        <v>46293</v>
      </c>
      <c r="B140" s="94" t="s">
        <v>84</v>
      </c>
      <c r="C140" s="107" t="s">
        <v>95</v>
      </c>
      <c r="D140" s="98">
        <v>4</v>
      </c>
      <c r="E140" s="76">
        <v>6546.03</v>
      </c>
      <c r="F140" s="120">
        <v>4</v>
      </c>
      <c r="G140" s="77">
        <v>2</v>
      </c>
      <c r="H140" s="77">
        <v>3831.6</v>
      </c>
      <c r="I140" s="76">
        <v>1</v>
      </c>
      <c r="J140" s="76">
        <v>1944</v>
      </c>
      <c r="K140" s="103">
        <f t="shared" si="29"/>
      </c>
      <c r="L140" s="79">
        <v>2</v>
      </c>
      <c r="M140" s="80">
        <v>3</v>
      </c>
      <c r="N140" s="77">
        <v>0</v>
      </c>
      <c r="O140" s="77">
        <v>3</v>
      </c>
      <c r="P140" s="103">
        <f t="shared" si="60"/>
      </c>
      <c r="Q140" s="82">
        <f t="shared" si="0"/>
      </c>
      <c r="R140" s="83">
        <f t="shared" si="32"/>
      </c>
      <c r="S140" s="82">
        <f t="shared" si="1"/>
      </c>
      <c r="T140" s="94" t="s">
        <v>107</v>
      </c>
      <c r="U140" s="94">
        <v>8</v>
      </c>
      <c r="V140" s="73" t="s">
        <v>110</v>
      </c>
      <c r="W140" s="94">
        <v>8</v>
      </c>
    </row>
    <row r="141">
      <c r="A141" s="72">
        <v>46293</v>
      </c>
      <c r="B141" s="94" t="s">
        <v>77</v>
      </c>
      <c r="C141" s="107" t="s">
        <v>88</v>
      </c>
      <c r="D141" s="98">
        <v>4</v>
      </c>
      <c r="E141" s="76">
        <v>5973.18</v>
      </c>
      <c r="F141" s="95">
        <v>6</v>
      </c>
      <c r="G141" s="77">
        <v>4</v>
      </c>
      <c r="H141" s="77">
        <v>5050</v>
      </c>
      <c r="I141" s="76">
        <v>1</v>
      </c>
      <c r="J141" s="76">
        <v>300</v>
      </c>
      <c r="K141" s="103">
        <f t="shared" si="29"/>
      </c>
      <c r="L141" s="79">
        <v>5</v>
      </c>
      <c r="M141" s="80">
        <v>8</v>
      </c>
      <c r="N141" s="77">
        <v>0</v>
      </c>
      <c r="O141" s="77">
        <v>1</v>
      </c>
      <c r="P141" s="103">
        <f t="shared" si="60"/>
      </c>
      <c r="Q141" s="82">
        <f t="shared" si="0"/>
      </c>
      <c r="R141" s="83">
        <f t="shared" si="32"/>
      </c>
      <c r="S141" s="82">
        <f t="shared" si="1"/>
      </c>
      <c r="T141" s="94"/>
      <c r="U141" s="94"/>
      <c r="V141" s="94"/>
      <c r="W141" s="94"/>
    </row>
    <row r="142">
      <c r="A142" s="119">
        <v>46293</v>
      </c>
      <c r="B142" s="112" t="s">
        <v>83</v>
      </c>
      <c r="C142" s="113"/>
      <c r="D142" s="92">
        <f>SUM(D138:D141)</f>
      </c>
      <c r="E142" s="92">
        <f>SUM(E138:E141)</f>
      </c>
      <c r="F142" s="92">
        <f>SUM(F138:F141)</f>
      </c>
      <c r="G142" s="92">
        <f>SUM(G138:G141)</f>
      </c>
      <c r="H142" s="92">
        <f>SUM(H138:H141)</f>
      </c>
      <c r="I142" s="92">
        <f>SUM(I138:I141)</f>
      </c>
      <c r="J142" s="92">
        <f>SUM(J138:J141)</f>
      </c>
      <c r="K142" s="92">
        <f>SUM(K138:K141)</f>
      </c>
      <c r="L142" s="92">
        <f>SUM(L138:L141)</f>
      </c>
      <c r="M142" s="92">
        <f>SUM(M138:M141)</f>
      </c>
      <c r="N142" s="92">
        <f>SUM(N138:N141)</f>
      </c>
      <c r="O142" s="92">
        <f>SUM(O138:O141)</f>
      </c>
      <c r="P142" s="92">
        <f>SUM(P138:P141)</f>
      </c>
      <c r="Q142" s="93">
        <f t="shared" si="0"/>
      </c>
      <c r="R142" s="93">
        <f t="shared" si="32"/>
      </c>
      <c r="S142" s="93">
        <f t="shared" si="1"/>
      </c>
      <c r="T142" s="92"/>
      <c r="U142" s="92">
        <f>SUM(U138:U141)</f>
      </c>
      <c r="V142" s="92"/>
      <c r="W142" s="92">
        <f>SUM(W138:W141)</f>
      </c>
    </row>
    <row r="143">
      <c r="A143" s="72">
        <v>46294</v>
      </c>
      <c r="B143" s="94" t="s">
        <v>90</v>
      </c>
      <c r="C143" s="97" t="s">
        <v>93</v>
      </c>
      <c r="D143" s="98">
        <v>4</v>
      </c>
      <c r="E143" s="76">
        <v>5606.7699999999995</v>
      </c>
      <c r="F143" s="75">
        <v>8</v>
      </c>
      <c r="G143" s="77">
        <v>5</v>
      </c>
      <c r="H143" s="77">
        <v>9276</v>
      </c>
      <c r="I143" s="76">
        <v>1</v>
      </c>
      <c r="J143" s="76">
        <v>504</v>
      </c>
      <c r="K143" s="103">
        <f t="shared" ref="K143:K146" si="30">G143+I143</f>
      </c>
      <c r="L143" s="79">
        <v>6</v>
      </c>
      <c r="M143" s="80">
        <v>7</v>
      </c>
      <c r="N143" s="77">
        <v>0</v>
      </c>
      <c r="O143" s="77">
        <v>3</v>
      </c>
      <c r="P143" s="103">
        <f t="shared" ref="P143:P146" si="61">J143+H143</f>
      </c>
      <c r="Q143" s="82">
        <f t="shared" si="0"/>
      </c>
      <c r="R143" s="83">
        <f t="shared" si="32"/>
      </c>
      <c r="S143" s="82">
        <f t="shared" si="1"/>
      </c>
      <c r="T143" s="94" t="s">
        <v>82</v>
      </c>
      <c r="U143" s="94">
        <v>8</v>
      </c>
      <c r="V143" s="94" t="s">
        <v>76</v>
      </c>
      <c r="W143" s="94">
        <v>8</v>
      </c>
    </row>
    <row r="144">
      <c r="A144" s="72">
        <v>46294</v>
      </c>
      <c r="B144" s="94" t="s">
        <v>73</v>
      </c>
      <c r="C144" s="107" t="s">
        <v>94</v>
      </c>
      <c r="D144" s="98">
        <v>4</v>
      </c>
      <c r="E144" s="124">
        <v>9331.82</v>
      </c>
      <c r="F144" s="122">
        <v>8</v>
      </c>
      <c r="G144" s="77">
        <v>9</v>
      </c>
      <c r="H144" s="77">
        <v>12822.7</v>
      </c>
      <c r="I144" s="76">
        <v>1</v>
      </c>
      <c r="J144" s="76">
        <v>255</v>
      </c>
      <c r="K144" s="103">
        <f t="shared" si="30"/>
      </c>
      <c r="L144" s="79">
        <v>7</v>
      </c>
      <c r="M144" s="80">
        <v>7</v>
      </c>
      <c r="N144" s="77">
        <v>1</v>
      </c>
      <c r="O144" s="77">
        <v>4</v>
      </c>
      <c r="P144" s="103">
        <f t="shared" si="61"/>
      </c>
      <c r="Q144" s="82">
        <f t="shared" si="0"/>
      </c>
      <c r="R144" s="83">
        <f t="shared" si="32"/>
      </c>
      <c r="S144" s="82">
        <f t="shared" si="1"/>
      </c>
      <c r="T144" s="94"/>
      <c r="U144" s="94"/>
      <c r="V144" s="87"/>
      <c r="W144" s="87"/>
    </row>
    <row r="145">
      <c r="A145" s="72">
        <v>46294</v>
      </c>
      <c r="B145" s="94" t="s">
        <v>77</v>
      </c>
      <c r="C145" s="107" t="s">
        <v>95</v>
      </c>
      <c r="D145" s="127">
        <f>4-0.85</f>
      </c>
      <c r="E145" s="76">
        <v>9462.69</v>
      </c>
      <c r="F145" s="120">
        <v>17</v>
      </c>
      <c r="G145" s="77">
        <v>8</v>
      </c>
      <c r="H145" s="77">
        <v>13338.9</v>
      </c>
      <c r="I145" s="76">
        <v>1</v>
      </c>
      <c r="J145" s="76">
        <v>318</v>
      </c>
      <c r="K145" s="103">
        <f t="shared" si="30"/>
      </c>
      <c r="L145" s="79">
        <v>7</v>
      </c>
      <c r="M145" s="80">
        <v>11</v>
      </c>
      <c r="N145" s="77">
        <v>1</v>
      </c>
      <c r="O145" s="77">
        <v>4</v>
      </c>
      <c r="P145" s="103">
        <f t="shared" si="61"/>
      </c>
      <c r="Q145" s="82">
        <f t="shared" si="0"/>
      </c>
      <c r="R145" s="83">
        <f t="shared" si="32"/>
      </c>
      <c r="S145" s="82">
        <f t="shared" si="1"/>
      </c>
      <c r="T145" s="73" t="s">
        <v>89</v>
      </c>
      <c r="U145" s="94">
        <v>8</v>
      </c>
      <c r="V145" s="73" t="s">
        <v>110</v>
      </c>
      <c r="W145" s="94">
        <v>8</v>
      </c>
    </row>
    <row r="146">
      <c r="A146" s="72">
        <v>46294</v>
      </c>
      <c r="B146" s="94" t="s">
        <v>84</v>
      </c>
      <c r="C146" s="107" t="s">
        <v>88</v>
      </c>
      <c r="D146" s="98">
        <v>4</v>
      </c>
      <c r="E146" s="76">
        <v>10282.61</v>
      </c>
      <c r="F146" s="95">
        <v>10</v>
      </c>
      <c r="G146" s="77">
        <v>8</v>
      </c>
      <c r="H146" s="77">
        <v>14264.600000000006</v>
      </c>
      <c r="I146" s="76">
        <v>1</v>
      </c>
      <c r="J146" s="76">
        <v>504</v>
      </c>
      <c r="K146" s="103">
        <f t="shared" si="30"/>
      </c>
      <c r="L146" s="79">
        <v>7</v>
      </c>
      <c r="M146" s="80">
        <v>8</v>
      </c>
      <c r="N146" s="77">
        <v>1</v>
      </c>
      <c r="O146" s="77">
        <v>6</v>
      </c>
      <c r="P146" s="103">
        <f t="shared" si="61"/>
      </c>
      <c r="Q146" s="82">
        <f t="shared" si="0"/>
      </c>
      <c r="R146" s="83">
        <f t="shared" si="32"/>
      </c>
      <c r="S146" s="82">
        <f t="shared" si="1"/>
      </c>
      <c r="T146" s="94"/>
      <c r="U146" s="94"/>
      <c r="V146" s="94"/>
      <c r="W146" s="94"/>
    </row>
    <row r="147">
      <c r="A147" s="119">
        <v>46294</v>
      </c>
      <c r="B147" s="112" t="s">
        <v>83</v>
      </c>
      <c r="C147" s="113"/>
      <c r="D147" s="92">
        <f>SUM(D143:D146)</f>
      </c>
      <c r="E147" s="92">
        <f>SUM(E143:E146)</f>
      </c>
      <c r="F147" s="92">
        <f>SUM(F143:F146)</f>
      </c>
      <c r="G147" s="92">
        <f>SUM(G143:G146)</f>
      </c>
      <c r="H147" s="92">
        <f>SUM(H143:H146)</f>
      </c>
      <c r="I147" s="92">
        <f>SUM(I143:I146)</f>
      </c>
      <c r="J147" s="92">
        <f>SUM(J143:J146)</f>
      </c>
      <c r="K147" s="92">
        <f>SUM(K143:K146)</f>
      </c>
      <c r="L147" s="92">
        <f>SUM(L143:L146)</f>
      </c>
      <c r="M147" s="92">
        <f>SUM(M143:M146)</f>
      </c>
      <c r="N147" s="92">
        <f>SUM(N143:N146)</f>
      </c>
      <c r="O147" s="92">
        <f>SUM(O143:O146)</f>
      </c>
      <c r="P147" s="92">
        <f>SUM(P143:P146)</f>
      </c>
      <c r="Q147" s="93">
        <f t="shared" si="0"/>
      </c>
      <c r="R147" s="93">
        <f t="shared" si="32"/>
      </c>
      <c r="S147" s="93">
        <f t="shared" si="1"/>
      </c>
      <c r="T147" s="92"/>
      <c r="U147" s="92">
        <f>SUM(U143:U146)</f>
      </c>
      <c r="V147" s="92"/>
      <c r="W147" s="92">
        <f>SUM(W143:W146)</f>
      </c>
    </row>
    <row r="148">
      <c r="A148" s="72">
        <v>46295</v>
      </c>
      <c r="B148" s="94" t="s">
        <v>73</v>
      </c>
      <c r="C148" s="97" t="s">
        <v>93</v>
      </c>
      <c r="D148" s="127">
        <f>4-0.35</f>
      </c>
      <c r="E148" s="76">
        <v>8963.27</v>
      </c>
      <c r="F148" s="75">
        <v>8</v>
      </c>
      <c r="G148" s="77">
        <v>6</v>
      </c>
      <c r="H148" s="77">
        <v>7278.200000000001</v>
      </c>
      <c r="I148" s="76">
        <v>1</v>
      </c>
      <c r="J148" s="76">
        <v>504</v>
      </c>
      <c r="K148" s="103">
        <f t="shared" ref="K148:K150" si="31">G148+I148</f>
      </c>
      <c r="L148" s="79">
        <v>6</v>
      </c>
      <c r="M148" s="80">
        <v>7</v>
      </c>
      <c r="N148" s="77">
        <v>1</v>
      </c>
      <c r="O148" s="77">
        <v>4</v>
      </c>
      <c r="P148" s="103">
        <f t="shared" ref="P148:P150" si="62">J148+H148</f>
      </c>
      <c r="Q148" s="82">
        <f t="shared" si="0"/>
      </c>
      <c r="R148" s="83">
        <f t="shared" si="32"/>
      </c>
      <c r="S148" s="82">
        <f t="shared" si="1"/>
      </c>
      <c r="T148" s="94" t="s">
        <v>82</v>
      </c>
      <c r="U148" s="94">
        <v>8</v>
      </c>
      <c r="V148" s="94" t="s">
        <v>76</v>
      </c>
      <c r="W148" s="94">
        <v>8</v>
      </c>
    </row>
    <row r="149">
      <c r="A149" s="72">
        <v>46295</v>
      </c>
      <c r="B149" s="94" t="s">
        <v>80</v>
      </c>
      <c r="C149" s="107" t="s">
        <v>94</v>
      </c>
      <c r="D149" s="98">
        <v>4</v>
      </c>
      <c r="E149" s="124">
        <v>8511.55</v>
      </c>
      <c r="F149" s="122">
        <v>11</v>
      </c>
      <c r="G149" s="77">
        <v>9</v>
      </c>
      <c r="H149" s="77">
        <v>11996.3</v>
      </c>
      <c r="I149" s="76">
        <v>0</v>
      </c>
      <c r="J149" s="76">
        <v>0</v>
      </c>
      <c r="K149" s="103">
        <f t="shared" si="31"/>
      </c>
      <c r="L149" s="79">
        <v>4</v>
      </c>
      <c r="M149" s="80">
        <v>6</v>
      </c>
      <c r="N149" s="77">
        <v>1</v>
      </c>
      <c r="O149" s="77">
        <v>5</v>
      </c>
      <c r="P149" s="103">
        <f t="shared" si="62"/>
      </c>
      <c r="Q149" s="82">
        <f t="shared" si="0"/>
      </c>
      <c r="R149" s="83">
        <f t="shared" si="32"/>
      </c>
      <c r="S149" s="82">
        <f t="shared" si="1"/>
      </c>
      <c r="T149" s="94"/>
      <c r="U149" s="94"/>
      <c r="V149" s="87"/>
      <c r="W149" s="87"/>
    </row>
    <row r="150">
      <c r="A150" s="72">
        <v>46295</v>
      </c>
      <c r="B150" s="94" t="s">
        <v>84</v>
      </c>
      <c r="C150" s="85" t="s">
        <v>102</v>
      </c>
      <c r="D150" s="118">
        <f>3-0.35</f>
      </c>
      <c r="E150" s="76">
        <v>4109.18</v>
      </c>
      <c r="F150" s="120">
        <v>6</v>
      </c>
      <c r="G150" s="77">
        <v>2</v>
      </c>
      <c r="H150" s="77">
        <v>6163.2</v>
      </c>
      <c r="I150" s="76">
        <v>0</v>
      </c>
      <c r="J150" s="76">
        <v>0</v>
      </c>
      <c r="K150" s="103">
        <f t="shared" si="31"/>
      </c>
      <c r="L150" s="79">
        <v>2</v>
      </c>
      <c r="M150" s="80">
        <v>7</v>
      </c>
      <c r="N150" s="77">
        <v>0</v>
      </c>
      <c r="O150" s="77">
        <v>2</v>
      </c>
      <c r="P150" s="103">
        <f t="shared" si="62"/>
      </c>
      <c r="Q150" s="82">
        <f t="shared" si="0"/>
      </c>
      <c r="R150" s="83">
        <f t="shared" si="32"/>
      </c>
      <c r="S150" s="82">
        <f t="shared" si="1"/>
      </c>
      <c r="T150" s="73" t="s">
        <v>89</v>
      </c>
      <c r="U150" s="73">
        <v>3</v>
      </c>
      <c r="V150" s="73" t="s">
        <v>110</v>
      </c>
      <c r="W150" s="73">
        <v>3</v>
      </c>
    </row>
    <row r="151">
      <c r="A151" s="119">
        <v>46295</v>
      </c>
      <c r="B151" s="112" t="s">
        <v>83</v>
      </c>
      <c r="C151" s="113"/>
      <c r="D151" s="92">
        <f>SUM(D148:D150)</f>
      </c>
      <c r="E151" s="92">
        <f>SUM(E148:E150)</f>
      </c>
      <c r="F151" s="92">
        <f>SUM(F148:F150)</f>
      </c>
      <c r="G151" s="92">
        <f>SUM(G148:G150)</f>
      </c>
      <c r="H151" s="92">
        <f>SUM(H148:H150)</f>
      </c>
      <c r="I151" s="92">
        <f>SUM(I148:I150)</f>
      </c>
      <c r="J151" s="92">
        <f>SUM(J148:J150)</f>
      </c>
      <c r="K151" s="92">
        <f>SUM(K148:K150)</f>
      </c>
      <c r="L151" s="92">
        <f>SUM(L148:L150)</f>
      </c>
      <c r="M151" s="92">
        <f>SUM(M148:M150)</f>
      </c>
      <c r="N151" s="92">
        <f>SUM(N148:N150)</f>
      </c>
      <c r="O151" s="92">
        <f>SUM(O148:O150)</f>
      </c>
      <c r="P151" s="92">
        <f>SUM(P148:P150)</f>
      </c>
      <c r="Q151" s="93">
        <f t="shared" si="0"/>
      </c>
      <c r="R151" s="93">
        <f t="shared" si="32"/>
      </c>
      <c r="S151" s="93">
        <f t="shared" si="1"/>
      </c>
      <c r="T151" s="92"/>
      <c r="U151" s="92">
        <f>SUM(U148:U150)</f>
      </c>
      <c r="V151" s="92"/>
      <c r="W151" s="92">
        <f>SUM(W148:W150)</f>
      </c>
    </row>
    <row r="152">
      <c r="E152" s="128"/>
      <c r="P152" s="128">
        <f>SUM(P150+P146+P140)</f>
      </c>
    </row>
    <row r="153">
      <c r="E153" s="128">
        <f>SUM(E148+E144)</f>
      </c>
      <c r="P153" s="128">
        <f>SUM(P148+P144)</f>
      </c>
    </row>
    <row r="154">
      <c r="E154" s="129"/>
      <c r="P154" s="128"/>
    </row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>
      <c r="L223" t="s">
        <v>69</v>
      </c>
      <c r="M223" t="s">
        <v>112</v>
      </c>
    </row>
    <row r="224">
      <c r="L224" t="s">
        <v>82</v>
      </c>
      <c r="M224">
        <v>222</v>
      </c>
    </row>
    <row r="225">
      <c r="L225" t="s">
        <v>91</v>
      </c>
      <c r="M225">
        <v>3</v>
      </c>
    </row>
    <row r="226">
      <c r="L226" t="s">
        <v>89</v>
      </c>
      <c r="M226">
        <v>100</v>
      </c>
    </row>
    <row r="227">
      <c r="L227" t="s">
        <v>92</v>
      </c>
      <c r="M227">
        <v>8</v>
      </c>
    </row>
    <row r="228">
      <c r="L228" t="s">
        <v>105</v>
      </c>
      <c r="M228">
        <v>8</v>
      </c>
    </row>
    <row r="229">
      <c r="L229" t="s">
        <v>107</v>
      </c>
      <c r="M229">
        <v>84.65</v>
      </c>
    </row>
    <row r="230">
      <c r="L230" t="s">
        <v>79</v>
      </c>
      <c r="M230">
        <v>4</v>
      </c>
    </row>
    <row r="231">
      <c r="L231" t="s">
        <v>75</v>
      </c>
      <c r="M231">
        <v>20</v>
      </c>
    </row>
    <row r="232">
      <c r="L232" t="s">
        <v>113</v>
      </c>
      <c r="M232">
        <v>449.65</v>
      </c>
    </row>
  </sheetData>
  <dataValidations count="3">
    <dataValidation allowBlank="true" errorStyle="stop" showErrorMessage="true" sqref="B2:B4 B6:B8 B10:B12 B14:B17" type="list">
      <formula1>"张仪凡,路孟玲,边丽媛,刘丽杰"</formula1>
    </dataValidation>
    <dataValidation allowBlank="true" errorStyle="stop" showErrorMessage="true" sqref="B19:B22 B24:B27 B29:B32 B34:B37 B39:B42 B44:B47 B49:B52 B54:B57" type="list">
      <formula1>"张仪凡,路孟玲,边丽媛,刘丽杰,王梦晴"</formula1>
    </dataValidation>
    <dataValidation allowBlank="true" errorStyle="stop" showErrorMessage="true" sqref="B59:B63 B65:B69 B71:B75 B77:B81 B83:B86 B88:B91 B93:B96 B98:B101 B103:B106 B108:B111 B113:B116 B118:B121 B123:B126 B128:B131 B133:B136 B138:B141 B143:B146 B148:B150" type="list">
      <formula1>"张仪凡,路孟玲,边丽媛,刘丽杰,王梦晴,申丽媛"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7.425396126760564"/>
    <col collapsed="false" customWidth="true" hidden="false" max="14" min="14" style="0" width="17.425396126760564"/>
    <col collapsed="false" customWidth="true" hidden="false" max="5" min="5" style="0" width="11.211267605633802"/>
    <col collapsed="false" customWidth="true" hidden="false" max="9" min="9" style="0" width="17.425396126760564"/>
    <col collapsed="false" customWidth="true" hidden="false" max="13" min="13" style="0" width="17.425396126760564"/>
    <col collapsed="false" customWidth="true" hidden="false" max="17" min="17" style="0" width="11.211267605633802"/>
    <col collapsed="false" customWidth="true" hidden="false" max="4" min="4" style="0" width="11.211267605633802"/>
    <col collapsed="false" customWidth="true" hidden="false" max="8" min="8" style="0" width="17.425396126760564"/>
    <col collapsed="false" customWidth="true" hidden="false" max="12" min="12" style="0" width="17.425396126760564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7" min="7" style="0" width="17.425396126760564"/>
    <col collapsed="false" customWidth="true" hidden="false" max="11" min="11" style="0" width="17.425396126760564"/>
    <col collapsed="false" customWidth="true" hidden="false" max="15" min="15" style="0" width="17.425396126760564"/>
  </cols>
  <sheetData>
    <row r="1">
      <c r="A1" s="130" t="s">
        <v>114</v>
      </c>
      <c r="B1" s="131" t="s">
        <v>115</v>
      </c>
      <c r="C1" s="130" t="s">
        <v>116</v>
      </c>
      <c r="D1" s="130" t="s">
        <v>117</v>
      </c>
      <c r="E1" s="132" t="s">
        <v>118</v>
      </c>
      <c r="F1" s="130" t="s">
        <v>119</v>
      </c>
      <c r="G1" s="133" t="s">
        <v>120</v>
      </c>
      <c r="H1" s="133" t="s">
        <v>121</v>
      </c>
      <c r="I1" s="133" t="s">
        <v>122</v>
      </c>
      <c r="J1" s="133" t="s">
        <v>123</v>
      </c>
      <c r="K1" s="133" t="s">
        <v>124</v>
      </c>
      <c r="L1" s="134" t="s">
        <v>125</v>
      </c>
      <c r="M1" s="135" t="s">
        <v>126</v>
      </c>
      <c r="N1" s="130" t="s">
        <v>127</v>
      </c>
      <c r="O1" s="136" t="s">
        <v>128</v>
      </c>
      <c r="P1" s="132" t="s">
        <v>129</v>
      </c>
      <c r="Q1" s="132" t="s">
        <v>130</v>
      </c>
      <c r="R1" s="132" t="s">
        <v>131</v>
      </c>
      <c r="S1" s="132" t="s">
        <v>132</v>
      </c>
      <c r="T1" s="130" t="s">
        <v>133</v>
      </c>
      <c r="U1" s="130" t="s">
        <v>134</v>
      </c>
      <c r="V1" s="137" t="s">
        <v>135</v>
      </c>
      <c r="W1" s="137" t="s">
        <v>136</v>
      </c>
    </row>
    <row r="2">
      <c r="A2" s="138">
        <v>46235</v>
      </c>
      <c r="B2" s="139" t="s">
        <v>137</v>
      </c>
      <c r="C2" s="140" t="s">
        <v>138</v>
      </c>
      <c r="D2" s="141">
        <v>4</v>
      </c>
      <c r="E2" s="142">
        <v>12092.77</v>
      </c>
      <c r="F2" s="141">
        <v>14</v>
      </c>
      <c r="G2" s="143">
        <v>10</v>
      </c>
      <c r="H2" s="143">
        <v>19468</v>
      </c>
      <c r="I2" s="142">
        <v>0</v>
      </c>
      <c r="J2" s="142">
        <v>0</v>
      </c>
      <c r="K2" s="144">
        <v>10</v>
      </c>
      <c r="L2" s="145">
        <v>7</v>
      </c>
      <c r="M2" s="146">
        <v>11</v>
      </c>
      <c r="N2" s="143">
        <v>2</v>
      </c>
      <c r="O2" s="143">
        <v>5</v>
      </c>
      <c r="P2" s="147">
        <f t="shared" ref="P2:P6" si="10">J2+H2</f>
      </c>
      <c r="Q2" s="148">
        <f t="shared" ref="Q2:Q158" si="48">P2/E2</f>
      </c>
      <c r="R2" s="149">
        <f t="shared" ref="R2:R158" si="41">P2/K2</f>
      </c>
      <c r="S2" s="148">
        <f t="shared" ref="S2:S158" si="49">E2/K2</f>
      </c>
      <c r="T2" s="139" t="s">
        <v>139</v>
      </c>
      <c r="U2" s="139">
        <v>8</v>
      </c>
      <c r="V2" s="150" t="s">
        <v>140</v>
      </c>
      <c r="W2" s="139">
        <v>16</v>
      </c>
    </row>
    <row r="3">
      <c r="A3" s="138">
        <v>46235</v>
      </c>
      <c r="B3" s="141" t="s">
        <v>141</v>
      </c>
      <c r="C3" s="151" t="s">
        <v>142</v>
      </c>
      <c r="D3" s="141">
        <v>4</v>
      </c>
      <c r="E3" s="142">
        <v>17151.17</v>
      </c>
      <c r="F3" s="152">
        <v>25</v>
      </c>
      <c r="G3" s="143">
        <v>18</v>
      </c>
      <c r="H3" s="143">
        <v>21633.6</v>
      </c>
      <c r="I3" s="142">
        <v>0</v>
      </c>
      <c r="J3" s="142">
        <v>0</v>
      </c>
      <c r="K3" s="144">
        <v>18</v>
      </c>
      <c r="L3" s="145">
        <v>12</v>
      </c>
      <c r="M3" s="146">
        <v>19</v>
      </c>
      <c r="N3" s="143">
        <v>1</v>
      </c>
      <c r="O3" s="143">
        <v>5</v>
      </c>
      <c r="P3" s="147">
        <f t="shared" si="10"/>
      </c>
      <c r="Q3" s="148">
        <f t="shared" si="48"/>
      </c>
      <c r="R3" s="149">
        <f t="shared" si="41"/>
      </c>
      <c r="S3" s="148">
        <f t="shared" si="49"/>
      </c>
      <c r="T3" s="150"/>
      <c r="U3" s="150"/>
      <c r="V3" s="153"/>
      <c r="W3" s="153"/>
    </row>
    <row r="4">
      <c r="A4" s="138">
        <v>46235</v>
      </c>
      <c r="B4" s="139" t="s">
        <v>143</v>
      </c>
      <c r="C4" s="151" t="s">
        <v>144</v>
      </c>
      <c r="D4" s="141">
        <v>2</v>
      </c>
      <c r="E4" s="142">
        <v>5846.41</v>
      </c>
      <c r="F4" s="152">
        <v>5</v>
      </c>
      <c r="G4" s="143">
        <v>4</v>
      </c>
      <c r="H4" s="143">
        <v>7461.5999999999985</v>
      </c>
      <c r="I4" s="142">
        <v>0</v>
      </c>
      <c r="J4" s="142">
        <v>0</v>
      </c>
      <c r="K4" s="144">
        <v>4</v>
      </c>
      <c r="L4" s="145">
        <v>3</v>
      </c>
      <c r="M4" s="146">
        <v>4</v>
      </c>
      <c r="N4" s="143">
        <v>0</v>
      </c>
      <c r="O4" s="143">
        <v>2</v>
      </c>
      <c r="P4" s="147">
        <f t="shared" si="10"/>
      </c>
      <c r="Q4" s="148">
        <f t="shared" si="48"/>
      </c>
      <c r="R4" s="149">
        <f t="shared" si="41"/>
      </c>
      <c r="S4" s="148">
        <f t="shared" si="49"/>
      </c>
      <c r="T4" s="150"/>
      <c r="U4" s="150"/>
      <c r="V4" s="153"/>
      <c r="W4" s="153"/>
    </row>
    <row r="5">
      <c r="A5" s="138">
        <v>46235</v>
      </c>
      <c r="B5" s="139" t="s">
        <v>145</v>
      </c>
      <c r="C5" s="151" t="s">
        <v>146</v>
      </c>
      <c r="D5" s="141">
        <v>2</v>
      </c>
      <c r="E5" s="142">
        <v>6149.51</v>
      </c>
      <c r="F5" s="154">
        <v>6</v>
      </c>
      <c r="G5" s="143">
        <v>3</v>
      </c>
      <c r="H5" s="143">
        <v>2708.4000000000015</v>
      </c>
      <c r="I5" s="142">
        <v>0</v>
      </c>
      <c r="J5" s="142">
        <v>0</v>
      </c>
      <c r="K5" s="144">
        <v>3</v>
      </c>
      <c r="L5" s="145">
        <v>3</v>
      </c>
      <c r="M5" s="146">
        <v>6</v>
      </c>
      <c r="N5" s="143">
        <v>0</v>
      </c>
      <c r="O5" s="143">
        <v>0</v>
      </c>
      <c r="P5" s="147">
        <f t="shared" si="10"/>
      </c>
      <c r="Q5" s="148">
        <f t="shared" si="48"/>
      </c>
      <c r="R5" s="149">
        <f t="shared" si="41"/>
      </c>
      <c r="S5" s="148">
        <f t="shared" si="49"/>
      </c>
      <c r="T5" s="150"/>
      <c r="U5" s="150"/>
      <c r="V5" s="150"/>
      <c r="W5" s="150"/>
    </row>
    <row r="6">
      <c r="A6" s="138">
        <v>46235</v>
      </c>
      <c r="B6" s="139" t="s">
        <v>147</v>
      </c>
      <c r="C6" s="151" t="s">
        <v>148</v>
      </c>
      <c r="D6" s="141">
        <v>4</v>
      </c>
      <c r="E6" s="142">
        <v>8159.150000000001</v>
      </c>
      <c r="F6" s="154">
        <v>9</v>
      </c>
      <c r="G6" s="143">
        <v>7</v>
      </c>
      <c r="H6" s="143">
        <v>12070.200000000004</v>
      </c>
      <c r="I6" s="142">
        <v>0</v>
      </c>
      <c r="J6" s="142">
        <v>0</v>
      </c>
      <c r="K6" s="144">
        <v>7</v>
      </c>
      <c r="L6" s="145">
        <v>6</v>
      </c>
      <c r="M6" s="146">
        <v>8</v>
      </c>
      <c r="N6" s="143">
        <v>1</v>
      </c>
      <c r="O6" s="143">
        <v>3</v>
      </c>
      <c r="P6" s="147">
        <f t="shared" si="10"/>
      </c>
      <c r="Q6" s="148">
        <f t="shared" si="48"/>
      </c>
      <c r="R6" s="149">
        <f t="shared" si="41"/>
      </c>
      <c r="S6" s="148">
        <f t="shared" si="49"/>
      </c>
      <c r="T6" s="139" t="s">
        <v>149</v>
      </c>
      <c r="U6" s="139">
        <v>8</v>
      </c>
      <c r="V6" s="150"/>
      <c r="W6" s="150"/>
    </row>
    <row r="7">
      <c r="A7" s="155">
        <v>46235</v>
      </c>
      <c r="B7" s="156" t="s">
        <v>150</v>
      </c>
      <c r="C7" s="157"/>
      <c r="D7" s="158">
        <f>D5+D2+D3+D4+D6</f>
      </c>
      <c r="E7" s="158">
        <f>E5+E2+E3+E4+E6</f>
      </c>
      <c r="F7" s="158">
        <f>F5+F2+F3+F4+F6</f>
      </c>
      <c r="G7" s="158">
        <f>G5+G2+G3+G4+G6</f>
      </c>
      <c r="H7" s="158">
        <f>H5+H2+H3+H4+H6</f>
      </c>
      <c r="I7" s="158">
        <f>I5+I2+I3+I4+I6</f>
      </c>
      <c r="J7" s="158">
        <f>J5+J2+J3+J4+J6</f>
      </c>
      <c r="K7" s="158">
        <f>K5+K2+K3+K4+K6</f>
      </c>
      <c r="L7" s="158">
        <f>L5+L2+L3+L4+L6</f>
      </c>
      <c r="M7" s="158">
        <f>M5+M2+M3+M4+M6</f>
      </c>
      <c r="N7" s="158">
        <f>N5+N2+N3+N4+N6</f>
      </c>
      <c r="O7" s="158">
        <f>O5+O2+O3+O4+O6</f>
      </c>
      <c r="P7" s="158">
        <f>P5+P2+P3+P4+P6</f>
      </c>
      <c r="Q7" s="159">
        <f t="shared" si="48"/>
      </c>
      <c r="R7" s="159">
        <f t="shared" si="41"/>
      </c>
      <c r="S7" s="159">
        <f t="shared" si="49"/>
      </c>
      <c r="T7" s="160"/>
      <c r="U7" s="160">
        <f>SUM(U2:U6)</f>
      </c>
      <c r="V7" s="160"/>
      <c r="W7" s="160">
        <f>SUM(W2:W6)</f>
      </c>
    </row>
    <row r="8">
      <c r="A8" s="138">
        <v>46236</v>
      </c>
      <c r="B8" s="139" t="s">
        <v>137</v>
      </c>
      <c r="C8" s="140" t="s">
        <v>138</v>
      </c>
      <c r="D8" s="141">
        <v>4</v>
      </c>
      <c r="E8" s="142">
        <v>11931.7</v>
      </c>
      <c r="F8" s="141">
        <v>15</v>
      </c>
      <c r="G8" s="143">
        <v>11</v>
      </c>
      <c r="H8" s="143">
        <v>21396</v>
      </c>
      <c r="I8" s="142">
        <v>0</v>
      </c>
      <c r="J8" s="142">
        <v>0</v>
      </c>
      <c r="K8" s="144">
        <v>11</v>
      </c>
      <c r="L8" s="145">
        <v>7</v>
      </c>
      <c r="M8" s="146">
        <v>10</v>
      </c>
      <c r="N8" s="143">
        <v>1</v>
      </c>
      <c r="O8" s="143">
        <v>8</v>
      </c>
      <c r="P8" s="147">
        <f t="shared" ref="P8:P12" si="11">J8+H8</f>
      </c>
      <c r="Q8" s="148">
        <f t="shared" si="48"/>
      </c>
      <c r="R8" s="149">
        <f t="shared" si="41"/>
      </c>
      <c r="S8" s="148">
        <f t="shared" si="49"/>
      </c>
      <c r="T8" s="139" t="s">
        <v>139</v>
      </c>
      <c r="U8" s="139">
        <v>8</v>
      </c>
      <c r="V8" s="150" t="s">
        <v>140</v>
      </c>
      <c r="W8" s="139">
        <v>16</v>
      </c>
    </row>
    <row r="9">
      <c r="A9" s="138">
        <v>46236</v>
      </c>
      <c r="B9" s="141" t="s">
        <v>141</v>
      </c>
      <c r="C9" s="151" t="s">
        <v>142</v>
      </c>
      <c r="D9" s="141">
        <v>4</v>
      </c>
      <c r="E9" s="142">
        <v>8635.95</v>
      </c>
      <c r="F9" s="152">
        <v>11</v>
      </c>
      <c r="G9" s="143">
        <v>6</v>
      </c>
      <c r="H9" s="143">
        <v>10046.400000000001</v>
      </c>
      <c r="I9" s="142">
        <v>0</v>
      </c>
      <c r="J9" s="142">
        <v>0</v>
      </c>
      <c r="K9" s="144">
        <v>6</v>
      </c>
      <c r="L9" s="145">
        <v>4</v>
      </c>
      <c r="M9" s="146">
        <v>11</v>
      </c>
      <c r="N9" s="143">
        <v>0</v>
      </c>
      <c r="O9" s="143">
        <v>4</v>
      </c>
      <c r="P9" s="147">
        <f t="shared" si="11"/>
      </c>
      <c r="Q9" s="148">
        <f t="shared" si="48"/>
      </c>
      <c r="R9" s="149">
        <f t="shared" si="41"/>
      </c>
      <c r="S9" s="148">
        <f t="shared" si="49"/>
      </c>
      <c r="T9" s="150"/>
      <c r="U9" s="150"/>
      <c r="V9" s="153"/>
      <c r="W9" s="153"/>
    </row>
    <row r="10">
      <c r="A10" s="138">
        <v>46236</v>
      </c>
      <c r="B10" s="141" t="s">
        <v>143</v>
      </c>
      <c r="C10" s="151" t="s">
        <v>144</v>
      </c>
      <c r="D10" s="141">
        <v>2</v>
      </c>
      <c r="E10" s="142">
        <v>3938.36</v>
      </c>
      <c r="F10" s="152">
        <v>6</v>
      </c>
      <c r="G10" s="143">
        <v>4</v>
      </c>
      <c r="H10" s="143">
        <v>4035.5999999999985</v>
      </c>
      <c r="I10" s="142">
        <v>0</v>
      </c>
      <c r="J10" s="142">
        <v>0</v>
      </c>
      <c r="K10" s="144">
        <v>4</v>
      </c>
      <c r="L10" s="145">
        <v>4</v>
      </c>
      <c r="M10" s="146">
        <v>5</v>
      </c>
      <c r="N10" s="143">
        <v>0</v>
      </c>
      <c r="O10" s="143">
        <v>0</v>
      </c>
      <c r="P10" s="147">
        <f t="shared" si="11"/>
      </c>
      <c r="Q10" s="148">
        <f t="shared" si="48"/>
      </c>
      <c r="R10" s="149">
        <f t="shared" si="41"/>
      </c>
      <c r="S10" s="148">
        <f t="shared" si="49"/>
      </c>
      <c r="T10" s="150"/>
      <c r="U10" s="150"/>
      <c r="V10" s="153"/>
      <c r="W10" s="153"/>
    </row>
    <row r="11">
      <c r="A11" s="138">
        <v>46236</v>
      </c>
      <c r="B11" s="139" t="s">
        <v>151</v>
      </c>
      <c r="C11" s="151" t="s">
        <v>152</v>
      </c>
      <c r="D11" s="141">
        <v>2</v>
      </c>
      <c r="E11" s="142">
        <v>3002.83</v>
      </c>
      <c r="F11" s="154">
        <v>4</v>
      </c>
      <c r="G11" s="143">
        <v>3</v>
      </c>
      <c r="H11" s="143">
        <v>2370</v>
      </c>
      <c r="I11" s="142">
        <v>0</v>
      </c>
      <c r="J11" s="142">
        <v>0</v>
      </c>
      <c r="K11" s="144">
        <v>3</v>
      </c>
      <c r="L11" s="145">
        <v>2</v>
      </c>
      <c r="M11" s="146">
        <v>3</v>
      </c>
      <c r="N11" s="143">
        <v>0</v>
      </c>
      <c r="O11" s="143">
        <v>0</v>
      </c>
      <c r="P11" s="147">
        <f t="shared" si="11"/>
      </c>
      <c r="Q11" s="148">
        <f t="shared" si="48"/>
      </c>
      <c r="R11" s="149">
        <f t="shared" si="41"/>
      </c>
      <c r="S11" s="148">
        <f t="shared" si="49"/>
      </c>
      <c r="T11" s="150"/>
      <c r="U11" s="150"/>
      <c r="V11" s="150"/>
      <c r="W11" s="150"/>
    </row>
    <row r="12">
      <c r="A12" s="138">
        <v>46236</v>
      </c>
      <c r="B12" s="139" t="s">
        <v>147</v>
      </c>
      <c r="C12" s="151" t="s">
        <v>153</v>
      </c>
      <c r="D12" s="141">
        <v>4</v>
      </c>
      <c r="E12" s="142">
        <v>8157.7699999999995</v>
      </c>
      <c r="F12" s="154">
        <v>21</v>
      </c>
      <c r="G12" s="143">
        <v>8</v>
      </c>
      <c r="H12" s="143">
        <v>19413.600000000006</v>
      </c>
      <c r="I12" s="142">
        <v>0</v>
      </c>
      <c r="J12" s="142">
        <v>0</v>
      </c>
      <c r="K12" s="144">
        <v>15</v>
      </c>
      <c r="L12" s="145">
        <v>9</v>
      </c>
      <c r="M12" s="146">
        <v>14</v>
      </c>
      <c r="N12" s="143">
        <v>1</v>
      </c>
      <c r="O12" s="143">
        <v>7</v>
      </c>
      <c r="P12" s="147">
        <f t="shared" si="11"/>
      </c>
      <c r="Q12" s="148">
        <f t="shared" si="48"/>
      </c>
      <c r="R12" s="149">
        <f t="shared" si="41"/>
      </c>
      <c r="S12" s="148">
        <f t="shared" si="49"/>
      </c>
      <c r="T12" s="139" t="s">
        <v>149</v>
      </c>
      <c r="U12" s="139">
        <v>8</v>
      </c>
      <c r="V12" s="150"/>
      <c r="W12" s="150"/>
    </row>
    <row r="13">
      <c r="A13" s="155">
        <v>46236</v>
      </c>
      <c r="B13" s="156" t="s">
        <v>150</v>
      </c>
      <c r="C13" s="157"/>
      <c r="D13" s="158">
        <f>D11+D8+D9+D10+D12</f>
      </c>
      <c r="E13" s="158">
        <f>E11+E8+E9+E10+E12</f>
      </c>
      <c r="F13" s="158">
        <f>F11+F8+F9+F10+F12</f>
      </c>
      <c r="G13" s="158">
        <f>G11+G8+G9+G10+G12</f>
      </c>
      <c r="H13" s="158">
        <f>H11+H8+H9+H10+H12</f>
      </c>
      <c r="I13" s="158">
        <f>I11+I8+I9+I10+I12</f>
      </c>
      <c r="J13" s="158">
        <f>J11+J8+J9+J10+J12</f>
      </c>
      <c r="K13" s="158">
        <f>K11+K8+K9+K10+K12</f>
      </c>
      <c r="L13" s="158">
        <f>L11+L8+L9+L10+L12</f>
      </c>
      <c r="M13" s="158">
        <f>M11+M8+M9+M10+M12</f>
      </c>
      <c r="N13" s="158">
        <f>N11+N8+N9+N10+N12</f>
      </c>
      <c r="O13" s="158">
        <f>O11+O8+O9+O10+O12</f>
      </c>
      <c r="P13" s="158">
        <f>P11+P8+P9+P10+P12</f>
      </c>
      <c r="Q13" s="159">
        <f t="shared" si="48"/>
      </c>
      <c r="R13" s="159">
        <f t="shared" si="41"/>
      </c>
      <c r="S13" s="159">
        <f t="shared" si="49"/>
      </c>
      <c r="T13" s="160"/>
      <c r="U13" s="160">
        <f>SUM(U8:U12)</f>
      </c>
      <c r="V13" s="160"/>
      <c r="W13" s="160">
        <f>SUM(W8:W12)</f>
      </c>
    </row>
    <row r="14">
      <c r="A14" s="138">
        <v>46237</v>
      </c>
      <c r="B14" s="139" t="s">
        <v>137</v>
      </c>
      <c r="C14" s="140" t="s">
        <v>138</v>
      </c>
      <c r="D14" s="141">
        <v>4</v>
      </c>
      <c r="E14" s="142">
        <v>10336.43</v>
      </c>
      <c r="F14" s="141">
        <v>13</v>
      </c>
      <c r="G14" s="143">
        <v>7</v>
      </c>
      <c r="H14" s="143">
        <v>10542.5</v>
      </c>
      <c r="I14" s="142">
        <v>0</v>
      </c>
      <c r="J14" s="142">
        <v>0</v>
      </c>
      <c r="K14" s="144">
        <v>7</v>
      </c>
      <c r="L14" s="145">
        <v>6</v>
      </c>
      <c r="M14" s="146">
        <v>11</v>
      </c>
      <c r="N14" s="143">
        <v>1</v>
      </c>
      <c r="O14" s="143">
        <v>4</v>
      </c>
      <c r="P14" s="147">
        <f t="shared" ref="P14:P18" si="12">J14+H14</f>
      </c>
      <c r="Q14" s="148">
        <f t="shared" si="48"/>
      </c>
      <c r="R14" s="149">
        <f t="shared" si="41"/>
      </c>
      <c r="S14" s="148">
        <f t="shared" si="49"/>
      </c>
      <c r="T14" s="139" t="s">
        <v>139</v>
      </c>
      <c r="U14" s="139">
        <v>8</v>
      </c>
      <c r="V14" s="150" t="s">
        <v>140</v>
      </c>
      <c r="W14" s="139">
        <v>16</v>
      </c>
    </row>
    <row r="15">
      <c r="A15" s="138">
        <v>46237</v>
      </c>
      <c r="B15" s="141" t="s">
        <v>141</v>
      </c>
      <c r="C15" s="151" t="s">
        <v>154</v>
      </c>
      <c r="D15" s="141">
        <v>3</v>
      </c>
      <c r="E15" s="142">
        <v>9479.41</v>
      </c>
      <c r="F15" s="152">
        <v>16</v>
      </c>
      <c r="G15" s="143">
        <v>8</v>
      </c>
      <c r="H15" s="143">
        <v>11631.599999999999</v>
      </c>
      <c r="I15" s="142">
        <v>0</v>
      </c>
      <c r="J15" s="142">
        <v>0</v>
      </c>
      <c r="K15" s="144">
        <v>8</v>
      </c>
      <c r="L15" s="145">
        <v>5</v>
      </c>
      <c r="M15" s="146">
        <v>13</v>
      </c>
      <c r="N15" s="143">
        <v>1</v>
      </c>
      <c r="O15" s="143">
        <v>4</v>
      </c>
      <c r="P15" s="147">
        <f t="shared" si="12"/>
      </c>
      <c r="Q15" s="148">
        <f t="shared" si="48"/>
      </c>
      <c r="R15" s="149">
        <f t="shared" si="41"/>
      </c>
      <c r="S15" s="148">
        <f t="shared" si="49"/>
      </c>
      <c r="T15" s="150"/>
      <c r="U15" s="150"/>
      <c r="V15" s="153"/>
      <c r="W15" s="153"/>
    </row>
    <row r="16">
      <c r="A16" s="138">
        <v>46237</v>
      </c>
      <c r="B16" s="141" t="s">
        <v>155</v>
      </c>
      <c r="C16" s="151" t="s">
        <v>156</v>
      </c>
      <c r="D16" s="141">
        <v>3</v>
      </c>
      <c r="E16" s="142">
        <v>8852.83</v>
      </c>
      <c r="F16" s="152">
        <v>15</v>
      </c>
      <c r="G16" s="143">
        <v>11</v>
      </c>
      <c r="H16" s="143">
        <v>12629.999999999993</v>
      </c>
      <c r="I16" s="142">
        <v>0</v>
      </c>
      <c r="J16" s="142">
        <v>0</v>
      </c>
      <c r="K16" s="144">
        <v>11</v>
      </c>
      <c r="L16" s="145">
        <v>6</v>
      </c>
      <c r="M16" s="146">
        <v>12</v>
      </c>
      <c r="N16" s="143">
        <v>1</v>
      </c>
      <c r="O16" s="143">
        <v>3</v>
      </c>
      <c r="P16" s="147">
        <f t="shared" si="12"/>
      </c>
      <c r="Q16" s="148">
        <f t="shared" si="48"/>
      </c>
      <c r="R16" s="149">
        <f t="shared" si="41"/>
      </c>
      <c r="S16" s="148">
        <f t="shared" si="49"/>
      </c>
      <c r="T16" s="150"/>
      <c r="U16" s="150"/>
      <c r="V16" s="153"/>
      <c r="W16" s="153"/>
    </row>
    <row r="17">
      <c r="A17" s="138">
        <v>46237</v>
      </c>
      <c r="B17" s="139" t="s">
        <v>151</v>
      </c>
      <c r="C17" s="151" t="s">
        <v>152</v>
      </c>
      <c r="D17" s="141">
        <v>2</v>
      </c>
      <c r="E17" s="142">
        <v>5231.37</v>
      </c>
      <c r="F17" s="154">
        <v>7</v>
      </c>
      <c r="G17" s="143">
        <v>4</v>
      </c>
      <c r="H17" s="143">
        <v>3855.7000000000044</v>
      </c>
      <c r="I17" s="142">
        <v>0</v>
      </c>
      <c r="J17" s="142">
        <v>0</v>
      </c>
      <c r="K17" s="144">
        <v>4</v>
      </c>
      <c r="L17" s="145">
        <v>2</v>
      </c>
      <c r="M17" s="146">
        <v>6</v>
      </c>
      <c r="N17" s="143">
        <v>1</v>
      </c>
      <c r="O17" s="143">
        <v>1</v>
      </c>
      <c r="P17" s="147">
        <f t="shared" si="12"/>
      </c>
      <c r="Q17" s="148">
        <f t="shared" si="48"/>
      </c>
      <c r="R17" s="149">
        <f t="shared" si="41"/>
      </c>
      <c r="S17" s="148">
        <f t="shared" si="49"/>
      </c>
      <c r="T17" s="150"/>
      <c r="U17" s="150"/>
      <c r="V17" s="150"/>
      <c r="W17" s="150"/>
    </row>
    <row r="18">
      <c r="A18" s="138">
        <v>46237</v>
      </c>
      <c r="B18" s="139" t="s">
        <v>147</v>
      </c>
      <c r="C18" s="151" t="s">
        <v>153</v>
      </c>
      <c r="D18" s="141">
        <v>4</v>
      </c>
      <c r="E18" s="142">
        <v>9781.529999999999</v>
      </c>
      <c r="F18" s="154">
        <v>15</v>
      </c>
      <c r="G18" s="143">
        <v>8</v>
      </c>
      <c r="H18" s="143">
        <v>8596.400000000001</v>
      </c>
      <c r="I18" s="142">
        <v>0</v>
      </c>
      <c r="J18" s="142">
        <v>0</v>
      </c>
      <c r="K18" s="144">
        <v>8</v>
      </c>
      <c r="L18" s="145">
        <v>5</v>
      </c>
      <c r="M18" s="146">
        <v>12</v>
      </c>
      <c r="N18" s="143">
        <v>1</v>
      </c>
      <c r="O18" s="143">
        <v>3</v>
      </c>
      <c r="P18" s="147">
        <f t="shared" si="12"/>
      </c>
      <c r="Q18" s="148">
        <f t="shared" si="48"/>
      </c>
      <c r="R18" s="149">
        <f t="shared" si="41"/>
      </c>
      <c r="S18" s="148">
        <f t="shared" si="49"/>
      </c>
      <c r="T18" s="139" t="s">
        <v>149</v>
      </c>
      <c r="U18" s="139">
        <v>8</v>
      </c>
      <c r="V18" s="150"/>
      <c r="W18" s="150"/>
    </row>
    <row r="19">
      <c r="A19" s="155">
        <v>46237</v>
      </c>
      <c r="B19" s="156" t="s">
        <v>150</v>
      </c>
      <c r="C19" s="157"/>
      <c r="D19" s="158">
        <f>D17+D14+D15+D16+D18</f>
      </c>
      <c r="E19" s="158">
        <f>E17+E14+E15+E16+E18</f>
      </c>
      <c r="F19" s="158">
        <f>F17+F14+F15+F16+F18</f>
      </c>
      <c r="G19" s="158">
        <f>G17+G14+G15+G16+G18</f>
      </c>
      <c r="H19" s="158">
        <f>H17+H14+H15+H16+H18</f>
      </c>
      <c r="I19" s="158">
        <f>I17+I14+I15+I16+I18</f>
      </c>
      <c r="J19" s="158">
        <f>J17+J14+J15+J16+J18</f>
      </c>
      <c r="K19" s="158">
        <f>K17+K14+K15+K16+K18</f>
      </c>
      <c r="L19" s="158">
        <f>L17+L14+L15+L16+L18</f>
      </c>
      <c r="M19" s="158">
        <f>M17+M14+M15+M16+M18</f>
      </c>
      <c r="N19" s="158">
        <f>N17+N14+N15+N16+N18</f>
      </c>
      <c r="O19" s="158">
        <f>O17+O14+O15+O16+O18</f>
      </c>
      <c r="P19" s="158">
        <f>P17+P14+P15+P16+P18</f>
      </c>
      <c r="Q19" s="159">
        <f t="shared" si="48"/>
      </c>
      <c r="R19" s="159">
        <f t="shared" si="41"/>
      </c>
      <c r="S19" s="159">
        <f t="shared" si="49"/>
      </c>
      <c r="T19" s="160"/>
      <c r="U19" s="160">
        <f>SUM(U14:U18)</f>
      </c>
      <c r="V19" s="160"/>
      <c r="W19" s="160">
        <f>SUM(W14:W18)</f>
      </c>
    </row>
    <row r="20">
      <c r="A20" s="138">
        <v>46238</v>
      </c>
      <c r="B20" s="139" t="s">
        <v>137</v>
      </c>
      <c r="C20" s="140" t="s">
        <v>138</v>
      </c>
      <c r="D20" s="141">
        <v>4</v>
      </c>
      <c r="E20" s="142">
        <v>12417.77</v>
      </c>
      <c r="F20" s="141">
        <v>16</v>
      </c>
      <c r="G20" s="143">
        <v>12</v>
      </c>
      <c r="H20" s="143">
        <v>16791.6</v>
      </c>
      <c r="I20" s="142">
        <v>0</v>
      </c>
      <c r="J20" s="142">
        <v>0</v>
      </c>
      <c r="K20" s="144">
        <v>12</v>
      </c>
      <c r="L20" s="145">
        <v>11</v>
      </c>
      <c r="M20" s="146">
        <v>14</v>
      </c>
      <c r="N20" s="143">
        <v>1</v>
      </c>
      <c r="O20" s="143">
        <v>3</v>
      </c>
      <c r="P20" s="147">
        <f t="shared" ref="P20:P24" si="13">J20+H20</f>
      </c>
      <c r="Q20" s="148">
        <f t="shared" si="48"/>
      </c>
      <c r="R20" s="149">
        <f t="shared" si="41"/>
      </c>
      <c r="S20" s="148">
        <f t="shared" si="49"/>
      </c>
      <c r="T20" s="139" t="s">
        <v>139</v>
      </c>
      <c r="U20" s="139">
        <v>8</v>
      </c>
      <c r="V20" s="150" t="s">
        <v>140</v>
      </c>
      <c r="W20" s="139">
        <v>16</v>
      </c>
    </row>
    <row r="21">
      <c r="A21" s="138">
        <v>46238</v>
      </c>
      <c r="B21" s="141" t="s">
        <v>145</v>
      </c>
      <c r="C21" s="151" t="s">
        <v>157</v>
      </c>
      <c r="D21" s="141">
        <v>2</v>
      </c>
      <c r="E21" s="142">
        <v>7710.66</v>
      </c>
      <c r="F21" s="152">
        <v>9</v>
      </c>
      <c r="G21" s="143">
        <v>7</v>
      </c>
      <c r="H21" s="143">
        <v>10123.400000000001</v>
      </c>
      <c r="I21" s="142">
        <v>0</v>
      </c>
      <c r="J21" s="142">
        <v>0</v>
      </c>
      <c r="K21" s="144">
        <v>7</v>
      </c>
      <c r="L21" s="145">
        <v>4</v>
      </c>
      <c r="M21" s="146">
        <v>5</v>
      </c>
      <c r="N21" s="143">
        <v>1</v>
      </c>
      <c r="O21" s="143">
        <v>2</v>
      </c>
      <c r="P21" s="147">
        <f t="shared" si="13"/>
      </c>
      <c r="Q21" s="148">
        <f t="shared" si="48"/>
      </c>
      <c r="R21" s="149">
        <f t="shared" si="41"/>
      </c>
      <c r="S21" s="148">
        <f t="shared" si="49"/>
      </c>
      <c r="T21" s="150"/>
      <c r="U21" s="150"/>
      <c r="V21" s="153"/>
      <c r="W21" s="153"/>
    </row>
    <row r="22">
      <c r="A22" s="138">
        <v>46238</v>
      </c>
      <c r="B22" s="141" t="s">
        <v>155</v>
      </c>
      <c r="C22" s="151" t="s">
        <v>158</v>
      </c>
      <c r="D22" s="141">
        <v>3</v>
      </c>
      <c r="E22" s="142">
        <v>9059.93</v>
      </c>
      <c r="F22" s="152">
        <v>22</v>
      </c>
      <c r="G22" s="143">
        <v>16</v>
      </c>
      <c r="H22" s="143">
        <v>23606.4</v>
      </c>
      <c r="I22" s="142">
        <v>0</v>
      </c>
      <c r="J22" s="142">
        <v>0</v>
      </c>
      <c r="K22" s="144">
        <v>16</v>
      </c>
      <c r="L22" s="145">
        <v>6</v>
      </c>
      <c r="M22" s="146">
        <v>9</v>
      </c>
      <c r="N22" s="143">
        <v>2</v>
      </c>
      <c r="O22" s="143">
        <v>6</v>
      </c>
      <c r="P22" s="147">
        <f t="shared" si="13"/>
      </c>
      <c r="Q22" s="148">
        <f t="shared" si="48"/>
      </c>
      <c r="R22" s="149">
        <f t="shared" si="41"/>
      </c>
      <c r="S22" s="148">
        <f t="shared" si="49"/>
      </c>
      <c r="T22" s="150"/>
      <c r="U22" s="150"/>
      <c r="V22" s="153"/>
      <c r="W22" s="153"/>
    </row>
    <row r="23">
      <c r="A23" s="138">
        <v>46238</v>
      </c>
      <c r="B23" s="139" t="s">
        <v>143</v>
      </c>
      <c r="C23" s="151" t="s">
        <v>159</v>
      </c>
      <c r="D23" s="141">
        <v>3</v>
      </c>
      <c r="E23" s="142">
        <v>6973.5199999999995</v>
      </c>
      <c r="F23" s="154">
        <v>12</v>
      </c>
      <c r="G23" s="143">
        <v>10</v>
      </c>
      <c r="H23" s="143">
        <v>8747.699999999997</v>
      </c>
      <c r="I23" s="142">
        <v>0</v>
      </c>
      <c r="J23" s="142">
        <v>0</v>
      </c>
      <c r="K23" s="144">
        <v>10</v>
      </c>
      <c r="L23" s="145">
        <v>7</v>
      </c>
      <c r="M23" s="146">
        <v>9</v>
      </c>
      <c r="N23" s="143">
        <v>1</v>
      </c>
      <c r="O23" s="143">
        <v>0</v>
      </c>
      <c r="P23" s="147">
        <f t="shared" si="13"/>
      </c>
      <c r="Q23" s="148">
        <f t="shared" si="48"/>
      </c>
      <c r="R23" s="149">
        <f t="shared" si="41"/>
      </c>
      <c r="S23" s="148">
        <f t="shared" si="49"/>
      </c>
      <c r="T23" s="150"/>
      <c r="U23" s="150"/>
      <c r="V23" s="150"/>
      <c r="W23" s="150"/>
    </row>
    <row r="24">
      <c r="A24" s="138">
        <v>46238</v>
      </c>
      <c r="B24" s="139" t="s">
        <v>147</v>
      </c>
      <c r="C24" s="151" t="s">
        <v>153</v>
      </c>
      <c r="D24" s="141">
        <v>4</v>
      </c>
      <c r="E24" s="142">
        <v>14701.04</v>
      </c>
      <c r="F24" s="154">
        <v>19</v>
      </c>
      <c r="G24" s="143">
        <v>14</v>
      </c>
      <c r="H24" s="143">
        <v>18042.000000000007</v>
      </c>
      <c r="I24" s="142">
        <v>0</v>
      </c>
      <c r="J24" s="142">
        <v>0</v>
      </c>
      <c r="K24" s="144">
        <v>14</v>
      </c>
      <c r="L24" s="145">
        <v>9</v>
      </c>
      <c r="M24" s="146">
        <v>15</v>
      </c>
      <c r="N24" s="143">
        <v>2</v>
      </c>
      <c r="O24" s="143">
        <v>6</v>
      </c>
      <c r="P24" s="147">
        <f t="shared" si="13"/>
      </c>
      <c r="Q24" s="148">
        <f t="shared" si="48"/>
      </c>
      <c r="R24" s="149">
        <f t="shared" si="41"/>
      </c>
      <c r="S24" s="148">
        <f t="shared" si="49"/>
      </c>
      <c r="T24" s="139" t="s">
        <v>149</v>
      </c>
      <c r="U24" s="139">
        <v>8</v>
      </c>
      <c r="V24" s="150"/>
      <c r="W24" s="150"/>
    </row>
    <row r="25">
      <c r="A25" s="155">
        <v>46238</v>
      </c>
      <c r="B25" s="156" t="s">
        <v>150</v>
      </c>
      <c r="C25" s="157"/>
      <c r="D25" s="158">
        <f>D23+D20+D21+D22+D24</f>
      </c>
      <c r="E25" s="158">
        <f>E23+E20+E21+E22+E24</f>
      </c>
      <c r="F25" s="158">
        <f>F23+F20+F21+F22+F24</f>
      </c>
      <c r="G25" s="158">
        <f>G23+G20+G21+G22+G24</f>
      </c>
      <c r="H25" s="158">
        <f>H23+H20+H21+H22+H24</f>
      </c>
      <c r="I25" s="158">
        <f>I23+I20+I21+I22+I24</f>
      </c>
      <c r="J25" s="158">
        <f>J23+J20+J21+J22+J24</f>
      </c>
      <c r="K25" s="158">
        <f>K23+K20+K21+K22+K24</f>
      </c>
      <c r="L25" s="158">
        <f>L23+L20+L21+L22+L24</f>
      </c>
      <c r="M25" s="158">
        <f>M23+M20+M21+M22+M24</f>
      </c>
      <c r="N25" s="158">
        <f>N23+N20+N21+N22+N24</f>
      </c>
      <c r="O25" s="158">
        <f>O23+O20+O21+O22+O24</f>
      </c>
      <c r="P25" s="158">
        <f>P23+P20+P21+P22+P24</f>
      </c>
      <c r="Q25" s="159">
        <f t="shared" si="48"/>
      </c>
      <c r="R25" s="159">
        <f t="shared" si="41"/>
      </c>
      <c r="S25" s="159">
        <f t="shared" si="49"/>
      </c>
      <c r="T25" s="160"/>
      <c r="U25" s="160">
        <f>SUM(U20:U24)</f>
      </c>
      <c r="V25" s="160"/>
      <c r="W25" s="160">
        <f>SUM(W20:W24)</f>
      </c>
    </row>
    <row r="26">
      <c r="A26" s="138">
        <v>46239</v>
      </c>
      <c r="B26" s="139" t="s">
        <v>137</v>
      </c>
      <c r="C26" s="140" t="s">
        <v>138</v>
      </c>
      <c r="D26" s="141">
        <v>4</v>
      </c>
      <c r="E26" s="142">
        <v>7736.3</v>
      </c>
      <c r="F26" s="141">
        <v>14</v>
      </c>
      <c r="G26" s="143">
        <v>4</v>
      </c>
      <c r="H26" s="143">
        <v>5568.6</v>
      </c>
      <c r="I26" s="142">
        <v>0</v>
      </c>
      <c r="J26" s="142">
        <v>0</v>
      </c>
      <c r="K26" s="144">
        <v>4</v>
      </c>
      <c r="L26" s="145">
        <v>2</v>
      </c>
      <c r="M26" s="146">
        <v>9</v>
      </c>
      <c r="N26" s="143">
        <v>0</v>
      </c>
      <c r="O26" s="143">
        <v>1</v>
      </c>
      <c r="P26" s="147">
        <f t="shared" ref="P26:P29" si="14">J26+H26</f>
      </c>
      <c r="Q26" s="148">
        <f t="shared" si="48"/>
      </c>
      <c r="R26" s="149">
        <f t="shared" si="41"/>
      </c>
      <c r="S26" s="148">
        <f t="shared" si="49"/>
      </c>
      <c r="T26" s="139" t="s">
        <v>160</v>
      </c>
      <c r="U26" s="139">
        <v>8</v>
      </c>
      <c r="V26" s="150" t="s">
        <v>140</v>
      </c>
      <c r="W26" s="139">
        <v>12</v>
      </c>
    </row>
    <row r="27">
      <c r="A27" s="138">
        <v>46239</v>
      </c>
      <c r="B27" s="139" t="s">
        <v>143</v>
      </c>
      <c r="C27" s="151" t="s">
        <v>154</v>
      </c>
      <c r="D27" s="141">
        <v>3</v>
      </c>
      <c r="E27" s="142">
        <v>9477.470000000001</v>
      </c>
      <c r="F27" s="152">
        <v>8</v>
      </c>
      <c r="G27" s="143">
        <v>5</v>
      </c>
      <c r="H27" s="143">
        <v>4184.1</v>
      </c>
      <c r="I27" s="142">
        <v>0</v>
      </c>
      <c r="J27" s="142">
        <v>0</v>
      </c>
      <c r="K27" s="144">
        <v>5</v>
      </c>
      <c r="L27" s="145">
        <v>4</v>
      </c>
      <c r="M27" s="146">
        <v>6</v>
      </c>
      <c r="N27" s="143">
        <v>1</v>
      </c>
      <c r="O27" s="143">
        <v>2</v>
      </c>
      <c r="P27" s="147">
        <f t="shared" si="14"/>
      </c>
      <c r="Q27" s="148">
        <f t="shared" si="48"/>
      </c>
      <c r="R27" s="149">
        <f t="shared" si="41"/>
      </c>
      <c r="S27" s="148">
        <f t="shared" si="49"/>
      </c>
      <c r="T27" s="150"/>
      <c r="U27" s="150"/>
      <c r="V27" s="153"/>
      <c r="W27" s="153"/>
    </row>
    <row r="28">
      <c r="A28" s="138">
        <v>46239</v>
      </c>
      <c r="B28" s="141" t="s">
        <v>155</v>
      </c>
      <c r="C28" s="151" t="s">
        <v>156</v>
      </c>
      <c r="D28" s="141">
        <v>3</v>
      </c>
      <c r="E28" s="142">
        <v>9248.21</v>
      </c>
      <c r="F28" s="152">
        <v>6</v>
      </c>
      <c r="G28" s="143">
        <v>3</v>
      </c>
      <c r="H28" s="143">
        <v>1695.6000000000004</v>
      </c>
      <c r="I28" s="142">
        <v>0</v>
      </c>
      <c r="J28" s="142">
        <v>0</v>
      </c>
      <c r="K28" s="144">
        <v>3</v>
      </c>
      <c r="L28" s="145">
        <v>2</v>
      </c>
      <c r="M28" s="146">
        <v>4</v>
      </c>
      <c r="N28" s="143">
        <v>0</v>
      </c>
      <c r="O28" s="143">
        <v>0</v>
      </c>
      <c r="P28" s="147">
        <f t="shared" si="14"/>
      </c>
      <c r="Q28" s="148">
        <f t="shared" si="48"/>
      </c>
      <c r="R28" s="149">
        <f t="shared" si="41"/>
      </c>
      <c r="S28" s="148">
        <f t="shared" si="49"/>
      </c>
      <c r="T28" s="139" t="s">
        <v>149</v>
      </c>
      <c r="U28" s="139">
        <v>1</v>
      </c>
      <c r="V28" s="153"/>
      <c r="W28" s="153"/>
    </row>
    <row r="29">
      <c r="A29" s="138">
        <v>46239</v>
      </c>
      <c r="B29" s="139" t="s">
        <v>151</v>
      </c>
      <c r="C29" s="151" t="s">
        <v>152</v>
      </c>
      <c r="D29" s="141">
        <v>2</v>
      </c>
      <c r="E29" s="142">
        <v>2065.74</v>
      </c>
      <c r="F29" s="154">
        <v>1</v>
      </c>
      <c r="G29" s="143">
        <v>0</v>
      </c>
      <c r="H29" s="143">
        <v>0</v>
      </c>
      <c r="I29" s="142">
        <v>0</v>
      </c>
      <c r="J29" s="142">
        <v>0</v>
      </c>
      <c r="K29" s="144">
        <v>0</v>
      </c>
      <c r="L29" s="145">
        <v>0</v>
      </c>
      <c r="M29" s="146">
        <v>0</v>
      </c>
      <c r="N29" s="143">
        <v>0</v>
      </c>
      <c r="O29" s="143">
        <v>0</v>
      </c>
      <c r="P29" s="147">
        <f t="shared" si="14"/>
      </c>
      <c r="Q29" s="148">
        <f t="shared" si="48"/>
      </c>
      <c r="R29" s="149">
        <f t="shared" si="41"/>
      </c>
      <c r="S29" s="148">
        <f t="shared" si="49"/>
      </c>
      <c r="T29" s="139" t="s">
        <v>161</v>
      </c>
      <c r="U29" s="139">
        <v>3</v>
      </c>
      <c r="V29" s="150"/>
      <c r="W29" s="150"/>
    </row>
    <row r="30">
      <c r="A30" s="155">
        <v>46239</v>
      </c>
      <c r="B30" s="156" t="s">
        <v>150</v>
      </c>
      <c r="C30" s="157"/>
      <c r="D30" s="158">
        <f>D29+D26+D27+D28</f>
      </c>
      <c r="E30" s="158">
        <f>E29+E26+E27+E28</f>
      </c>
      <c r="F30" s="158">
        <f>F29+F26+F27+F28</f>
      </c>
      <c r="G30" s="158">
        <f>G29+G26+G27+G28</f>
      </c>
      <c r="H30" s="158">
        <f>H29+H26+H27+H28</f>
      </c>
      <c r="I30" s="158">
        <f>I29+I26+I27+I28</f>
      </c>
      <c r="J30" s="158">
        <f>J29+J26+J27+J28</f>
      </c>
      <c r="K30" s="158">
        <f>K29+K26+K27+K28</f>
      </c>
      <c r="L30" s="158">
        <f>L29+L26+L27+L28</f>
      </c>
      <c r="M30" s="158">
        <f>M29+M26+M27+M28</f>
      </c>
      <c r="N30" s="158">
        <f>N29+N26+N27+N28</f>
      </c>
      <c r="O30" s="158">
        <f>O29+O26+O27+O28</f>
      </c>
      <c r="P30" s="158">
        <f>P29+P26+P27+P28</f>
      </c>
      <c r="Q30" s="159">
        <f t="shared" si="48"/>
      </c>
      <c r="R30" s="159">
        <f t="shared" si="41"/>
      </c>
      <c r="S30" s="159">
        <f t="shared" si="49"/>
      </c>
      <c r="T30" s="160"/>
      <c r="U30" s="160">
        <f>SUM(U26:U29)</f>
      </c>
      <c r="V30" s="160"/>
      <c r="W30" s="160">
        <f>SUM(W26:W29)</f>
      </c>
    </row>
    <row r="31">
      <c r="A31" s="138">
        <v>46240</v>
      </c>
      <c r="B31" s="139" t="s">
        <v>137</v>
      </c>
      <c r="C31" s="140" t="s">
        <v>138</v>
      </c>
      <c r="D31" s="141">
        <v>4</v>
      </c>
      <c r="E31" s="142">
        <v>9390.9</v>
      </c>
      <c r="F31" s="141">
        <v>16</v>
      </c>
      <c r="G31" s="143">
        <v>11</v>
      </c>
      <c r="H31" s="143">
        <v>13454.999999999998</v>
      </c>
      <c r="I31" s="142">
        <v>0</v>
      </c>
      <c r="J31" s="142">
        <v>0</v>
      </c>
      <c r="K31" s="144">
        <v>11</v>
      </c>
      <c r="L31" s="145">
        <v>5</v>
      </c>
      <c r="M31" s="146">
        <v>11</v>
      </c>
      <c r="N31" s="143">
        <v>1</v>
      </c>
      <c r="O31" s="143">
        <v>3</v>
      </c>
      <c r="P31" s="147">
        <f t="shared" ref="P31:P35" si="15">J31+H31</f>
      </c>
      <c r="Q31" s="148">
        <f t="shared" si="48"/>
      </c>
      <c r="R31" s="149">
        <f t="shared" si="41"/>
      </c>
      <c r="S31" s="148">
        <f t="shared" si="49"/>
      </c>
      <c r="T31" s="139" t="s">
        <v>160</v>
      </c>
      <c r="U31" s="139">
        <v>8</v>
      </c>
      <c r="V31" s="150" t="s">
        <v>140</v>
      </c>
      <c r="W31" s="139">
        <v>16</v>
      </c>
    </row>
    <row r="32">
      <c r="A32" s="138">
        <v>46240</v>
      </c>
      <c r="B32" s="141" t="s">
        <v>155</v>
      </c>
      <c r="C32" s="151" t="s">
        <v>154</v>
      </c>
      <c r="D32" s="141">
        <v>3</v>
      </c>
      <c r="E32" s="142">
        <v>9898.439999999999</v>
      </c>
      <c r="F32" s="152">
        <v>14</v>
      </c>
      <c r="G32" s="143">
        <v>11</v>
      </c>
      <c r="H32" s="143">
        <v>18031.199999999997</v>
      </c>
      <c r="I32" s="142">
        <v>0</v>
      </c>
      <c r="J32" s="142">
        <v>0</v>
      </c>
      <c r="K32" s="144">
        <v>11</v>
      </c>
      <c r="L32" s="145">
        <v>6</v>
      </c>
      <c r="M32" s="146">
        <v>8</v>
      </c>
      <c r="N32" s="143">
        <v>1</v>
      </c>
      <c r="O32" s="143">
        <v>5</v>
      </c>
      <c r="P32" s="147">
        <f t="shared" si="15"/>
      </c>
      <c r="Q32" s="148">
        <f t="shared" si="48"/>
      </c>
      <c r="R32" s="149">
        <f t="shared" si="41"/>
      </c>
      <c r="S32" s="148">
        <f t="shared" si="49"/>
      </c>
      <c r="T32" s="150"/>
      <c r="U32" s="150"/>
      <c r="V32" s="153"/>
      <c r="W32" s="153"/>
    </row>
    <row customHeight="true" ht="18.452380952380953" r="33">
      <c r="A33" s="138">
        <v>46240</v>
      </c>
      <c r="B33" s="139" t="s">
        <v>143</v>
      </c>
      <c r="C33" s="151" t="s">
        <v>156</v>
      </c>
      <c r="D33" s="141">
        <v>3</v>
      </c>
      <c r="E33" s="142">
        <v>6800.18</v>
      </c>
      <c r="F33" s="152">
        <v>6</v>
      </c>
      <c r="G33" s="143">
        <v>4</v>
      </c>
      <c r="H33" s="143">
        <v>6804</v>
      </c>
      <c r="I33" s="142">
        <v>0</v>
      </c>
      <c r="J33" s="142">
        <v>0</v>
      </c>
      <c r="K33" s="144">
        <v>4</v>
      </c>
      <c r="L33" s="145">
        <v>1</v>
      </c>
      <c r="M33" s="146">
        <v>4</v>
      </c>
      <c r="N33" s="143">
        <v>1</v>
      </c>
      <c r="O33" s="143">
        <v>1</v>
      </c>
      <c r="P33" s="147">
        <f t="shared" si="15"/>
      </c>
      <c r="Q33" s="148">
        <f t="shared" si="48"/>
      </c>
      <c r="R33" s="149">
        <f t="shared" si="41"/>
      </c>
      <c r="S33" s="148">
        <f t="shared" si="49"/>
      </c>
      <c r="T33" s="150"/>
      <c r="U33" s="150"/>
      <c r="V33" s="153"/>
      <c r="W33" s="153"/>
    </row>
    <row r="34">
      <c r="A34" s="138">
        <v>46240</v>
      </c>
      <c r="B34" s="141" t="s">
        <v>145</v>
      </c>
      <c r="C34" s="151" t="s">
        <v>146</v>
      </c>
      <c r="D34" s="141">
        <v>3</v>
      </c>
      <c r="E34" s="142">
        <v>7357.700000000001</v>
      </c>
      <c r="F34" s="152">
        <v>12</v>
      </c>
      <c r="G34" s="143">
        <v>8</v>
      </c>
      <c r="H34" s="143">
        <v>16180.800000000001</v>
      </c>
      <c r="I34" s="142">
        <v>0</v>
      </c>
      <c r="J34" s="142">
        <v>0</v>
      </c>
      <c r="K34" s="144">
        <v>8</v>
      </c>
      <c r="L34" s="145">
        <v>6</v>
      </c>
      <c r="M34" s="146">
        <v>8</v>
      </c>
      <c r="N34" s="143">
        <v>1</v>
      </c>
      <c r="O34" s="143">
        <v>4</v>
      </c>
      <c r="P34" s="147">
        <f t="shared" si="15"/>
      </c>
      <c r="Q34" s="148">
        <f t="shared" si="48"/>
      </c>
      <c r="R34" s="149">
        <f t="shared" si="41"/>
      </c>
      <c r="S34" s="148">
        <f t="shared" si="49"/>
      </c>
      <c r="T34" s="139" t="s">
        <v>149</v>
      </c>
      <c r="U34" s="139">
        <v>1</v>
      </c>
      <c r="V34" s="153"/>
      <c r="W34" s="153"/>
    </row>
    <row r="35">
      <c r="A35" s="138">
        <v>46240</v>
      </c>
      <c r="B35" s="161" t="s">
        <v>147</v>
      </c>
      <c r="C35" s="151" t="s">
        <v>148</v>
      </c>
      <c r="D35" s="141">
        <v>3</v>
      </c>
      <c r="E35" s="142">
        <v>9422.49</v>
      </c>
      <c r="F35" s="154">
        <v>10</v>
      </c>
      <c r="G35" s="143">
        <v>5</v>
      </c>
      <c r="H35" s="143">
        <v>9420.599999999999</v>
      </c>
      <c r="I35" s="142">
        <v>0</v>
      </c>
      <c r="J35" s="142">
        <v>0</v>
      </c>
      <c r="K35" s="144">
        <v>5</v>
      </c>
      <c r="L35" s="145">
        <v>5</v>
      </c>
      <c r="M35" s="146">
        <v>8</v>
      </c>
      <c r="N35" s="143">
        <v>0</v>
      </c>
      <c r="O35" s="143">
        <v>4</v>
      </c>
      <c r="P35" s="147">
        <f t="shared" si="15"/>
      </c>
      <c r="Q35" s="148">
        <f t="shared" si="48"/>
      </c>
      <c r="R35" s="149">
        <f t="shared" si="41"/>
      </c>
      <c r="S35" s="148">
        <f t="shared" si="49"/>
      </c>
      <c r="T35" s="139" t="s">
        <v>161</v>
      </c>
      <c r="U35" s="139">
        <v>7</v>
      </c>
      <c r="V35" s="150"/>
      <c r="W35" s="150"/>
    </row>
    <row r="36">
      <c r="A36" s="155">
        <v>46240</v>
      </c>
      <c r="B36" s="156" t="s">
        <v>150</v>
      </c>
      <c r="C36" s="157"/>
      <c r="D36" s="160">
        <f>SUM(D31:D35)</f>
      </c>
      <c r="E36" s="160">
        <f>SUM(E31:E35)</f>
      </c>
      <c r="F36" s="160">
        <f>SUM(F31:F35)</f>
      </c>
      <c r="G36" s="160">
        <f>SUM(G31:G35)</f>
      </c>
      <c r="H36" s="160">
        <f>SUM(H31:H35)</f>
      </c>
      <c r="I36" s="160">
        <f>SUM(I31:I35)</f>
      </c>
      <c r="J36" s="160">
        <f>SUM(J31:J35)</f>
      </c>
      <c r="K36" s="160">
        <f>SUM(K31:K35)</f>
      </c>
      <c r="L36" s="160">
        <f>SUM(L31:L35)</f>
      </c>
      <c r="M36" s="160">
        <f>SUM(M31:M35)</f>
      </c>
      <c r="N36" s="160">
        <f>SUM(N31:N35)</f>
      </c>
      <c r="O36" s="160">
        <f>SUM(O31:O35)</f>
      </c>
      <c r="P36" s="160">
        <f>SUM(P31:P35)</f>
      </c>
      <c r="Q36" s="159">
        <f t="shared" si="48"/>
      </c>
      <c r="R36" s="159">
        <f t="shared" si="41"/>
      </c>
      <c r="S36" s="159">
        <f t="shared" si="49"/>
      </c>
      <c r="T36" s="160"/>
      <c r="U36" s="160">
        <f>SUM(U31:U35)</f>
      </c>
      <c r="V36" s="160"/>
      <c r="W36" s="160">
        <f>SUM(W31:W35)</f>
      </c>
    </row>
    <row r="37">
      <c r="A37" s="138">
        <v>46241</v>
      </c>
      <c r="B37" s="139" t="s">
        <v>137</v>
      </c>
      <c r="C37" s="140" t="s">
        <v>138</v>
      </c>
      <c r="D37" s="141">
        <v>4</v>
      </c>
      <c r="E37" s="142">
        <v>9314.880000000001</v>
      </c>
      <c r="F37" s="141">
        <v>10</v>
      </c>
      <c r="G37" s="143">
        <v>7</v>
      </c>
      <c r="H37" s="143">
        <v>11705.4</v>
      </c>
      <c r="I37" s="142">
        <v>0</v>
      </c>
      <c r="J37" s="142">
        <v>0</v>
      </c>
      <c r="K37" s="144">
        <v>7</v>
      </c>
      <c r="L37" s="145">
        <v>4</v>
      </c>
      <c r="M37" s="146">
        <v>6</v>
      </c>
      <c r="N37" s="143">
        <v>1</v>
      </c>
      <c r="O37" s="143">
        <v>3</v>
      </c>
      <c r="P37" s="147">
        <f t="shared" ref="P37:P41" si="16">J37+H37</f>
      </c>
      <c r="Q37" s="148">
        <f t="shared" si="48"/>
      </c>
      <c r="R37" s="149">
        <f t="shared" si="41"/>
      </c>
      <c r="S37" s="148">
        <f t="shared" si="49"/>
      </c>
      <c r="T37" s="139" t="s">
        <v>160</v>
      </c>
      <c r="U37" s="139">
        <v>8</v>
      </c>
      <c r="V37" s="150" t="s">
        <v>140</v>
      </c>
      <c r="W37" s="139">
        <v>16</v>
      </c>
    </row>
    <row r="38">
      <c r="A38" s="138">
        <v>46241</v>
      </c>
      <c r="B38" s="161" t="s">
        <v>147</v>
      </c>
      <c r="C38" s="151" t="s">
        <v>142</v>
      </c>
      <c r="D38" s="141">
        <v>4</v>
      </c>
      <c r="E38" s="142">
        <v>8323</v>
      </c>
      <c r="F38" s="152">
        <v>8</v>
      </c>
      <c r="G38" s="143">
        <v>6</v>
      </c>
      <c r="H38" s="143">
        <v>11620.800000000001</v>
      </c>
      <c r="I38" s="142">
        <v>0</v>
      </c>
      <c r="J38" s="142">
        <v>0</v>
      </c>
      <c r="K38" s="144">
        <v>6</v>
      </c>
      <c r="L38" s="145">
        <v>5</v>
      </c>
      <c r="M38" s="146">
        <v>8</v>
      </c>
      <c r="N38" s="143">
        <v>0</v>
      </c>
      <c r="O38" s="143">
        <v>1</v>
      </c>
      <c r="P38" s="147">
        <f t="shared" si="16"/>
      </c>
      <c r="Q38" s="148">
        <f t="shared" si="48"/>
      </c>
      <c r="R38" s="149">
        <f t="shared" si="41"/>
      </c>
      <c r="S38" s="148">
        <f t="shared" si="49"/>
      </c>
      <c r="T38" s="139"/>
      <c r="U38" s="150"/>
      <c r="V38" s="153"/>
      <c r="W38" s="153"/>
    </row>
    <row r="39">
      <c r="A39" s="138">
        <v>46241</v>
      </c>
      <c r="B39" s="141" t="s">
        <v>155</v>
      </c>
      <c r="C39" s="151" t="s">
        <v>162</v>
      </c>
      <c r="D39" s="141">
        <v>3</v>
      </c>
      <c r="E39" s="142">
        <v>6105.509999999999</v>
      </c>
      <c r="F39" s="152">
        <v>8</v>
      </c>
      <c r="G39" s="143">
        <v>4</v>
      </c>
      <c r="H39" s="143">
        <v>2085.600000000002</v>
      </c>
      <c r="I39" s="142">
        <v>0</v>
      </c>
      <c r="J39" s="142">
        <v>0</v>
      </c>
      <c r="K39" s="144">
        <v>4</v>
      </c>
      <c r="L39" s="145">
        <v>4</v>
      </c>
      <c r="M39" s="146">
        <v>9</v>
      </c>
      <c r="N39" s="143">
        <v>0</v>
      </c>
      <c r="O39" s="143">
        <v>0</v>
      </c>
      <c r="P39" s="147">
        <f t="shared" si="16"/>
      </c>
      <c r="Q39" s="148">
        <f t="shared" si="48"/>
      </c>
      <c r="R39" s="149">
        <f t="shared" si="41"/>
      </c>
      <c r="S39" s="148">
        <f t="shared" si="49"/>
      </c>
      <c r="T39" s="139" t="s">
        <v>163</v>
      </c>
      <c r="U39" s="139">
        <v>8</v>
      </c>
      <c r="V39" s="153"/>
      <c r="W39" s="153"/>
    </row>
    <row r="40">
      <c r="A40" s="138">
        <v>46241</v>
      </c>
      <c r="B40" s="139" t="s">
        <v>143</v>
      </c>
      <c r="C40" s="151" t="s">
        <v>164</v>
      </c>
      <c r="D40" s="141">
        <v>2</v>
      </c>
      <c r="E40" s="142">
        <v>3412.88</v>
      </c>
      <c r="F40" s="152">
        <v>2</v>
      </c>
      <c r="G40" s="143">
        <v>1</v>
      </c>
      <c r="H40" s="143">
        <v>1088.3999999999978</v>
      </c>
      <c r="I40" s="142">
        <v>0</v>
      </c>
      <c r="J40" s="142">
        <v>0</v>
      </c>
      <c r="K40" s="144">
        <v>1</v>
      </c>
      <c r="L40" s="145">
        <v>1</v>
      </c>
      <c r="M40" s="146">
        <v>2</v>
      </c>
      <c r="N40" s="143">
        <v>0</v>
      </c>
      <c r="O40" s="143">
        <v>0</v>
      </c>
      <c r="P40" s="147">
        <f t="shared" si="16"/>
      </c>
      <c r="Q40" s="148">
        <f t="shared" si="48"/>
      </c>
      <c r="R40" s="149">
        <f t="shared" si="41"/>
      </c>
      <c r="S40" s="148">
        <f t="shared" si="49"/>
      </c>
      <c r="T40" s="139"/>
      <c r="U40" s="139"/>
      <c r="V40" s="153"/>
      <c r="W40" s="153"/>
    </row>
    <row r="41">
      <c r="A41" s="138">
        <v>46241</v>
      </c>
      <c r="B41" s="141" t="s">
        <v>145</v>
      </c>
      <c r="C41" s="151" t="s">
        <v>148</v>
      </c>
      <c r="D41" s="141">
        <v>3</v>
      </c>
      <c r="E41" s="142">
        <v>5485.42</v>
      </c>
      <c r="F41" s="154">
        <v>5</v>
      </c>
      <c r="G41" s="143">
        <v>4</v>
      </c>
      <c r="H41" s="143">
        <v>3512.399999999998</v>
      </c>
      <c r="I41" s="142">
        <v>0</v>
      </c>
      <c r="J41" s="142">
        <v>0</v>
      </c>
      <c r="K41" s="144">
        <v>4</v>
      </c>
      <c r="L41" s="145">
        <v>3</v>
      </c>
      <c r="M41" s="146">
        <v>5</v>
      </c>
      <c r="N41" s="143">
        <v>0</v>
      </c>
      <c r="O41" s="143">
        <v>0</v>
      </c>
      <c r="P41" s="147">
        <f t="shared" si="16"/>
      </c>
      <c r="Q41" s="148">
        <f t="shared" si="48"/>
      </c>
      <c r="R41" s="149">
        <f t="shared" si="41"/>
      </c>
      <c r="S41" s="148">
        <f t="shared" si="49"/>
      </c>
      <c r="T41" s="139"/>
      <c r="U41" s="139"/>
      <c r="V41" s="150"/>
      <c r="W41" s="150"/>
    </row>
    <row r="42">
      <c r="A42" s="155">
        <v>46241</v>
      </c>
      <c r="B42" s="156" t="s">
        <v>150</v>
      </c>
      <c r="C42" s="157"/>
      <c r="D42" s="160">
        <f>SUM(D37:D41)</f>
      </c>
      <c r="E42" s="160">
        <f>SUM(E37:E41)</f>
      </c>
      <c r="F42" s="160">
        <f>SUM(F37:F41)</f>
      </c>
      <c r="G42" s="160">
        <f>SUM(G37:G41)</f>
      </c>
      <c r="H42" s="160">
        <f>SUM(H37:H41)</f>
      </c>
      <c r="I42" s="160">
        <f>SUM(I37:I41)</f>
      </c>
      <c r="J42" s="160">
        <f>SUM(J37:J41)</f>
      </c>
      <c r="K42" s="160">
        <f>SUM(K37:K41)</f>
      </c>
      <c r="L42" s="160">
        <f>SUM(L37:L41)</f>
      </c>
      <c r="M42" s="160">
        <f>SUM(M37:M41)</f>
      </c>
      <c r="N42" s="160">
        <f>SUM(N37:N41)</f>
      </c>
      <c r="O42" s="160">
        <f>SUM(O37:O41)</f>
      </c>
      <c r="P42" s="160">
        <f>SUM(P37:P41)</f>
      </c>
      <c r="Q42" s="159">
        <f t="shared" si="48"/>
      </c>
      <c r="R42" s="159">
        <f t="shared" si="41"/>
      </c>
      <c r="S42" s="159">
        <f t="shared" si="49"/>
      </c>
      <c r="T42" s="160"/>
      <c r="U42" s="160">
        <f>SUM(U37:U41)</f>
      </c>
      <c r="V42" s="160"/>
      <c r="W42" s="160">
        <f>SUM(W37:W41)</f>
      </c>
    </row>
    <row r="43">
      <c r="A43" s="138">
        <v>46242</v>
      </c>
      <c r="B43" s="141" t="s">
        <v>155</v>
      </c>
      <c r="C43" s="140" t="s">
        <v>165</v>
      </c>
      <c r="D43" s="141">
        <v>2</v>
      </c>
      <c r="E43" s="142">
        <v>2528.9399999999996</v>
      </c>
      <c r="F43" s="141">
        <v>0</v>
      </c>
      <c r="G43" s="143">
        <v>0</v>
      </c>
      <c r="H43" s="143">
        <v>0</v>
      </c>
      <c r="I43" s="142">
        <v>0</v>
      </c>
      <c r="J43" s="142">
        <v>0</v>
      </c>
      <c r="K43" s="144">
        <v>0</v>
      </c>
      <c r="L43" s="145">
        <v>0</v>
      </c>
      <c r="M43" s="146">
        <v>0</v>
      </c>
      <c r="N43" s="143">
        <v>0</v>
      </c>
      <c r="O43" s="143">
        <v>0</v>
      </c>
      <c r="P43" s="147">
        <f t="shared" ref="P43:P47" si="17">J43+H43</f>
      </c>
      <c r="Q43" s="148">
        <f t="shared" si="48"/>
      </c>
      <c r="R43" s="149">
        <f t="shared" si="41"/>
      </c>
      <c r="S43" s="148">
        <f t="shared" si="49"/>
      </c>
      <c r="T43" s="139" t="s">
        <v>160</v>
      </c>
      <c r="U43" s="139">
        <v>7</v>
      </c>
      <c r="V43" s="150" t="s">
        <v>140</v>
      </c>
      <c r="W43" s="139">
        <v>15</v>
      </c>
    </row>
    <row r="44">
      <c r="A44" s="138">
        <v>46242</v>
      </c>
      <c r="B44" s="139" t="s">
        <v>143</v>
      </c>
      <c r="C44" s="151" t="s">
        <v>166</v>
      </c>
      <c r="D44" s="141">
        <v>3</v>
      </c>
      <c r="E44" s="142">
        <v>6818.78</v>
      </c>
      <c r="F44" s="162">
        <v>11</v>
      </c>
      <c r="G44" s="143">
        <v>5</v>
      </c>
      <c r="H44" s="143">
        <v>4337.200000000001</v>
      </c>
      <c r="I44" s="142">
        <v>0</v>
      </c>
      <c r="J44" s="142">
        <v>0</v>
      </c>
      <c r="K44" s="144">
        <v>5</v>
      </c>
      <c r="L44" s="145">
        <v>2</v>
      </c>
      <c r="M44" s="146">
        <v>8</v>
      </c>
      <c r="N44" s="143">
        <v>1</v>
      </c>
      <c r="O44" s="143">
        <v>2</v>
      </c>
      <c r="P44" s="147">
        <f t="shared" si="17"/>
      </c>
      <c r="Q44" s="148">
        <f t="shared" si="48"/>
      </c>
      <c r="R44" s="149">
        <f t="shared" si="41"/>
      </c>
      <c r="S44" s="148">
        <f t="shared" si="49"/>
      </c>
      <c r="T44" s="139"/>
      <c r="U44" s="150"/>
      <c r="V44" s="153"/>
      <c r="W44" s="153"/>
    </row>
    <row r="45">
      <c r="A45" s="138">
        <v>46242</v>
      </c>
      <c r="B45" s="141" t="s">
        <v>145</v>
      </c>
      <c r="C45" s="151" t="s">
        <v>158</v>
      </c>
      <c r="D45" s="141">
        <v>3</v>
      </c>
      <c r="E45" s="142">
        <v>7387.1</v>
      </c>
      <c r="F45" s="152">
        <v>12</v>
      </c>
      <c r="G45" s="143">
        <v>7</v>
      </c>
      <c r="H45" s="143">
        <v>8541.6</v>
      </c>
      <c r="I45" s="142">
        <v>0</v>
      </c>
      <c r="J45" s="142">
        <v>0</v>
      </c>
      <c r="K45" s="144">
        <v>7</v>
      </c>
      <c r="L45" s="145">
        <v>6</v>
      </c>
      <c r="M45" s="146">
        <v>12</v>
      </c>
      <c r="N45" s="143">
        <v>0</v>
      </c>
      <c r="O45" s="143">
        <v>1</v>
      </c>
      <c r="P45" s="147">
        <f t="shared" si="17"/>
      </c>
      <c r="Q45" s="148">
        <f t="shared" si="48"/>
      </c>
      <c r="R45" s="149">
        <f t="shared" si="41"/>
      </c>
      <c r="S45" s="148">
        <f t="shared" si="49"/>
      </c>
      <c r="T45" s="139" t="s">
        <v>161</v>
      </c>
      <c r="U45" s="139">
        <v>8</v>
      </c>
      <c r="V45" s="153"/>
      <c r="W45" s="153"/>
    </row>
    <row r="46">
      <c r="A46" s="138">
        <v>46242</v>
      </c>
      <c r="B46" s="139" t="s">
        <v>147</v>
      </c>
      <c r="C46" s="151" t="s">
        <v>159</v>
      </c>
      <c r="D46" s="141">
        <v>3</v>
      </c>
      <c r="E46" s="142">
        <v>6404.23</v>
      </c>
      <c r="F46" s="152">
        <v>10</v>
      </c>
      <c r="G46" s="143">
        <v>7</v>
      </c>
      <c r="H46" s="143">
        <v>6723.6</v>
      </c>
      <c r="I46" s="142">
        <v>0</v>
      </c>
      <c r="J46" s="142">
        <v>0</v>
      </c>
      <c r="K46" s="144">
        <v>7</v>
      </c>
      <c r="L46" s="145">
        <v>4</v>
      </c>
      <c r="M46" s="146">
        <v>8</v>
      </c>
      <c r="N46" s="143">
        <v>1</v>
      </c>
      <c r="O46" s="143">
        <v>2</v>
      </c>
      <c r="P46" s="147">
        <f t="shared" si="17"/>
      </c>
      <c r="Q46" s="148">
        <f t="shared" si="48"/>
      </c>
      <c r="R46" s="149">
        <f t="shared" si="41"/>
      </c>
      <c r="S46" s="148">
        <f t="shared" si="49"/>
      </c>
      <c r="T46" s="139"/>
      <c r="U46" s="139"/>
      <c r="V46" s="153"/>
      <c r="W46" s="153"/>
    </row>
    <row r="47">
      <c r="A47" s="138">
        <v>46242</v>
      </c>
      <c r="B47" s="141" t="s">
        <v>137</v>
      </c>
      <c r="C47" s="151" t="s">
        <v>153</v>
      </c>
      <c r="D47" s="141">
        <v>4</v>
      </c>
      <c r="E47" s="142">
        <v>9650.28</v>
      </c>
      <c r="F47" s="154">
        <v>13</v>
      </c>
      <c r="G47" s="143">
        <v>11</v>
      </c>
      <c r="H47" s="143">
        <v>11455</v>
      </c>
      <c r="I47" s="142">
        <v>0</v>
      </c>
      <c r="J47" s="142">
        <v>0</v>
      </c>
      <c r="K47" s="144">
        <v>11</v>
      </c>
      <c r="L47" s="145">
        <v>9</v>
      </c>
      <c r="M47" s="146">
        <v>11</v>
      </c>
      <c r="N47" s="143">
        <v>2</v>
      </c>
      <c r="O47" s="143">
        <v>4</v>
      </c>
      <c r="P47" s="147">
        <f t="shared" si="17"/>
      </c>
      <c r="Q47" s="148">
        <f t="shared" si="48"/>
      </c>
      <c r="R47" s="149">
        <f t="shared" si="41"/>
      </c>
      <c r="S47" s="148">
        <f t="shared" si="49"/>
      </c>
      <c r="T47" s="139"/>
      <c r="U47" s="139"/>
      <c r="V47" s="150"/>
      <c r="W47" s="150"/>
    </row>
    <row r="48">
      <c r="A48" s="155">
        <v>46242</v>
      </c>
      <c r="B48" s="156" t="s">
        <v>150</v>
      </c>
      <c r="C48" s="157"/>
      <c r="D48" s="160">
        <f>SUM(D43:D47)</f>
      </c>
      <c r="E48" s="160">
        <f>SUM(E43:E47)</f>
      </c>
      <c r="F48" s="160">
        <f>SUM(F43:F47)</f>
      </c>
      <c r="G48" s="160">
        <f>SUM(G43:G47)</f>
      </c>
      <c r="H48" s="160">
        <f>SUM(H43:H47)</f>
      </c>
      <c r="I48" s="160">
        <f>SUM(I43:I47)</f>
      </c>
      <c r="J48" s="160">
        <f>SUM(J43:J47)</f>
      </c>
      <c r="K48" s="160">
        <f>SUM(K43:K47)</f>
      </c>
      <c r="L48" s="160">
        <f>SUM(L43:L47)</f>
      </c>
      <c r="M48" s="160">
        <f>SUM(M43:M47)</f>
      </c>
      <c r="N48" s="160">
        <f>SUM(N43:N47)</f>
      </c>
      <c r="O48" s="160">
        <f>SUM(O43:O47)</f>
      </c>
      <c r="P48" s="160">
        <f>SUM(P43:P47)</f>
      </c>
      <c r="Q48" s="159">
        <f t="shared" si="48"/>
      </c>
      <c r="R48" s="159">
        <f t="shared" si="41"/>
      </c>
      <c r="S48" s="159">
        <f t="shared" si="49"/>
      </c>
      <c r="T48" s="160"/>
      <c r="U48" s="160">
        <f>SUM(U43:U47)</f>
      </c>
      <c r="V48" s="160"/>
      <c r="W48" s="160">
        <f>SUM(W43:W47)</f>
      </c>
    </row>
    <row customHeight="true" ht="18.452380952380953" r="49">
      <c r="A49" s="138">
        <v>46243</v>
      </c>
      <c r="B49" s="141" t="s">
        <v>145</v>
      </c>
      <c r="C49" s="140" t="s">
        <v>167</v>
      </c>
      <c r="D49" s="141">
        <v>3</v>
      </c>
      <c r="E49" s="142">
        <v>6319.5</v>
      </c>
      <c r="F49" s="141">
        <v>10</v>
      </c>
      <c r="G49" s="143">
        <v>7</v>
      </c>
      <c r="H49" s="143">
        <v>9356.400000000001</v>
      </c>
      <c r="I49" s="142">
        <v>0</v>
      </c>
      <c r="J49" s="142">
        <v>0</v>
      </c>
      <c r="K49" s="144">
        <v>7</v>
      </c>
      <c r="L49" s="145">
        <v>4</v>
      </c>
      <c r="M49" s="146">
        <v>5</v>
      </c>
      <c r="N49" s="143">
        <v>0</v>
      </c>
      <c r="O49" s="143">
        <v>2</v>
      </c>
      <c r="P49" s="147">
        <f t="shared" ref="P49:P53" si="18">J49+H49</f>
      </c>
      <c r="Q49" s="148">
        <f t="shared" si="48"/>
      </c>
      <c r="R49" s="149">
        <f t="shared" si="41"/>
      </c>
      <c r="S49" s="148">
        <f t="shared" si="49"/>
      </c>
      <c r="T49" s="139" t="s">
        <v>168</v>
      </c>
      <c r="U49" s="139">
        <v>8</v>
      </c>
      <c r="V49" s="150" t="s">
        <v>140</v>
      </c>
      <c r="W49" s="139">
        <v>16</v>
      </c>
    </row>
    <row customHeight="true" ht="18.452380952380953" r="50">
      <c r="A50" s="138">
        <v>46243</v>
      </c>
      <c r="B50" s="139" t="s">
        <v>137</v>
      </c>
      <c r="C50" s="151" t="s">
        <v>169</v>
      </c>
      <c r="D50" s="141">
        <v>4</v>
      </c>
      <c r="E50" s="142">
        <v>9639.54</v>
      </c>
      <c r="F50" s="163">
        <v>12</v>
      </c>
      <c r="G50" s="143">
        <v>7</v>
      </c>
      <c r="H50" s="143">
        <v>12048.800000000003</v>
      </c>
      <c r="I50" s="142">
        <v>0</v>
      </c>
      <c r="J50" s="142">
        <v>0</v>
      </c>
      <c r="K50" s="144">
        <v>7</v>
      </c>
      <c r="L50" s="145">
        <v>5</v>
      </c>
      <c r="M50" s="146">
        <v>9</v>
      </c>
      <c r="N50" s="143">
        <v>0</v>
      </c>
      <c r="O50" s="143">
        <v>4</v>
      </c>
      <c r="P50" s="147">
        <f t="shared" si="18"/>
      </c>
      <c r="Q50" s="148">
        <f t="shared" si="48"/>
      </c>
      <c r="R50" s="149">
        <f t="shared" si="41"/>
      </c>
      <c r="S50" s="148">
        <f t="shared" si="49"/>
      </c>
      <c r="T50" s="139"/>
      <c r="U50" s="150"/>
      <c r="V50" s="153"/>
      <c r="W50" s="153"/>
    </row>
    <row customHeight="true" ht="18.452380952380953" r="51">
      <c r="A51" s="138">
        <v>46243</v>
      </c>
      <c r="B51" s="141" t="s">
        <v>155</v>
      </c>
      <c r="C51" s="151" t="s">
        <v>158</v>
      </c>
      <c r="D51" s="141">
        <v>3</v>
      </c>
      <c r="E51" s="142">
        <v>13065.12</v>
      </c>
      <c r="F51" s="152">
        <v>15</v>
      </c>
      <c r="G51" s="143">
        <v>11</v>
      </c>
      <c r="H51" s="143">
        <v>10841.3</v>
      </c>
      <c r="I51" s="142">
        <v>0</v>
      </c>
      <c r="J51" s="142">
        <v>0</v>
      </c>
      <c r="K51" s="144">
        <v>11</v>
      </c>
      <c r="L51" s="145">
        <v>9</v>
      </c>
      <c r="M51" s="146">
        <v>14</v>
      </c>
      <c r="N51" s="143">
        <v>2</v>
      </c>
      <c r="O51" s="143">
        <v>2</v>
      </c>
      <c r="P51" s="147">
        <f t="shared" si="18"/>
      </c>
      <c r="Q51" s="148">
        <f t="shared" si="48"/>
      </c>
      <c r="R51" s="149">
        <f t="shared" si="41"/>
      </c>
      <c r="S51" s="148">
        <f t="shared" si="49"/>
      </c>
      <c r="T51" s="139" t="s">
        <v>161</v>
      </c>
      <c r="U51" s="139">
        <v>7</v>
      </c>
      <c r="V51" s="153"/>
      <c r="W51" s="153"/>
    </row>
    <row customHeight="true" ht="18.452380952380953" r="52">
      <c r="A52" s="138">
        <v>46243</v>
      </c>
      <c r="B52" s="139" t="s">
        <v>143</v>
      </c>
      <c r="C52" s="151" t="s">
        <v>152</v>
      </c>
      <c r="D52" s="141">
        <v>2</v>
      </c>
      <c r="E52" s="142">
        <v>4790.32</v>
      </c>
      <c r="F52" s="152">
        <v>6</v>
      </c>
      <c r="G52" s="143">
        <v>4</v>
      </c>
      <c r="H52" s="143">
        <v>5499.599999999995</v>
      </c>
      <c r="I52" s="142">
        <v>0</v>
      </c>
      <c r="J52" s="142">
        <v>0</v>
      </c>
      <c r="K52" s="144">
        <v>4</v>
      </c>
      <c r="L52" s="145">
        <v>2</v>
      </c>
      <c r="M52" s="146">
        <v>3</v>
      </c>
      <c r="N52" s="143">
        <v>1</v>
      </c>
      <c r="O52" s="143">
        <v>1</v>
      </c>
      <c r="P52" s="147">
        <f t="shared" si="18"/>
      </c>
      <c r="Q52" s="148">
        <f t="shared" si="48"/>
      </c>
      <c r="R52" s="149">
        <f t="shared" si="41"/>
      </c>
      <c r="S52" s="148">
        <f t="shared" si="49"/>
      </c>
      <c r="T52" s="139" t="s">
        <v>149</v>
      </c>
      <c r="U52" s="139">
        <v>1</v>
      </c>
      <c r="V52" s="153"/>
      <c r="W52" s="153"/>
    </row>
    <row customHeight="true" ht="18.452380952380953" r="53">
      <c r="A53" s="138">
        <v>46243</v>
      </c>
      <c r="B53" s="141" t="s">
        <v>147</v>
      </c>
      <c r="C53" s="151" t="s">
        <v>153</v>
      </c>
      <c r="D53" s="141">
        <v>4</v>
      </c>
      <c r="E53" s="142">
        <v>12371.29</v>
      </c>
      <c r="F53" s="154">
        <v>13</v>
      </c>
      <c r="G53" s="143">
        <v>13</v>
      </c>
      <c r="H53" s="143">
        <v>26057.8</v>
      </c>
      <c r="I53" s="142">
        <v>0</v>
      </c>
      <c r="J53" s="142">
        <v>0</v>
      </c>
      <c r="K53" s="144">
        <v>13</v>
      </c>
      <c r="L53" s="145">
        <v>11</v>
      </c>
      <c r="M53" s="146">
        <v>13</v>
      </c>
      <c r="N53" s="143">
        <v>2</v>
      </c>
      <c r="O53" s="143">
        <v>6</v>
      </c>
      <c r="P53" s="147">
        <f t="shared" si="18"/>
      </c>
      <c r="Q53" s="148">
        <f t="shared" si="48"/>
      </c>
      <c r="R53" s="149">
        <f t="shared" si="41"/>
      </c>
      <c r="S53" s="148">
        <f t="shared" si="49"/>
      </c>
      <c r="T53" s="139"/>
      <c r="U53" s="139"/>
      <c r="V53" s="150"/>
      <c r="W53" s="150"/>
    </row>
    <row customHeight="true" ht="16.071428571428573" r="54">
      <c r="A54" s="155">
        <v>46243</v>
      </c>
      <c r="B54" s="156" t="s">
        <v>150</v>
      </c>
      <c r="C54" s="157"/>
      <c r="D54" s="160">
        <f>SUM(D49:D53)</f>
      </c>
      <c r="E54" s="160">
        <f>SUM(E49:E53)</f>
      </c>
      <c r="F54" s="160">
        <f>SUM(F49:F53)</f>
      </c>
      <c r="G54" s="160">
        <f>SUM(G49:G53)</f>
      </c>
      <c r="H54" s="160">
        <f>SUM(H49:H53)</f>
      </c>
      <c r="I54" s="160">
        <f>SUM(I49:I53)</f>
      </c>
      <c r="J54" s="160">
        <f>SUM(J49:J53)</f>
      </c>
      <c r="K54" s="160">
        <f>SUM(K49:K53)</f>
      </c>
      <c r="L54" s="160">
        <f>SUM(L49:L53)</f>
      </c>
      <c r="M54" s="160">
        <f>SUM(M49:M53)</f>
      </c>
      <c r="N54" s="160">
        <f>SUM(N49:N53)</f>
      </c>
      <c r="O54" s="160">
        <f>SUM(O49:O53)</f>
      </c>
      <c r="P54" s="160">
        <f>SUM(P49:P53)</f>
      </c>
      <c r="Q54" s="159">
        <f t="shared" si="48"/>
      </c>
      <c r="R54" s="159">
        <f t="shared" si="41"/>
      </c>
      <c r="S54" s="159">
        <f t="shared" si="49"/>
      </c>
      <c r="T54" s="160"/>
      <c r="U54" s="160">
        <f>SUM(U49:U53)</f>
      </c>
      <c r="V54" s="160"/>
      <c r="W54" s="160">
        <f>SUM(W49:W53)</f>
      </c>
    </row>
    <row r="55">
      <c r="A55" s="138">
        <v>46244</v>
      </c>
      <c r="B55" s="139" t="s">
        <v>137</v>
      </c>
      <c r="C55" s="140" t="s">
        <v>138</v>
      </c>
      <c r="D55" s="141">
        <v>4</v>
      </c>
      <c r="E55" s="142">
        <v>7848.1</v>
      </c>
      <c r="F55" s="141">
        <v>8</v>
      </c>
      <c r="G55" s="143">
        <v>7</v>
      </c>
      <c r="H55" s="143">
        <v>10576</v>
      </c>
      <c r="I55" s="142">
        <v>0</v>
      </c>
      <c r="J55" s="142">
        <v>0</v>
      </c>
      <c r="K55" s="144">
        <v>7</v>
      </c>
      <c r="L55" s="145">
        <v>4</v>
      </c>
      <c r="M55" s="146">
        <v>6</v>
      </c>
      <c r="N55" s="143">
        <v>0</v>
      </c>
      <c r="O55" s="143">
        <v>3</v>
      </c>
      <c r="P55" s="147">
        <f t="shared" ref="P55:P58" si="19">J55+H55</f>
      </c>
      <c r="Q55" s="148">
        <f t="shared" si="48"/>
      </c>
      <c r="R55" s="149">
        <f t="shared" si="41"/>
      </c>
      <c r="S55" s="148">
        <f t="shared" si="49"/>
      </c>
      <c r="T55" s="139" t="s">
        <v>168</v>
      </c>
      <c r="U55" s="139">
        <v>8</v>
      </c>
      <c r="V55" s="150" t="s">
        <v>140</v>
      </c>
      <c r="W55" s="139">
        <v>16</v>
      </c>
    </row>
    <row r="56">
      <c r="A56" s="138">
        <v>46244</v>
      </c>
      <c r="B56" s="141" t="s">
        <v>145</v>
      </c>
      <c r="C56" s="151" t="s">
        <v>142</v>
      </c>
      <c r="D56" s="141">
        <v>4</v>
      </c>
      <c r="E56" s="142">
        <v>7904.17</v>
      </c>
      <c r="F56" s="163">
        <v>10</v>
      </c>
      <c r="G56" s="143">
        <v>10</v>
      </c>
      <c r="H56" s="143">
        <v>13806.4</v>
      </c>
      <c r="I56" s="142">
        <v>0</v>
      </c>
      <c r="J56" s="142">
        <v>0</v>
      </c>
      <c r="K56" s="144">
        <v>10</v>
      </c>
      <c r="L56" s="145">
        <v>4</v>
      </c>
      <c r="M56" s="146">
        <v>5</v>
      </c>
      <c r="N56" s="143">
        <v>2</v>
      </c>
      <c r="O56" s="143">
        <v>3</v>
      </c>
      <c r="P56" s="147">
        <f t="shared" si="19"/>
      </c>
      <c r="Q56" s="148">
        <f t="shared" si="48"/>
      </c>
      <c r="R56" s="149">
        <f t="shared" si="41"/>
      </c>
      <c r="S56" s="148">
        <f t="shared" si="49"/>
      </c>
      <c r="T56" s="139"/>
      <c r="U56" s="150"/>
      <c r="V56" s="153"/>
      <c r="W56" s="153"/>
    </row>
    <row r="57">
      <c r="A57" s="138">
        <v>46244</v>
      </c>
      <c r="B57" s="139" t="s">
        <v>143</v>
      </c>
      <c r="C57" s="151" t="s">
        <v>170</v>
      </c>
      <c r="D57" s="141">
        <v>4</v>
      </c>
      <c r="E57" s="142">
        <v>6341.95</v>
      </c>
      <c r="F57" s="152">
        <v>7</v>
      </c>
      <c r="G57" s="143">
        <v>2</v>
      </c>
      <c r="H57" s="143">
        <v>3811.2</v>
      </c>
      <c r="I57" s="142">
        <v>0</v>
      </c>
      <c r="J57" s="142">
        <v>0</v>
      </c>
      <c r="K57" s="144">
        <v>2</v>
      </c>
      <c r="L57" s="145">
        <v>1</v>
      </c>
      <c r="M57" s="146">
        <v>5</v>
      </c>
      <c r="N57" s="143">
        <v>0</v>
      </c>
      <c r="O57" s="143">
        <v>1</v>
      </c>
      <c r="P57" s="147">
        <f t="shared" si="19"/>
      </c>
      <c r="Q57" s="148">
        <f t="shared" si="48"/>
      </c>
      <c r="R57" s="149">
        <f t="shared" si="41"/>
      </c>
      <c r="S57" s="148">
        <f t="shared" si="49"/>
      </c>
      <c r="T57" s="139" t="s">
        <v>161</v>
      </c>
      <c r="U57" s="139">
        <v>7</v>
      </c>
      <c r="V57" s="153"/>
      <c r="W57" s="153"/>
    </row>
    <row r="58">
      <c r="A58" s="138">
        <v>46244</v>
      </c>
      <c r="B58" s="141" t="s">
        <v>147</v>
      </c>
      <c r="C58" s="151" t="s">
        <v>153</v>
      </c>
      <c r="D58" s="141">
        <v>4</v>
      </c>
      <c r="E58" s="142">
        <v>5672.23</v>
      </c>
      <c r="F58" s="154">
        <v>8</v>
      </c>
      <c r="G58" s="143">
        <v>5</v>
      </c>
      <c r="H58" s="143">
        <v>7799.399999999998</v>
      </c>
      <c r="I58" s="142">
        <v>0</v>
      </c>
      <c r="J58" s="142">
        <v>0</v>
      </c>
      <c r="K58" s="144">
        <v>5</v>
      </c>
      <c r="L58" s="145">
        <v>4</v>
      </c>
      <c r="M58" s="146">
        <v>7</v>
      </c>
      <c r="N58" s="143">
        <v>0</v>
      </c>
      <c r="O58" s="143">
        <v>3</v>
      </c>
      <c r="P58" s="147">
        <f t="shared" si="19"/>
      </c>
      <c r="Q58" s="148">
        <f t="shared" si="48"/>
      </c>
      <c r="R58" s="149">
        <f t="shared" si="41"/>
      </c>
      <c r="S58" s="148">
        <f t="shared" si="49"/>
      </c>
      <c r="T58" s="139" t="s">
        <v>149</v>
      </c>
      <c r="U58" s="139">
        <v>1</v>
      </c>
      <c r="V58" s="150"/>
      <c r="W58" s="150"/>
    </row>
    <row r="59">
      <c r="A59" s="155">
        <v>46244</v>
      </c>
      <c r="B59" s="156" t="s">
        <v>150</v>
      </c>
      <c r="C59" s="157"/>
      <c r="D59" s="160">
        <f>SUM(D55:D58)</f>
      </c>
      <c r="E59" s="160">
        <f>SUM(E55:E58)</f>
      </c>
      <c r="F59" s="160">
        <f>SUM(F55:F58)</f>
      </c>
      <c r="G59" s="160">
        <f>SUM(G55:G58)</f>
      </c>
      <c r="H59" s="160">
        <f>SUM(H55:H58)</f>
      </c>
      <c r="I59" s="160">
        <f>SUM(I55:I58)</f>
      </c>
      <c r="J59" s="160">
        <f>SUM(J55:J58)</f>
      </c>
      <c r="K59" s="160">
        <f>SUM(K55:K58)</f>
      </c>
      <c r="L59" s="160">
        <f>SUM(L55:L58)</f>
      </c>
      <c r="M59" s="160">
        <f>SUM(M55:M58)</f>
      </c>
      <c r="N59" s="160">
        <f>SUM(N55:N58)</f>
      </c>
      <c r="O59" s="160">
        <f>SUM(O55:O58)</f>
      </c>
      <c r="P59" s="160">
        <f>SUM(P55:P58)</f>
      </c>
      <c r="Q59" s="159">
        <f t="shared" si="48"/>
      </c>
      <c r="R59" s="159">
        <f t="shared" si="41"/>
      </c>
      <c r="S59" s="159">
        <f t="shared" si="49"/>
      </c>
      <c r="T59" s="160"/>
      <c r="U59" s="160">
        <f>SUM(U55:U58)</f>
      </c>
      <c r="V59" s="160"/>
      <c r="W59" s="160">
        <f>SUM(W55:W58)</f>
      </c>
    </row>
    <row r="60">
      <c r="A60" s="138">
        <v>46245</v>
      </c>
      <c r="B60" s="139" t="s">
        <v>137</v>
      </c>
      <c r="C60" s="140" t="s">
        <v>138</v>
      </c>
      <c r="D60" s="141">
        <v>4</v>
      </c>
      <c r="E60" s="142">
        <v>8782.36</v>
      </c>
      <c r="F60" s="141">
        <v>11</v>
      </c>
      <c r="G60" s="143">
        <v>5</v>
      </c>
      <c r="H60" s="143">
        <v>3683.5999999999995</v>
      </c>
      <c r="I60" s="142">
        <v>0</v>
      </c>
      <c r="J60" s="142">
        <v>0</v>
      </c>
      <c r="K60" s="144">
        <v>5</v>
      </c>
      <c r="L60" s="145">
        <v>5</v>
      </c>
      <c r="M60" s="146">
        <v>10</v>
      </c>
      <c r="N60" s="143">
        <v>0</v>
      </c>
      <c r="O60" s="143">
        <v>0</v>
      </c>
      <c r="P60" s="147">
        <f t="shared" ref="P60:P63" si="20">J60+H60</f>
      </c>
      <c r="Q60" s="148">
        <f t="shared" si="48"/>
      </c>
      <c r="R60" s="149">
        <f t="shared" si="41"/>
      </c>
      <c r="S60" s="148">
        <f t="shared" si="49"/>
      </c>
      <c r="T60" s="139" t="s">
        <v>168</v>
      </c>
      <c r="U60" s="139">
        <v>8</v>
      </c>
      <c r="V60" s="150" t="s">
        <v>140</v>
      </c>
      <c r="W60" s="139">
        <v>16</v>
      </c>
    </row>
    <row r="61">
      <c r="A61" s="138">
        <v>46245</v>
      </c>
      <c r="B61" s="141" t="s">
        <v>145</v>
      </c>
      <c r="C61" s="151" t="s">
        <v>142</v>
      </c>
      <c r="D61" s="141">
        <v>4</v>
      </c>
      <c r="E61" s="142">
        <v>7691.140000000001</v>
      </c>
      <c r="F61" s="163">
        <v>9</v>
      </c>
      <c r="G61" s="143">
        <v>6</v>
      </c>
      <c r="H61" s="143">
        <v>3754.6</v>
      </c>
      <c r="I61" s="142">
        <v>0</v>
      </c>
      <c r="J61" s="142">
        <v>0</v>
      </c>
      <c r="K61" s="144">
        <v>6</v>
      </c>
      <c r="L61" s="145">
        <v>6</v>
      </c>
      <c r="M61" s="146">
        <v>9</v>
      </c>
      <c r="N61" s="143">
        <v>0</v>
      </c>
      <c r="O61" s="143">
        <v>0</v>
      </c>
      <c r="P61" s="147">
        <f t="shared" si="20"/>
      </c>
      <c r="Q61" s="148">
        <f t="shared" si="48"/>
      </c>
      <c r="R61" s="149">
        <f t="shared" si="41"/>
      </c>
      <c r="S61" s="148">
        <f t="shared" si="49"/>
      </c>
      <c r="T61" s="139"/>
      <c r="U61" s="150"/>
      <c r="V61" s="153"/>
      <c r="W61" s="153"/>
    </row>
    <row r="62">
      <c r="A62" s="138">
        <v>46245</v>
      </c>
      <c r="B62" s="139" t="s">
        <v>143</v>
      </c>
      <c r="C62" s="151" t="s">
        <v>170</v>
      </c>
      <c r="D62" s="141">
        <v>4</v>
      </c>
      <c r="E62" s="142">
        <v>8215.65</v>
      </c>
      <c r="F62" s="152">
        <v>16</v>
      </c>
      <c r="G62" s="143">
        <v>13</v>
      </c>
      <c r="H62" s="143">
        <v>16850.699999999993</v>
      </c>
      <c r="I62" s="142">
        <v>0</v>
      </c>
      <c r="J62" s="142">
        <v>0</v>
      </c>
      <c r="K62" s="144">
        <v>13</v>
      </c>
      <c r="L62" s="145">
        <v>7</v>
      </c>
      <c r="M62" s="146">
        <v>11</v>
      </c>
      <c r="N62" s="143">
        <v>3</v>
      </c>
      <c r="O62" s="143">
        <v>5</v>
      </c>
      <c r="P62" s="147">
        <f t="shared" si="20"/>
      </c>
      <c r="Q62" s="148">
        <f t="shared" si="48"/>
      </c>
      <c r="R62" s="149">
        <f t="shared" si="41"/>
      </c>
      <c r="S62" s="148">
        <f t="shared" si="49"/>
      </c>
      <c r="T62" s="139" t="s">
        <v>161</v>
      </c>
      <c r="U62" s="139">
        <v>7</v>
      </c>
      <c r="V62" s="153"/>
      <c r="W62" s="153"/>
    </row>
    <row r="63">
      <c r="A63" s="138">
        <v>46245</v>
      </c>
      <c r="B63" s="141" t="s">
        <v>155</v>
      </c>
      <c r="C63" s="151" t="s">
        <v>153</v>
      </c>
      <c r="D63" s="141">
        <v>4</v>
      </c>
      <c r="E63" s="142">
        <v>13169.39</v>
      </c>
      <c r="F63" s="154">
        <v>15</v>
      </c>
      <c r="G63" s="143">
        <v>12</v>
      </c>
      <c r="H63" s="143">
        <v>17513.6</v>
      </c>
      <c r="I63" s="142">
        <v>0</v>
      </c>
      <c r="J63" s="142">
        <v>0</v>
      </c>
      <c r="K63" s="144">
        <v>12</v>
      </c>
      <c r="L63" s="145">
        <v>10</v>
      </c>
      <c r="M63" s="146">
        <v>11</v>
      </c>
      <c r="N63" s="143">
        <v>1</v>
      </c>
      <c r="O63" s="143">
        <v>6</v>
      </c>
      <c r="P63" s="147">
        <f t="shared" si="20"/>
      </c>
      <c r="Q63" s="148">
        <f t="shared" si="48"/>
      </c>
      <c r="R63" s="149">
        <f t="shared" si="41"/>
      </c>
      <c r="S63" s="148">
        <f t="shared" si="49"/>
      </c>
      <c r="T63" s="139" t="s">
        <v>149</v>
      </c>
      <c r="U63" s="139">
        <v>1</v>
      </c>
      <c r="V63" s="150"/>
      <c r="W63" s="150"/>
    </row>
    <row r="64">
      <c r="A64" s="155">
        <v>46245</v>
      </c>
      <c r="B64" s="156" t="s">
        <v>150</v>
      </c>
      <c r="C64" s="157"/>
      <c r="D64" s="160">
        <f>SUM(D60:D63)</f>
      </c>
      <c r="E64" s="160">
        <f>SUM(E60:E63)</f>
      </c>
      <c r="F64" s="160">
        <f>SUM(F60:F63)</f>
      </c>
      <c r="G64" s="160">
        <f>SUM(G60:G63)</f>
      </c>
      <c r="H64" s="160">
        <f>SUM(H60:H63)</f>
      </c>
      <c r="I64" s="160">
        <f>SUM(I60:I63)</f>
      </c>
      <c r="J64" s="160">
        <f>SUM(J60:J63)</f>
      </c>
      <c r="K64" s="160">
        <f>SUM(K60:K63)</f>
      </c>
      <c r="L64" s="160">
        <f>SUM(L60:L63)</f>
      </c>
      <c r="M64" s="160">
        <f>SUM(M60:M63)</f>
      </c>
      <c r="N64" s="160">
        <f>SUM(N60:N63)</f>
      </c>
      <c r="O64" s="160">
        <f>SUM(O60:O63)</f>
      </c>
      <c r="P64" s="160">
        <f>SUM(P60:P63)</f>
      </c>
      <c r="Q64" s="159">
        <f t="shared" si="48"/>
      </c>
      <c r="R64" s="159">
        <f t="shared" si="41"/>
      </c>
      <c r="S64" s="159">
        <f t="shared" si="49"/>
      </c>
      <c r="T64" s="160"/>
      <c r="U64" s="160">
        <f>SUM(U60:U63)</f>
      </c>
      <c r="V64" s="160"/>
      <c r="W64" s="160">
        <f>SUM(W60:W63)</f>
      </c>
    </row>
    <row r="65">
      <c r="A65" s="138">
        <v>46246</v>
      </c>
      <c r="B65" s="139" t="s">
        <v>137</v>
      </c>
      <c r="C65" s="140" t="s">
        <v>138</v>
      </c>
      <c r="D65" s="141">
        <v>4</v>
      </c>
      <c r="E65" s="142">
        <v>8427.17</v>
      </c>
      <c r="F65" s="141">
        <v>11</v>
      </c>
      <c r="G65" s="143">
        <v>11</v>
      </c>
      <c r="H65" s="143">
        <v>17184.399999999998</v>
      </c>
      <c r="I65" s="142">
        <v>0</v>
      </c>
      <c r="J65" s="142">
        <v>0</v>
      </c>
      <c r="K65" s="144">
        <v>11</v>
      </c>
      <c r="L65" s="145">
        <v>8</v>
      </c>
      <c r="M65" s="146">
        <v>8</v>
      </c>
      <c r="N65" s="143">
        <v>1</v>
      </c>
      <c r="O65" s="143">
        <v>4</v>
      </c>
      <c r="P65" s="147">
        <f t="shared" ref="P65:P69" si="21">J65+H65</f>
      </c>
      <c r="Q65" s="148">
        <f t="shared" si="48"/>
      </c>
      <c r="R65" s="149">
        <f t="shared" si="41"/>
      </c>
      <c r="S65" s="148">
        <f t="shared" si="49"/>
      </c>
      <c r="T65" s="139" t="s">
        <v>168</v>
      </c>
      <c r="U65" s="139">
        <v>8</v>
      </c>
      <c r="V65" s="150" t="s">
        <v>140</v>
      </c>
      <c r="W65" s="139">
        <v>16</v>
      </c>
    </row>
    <row r="66">
      <c r="A66" s="138">
        <v>46246</v>
      </c>
      <c r="B66" s="141" t="s">
        <v>145</v>
      </c>
      <c r="C66" s="151" t="s">
        <v>154</v>
      </c>
      <c r="D66" s="141">
        <v>3</v>
      </c>
      <c r="E66" s="142">
        <v>6558.75</v>
      </c>
      <c r="F66" s="163">
        <v>9</v>
      </c>
      <c r="G66" s="143">
        <v>6</v>
      </c>
      <c r="H66" s="143">
        <v>9431.599999999999</v>
      </c>
      <c r="I66" s="142">
        <v>0</v>
      </c>
      <c r="J66" s="142">
        <v>0</v>
      </c>
      <c r="K66" s="144">
        <v>6</v>
      </c>
      <c r="L66" s="145">
        <v>3</v>
      </c>
      <c r="M66" s="146">
        <v>5</v>
      </c>
      <c r="N66" s="143">
        <v>0</v>
      </c>
      <c r="O66" s="143">
        <v>3</v>
      </c>
      <c r="P66" s="147">
        <f t="shared" si="21"/>
      </c>
      <c r="Q66" s="148">
        <f t="shared" si="48"/>
      </c>
      <c r="R66" s="149">
        <f t="shared" si="41"/>
      </c>
      <c r="S66" s="148">
        <f t="shared" si="49"/>
      </c>
      <c r="T66" s="139"/>
      <c r="U66" s="150"/>
      <c r="V66" s="153"/>
      <c r="W66" s="153"/>
    </row>
    <row customHeight="true" ht="18.452380952380953" r="67">
      <c r="A67" s="138">
        <v>46246</v>
      </c>
      <c r="B67" s="141" t="s">
        <v>171</v>
      </c>
      <c r="C67" s="151" t="s">
        <v>172</v>
      </c>
      <c r="D67" s="141">
        <v>2</v>
      </c>
      <c r="E67" s="142">
        <v>4066.33</v>
      </c>
      <c r="F67" s="163">
        <v>6</v>
      </c>
      <c r="G67" s="143">
        <v>4</v>
      </c>
      <c r="H67" s="143">
        <v>4014</v>
      </c>
      <c r="I67" s="142">
        <v>0</v>
      </c>
      <c r="J67" s="142">
        <v>0</v>
      </c>
      <c r="K67" s="144">
        <v>4</v>
      </c>
      <c r="L67" s="145">
        <v>2</v>
      </c>
      <c r="M67" s="146">
        <v>4</v>
      </c>
      <c r="N67" s="143">
        <v>1</v>
      </c>
      <c r="O67" s="143">
        <v>1</v>
      </c>
      <c r="P67" s="147">
        <f t="shared" si="21"/>
      </c>
      <c r="Q67" s="148">
        <f t="shared" si="48"/>
      </c>
      <c r="R67" s="149">
        <f t="shared" si="41"/>
      </c>
      <c r="S67" s="148">
        <f t="shared" si="49"/>
      </c>
      <c r="T67" s="139"/>
      <c r="U67" s="150"/>
      <c r="V67" s="153"/>
      <c r="W67" s="153"/>
    </row>
    <row r="68">
      <c r="A68" s="138">
        <v>46246</v>
      </c>
      <c r="B68" s="139" t="s">
        <v>143</v>
      </c>
      <c r="C68" s="151" t="s">
        <v>173</v>
      </c>
      <c r="D68" s="141">
        <v>4</v>
      </c>
      <c r="E68" s="142">
        <v>7724.360000000001</v>
      </c>
      <c r="F68" s="152">
        <v>10</v>
      </c>
      <c r="G68" s="143">
        <v>7</v>
      </c>
      <c r="H68" s="143">
        <v>9735.7</v>
      </c>
      <c r="I68" s="142">
        <v>0</v>
      </c>
      <c r="J68" s="142">
        <v>0</v>
      </c>
      <c r="K68" s="144">
        <v>7</v>
      </c>
      <c r="L68" s="145">
        <v>4</v>
      </c>
      <c r="M68" s="146">
        <v>6</v>
      </c>
      <c r="N68" s="143">
        <v>2</v>
      </c>
      <c r="O68" s="143">
        <v>4</v>
      </c>
      <c r="P68" s="147">
        <f t="shared" si="21"/>
      </c>
      <c r="Q68" s="148">
        <f t="shared" si="48"/>
      </c>
      <c r="R68" s="149">
        <f t="shared" si="41"/>
      </c>
      <c r="S68" s="148">
        <f t="shared" si="49"/>
      </c>
      <c r="T68" s="139" t="s">
        <v>161</v>
      </c>
      <c r="U68" s="139">
        <v>7</v>
      </c>
      <c r="V68" s="153"/>
      <c r="W68" s="153"/>
    </row>
    <row r="69">
      <c r="A69" s="138">
        <v>46246</v>
      </c>
      <c r="B69" s="141" t="s">
        <v>155</v>
      </c>
      <c r="C69" s="151" t="s">
        <v>148</v>
      </c>
      <c r="D69" s="164">
        <f>3-0.25</f>
      </c>
      <c r="E69" s="142">
        <v>5238.84</v>
      </c>
      <c r="F69" s="154">
        <v>6</v>
      </c>
      <c r="G69" s="143">
        <v>4</v>
      </c>
      <c r="H69" s="143">
        <v>6561.6</v>
      </c>
      <c r="I69" s="142">
        <v>0</v>
      </c>
      <c r="J69" s="142">
        <v>0</v>
      </c>
      <c r="K69" s="144">
        <v>4</v>
      </c>
      <c r="L69" s="145">
        <v>2</v>
      </c>
      <c r="M69" s="146">
        <v>4</v>
      </c>
      <c r="N69" s="143">
        <v>1</v>
      </c>
      <c r="O69" s="143">
        <v>3</v>
      </c>
      <c r="P69" s="147">
        <f t="shared" si="21"/>
      </c>
      <c r="Q69" s="148">
        <f t="shared" si="48"/>
      </c>
      <c r="R69" s="149">
        <f t="shared" si="41"/>
      </c>
      <c r="S69" s="148">
        <f t="shared" si="49"/>
      </c>
      <c r="T69" s="139" t="s">
        <v>149</v>
      </c>
      <c r="U69" s="139">
        <v>1</v>
      </c>
      <c r="V69" s="150"/>
      <c r="W69" s="150"/>
    </row>
    <row r="70">
      <c r="A70" s="155">
        <v>46246</v>
      </c>
      <c r="B70" s="156" t="s">
        <v>150</v>
      </c>
      <c r="C70" s="157"/>
      <c r="D70" s="160">
        <f>SUM(D65:D69)</f>
      </c>
      <c r="E70" s="160">
        <f>SUM(E65:E69)</f>
      </c>
      <c r="F70" s="160">
        <f>SUM(F65:F69)</f>
      </c>
      <c r="G70" s="160">
        <f>SUM(G65:G69)</f>
      </c>
      <c r="H70" s="160">
        <f>SUM(H65:H69)</f>
      </c>
      <c r="I70" s="160">
        <f>SUM(I65:I69)</f>
      </c>
      <c r="J70" s="160">
        <f>SUM(J65:J69)</f>
      </c>
      <c r="K70" s="160">
        <f>SUM(K65:K69)</f>
      </c>
      <c r="L70" s="160">
        <f>SUM(L65:L69)</f>
      </c>
      <c r="M70" s="160">
        <f>SUM(M65:M69)</f>
      </c>
      <c r="N70" s="160">
        <f>SUM(N65:N69)</f>
      </c>
      <c r="O70" s="160">
        <f>SUM(O65:O69)</f>
      </c>
      <c r="P70" s="160">
        <f>SUM(P65:P69)</f>
      </c>
      <c r="Q70" s="159">
        <f t="shared" si="48"/>
      </c>
      <c r="R70" s="159">
        <f t="shared" si="41"/>
      </c>
      <c r="S70" s="159">
        <f t="shared" si="49"/>
      </c>
      <c r="T70" s="160"/>
      <c r="U70" s="160">
        <f>SUM(U65:U69)</f>
      </c>
      <c r="V70" s="160"/>
      <c r="W70" s="160">
        <f>SUM(W65:W69)</f>
      </c>
    </row>
    <row r="71">
      <c r="A71" s="138">
        <v>46247</v>
      </c>
      <c r="B71" s="139" t="s">
        <v>137</v>
      </c>
      <c r="C71" s="140" t="s">
        <v>138</v>
      </c>
      <c r="D71" s="141">
        <v>4</v>
      </c>
      <c r="E71" s="142">
        <v>7019.2699999999995</v>
      </c>
      <c r="F71" s="141">
        <v>5</v>
      </c>
      <c r="G71" s="143">
        <v>4</v>
      </c>
      <c r="H71" s="143">
        <v>4964.2</v>
      </c>
      <c r="I71" s="142">
        <v>0</v>
      </c>
      <c r="J71" s="142">
        <v>0</v>
      </c>
      <c r="K71" s="144">
        <v>4</v>
      </c>
      <c r="L71" s="145">
        <v>2</v>
      </c>
      <c r="M71" s="146">
        <v>3</v>
      </c>
      <c r="N71" s="143">
        <v>0</v>
      </c>
      <c r="O71" s="143">
        <v>1</v>
      </c>
      <c r="P71" s="147">
        <f t="shared" ref="P71:P74" si="22">J71+H71</f>
      </c>
      <c r="Q71" s="148">
        <f t="shared" si="48"/>
      </c>
      <c r="R71" s="149">
        <f t="shared" si="41"/>
      </c>
      <c r="S71" s="148">
        <f t="shared" si="49"/>
      </c>
      <c r="T71" s="139" t="s">
        <v>168</v>
      </c>
      <c r="U71" s="139">
        <v>8</v>
      </c>
      <c r="V71" s="150" t="s">
        <v>140</v>
      </c>
      <c r="W71" s="139">
        <v>16</v>
      </c>
    </row>
    <row r="72">
      <c r="A72" s="138">
        <v>46247</v>
      </c>
      <c r="B72" s="139" t="s">
        <v>143</v>
      </c>
      <c r="C72" s="151" t="s">
        <v>142</v>
      </c>
      <c r="D72" s="141">
        <v>4</v>
      </c>
      <c r="E72" s="142">
        <v>8045.710000000001</v>
      </c>
      <c r="F72" s="163">
        <v>10</v>
      </c>
      <c r="G72" s="143">
        <v>6</v>
      </c>
      <c r="H72" s="143">
        <v>9125.1</v>
      </c>
      <c r="I72" s="142">
        <v>0</v>
      </c>
      <c r="J72" s="142">
        <v>0</v>
      </c>
      <c r="K72" s="144">
        <v>6</v>
      </c>
      <c r="L72" s="145">
        <v>6</v>
      </c>
      <c r="M72" s="146">
        <v>10</v>
      </c>
      <c r="N72" s="143">
        <v>1</v>
      </c>
      <c r="O72" s="143">
        <v>3</v>
      </c>
      <c r="P72" s="147">
        <f t="shared" si="22"/>
      </c>
      <c r="Q72" s="148">
        <f t="shared" si="48"/>
      </c>
      <c r="R72" s="149">
        <f t="shared" si="41"/>
      </c>
      <c r="S72" s="148">
        <f t="shared" si="49"/>
      </c>
      <c r="T72" s="139"/>
      <c r="U72" s="150"/>
      <c r="V72" s="153"/>
      <c r="W72" s="153"/>
    </row>
    <row r="73">
      <c r="A73" s="138">
        <v>46247</v>
      </c>
      <c r="B73" s="139" t="s">
        <v>171</v>
      </c>
      <c r="C73" s="151" t="s">
        <v>162</v>
      </c>
      <c r="D73" s="141">
        <v>3</v>
      </c>
      <c r="E73" s="142">
        <v>5139.92</v>
      </c>
      <c r="F73" s="152">
        <v>5</v>
      </c>
      <c r="G73" s="143">
        <v>3</v>
      </c>
      <c r="H73" s="143">
        <v>1677.6000000000004</v>
      </c>
      <c r="I73" s="142">
        <v>0</v>
      </c>
      <c r="J73" s="142">
        <v>0</v>
      </c>
      <c r="K73" s="144">
        <v>3</v>
      </c>
      <c r="L73" s="145">
        <v>2</v>
      </c>
      <c r="M73" s="146">
        <v>4</v>
      </c>
      <c r="N73" s="143">
        <v>0</v>
      </c>
      <c r="O73" s="143">
        <v>1</v>
      </c>
      <c r="P73" s="147">
        <f t="shared" si="22"/>
      </c>
      <c r="Q73" s="148">
        <f t="shared" si="48"/>
      </c>
      <c r="R73" s="149">
        <f t="shared" si="41"/>
      </c>
      <c r="S73" s="148">
        <f t="shared" si="49"/>
      </c>
      <c r="T73" s="139" t="s">
        <v>161</v>
      </c>
      <c r="U73" s="139">
        <v>7</v>
      </c>
      <c r="V73" s="153"/>
      <c r="W73" s="153"/>
    </row>
    <row r="74">
      <c r="A74" s="138">
        <v>46247</v>
      </c>
      <c r="B74" s="141" t="s">
        <v>145</v>
      </c>
      <c r="C74" s="151" t="s">
        <v>174</v>
      </c>
      <c r="D74" s="141">
        <v>5</v>
      </c>
      <c r="E74" s="142">
        <v>10249.84</v>
      </c>
      <c r="F74" s="154">
        <v>12</v>
      </c>
      <c r="G74" s="143">
        <v>9</v>
      </c>
      <c r="H74" s="143">
        <v>15354.6</v>
      </c>
      <c r="I74" s="142">
        <v>0</v>
      </c>
      <c r="J74" s="142">
        <v>0</v>
      </c>
      <c r="K74" s="144">
        <v>9</v>
      </c>
      <c r="L74" s="145">
        <v>9</v>
      </c>
      <c r="M74" s="146">
        <v>12</v>
      </c>
      <c r="N74" s="143">
        <v>0</v>
      </c>
      <c r="O74" s="143">
        <v>5</v>
      </c>
      <c r="P74" s="147">
        <f t="shared" si="22"/>
      </c>
      <c r="Q74" s="148">
        <f t="shared" si="48"/>
      </c>
      <c r="R74" s="149">
        <f t="shared" si="41"/>
      </c>
      <c r="S74" s="148">
        <f t="shared" si="49"/>
      </c>
      <c r="T74" s="139" t="s">
        <v>149</v>
      </c>
      <c r="U74" s="139">
        <v>1</v>
      </c>
      <c r="V74" s="150"/>
      <c r="W74" s="150"/>
    </row>
    <row r="75">
      <c r="A75" s="155">
        <v>46247</v>
      </c>
      <c r="B75" s="156" t="s">
        <v>150</v>
      </c>
      <c r="C75" s="157"/>
      <c r="D75" s="160">
        <f>SUM(D71:D74)</f>
      </c>
      <c r="E75" s="160">
        <f>SUM(E71:E74)</f>
      </c>
      <c r="F75" s="160">
        <f>SUM(F71:F74)</f>
      </c>
      <c r="G75" s="160">
        <f>SUM(G71:G74)</f>
      </c>
      <c r="H75" s="160">
        <f>SUM(H71:H74)</f>
      </c>
      <c r="I75" s="160">
        <f>SUM(I71:I74)</f>
      </c>
      <c r="J75" s="160">
        <f>SUM(J71:J74)</f>
      </c>
      <c r="K75" s="160">
        <f>SUM(K71:K74)</f>
      </c>
      <c r="L75" s="160">
        <f>SUM(L71:L74)</f>
      </c>
      <c r="M75" s="160">
        <f>SUM(M71:M74)</f>
      </c>
      <c r="N75" s="160">
        <f>SUM(N71:N74)</f>
      </c>
      <c r="O75" s="160">
        <f>SUM(O71:O74)</f>
      </c>
      <c r="P75" s="160">
        <f>SUM(P71:P74)</f>
      </c>
      <c r="Q75" s="159">
        <f t="shared" si="48"/>
      </c>
      <c r="R75" s="159">
        <f t="shared" si="41"/>
      </c>
      <c r="S75" s="159">
        <f t="shared" si="49"/>
      </c>
      <c r="T75" s="160"/>
      <c r="U75" s="160">
        <f>SUM(U71:U74)</f>
      </c>
      <c r="V75" s="160"/>
      <c r="W75" s="160">
        <f>SUM(W71:W74)</f>
      </c>
    </row>
    <row r="76">
      <c r="A76" s="138">
        <v>46248</v>
      </c>
      <c r="B76" s="141" t="s">
        <v>143</v>
      </c>
      <c r="C76" s="140" t="s">
        <v>175</v>
      </c>
      <c r="D76" s="141">
        <v>5</v>
      </c>
      <c r="E76" s="142">
        <v>10658.62</v>
      </c>
      <c r="F76" s="141">
        <v>17</v>
      </c>
      <c r="G76" s="143">
        <v>15</v>
      </c>
      <c r="H76" s="143">
        <v>23824.800000000003</v>
      </c>
      <c r="I76" s="142">
        <v>0</v>
      </c>
      <c r="J76" s="142">
        <v>0</v>
      </c>
      <c r="K76" s="144">
        <f t="shared" ref="K76:K79" si="42">G76+I76</f>
      </c>
      <c r="L76" s="145">
        <v>7</v>
      </c>
      <c r="M76" s="146">
        <v>8</v>
      </c>
      <c r="N76" s="143">
        <v>3</v>
      </c>
      <c r="O76" s="143">
        <v>9</v>
      </c>
      <c r="P76" s="147">
        <f t="shared" ref="P76:P79" si="23">J76+H76</f>
      </c>
      <c r="Q76" s="148">
        <f t="shared" si="48"/>
      </c>
      <c r="R76" s="149">
        <f t="shared" si="41"/>
      </c>
      <c r="S76" s="148">
        <f t="shared" si="49"/>
      </c>
      <c r="T76" s="139" t="s">
        <v>168</v>
      </c>
      <c r="U76" s="139">
        <v>8</v>
      </c>
      <c r="V76" s="150" t="s">
        <v>140</v>
      </c>
      <c r="W76" s="139">
        <v>16</v>
      </c>
    </row>
    <row r="77">
      <c r="A77" s="138">
        <v>46248</v>
      </c>
      <c r="B77" s="141" t="s">
        <v>137</v>
      </c>
      <c r="C77" s="151" t="s">
        <v>176</v>
      </c>
      <c r="D77" s="141">
        <v>5</v>
      </c>
      <c r="E77" s="142">
        <v>16014.07</v>
      </c>
      <c r="F77" s="163">
        <v>31</v>
      </c>
      <c r="G77" s="143">
        <v>18</v>
      </c>
      <c r="H77" s="143">
        <v>25230.9</v>
      </c>
      <c r="I77" s="142">
        <v>3</v>
      </c>
      <c r="J77" s="142">
        <v>1608</v>
      </c>
      <c r="K77" s="144">
        <f t="shared" si="42"/>
      </c>
      <c r="L77" s="145">
        <v>15</v>
      </c>
      <c r="M77" s="146">
        <v>24</v>
      </c>
      <c r="N77" s="143">
        <v>3</v>
      </c>
      <c r="O77" s="143">
        <v>10</v>
      </c>
      <c r="P77" s="147">
        <f t="shared" si="23"/>
      </c>
      <c r="Q77" s="148">
        <f t="shared" si="48"/>
      </c>
      <c r="R77" s="149">
        <f t="shared" si="41"/>
      </c>
      <c r="S77" s="148">
        <f t="shared" si="49"/>
      </c>
      <c r="T77" s="139"/>
      <c r="U77" s="150"/>
      <c r="V77" s="153"/>
      <c r="W77" s="153"/>
    </row>
    <row r="78">
      <c r="A78" s="138">
        <v>46248</v>
      </c>
      <c r="B78" s="141" t="s">
        <v>177</v>
      </c>
      <c r="C78" s="151" t="s">
        <v>178</v>
      </c>
      <c r="D78" s="141">
        <v>2</v>
      </c>
      <c r="E78" s="142">
        <v>5784.01</v>
      </c>
      <c r="F78" s="152">
        <v>7</v>
      </c>
      <c r="G78" s="143">
        <v>2</v>
      </c>
      <c r="H78" s="143">
        <v>2182</v>
      </c>
      <c r="I78" s="142">
        <v>2</v>
      </c>
      <c r="J78" s="142">
        <v>1092</v>
      </c>
      <c r="K78" s="144">
        <f t="shared" si="42"/>
      </c>
      <c r="L78" s="145">
        <v>1</v>
      </c>
      <c r="M78" s="146">
        <v>5</v>
      </c>
      <c r="N78" s="143">
        <v>2</v>
      </c>
      <c r="O78" s="143">
        <v>1</v>
      </c>
      <c r="P78" s="147">
        <f t="shared" si="23"/>
      </c>
      <c r="Q78" s="148">
        <f t="shared" si="48"/>
      </c>
      <c r="R78" s="149">
        <f t="shared" si="41"/>
      </c>
      <c r="S78" s="148">
        <f t="shared" si="49"/>
      </c>
      <c r="T78" s="139" t="s">
        <v>161</v>
      </c>
      <c r="U78" s="139">
        <v>7</v>
      </c>
      <c r="V78" s="153"/>
      <c r="W78" s="153"/>
    </row>
    <row r="79">
      <c r="A79" s="138">
        <v>46248</v>
      </c>
      <c r="B79" s="141" t="s">
        <v>145</v>
      </c>
      <c r="C79" s="151" t="s">
        <v>153</v>
      </c>
      <c r="D79" s="141">
        <v>4</v>
      </c>
      <c r="E79" s="142">
        <v>10563.249999999998</v>
      </c>
      <c r="F79" s="154">
        <v>11</v>
      </c>
      <c r="G79" s="143">
        <v>10</v>
      </c>
      <c r="H79" s="143">
        <v>12893.199999999997</v>
      </c>
      <c r="I79" s="142">
        <v>0</v>
      </c>
      <c r="J79" s="142">
        <v>0</v>
      </c>
      <c r="K79" s="144">
        <f t="shared" si="42"/>
      </c>
      <c r="L79" s="145">
        <v>5</v>
      </c>
      <c r="M79" s="146">
        <v>5</v>
      </c>
      <c r="N79" s="143">
        <v>1</v>
      </c>
      <c r="O79" s="143">
        <v>4</v>
      </c>
      <c r="P79" s="147">
        <f t="shared" si="23"/>
      </c>
      <c r="Q79" s="148">
        <f t="shared" si="48"/>
      </c>
      <c r="R79" s="149">
        <f t="shared" si="41"/>
      </c>
      <c r="S79" s="148">
        <f t="shared" si="49"/>
      </c>
      <c r="T79" s="139" t="s">
        <v>149</v>
      </c>
      <c r="U79" s="139">
        <v>1</v>
      </c>
      <c r="V79" s="150"/>
      <c r="W79" s="150"/>
    </row>
    <row r="80">
      <c r="A80" s="155">
        <v>46248</v>
      </c>
      <c r="B80" s="156" t="s">
        <v>150</v>
      </c>
      <c r="C80" s="157"/>
      <c r="D80" s="160">
        <f>SUM(D76:D79)</f>
      </c>
      <c r="E80" s="160">
        <f>SUM(E76:E79)</f>
      </c>
      <c r="F80" s="160">
        <f>SUM(F76:F79)</f>
      </c>
      <c r="G80" s="160">
        <f>SUM(G76:G79)</f>
      </c>
      <c r="H80" s="160">
        <f>SUM(H76:H79)</f>
      </c>
      <c r="I80" s="160">
        <f>SUM(I76:I79)</f>
      </c>
      <c r="J80" s="160">
        <f>SUM(J76:J79)</f>
      </c>
      <c r="K80" s="160">
        <f>SUM(K76:K79)</f>
      </c>
      <c r="L80" s="160">
        <f>SUM(L76:L79)</f>
      </c>
      <c r="M80" s="160">
        <f>SUM(M76:M79)</f>
      </c>
      <c r="N80" s="160">
        <f>SUM(N76:N79)</f>
      </c>
      <c r="O80" s="160">
        <f>SUM(O76:O79)</f>
      </c>
      <c r="P80" s="160">
        <f>SUM(P76:P79)</f>
      </c>
      <c r="Q80" s="159">
        <f t="shared" si="48"/>
      </c>
      <c r="R80" s="159">
        <f t="shared" si="41"/>
      </c>
      <c r="S80" s="159">
        <f t="shared" si="49"/>
      </c>
      <c r="T80" s="160"/>
      <c r="U80" s="160">
        <f>SUM(U76:U79)</f>
      </c>
      <c r="V80" s="160"/>
      <c r="W80" s="160">
        <f>SUM(W76:W79)</f>
      </c>
    </row>
    <row r="81">
      <c r="A81" s="138">
        <v>46249</v>
      </c>
      <c r="B81" s="141" t="s">
        <v>143</v>
      </c>
      <c r="C81" s="140" t="s">
        <v>175</v>
      </c>
      <c r="D81" s="141">
        <v>5</v>
      </c>
      <c r="E81" s="142">
        <v>12973.66</v>
      </c>
      <c r="F81" s="141">
        <v>20</v>
      </c>
      <c r="G81" s="143">
        <v>11</v>
      </c>
      <c r="H81" s="143">
        <v>13978.4</v>
      </c>
      <c r="I81" s="142">
        <v>3</v>
      </c>
      <c r="J81" s="142">
        <v>1098</v>
      </c>
      <c r="K81" s="144">
        <f t="shared" ref="K81:K83" si="0">I81+G81</f>
      </c>
      <c r="L81" s="145">
        <v>10</v>
      </c>
      <c r="M81" s="146">
        <v>16</v>
      </c>
      <c r="N81" s="143">
        <v>1</v>
      </c>
      <c r="O81" s="143">
        <v>7</v>
      </c>
      <c r="P81" s="147">
        <f t="shared" ref="P81:P83" si="24">J81+H81</f>
      </c>
      <c r="Q81" s="148">
        <f t="shared" si="48"/>
      </c>
      <c r="R81" s="149">
        <f t="shared" si="41"/>
      </c>
      <c r="S81" s="148">
        <f t="shared" si="49"/>
      </c>
      <c r="T81" s="139" t="s">
        <v>168</v>
      </c>
      <c r="U81" s="139">
        <v>8</v>
      </c>
      <c r="V81" s="150" t="s">
        <v>140</v>
      </c>
      <c r="W81" s="139">
        <v>12</v>
      </c>
    </row>
    <row r="82">
      <c r="A82" s="138">
        <v>46249</v>
      </c>
      <c r="B82" s="141" t="s">
        <v>171</v>
      </c>
      <c r="C82" s="151" t="s">
        <v>179</v>
      </c>
      <c r="D82" s="141">
        <v>3</v>
      </c>
      <c r="E82" s="142">
        <v>7300.730000000001</v>
      </c>
      <c r="F82" s="163">
        <v>9</v>
      </c>
      <c r="G82" s="143">
        <v>5</v>
      </c>
      <c r="H82" s="143">
        <v>7496.4</v>
      </c>
      <c r="I82" s="142">
        <v>4</v>
      </c>
      <c r="J82" s="142">
        <v>3684</v>
      </c>
      <c r="K82" s="144">
        <f t="shared" si="0"/>
      </c>
      <c r="L82" s="145">
        <v>6</v>
      </c>
      <c r="M82" s="146">
        <v>8</v>
      </c>
      <c r="N82" s="143">
        <v>0</v>
      </c>
      <c r="O82" s="143">
        <v>3</v>
      </c>
      <c r="P82" s="147">
        <f t="shared" si="24"/>
      </c>
      <c r="Q82" s="148">
        <f t="shared" si="48"/>
      </c>
      <c r="R82" s="149">
        <f t="shared" si="41"/>
      </c>
      <c r="S82" s="148">
        <f t="shared" si="49"/>
      </c>
      <c r="T82" s="139" t="s">
        <v>149</v>
      </c>
      <c r="U82" s="139">
        <v>1</v>
      </c>
      <c r="V82" s="153"/>
      <c r="W82" s="153"/>
    </row>
    <row r="83">
      <c r="A83" s="138">
        <v>46249</v>
      </c>
      <c r="B83" s="141" t="s">
        <v>145</v>
      </c>
      <c r="C83" s="151" t="s">
        <v>180</v>
      </c>
      <c r="D83" s="141">
        <v>4</v>
      </c>
      <c r="E83" s="142">
        <v>14517.34</v>
      </c>
      <c r="F83" s="152">
        <v>27</v>
      </c>
      <c r="G83" s="143">
        <v>14</v>
      </c>
      <c r="H83" s="143">
        <v>17025.000000000004</v>
      </c>
      <c r="I83" s="142">
        <v>4</v>
      </c>
      <c r="J83" s="142">
        <v>1752</v>
      </c>
      <c r="K83" s="144">
        <f t="shared" si="0"/>
      </c>
      <c r="L83" s="145">
        <v>15</v>
      </c>
      <c r="M83" s="146">
        <v>22</v>
      </c>
      <c r="N83" s="143">
        <v>2</v>
      </c>
      <c r="O83" s="143">
        <v>4</v>
      </c>
      <c r="P83" s="147">
        <f t="shared" si="24"/>
      </c>
      <c r="Q83" s="148">
        <f t="shared" si="48"/>
      </c>
      <c r="R83" s="149">
        <f t="shared" si="41"/>
      </c>
      <c r="S83" s="148">
        <f t="shared" si="49"/>
      </c>
      <c r="T83" s="139" t="s">
        <v>161</v>
      </c>
      <c r="U83" s="139">
        <v>3</v>
      </c>
      <c r="V83" s="153"/>
      <c r="W83" s="153"/>
    </row>
    <row r="84">
      <c r="A84" s="155">
        <v>46249</v>
      </c>
      <c r="B84" s="156" t="s">
        <v>150</v>
      </c>
      <c r="C84" s="157"/>
      <c r="D84" s="160">
        <f>SUM(D81:D83)</f>
      </c>
      <c r="E84" s="160">
        <f>SUM(E81:E83)</f>
      </c>
      <c r="F84" s="160">
        <f>SUM(F81:F83)</f>
      </c>
      <c r="G84" s="160">
        <f>SUM(G81:G83)</f>
      </c>
      <c r="H84" s="160">
        <f>SUM(H81:H83)</f>
      </c>
      <c r="I84" s="160">
        <f>SUM(I81:I83)</f>
      </c>
      <c r="J84" s="160">
        <f>SUM(J81:J83)</f>
      </c>
      <c r="K84" s="160">
        <f>SUM(K81:K83)</f>
      </c>
      <c r="L84" s="160">
        <f>SUM(L81:L83)</f>
      </c>
      <c r="M84" s="160">
        <f>SUM(M81:M83)</f>
      </c>
      <c r="N84" s="160">
        <f>SUM(N81:N83)</f>
      </c>
      <c r="O84" s="160">
        <f>SUM(O81:O83)</f>
      </c>
      <c r="P84" s="160">
        <f>SUM(P81:P83)</f>
      </c>
      <c r="Q84" s="159">
        <f t="shared" si="48"/>
      </c>
      <c r="R84" s="159">
        <f t="shared" si="41"/>
      </c>
      <c r="S84" s="159">
        <f t="shared" si="49"/>
      </c>
      <c r="T84" s="160"/>
      <c r="U84" s="160">
        <f>SUM(U81:U83)</f>
      </c>
      <c r="V84" s="160"/>
      <c r="W84" s="160">
        <f>SUM(W81:W83)</f>
      </c>
    </row>
    <row r="85">
      <c r="A85" s="138">
        <v>46250</v>
      </c>
      <c r="B85" s="141" t="s">
        <v>143</v>
      </c>
      <c r="C85" s="140" t="s">
        <v>181</v>
      </c>
      <c r="D85" s="141">
        <v>4</v>
      </c>
      <c r="E85" s="142">
        <v>15232.68</v>
      </c>
      <c r="F85" s="141">
        <v>22</v>
      </c>
      <c r="G85" s="143">
        <v>15</v>
      </c>
      <c r="H85" s="143">
        <v>22791.6</v>
      </c>
      <c r="I85" s="142">
        <v>2</v>
      </c>
      <c r="J85" s="142">
        <v>1056</v>
      </c>
      <c r="K85" s="144">
        <v>17</v>
      </c>
      <c r="L85" s="145">
        <v>9</v>
      </c>
      <c r="M85" s="146">
        <v>15</v>
      </c>
      <c r="N85" s="143">
        <v>3</v>
      </c>
      <c r="O85" s="143">
        <v>8</v>
      </c>
      <c r="P85" s="147">
        <f t="shared" ref="P85:P89" si="25">J85+H85</f>
      </c>
      <c r="Q85" s="148">
        <f t="shared" si="48"/>
      </c>
      <c r="R85" s="149">
        <f t="shared" si="41"/>
      </c>
      <c r="S85" s="148">
        <f t="shared" si="49"/>
      </c>
      <c r="T85" s="139" t="s">
        <v>168</v>
      </c>
      <c r="U85" s="139">
        <v>9</v>
      </c>
      <c r="V85" s="150" t="s">
        <v>140</v>
      </c>
      <c r="W85" s="139">
        <v>16</v>
      </c>
    </row>
    <row r="86">
      <c r="A86" s="138">
        <v>46250</v>
      </c>
      <c r="B86" s="141" t="s">
        <v>171</v>
      </c>
      <c r="C86" s="151" t="s">
        <v>157</v>
      </c>
      <c r="D86" s="141">
        <v>2</v>
      </c>
      <c r="E86" s="142">
        <v>7998.74</v>
      </c>
      <c r="F86" s="163">
        <v>5</v>
      </c>
      <c r="G86" s="143">
        <v>5</v>
      </c>
      <c r="H86" s="143">
        <v>6199.200000000001</v>
      </c>
      <c r="I86" s="142">
        <v>1</v>
      </c>
      <c r="J86" s="142">
        <v>1944</v>
      </c>
      <c r="K86" s="144">
        <v>6</v>
      </c>
      <c r="L86" s="145">
        <v>7</v>
      </c>
      <c r="M86" s="146">
        <v>6</v>
      </c>
      <c r="N86" s="143">
        <v>0</v>
      </c>
      <c r="O86" s="143">
        <v>3</v>
      </c>
      <c r="P86" s="147">
        <f t="shared" si="25"/>
      </c>
      <c r="Q86" s="148">
        <f t="shared" si="48"/>
      </c>
      <c r="R86" s="149">
        <f t="shared" si="41"/>
      </c>
      <c r="S86" s="148">
        <f t="shared" si="49"/>
      </c>
      <c r="T86" s="139" t="s">
        <v>182</v>
      </c>
      <c r="U86" s="139">
        <v>7</v>
      </c>
      <c r="V86" s="153"/>
      <c r="W86" s="153"/>
    </row>
    <row r="87">
      <c r="A87" s="138">
        <v>46250</v>
      </c>
      <c r="B87" s="141" t="s">
        <v>145</v>
      </c>
      <c r="C87" s="151" t="s">
        <v>183</v>
      </c>
      <c r="D87" s="141">
        <v>4</v>
      </c>
      <c r="E87" s="142">
        <v>7388.549999999999</v>
      </c>
      <c r="F87" s="152">
        <v>7</v>
      </c>
      <c r="G87" s="143">
        <v>3</v>
      </c>
      <c r="H87" s="143">
        <v>1916.3999999999999</v>
      </c>
      <c r="I87" s="142">
        <v>3</v>
      </c>
      <c r="J87" s="142">
        <v>1513</v>
      </c>
      <c r="K87" s="144">
        <v>6</v>
      </c>
      <c r="L87" s="145">
        <v>4</v>
      </c>
      <c r="M87" s="146">
        <v>5</v>
      </c>
      <c r="N87" s="143">
        <v>1</v>
      </c>
      <c r="O87" s="143">
        <v>0</v>
      </c>
      <c r="P87" s="147">
        <f t="shared" si="25"/>
      </c>
      <c r="Q87" s="148">
        <f t="shared" si="48"/>
      </c>
      <c r="R87" s="149">
        <f t="shared" si="41"/>
      </c>
      <c r="S87" s="148">
        <f t="shared" si="49"/>
      </c>
      <c r="T87" s="139"/>
      <c r="U87" s="139"/>
      <c r="V87" s="153"/>
      <c r="W87" s="153"/>
    </row>
    <row r="88">
      <c r="A88" s="138">
        <v>46250</v>
      </c>
      <c r="B88" s="141" t="s">
        <v>177</v>
      </c>
      <c r="C88" s="151" t="s">
        <v>152</v>
      </c>
      <c r="D88" s="141">
        <v>2</v>
      </c>
      <c r="E88" s="142">
        <v>3468.64</v>
      </c>
      <c r="F88" s="154">
        <v>5</v>
      </c>
      <c r="G88" s="143">
        <v>1</v>
      </c>
      <c r="H88" s="143">
        <v>1197</v>
      </c>
      <c r="I88" s="142">
        <v>1</v>
      </c>
      <c r="J88" s="142">
        <v>612</v>
      </c>
      <c r="K88" s="144">
        <v>2</v>
      </c>
      <c r="L88" s="145">
        <v>2</v>
      </c>
      <c r="M88" s="146">
        <v>4</v>
      </c>
      <c r="N88" s="143">
        <v>0</v>
      </c>
      <c r="O88" s="143">
        <v>0</v>
      </c>
      <c r="P88" s="147">
        <f t="shared" si="25"/>
      </c>
      <c r="Q88" s="148">
        <f t="shared" si="48"/>
      </c>
      <c r="R88" s="149">
        <f t="shared" si="41"/>
      </c>
      <c r="S88" s="148">
        <f t="shared" si="49"/>
      </c>
      <c r="T88" s="139"/>
      <c r="U88" s="139"/>
      <c r="V88" s="150"/>
      <c r="W88" s="150"/>
    </row>
    <row customHeight="true" ht="18.452380952380953" r="89">
      <c r="A89" s="138">
        <v>46250</v>
      </c>
      <c r="B89" s="141" t="s">
        <v>137</v>
      </c>
      <c r="C89" s="151" t="s">
        <v>153</v>
      </c>
      <c r="D89" s="141">
        <v>4</v>
      </c>
      <c r="E89" s="142">
        <v>8268.11</v>
      </c>
      <c r="F89" s="154">
        <v>15</v>
      </c>
      <c r="G89" s="143">
        <v>10</v>
      </c>
      <c r="H89" s="143">
        <v>11507.599999999999</v>
      </c>
      <c r="I89" s="142">
        <v>5</v>
      </c>
      <c r="J89" s="142">
        <v>2361.6000000000004</v>
      </c>
      <c r="K89" s="144">
        <f>G89+I89</f>
      </c>
      <c r="L89" s="145">
        <v>10</v>
      </c>
      <c r="M89" s="146">
        <v>10</v>
      </c>
      <c r="N89" s="165">
        <v>2</v>
      </c>
      <c r="O89" s="143">
        <v>2</v>
      </c>
      <c r="P89" s="147">
        <f t="shared" si="25"/>
      </c>
      <c r="Q89" s="148">
        <f t="shared" si="48"/>
      </c>
      <c r="R89" s="149">
        <f t="shared" si="41"/>
      </c>
      <c r="S89" s="148">
        <f t="shared" si="49"/>
      </c>
      <c r="T89" s="139"/>
      <c r="U89" s="139"/>
      <c r="V89" s="150"/>
      <c r="W89" s="150"/>
    </row>
    <row r="90">
      <c r="A90" s="155">
        <v>46250</v>
      </c>
      <c r="B90" s="156" t="s">
        <v>150</v>
      </c>
      <c r="C90" s="157"/>
      <c r="D90" s="160">
        <f>SUM(D85:D89)</f>
      </c>
      <c r="E90" s="160">
        <f>SUM(E85:E89)</f>
      </c>
      <c r="F90" s="160">
        <f>SUM(F85:F89)</f>
      </c>
      <c r="G90" s="160">
        <f>SUM(G85:G89)</f>
      </c>
      <c r="H90" s="160">
        <f>SUM(H85:H89)</f>
      </c>
      <c r="I90" s="160">
        <f>SUM(I85:I89)</f>
      </c>
      <c r="J90" s="160">
        <f>SUM(J85:J89)</f>
      </c>
      <c r="K90" s="160">
        <f>SUM(K85:K89)</f>
      </c>
      <c r="L90" s="160">
        <f>SUM(L85:L89)</f>
      </c>
      <c r="M90" s="160">
        <f>SUM(M85:M89)</f>
      </c>
      <c r="N90" s="160">
        <f>SUM(N85:N89)</f>
      </c>
      <c r="O90" s="160">
        <f>SUM(O85:O89)</f>
      </c>
      <c r="P90" s="160">
        <f>SUM(P85:P89)</f>
      </c>
      <c r="Q90" s="159">
        <f t="shared" si="48"/>
      </c>
      <c r="R90" s="159">
        <f t="shared" si="41"/>
      </c>
      <c r="S90" s="159">
        <f t="shared" si="49"/>
      </c>
      <c r="T90" s="160"/>
      <c r="U90" s="160">
        <f>SUM(U85:U89)</f>
      </c>
      <c r="V90" s="160"/>
      <c r="W90" s="160">
        <f>SUM(W85:W89)</f>
      </c>
    </row>
    <row r="91">
      <c r="A91" s="138">
        <v>46251</v>
      </c>
      <c r="B91" s="141" t="s">
        <v>145</v>
      </c>
      <c r="C91" s="140" t="s">
        <v>181</v>
      </c>
      <c r="D91" s="141">
        <v>4</v>
      </c>
      <c r="E91" s="142">
        <v>9309.71</v>
      </c>
      <c r="F91" s="141">
        <v>4</v>
      </c>
      <c r="G91" s="143">
        <v>3</v>
      </c>
      <c r="H91" s="143">
        <v>6086.4</v>
      </c>
      <c r="I91" s="142">
        <v>0</v>
      </c>
      <c r="J91" s="142">
        <v>0</v>
      </c>
      <c r="K91" s="144">
        <f t="shared" ref="K91:K95" si="1">I91+G91</f>
      </c>
      <c r="L91" s="145">
        <v>3</v>
      </c>
      <c r="M91" s="146">
        <v>3</v>
      </c>
      <c r="N91" s="143">
        <v>0</v>
      </c>
      <c r="O91" s="143">
        <v>2</v>
      </c>
      <c r="P91" s="147">
        <f t="shared" ref="P91:P95" si="26">J91+H91</f>
      </c>
      <c r="Q91" s="148">
        <f t="shared" si="48"/>
      </c>
      <c r="R91" s="149">
        <f t="shared" si="41"/>
      </c>
      <c r="S91" s="148">
        <f t="shared" si="49"/>
      </c>
      <c r="T91" s="139" t="s">
        <v>168</v>
      </c>
      <c r="U91" s="139">
        <v>9</v>
      </c>
      <c r="V91" s="150" t="s">
        <v>140</v>
      </c>
      <c r="W91" s="139">
        <v>16</v>
      </c>
    </row>
    <row r="92">
      <c r="A92" s="138">
        <v>46251</v>
      </c>
      <c r="B92" s="141" t="s">
        <v>177</v>
      </c>
      <c r="C92" s="151" t="s">
        <v>157</v>
      </c>
      <c r="D92" s="141">
        <v>2</v>
      </c>
      <c r="E92" s="142">
        <v>3069.7799999999997</v>
      </c>
      <c r="F92" s="163">
        <v>5</v>
      </c>
      <c r="G92" s="143">
        <v>3</v>
      </c>
      <c r="H92" s="143">
        <v>2484.1000000000004</v>
      </c>
      <c r="I92" s="142">
        <v>0</v>
      </c>
      <c r="J92" s="142">
        <v>0</v>
      </c>
      <c r="K92" s="144">
        <f t="shared" si="1"/>
      </c>
      <c r="L92" s="145">
        <v>2</v>
      </c>
      <c r="M92" s="146">
        <v>1</v>
      </c>
      <c r="N92" s="143">
        <v>1</v>
      </c>
      <c r="O92" s="143">
        <v>0</v>
      </c>
      <c r="P92" s="147">
        <f t="shared" si="26"/>
      </c>
      <c r="Q92" s="148">
        <f t="shared" si="48"/>
      </c>
      <c r="R92" s="149">
        <f t="shared" si="41"/>
      </c>
      <c r="S92" s="148">
        <f t="shared" si="49"/>
      </c>
      <c r="T92" s="139" t="s">
        <v>182</v>
      </c>
      <c r="U92" s="139">
        <v>7</v>
      </c>
      <c r="V92" s="153"/>
      <c r="W92" s="153"/>
    </row>
    <row r="93">
      <c r="A93" s="138">
        <v>46251</v>
      </c>
      <c r="B93" s="141" t="s">
        <v>137</v>
      </c>
      <c r="C93" s="151" t="s">
        <v>183</v>
      </c>
      <c r="D93" s="141">
        <v>4</v>
      </c>
      <c r="E93" s="142">
        <v>8377.11</v>
      </c>
      <c r="F93" s="152">
        <v>13</v>
      </c>
      <c r="G93" s="143">
        <v>9</v>
      </c>
      <c r="H93" s="143">
        <v>11242.8</v>
      </c>
      <c r="I93" s="142">
        <v>0</v>
      </c>
      <c r="J93" s="142">
        <v>0</v>
      </c>
      <c r="K93" s="144">
        <f t="shared" si="1"/>
      </c>
      <c r="L93" s="145">
        <v>6</v>
      </c>
      <c r="M93" s="146">
        <v>10</v>
      </c>
      <c r="N93" s="143">
        <v>1</v>
      </c>
      <c r="O93" s="143">
        <v>0</v>
      </c>
      <c r="P93" s="147">
        <f t="shared" si="26"/>
      </c>
      <c r="Q93" s="148">
        <f t="shared" si="48"/>
      </c>
      <c r="R93" s="149">
        <f t="shared" si="41"/>
      </c>
      <c r="S93" s="148">
        <f t="shared" si="49"/>
      </c>
      <c r="T93" s="139"/>
      <c r="U93" s="139"/>
      <c r="V93" s="153"/>
      <c r="W93" s="153"/>
    </row>
    <row r="94">
      <c r="A94" s="138">
        <v>46251</v>
      </c>
      <c r="B94" s="141" t="s">
        <v>171</v>
      </c>
      <c r="C94" s="151" t="s">
        <v>152</v>
      </c>
      <c r="D94" s="141">
        <v>2</v>
      </c>
      <c r="E94" s="142">
        <v>4757.25</v>
      </c>
      <c r="F94" s="154">
        <v>12</v>
      </c>
      <c r="G94" s="143">
        <v>5</v>
      </c>
      <c r="H94" s="143">
        <v>10113.600000000002</v>
      </c>
      <c r="I94" s="142">
        <v>1</v>
      </c>
      <c r="J94" s="142">
        <v>229.20000000000002</v>
      </c>
      <c r="K94" s="144">
        <f t="shared" si="1"/>
      </c>
      <c r="L94" s="145">
        <v>4</v>
      </c>
      <c r="M94" s="146">
        <v>8</v>
      </c>
      <c r="N94" s="143">
        <v>1</v>
      </c>
      <c r="O94" s="143">
        <v>1</v>
      </c>
      <c r="P94" s="147">
        <f t="shared" si="26"/>
      </c>
      <c r="Q94" s="148">
        <f t="shared" si="48"/>
      </c>
      <c r="R94" s="149">
        <f t="shared" si="41"/>
      </c>
      <c r="S94" s="148">
        <f t="shared" si="49"/>
      </c>
      <c r="T94" s="139"/>
      <c r="U94" s="139"/>
      <c r="V94" s="150"/>
      <c r="W94" s="150"/>
    </row>
    <row r="95">
      <c r="A95" s="138">
        <v>46251</v>
      </c>
      <c r="B95" s="141" t="s">
        <v>143</v>
      </c>
      <c r="C95" s="151" t="s">
        <v>153</v>
      </c>
      <c r="D95" s="141">
        <v>4</v>
      </c>
      <c r="E95" s="142">
        <v>15012.28</v>
      </c>
      <c r="F95" s="154">
        <v>18</v>
      </c>
      <c r="G95" s="143">
        <v>15</v>
      </c>
      <c r="H95" s="143">
        <v>21099</v>
      </c>
      <c r="I95" s="142">
        <v>1</v>
      </c>
      <c r="J95" s="142">
        <v>1380</v>
      </c>
      <c r="K95" s="144">
        <f t="shared" si="1"/>
      </c>
      <c r="L95" s="145">
        <v>13</v>
      </c>
      <c r="M95" s="146">
        <v>16</v>
      </c>
      <c r="N95" s="165">
        <v>1</v>
      </c>
      <c r="O95" s="143">
        <v>2</v>
      </c>
      <c r="P95" s="147">
        <f t="shared" si="26"/>
      </c>
      <c r="Q95" s="148">
        <f t="shared" si="48"/>
      </c>
      <c r="R95" s="149">
        <f t="shared" si="41"/>
      </c>
      <c r="S95" s="148">
        <f t="shared" si="49"/>
      </c>
      <c r="T95" s="139"/>
      <c r="U95" s="139"/>
      <c r="V95" s="150"/>
      <c r="W95" s="150"/>
    </row>
    <row r="96">
      <c r="A96" s="155">
        <v>46251</v>
      </c>
      <c r="B96" s="156" t="s">
        <v>150</v>
      </c>
      <c r="C96" s="157"/>
      <c r="D96" s="160">
        <f>SUM(D91:D95)</f>
      </c>
      <c r="E96" s="166">
        <f>SUM(E91:E95)</f>
      </c>
      <c r="F96" s="160">
        <f>SUM(F91:F95)</f>
      </c>
      <c r="G96" s="160">
        <f>SUM(G91:G95)</f>
      </c>
      <c r="H96" s="160">
        <f>SUM(H91:H95)</f>
      </c>
      <c r="I96" s="160">
        <f>SUM(I91:I95)</f>
      </c>
      <c r="J96" s="160">
        <f>SUM(J91:J95)</f>
      </c>
      <c r="K96" s="166">
        <f>SUM(K91:K95)</f>
      </c>
      <c r="L96" s="166">
        <f>SUM(L91:L95)</f>
      </c>
      <c r="M96" s="160">
        <f>SUM(M91:M95)</f>
      </c>
      <c r="N96" s="160">
        <f>SUM(N91:N95)</f>
      </c>
      <c r="O96" s="160">
        <f>SUM(O91:O95)</f>
      </c>
      <c r="P96" s="166">
        <f>SUM(P91:P95)</f>
      </c>
      <c r="Q96" s="159">
        <f t="shared" si="48"/>
      </c>
      <c r="R96" s="159">
        <f t="shared" si="41"/>
      </c>
      <c r="S96" s="159">
        <f t="shared" si="49"/>
      </c>
      <c r="T96" s="167"/>
      <c r="U96" s="167">
        <f>SUM(U91:U95)</f>
      </c>
      <c r="V96" s="160"/>
      <c r="W96" s="160">
        <f>SUM(W91:W95)</f>
      </c>
    </row>
    <row r="97">
      <c r="A97" s="138">
        <v>46252</v>
      </c>
      <c r="B97" s="141" t="s">
        <v>137</v>
      </c>
      <c r="C97" s="140" t="s">
        <v>184</v>
      </c>
      <c r="D97" s="141">
        <v>4.5</v>
      </c>
      <c r="E97" s="142">
        <v>11112.74</v>
      </c>
      <c r="F97" s="141">
        <v>14</v>
      </c>
      <c r="G97" s="143">
        <v>11</v>
      </c>
      <c r="H97" s="143">
        <v>12341.8</v>
      </c>
      <c r="I97" s="142">
        <v>1</v>
      </c>
      <c r="J97" s="142">
        <v>300</v>
      </c>
      <c r="K97" s="144">
        <f t="shared" ref="K97:K100" si="2">I97+G97</f>
      </c>
      <c r="L97" s="145">
        <v>10</v>
      </c>
      <c r="M97" s="146">
        <v>12</v>
      </c>
      <c r="N97" s="143">
        <v>1</v>
      </c>
      <c r="O97" s="143">
        <v>3</v>
      </c>
      <c r="P97" s="147">
        <f t="shared" ref="P97:P100" si="27">J97+H97</f>
      </c>
      <c r="Q97" s="148">
        <f t="shared" si="48"/>
      </c>
      <c r="R97" s="149">
        <f t="shared" si="41"/>
      </c>
      <c r="S97" s="149">
        <f t="shared" si="49"/>
      </c>
      <c r="T97" s="168" t="s">
        <v>168</v>
      </c>
      <c r="U97" s="168">
        <v>3.5</v>
      </c>
      <c r="V97" s="169" t="s">
        <v>140</v>
      </c>
      <c r="W97" s="139">
        <v>14.5</v>
      </c>
    </row>
    <row r="98">
      <c r="A98" s="138">
        <v>46252</v>
      </c>
      <c r="B98" s="141" t="s">
        <v>177</v>
      </c>
      <c r="C98" s="151" t="s">
        <v>179</v>
      </c>
      <c r="D98" s="141">
        <v>3</v>
      </c>
      <c r="E98" s="142">
        <v>14993.869999999999</v>
      </c>
      <c r="F98" s="163">
        <v>14</v>
      </c>
      <c r="G98" s="143">
        <v>11</v>
      </c>
      <c r="H98" s="143">
        <v>14358</v>
      </c>
      <c r="I98" s="142">
        <v>0</v>
      </c>
      <c r="J98" s="142">
        <v>0</v>
      </c>
      <c r="K98" s="144">
        <f t="shared" si="2"/>
      </c>
      <c r="L98" s="145">
        <v>8</v>
      </c>
      <c r="M98" s="146">
        <v>11</v>
      </c>
      <c r="N98" s="143">
        <v>1</v>
      </c>
      <c r="O98" s="143">
        <v>3</v>
      </c>
      <c r="P98" s="147">
        <f t="shared" si="27"/>
      </c>
      <c r="Q98" s="148">
        <f t="shared" si="48"/>
      </c>
      <c r="R98" s="149">
        <f t="shared" si="41"/>
      </c>
      <c r="S98" s="149">
        <f t="shared" si="49"/>
      </c>
      <c r="T98" s="170"/>
      <c r="U98" s="170"/>
      <c r="V98" s="171"/>
      <c r="W98" s="153"/>
    </row>
    <row r="99">
      <c r="A99" s="138">
        <v>46252</v>
      </c>
      <c r="B99" s="141" t="s">
        <v>143</v>
      </c>
      <c r="C99" s="151" t="s">
        <v>170</v>
      </c>
      <c r="D99" s="141">
        <v>4</v>
      </c>
      <c r="E99" s="142">
        <v>11437.79</v>
      </c>
      <c r="F99" s="152">
        <v>9</v>
      </c>
      <c r="G99" s="143">
        <v>5</v>
      </c>
      <c r="H99" s="143">
        <v>8624.2</v>
      </c>
      <c r="I99" s="142">
        <v>3</v>
      </c>
      <c r="J99" s="142">
        <v>1657.2000000000003</v>
      </c>
      <c r="K99" s="144">
        <f t="shared" si="2"/>
      </c>
      <c r="L99" s="145">
        <v>9</v>
      </c>
      <c r="M99" s="146">
        <v>11</v>
      </c>
      <c r="N99" s="143">
        <v>1</v>
      </c>
      <c r="O99" s="143">
        <v>1</v>
      </c>
      <c r="P99" s="147">
        <f t="shared" si="27"/>
      </c>
      <c r="Q99" s="148">
        <f t="shared" si="48"/>
      </c>
      <c r="R99" s="149">
        <f t="shared" si="41"/>
      </c>
      <c r="S99" s="149">
        <f t="shared" si="49"/>
      </c>
      <c r="T99" s="168" t="s">
        <v>185</v>
      </c>
      <c r="U99" s="168">
        <v>5</v>
      </c>
      <c r="V99" s="171"/>
      <c r="W99" s="153"/>
    </row>
    <row r="100">
      <c r="A100" s="138">
        <v>46252</v>
      </c>
      <c r="B100" s="141" t="s">
        <v>171</v>
      </c>
      <c r="C100" s="151" t="s">
        <v>186</v>
      </c>
      <c r="D100" s="141">
        <v>3</v>
      </c>
      <c r="E100" s="142">
        <v>7296.799999999999</v>
      </c>
      <c r="F100" s="154">
        <v>7</v>
      </c>
      <c r="G100" s="143">
        <v>3</v>
      </c>
      <c r="H100" s="143">
        <v>4506</v>
      </c>
      <c r="I100" s="142">
        <v>1</v>
      </c>
      <c r="J100" s="142">
        <v>156</v>
      </c>
      <c r="K100" s="144">
        <f t="shared" si="2"/>
      </c>
      <c r="L100" s="145">
        <v>3</v>
      </c>
      <c r="M100" s="146">
        <v>5</v>
      </c>
      <c r="N100" s="143">
        <v>0</v>
      </c>
      <c r="O100" s="143">
        <v>0</v>
      </c>
      <c r="P100" s="147">
        <f t="shared" si="27"/>
      </c>
      <c r="Q100" s="148">
        <f t="shared" si="48"/>
      </c>
      <c r="R100" s="149">
        <f t="shared" si="41"/>
      </c>
      <c r="S100" s="148">
        <f t="shared" si="49"/>
      </c>
      <c r="T100" s="165" t="s">
        <v>182</v>
      </c>
      <c r="U100" s="165">
        <v>6</v>
      </c>
      <c r="V100" s="150"/>
      <c r="W100" s="150"/>
    </row>
    <row r="101">
      <c r="A101" s="155">
        <v>46252</v>
      </c>
      <c r="B101" s="156" t="s">
        <v>150</v>
      </c>
      <c r="C101" s="157"/>
      <c r="D101" s="160">
        <f>SUM(D97:D100)</f>
      </c>
      <c r="E101" s="166">
        <f>SUM(E97:E100)</f>
      </c>
      <c r="F101" s="160">
        <f>SUM(F97:F100)</f>
      </c>
      <c r="G101" s="160">
        <f>SUM(G97:G100)</f>
      </c>
      <c r="H101" s="160">
        <f>SUM(H97:H100)</f>
      </c>
      <c r="I101" s="160">
        <f>SUM(I97:I100)</f>
      </c>
      <c r="J101" s="160">
        <f>SUM(J97:J100)</f>
      </c>
      <c r="K101" s="166">
        <f>SUM(K97:K100)</f>
      </c>
      <c r="L101" s="166">
        <f>SUM(L97:L100)</f>
      </c>
      <c r="M101" s="160">
        <f>SUM(M97:M100)</f>
      </c>
      <c r="N101" s="160">
        <f>SUM(N97:N100)</f>
      </c>
      <c r="O101" s="160">
        <f>SUM(O97:O100)</f>
      </c>
      <c r="P101" s="166">
        <f>SUM(P97:P100)</f>
      </c>
      <c r="Q101" s="159">
        <f t="shared" si="48"/>
      </c>
      <c r="R101" s="159">
        <f t="shared" si="41"/>
      </c>
      <c r="S101" s="159">
        <f t="shared" si="49"/>
      </c>
      <c r="T101" s="160"/>
      <c r="U101" s="160">
        <f>SUM(U97:U100)</f>
      </c>
      <c r="V101" s="160"/>
      <c r="W101" s="160">
        <f>SUM(W97:W100)</f>
      </c>
    </row>
    <row r="102">
      <c r="A102" s="138">
        <v>46253</v>
      </c>
      <c r="B102" s="141" t="s">
        <v>137</v>
      </c>
      <c r="C102" s="140" t="s">
        <v>187</v>
      </c>
      <c r="D102" s="141">
        <v>4</v>
      </c>
      <c r="E102" s="142">
        <v>8039.290000000001</v>
      </c>
      <c r="F102" s="141">
        <v>9</v>
      </c>
      <c r="G102" s="143">
        <v>5</v>
      </c>
      <c r="H102" s="143">
        <v>3947.2000000000003</v>
      </c>
      <c r="I102" s="142">
        <v>0</v>
      </c>
      <c r="J102" s="142">
        <v>0</v>
      </c>
      <c r="K102" s="144">
        <f t="shared" ref="K102:K105" si="3">I102+G102</f>
      </c>
      <c r="L102" s="145">
        <v>3</v>
      </c>
      <c r="M102" s="146">
        <v>7</v>
      </c>
      <c r="N102" s="143">
        <v>0</v>
      </c>
      <c r="O102" s="143">
        <v>1</v>
      </c>
      <c r="P102" s="147">
        <f t="shared" ref="P102:P105" si="28">J102+H102</f>
      </c>
      <c r="Q102" s="148">
        <f t="shared" si="48"/>
      </c>
      <c r="R102" s="149">
        <f t="shared" si="41"/>
      </c>
      <c r="S102" s="149">
        <f t="shared" si="49"/>
      </c>
      <c r="T102" s="168" t="s">
        <v>188</v>
      </c>
      <c r="U102" s="168">
        <v>9</v>
      </c>
      <c r="V102" s="169" t="s">
        <v>140</v>
      </c>
      <c r="W102" s="139">
        <v>16</v>
      </c>
    </row>
    <row r="103">
      <c r="A103" s="138">
        <v>46253</v>
      </c>
      <c r="B103" s="141" t="s">
        <v>143</v>
      </c>
      <c r="C103" s="151" t="s">
        <v>142</v>
      </c>
      <c r="D103" s="141">
        <v>4</v>
      </c>
      <c r="E103" s="142">
        <v>4972.07</v>
      </c>
      <c r="F103" s="163">
        <v>4</v>
      </c>
      <c r="G103" s="143">
        <v>4</v>
      </c>
      <c r="H103" s="143">
        <v>4207</v>
      </c>
      <c r="I103" s="142">
        <v>0</v>
      </c>
      <c r="J103" s="142">
        <v>0</v>
      </c>
      <c r="K103" s="144">
        <f t="shared" si="3"/>
      </c>
      <c r="L103" s="145">
        <v>2</v>
      </c>
      <c r="M103" s="146">
        <v>3</v>
      </c>
      <c r="N103" s="143">
        <v>0</v>
      </c>
      <c r="O103" s="143">
        <v>1</v>
      </c>
      <c r="P103" s="147">
        <f t="shared" si="28"/>
      </c>
      <c r="Q103" s="148">
        <f t="shared" si="48"/>
      </c>
      <c r="R103" s="149">
        <f t="shared" si="41"/>
      </c>
      <c r="S103" s="149">
        <f t="shared" si="49"/>
      </c>
      <c r="T103" s="170"/>
      <c r="U103" s="170"/>
      <c r="V103" s="171"/>
      <c r="W103" s="153"/>
    </row>
    <row r="104">
      <c r="A104" s="138">
        <v>46253</v>
      </c>
      <c r="B104" s="141" t="s">
        <v>171</v>
      </c>
      <c r="C104" s="151" t="s">
        <v>170</v>
      </c>
      <c r="D104" s="141">
        <v>4</v>
      </c>
      <c r="E104" s="142">
        <v>7019.540000000001</v>
      </c>
      <c r="F104" s="152">
        <v>9</v>
      </c>
      <c r="G104" s="143">
        <v>7</v>
      </c>
      <c r="H104" s="143">
        <v>6709.299999999999</v>
      </c>
      <c r="I104" s="142">
        <v>0</v>
      </c>
      <c r="J104" s="142">
        <v>0</v>
      </c>
      <c r="K104" s="144">
        <f t="shared" si="3"/>
      </c>
      <c r="L104" s="145">
        <v>6</v>
      </c>
      <c r="M104" s="146">
        <v>7</v>
      </c>
      <c r="N104" s="143">
        <v>1</v>
      </c>
      <c r="O104" s="143">
        <v>1</v>
      </c>
      <c r="P104" s="147">
        <f t="shared" si="28"/>
      </c>
      <c r="Q104" s="148">
        <f t="shared" si="48"/>
      </c>
      <c r="R104" s="149">
        <f t="shared" si="41"/>
      </c>
      <c r="S104" s="149">
        <f t="shared" si="49"/>
      </c>
      <c r="T104" s="168"/>
      <c r="U104" s="168"/>
      <c r="V104" s="171"/>
      <c r="W104" s="153"/>
    </row>
    <row r="105">
      <c r="A105" s="138">
        <v>46253</v>
      </c>
      <c r="B105" s="141" t="s">
        <v>145</v>
      </c>
      <c r="C105" s="151" t="s">
        <v>153</v>
      </c>
      <c r="D105" s="141">
        <v>4</v>
      </c>
      <c r="E105" s="142">
        <v>6135.140000000001</v>
      </c>
      <c r="F105" s="154">
        <v>9</v>
      </c>
      <c r="G105" s="143">
        <v>6</v>
      </c>
      <c r="H105" s="143">
        <v>15528.8</v>
      </c>
      <c r="I105" s="142">
        <v>1</v>
      </c>
      <c r="J105" s="142">
        <v>300</v>
      </c>
      <c r="K105" s="144">
        <f t="shared" si="3"/>
      </c>
      <c r="L105" s="145">
        <v>5</v>
      </c>
      <c r="M105" s="146">
        <v>7</v>
      </c>
      <c r="N105" s="143">
        <v>1</v>
      </c>
      <c r="O105" s="143">
        <v>3</v>
      </c>
      <c r="P105" s="147">
        <f t="shared" si="28"/>
      </c>
      <c r="Q105" s="148">
        <f t="shared" si="48"/>
      </c>
      <c r="R105" s="149">
        <f t="shared" si="41"/>
      </c>
      <c r="S105" s="148">
        <f t="shared" si="49"/>
      </c>
      <c r="T105" s="165" t="s">
        <v>182</v>
      </c>
      <c r="U105" s="165">
        <v>7</v>
      </c>
      <c r="V105" s="150"/>
      <c r="W105" s="150"/>
    </row>
    <row r="106">
      <c r="A106" s="155">
        <v>46253</v>
      </c>
      <c r="B106" s="156" t="s">
        <v>150</v>
      </c>
      <c r="C106" s="157"/>
      <c r="D106" s="160">
        <f>SUM(D102:D105)</f>
      </c>
      <c r="E106" s="166">
        <f>SUM(E102:E105)</f>
      </c>
      <c r="F106" s="160">
        <f>SUM(F102:F105)</f>
      </c>
      <c r="G106" s="160">
        <f>SUM(G102:G105)</f>
      </c>
      <c r="H106" s="160">
        <f>SUM(H102:H105)</f>
      </c>
      <c r="I106" s="160">
        <f>SUM(I102:I105)</f>
      </c>
      <c r="J106" s="160">
        <f>SUM(J102:J105)</f>
      </c>
      <c r="K106" s="166">
        <f>SUM(K102:K105)</f>
      </c>
      <c r="L106" s="166">
        <f>SUM(L102:L105)</f>
      </c>
      <c r="M106" s="160">
        <f>SUM(M102:M105)</f>
      </c>
      <c r="N106" s="160">
        <f>SUM(N102:N105)</f>
      </c>
      <c r="O106" s="160">
        <f>SUM(O102:O105)</f>
      </c>
      <c r="P106" s="166">
        <f>SUM(P102:P105)</f>
      </c>
      <c r="Q106" s="159">
        <f t="shared" si="48"/>
      </c>
      <c r="R106" s="159">
        <f t="shared" si="41"/>
      </c>
      <c r="S106" s="159">
        <f t="shared" si="49"/>
      </c>
      <c r="T106" s="160"/>
      <c r="U106" s="160">
        <f>SUM(U102:U105)</f>
      </c>
      <c r="V106" s="160"/>
      <c r="W106" s="160">
        <f>SUM(W102:W105)</f>
      </c>
    </row>
    <row r="107">
      <c r="A107" s="138">
        <v>46254</v>
      </c>
      <c r="B107" s="141" t="s">
        <v>137</v>
      </c>
      <c r="C107" s="140" t="s">
        <v>189</v>
      </c>
      <c r="D107" s="141">
        <v>4</v>
      </c>
      <c r="E107" s="142">
        <v>6392.070000000001</v>
      </c>
      <c r="F107" s="141">
        <v>8</v>
      </c>
      <c r="G107" s="143">
        <v>8</v>
      </c>
      <c r="H107" s="143">
        <v>16354.8</v>
      </c>
      <c r="I107" s="142">
        <v>0</v>
      </c>
      <c r="J107" s="142">
        <v>0</v>
      </c>
      <c r="K107" s="144">
        <f t="shared" ref="K107:K109" si="43">G107+I107</f>
      </c>
      <c r="L107" s="145">
        <v>6</v>
      </c>
      <c r="M107" s="146">
        <v>6</v>
      </c>
      <c r="N107" s="143">
        <v>1</v>
      </c>
      <c r="O107" s="143">
        <v>5</v>
      </c>
      <c r="P107" s="147">
        <f t="shared" ref="P107:P110" si="29">J107+H107</f>
      </c>
      <c r="Q107" s="148">
        <f t="shared" si="48"/>
      </c>
      <c r="R107" s="149">
        <f t="shared" si="41"/>
      </c>
      <c r="S107" s="149">
        <f t="shared" si="49"/>
      </c>
      <c r="T107" s="168" t="s">
        <v>168</v>
      </c>
      <c r="U107" s="168">
        <v>8</v>
      </c>
      <c r="V107" s="169" t="s">
        <v>140</v>
      </c>
      <c r="W107" s="139">
        <v>14</v>
      </c>
    </row>
    <row r="108">
      <c r="A108" s="138">
        <v>46254</v>
      </c>
      <c r="B108" s="141" t="s">
        <v>143</v>
      </c>
      <c r="C108" s="151" t="s">
        <v>159</v>
      </c>
      <c r="D108" s="141">
        <v>3</v>
      </c>
      <c r="E108" s="142">
        <v>3422.66</v>
      </c>
      <c r="F108" s="163">
        <v>9</v>
      </c>
      <c r="G108" s="143">
        <v>5</v>
      </c>
      <c r="H108" s="143">
        <v>8049</v>
      </c>
      <c r="I108" s="142">
        <v>0</v>
      </c>
      <c r="J108" s="142">
        <v>0</v>
      </c>
      <c r="K108" s="144">
        <f t="shared" si="43"/>
      </c>
      <c r="L108" s="145">
        <v>2</v>
      </c>
      <c r="M108" s="146">
        <v>4</v>
      </c>
      <c r="N108" s="143">
        <v>0</v>
      </c>
      <c r="O108" s="143">
        <v>3</v>
      </c>
      <c r="P108" s="147">
        <f t="shared" si="29"/>
      </c>
      <c r="Q108" s="148">
        <f t="shared" si="48"/>
      </c>
      <c r="R108" s="149">
        <f t="shared" si="41"/>
      </c>
      <c r="S108" s="149">
        <f t="shared" si="49"/>
      </c>
      <c r="T108" s="170"/>
      <c r="U108" s="170"/>
      <c r="V108" s="171"/>
      <c r="W108" s="153"/>
    </row>
    <row r="109">
      <c r="A109" s="138">
        <v>46254</v>
      </c>
      <c r="B109" s="141" t="s">
        <v>171</v>
      </c>
      <c r="C109" s="151" t="s">
        <v>186</v>
      </c>
      <c r="D109" s="141">
        <v>3</v>
      </c>
      <c r="E109" s="142">
        <v>4600.14</v>
      </c>
      <c r="F109" s="152">
        <v>8</v>
      </c>
      <c r="G109" s="143">
        <v>4</v>
      </c>
      <c r="H109" s="143">
        <v>5158.799999999999</v>
      </c>
      <c r="I109" s="142">
        <v>0</v>
      </c>
      <c r="J109" s="142">
        <v>0</v>
      </c>
      <c r="K109" s="144">
        <f t="shared" si="43"/>
      </c>
      <c r="L109" s="145">
        <v>3</v>
      </c>
      <c r="M109" s="146">
        <v>9</v>
      </c>
      <c r="N109" s="143">
        <v>1</v>
      </c>
      <c r="O109" s="143">
        <v>1</v>
      </c>
      <c r="P109" s="147">
        <f t="shared" si="29"/>
      </c>
      <c r="Q109" s="148">
        <f t="shared" si="48"/>
      </c>
      <c r="R109" s="149">
        <f t="shared" si="41"/>
      </c>
      <c r="S109" s="149">
        <f t="shared" si="49"/>
      </c>
      <c r="T109" s="168"/>
      <c r="U109" s="168"/>
      <c r="V109" s="171"/>
      <c r="W109" s="153"/>
    </row>
    <row r="110">
      <c r="A110" s="138">
        <v>46254</v>
      </c>
      <c r="B110" s="141" t="s">
        <v>145</v>
      </c>
      <c r="C110" s="151" t="s">
        <v>190</v>
      </c>
      <c r="D110" s="141">
        <v>4</v>
      </c>
      <c r="E110" s="142">
        <v>6815.580000000002</v>
      </c>
      <c r="F110" s="154">
        <v>14</v>
      </c>
      <c r="G110" s="143">
        <v>11</v>
      </c>
      <c r="H110" s="143">
        <v>17115.5</v>
      </c>
      <c r="I110" s="142">
        <v>0</v>
      </c>
      <c r="J110" s="142">
        <v>0</v>
      </c>
      <c r="K110" s="144">
        <v>11</v>
      </c>
      <c r="L110" s="145">
        <v>7</v>
      </c>
      <c r="M110" s="146">
        <v>11</v>
      </c>
      <c r="N110" s="143">
        <v>3</v>
      </c>
      <c r="O110" s="143">
        <v>4</v>
      </c>
      <c r="P110" s="147">
        <f t="shared" si="29"/>
      </c>
      <c r="Q110" s="148">
        <f t="shared" si="48"/>
      </c>
      <c r="R110" s="149">
        <f t="shared" si="41"/>
      </c>
      <c r="S110" s="148">
        <f t="shared" si="49"/>
      </c>
      <c r="T110" s="165" t="s">
        <v>182</v>
      </c>
      <c r="U110" s="165">
        <v>6</v>
      </c>
      <c r="V110" s="150"/>
      <c r="W110" s="150"/>
    </row>
    <row r="111">
      <c r="A111" s="155">
        <v>46254</v>
      </c>
      <c r="B111" s="156" t="s">
        <v>150</v>
      </c>
      <c r="C111" s="157"/>
      <c r="D111" s="160">
        <f>SUM(D107:D110)</f>
      </c>
      <c r="E111" s="166">
        <f>SUM(E107:E110)</f>
      </c>
      <c r="F111" s="160">
        <f>SUM(F107:F110)</f>
      </c>
      <c r="G111" s="160">
        <f>SUM(G107:G110)</f>
      </c>
      <c r="H111" s="160">
        <f>SUM(H107:H110)</f>
      </c>
      <c r="I111" s="160">
        <f>SUM(I107:I110)</f>
      </c>
      <c r="J111" s="160">
        <f>SUM(J107:J110)</f>
      </c>
      <c r="K111" s="166">
        <f>SUM(K107:K110)</f>
      </c>
      <c r="L111" s="166">
        <f>SUM(L107:L110)</f>
      </c>
      <c r="M111" s="160">
        <f>SUM(M107:M110)</f>
      </c>
      <c r="N111" s="160">
        <f>SUM(N107:N110)</f>
      </c>
      <c r="O111" s="160">
        <f>SUM(O107:O110)</f>
      </c>
      <c r="P111" s="166">
        <f>SUM(P107:P110)</f>
      </c>
      <c r="Q111" s="159">
        <f t="shared" si="48"/>
      </c>
      <c r="R111" s="159">
        <f t="shared" si="41"/>
      </c>
      <c r="S111" s="159">
        <f t="shared" si="49"/>
      </c>
      <c r="T111" s="160"/>
      <c r="U111" s="160">
        <f>SUM(U107:U110)</f>
      </c>
      <c r="V111" s="160"/>
      <c r="W111" s="160">
        <f>SUM(W107:W110)</f>
      </c>
    </row>
    <row r="112">
      <c r="A112" s="138">
        <v>46255</v>
      </c>
      <c r="B112" s="141" t="s">
        <v>137</v>
      </c>
      <c r="C112" s="140" t="s">
        <v>176</v>
      </c>
      <c r="D112" s="141">
        <v>5</v>
      </c>
      <c r="E112" s="142">
        <v>5310.52</v>
      </c>
      <c r="F112" s="141">
        <v>14</v>
      </c>
      <c r="G112" s="143">
        <v>14</v>
      </c>
      <c r="H112" s="143">
        <v>19060.5</v>
      </c>
      <c r="I112" s="142">
        <v>0</v>
      </c>
      <c r="J112" s="142">
        <v>0</v>
      </c>
      <c r="K112" s="144">
        <f t="shared" ref="K112:K113" si="44">G112+I112</f>
      </c>
      <c r="L112" s="145">
        <v>7</v>
      </c>
      <c r="M112" s="146">
        <v>7</v>
      </c>
      <c r="N112" s="143">
        <v>2</v>
      </c>
      <c r="O112" s="143">
        <v>9</v>
      </c>
      <c r="P112" s="147">
        <f t="shared" ref="P112:P114" si="30">J112+H112</f>
      </c>
      <c r="Q112" s="148">
        <f t="shared" si="48"/>
      </c>
      <c r="R112" s="149">
        <f t="shared" si="41"/>
      </c>
      <c r="S112" s="149">
        <f t="shared" si="49"/>
      </c>
      <c r="T112" s="168" t="s">
        <v>168</v>
      </c>
      <c r="U112" s="168">
        <v>8</v>
      </c>
      <c r="V112" s="169" t="s">
        <v>140</v>
      </c>
      <c r="W112" s="139">
        <v>14</v>
      </c>
    </row>
    <row r="113">
      <c r="A113" s="138">
        <v>46255</v>
      </c>
      <c r="B113" s="141" t="s">
        <v>145</v>
      </c>
      <c r="C113" s="151" t="s">
        <v>191</v>
      </c>
      <c r="D113" s="141">
        <v>5</v>
      </c>
      <c r="E113" s="142">
        <v>13172.52</v>
      </c>
      <c r="F113" s="163">
        <v>23</v>
      </c>
      <c r="G113" s="143">
        <v>15</v>
      </c>
      <c r="H113" s="143">
        <v>18911</v>
      </c>
      <c r="I113" s="142">
        <v>4</v>
      </c>
      <c r="J113" s="142">
        <v>1890</v>
      </c>
      <c r="K113" s="144">
        <f t="shared" si="44"/>
      </c>
      <c r="L113" s="145">
        <v>14</v>
      </c>
      <c r="M113" s="146">
        <v>17</v>
      </c>
      <c r="N113" s="143">
        <v>1</v>
      </c>
      <c r="O113" s="143">
        <v>5</v>
      </c>
      <c r="P113" s="147">
        <f t="shared" si="30"/>
      </c>
      <c r="Q113" s="148">
        <f t="shared" si="48"/>
      </c>
      <c r="R113" s="149">
        <f t="shared" si="41"/>
      </c>
      <c r="S113" s="149">
        <f t="shared" si="49"/>
      </c>
      <c r="T113" s="170"/>
      <c r="U113" s="170"/>
      <c r="V113" s="171"/>
      <c r="W113" s="153"/>
    </row>
    <row r="114">
      <c r="A114" s="138">
        <v>46255</v>
      </c>
      <c r="B114" s="141" t="s">
        <v>171</v>
      </c>
      <c r="C114" s="151" t="s">
        <v>190</v>
      </c>
      <c r="D114" s="141">
        <v>4</v>
      </c>
      <c r="E114" s="142">
        <v>13362.57</v>
      </c>
      <c r="F114" s="152">
        <v>20</v>
      </c>
      <c r="G114" s="143">
        <v>14</v>
      </c>
      <c r="H114" s="143">
        <v>21630.399999999994</v>
      </c>
      <c r="I114" s="142">
        <v>0</v>
      </c>
      <c r="J114" s="142">
        <v>0</v>
      </c>
      <c r="K114" s="144">
        <v>14</v>
      </c>
      <c r="L114" s="145">
        <v>13</v>
      </c>
      <c r="M114" s="146">
        <v>18</v>
      </c>
      <c r="N114" s="143">
        <v>1</v>
      </c>
      <c r="O114" s="143">
        <v>5</v>
      </c>
      <c r="P114" s="147">
        <f t="shared" si="30"/>
      </c>
      <c r="Q114" s="148">
        <f t="shared" si="48"/>
      </c>
      <c r="R114" s="149">
        <f t="shared" si="41"/>
      </c>
      <c r="S114" s="149">
        <f t="shared" si="49"/>
      </c>
      <c r="T114" s="165" t="s">
        <v>182</v>
      </c>
      <c r="U114" s="165">
        <v>6</v>
      </c>
      <c r="V114" s="171"/>
      <c r="W114" s="153"/>
    </row>
    <row r="115">
      <c r="A115" s="155">
        <v>46255</v>
      </c>
      <c r="B115" s="156" t="s">
        <v>150</v>
      </c>
      <c r="C115" s="157"/>
      <c r="D115" s="160">
        <f>SUM(D112:D114)</f>
      </c>
      <c r="E115" s="166">
        <f>SUM(E112:E114)</f>
      </c>
      <c r="F115" s="160">
        <f>SUM(F112:F114)</f>
      </c>
      <c r="G115" s="160">
        <f>SUM(G112:G114)</f>
      </c>
      <c r="H115" s="160">
        <f>SUM(H112:H114)</f>
      </c>
      <c r="I115" s="160">
        <f>SUM(I112:I114)</f>
      </c>
      <c r="J115" s="160">
        <f>SUM(J112:J114)</f>
      </c>
      <c r="K115" s="166">
        <f>SUM(K112:K114)</f>
      </c>
      <c r="L115" s="166">
        <f>SUM(L112:L114)</f>
      </c>
      <c r="M115" s="160">
        <f>SUM(M112:M114)</f>
      </c>
      <c r="N115" s="160">
        <f>SUM(N112:N114)</f>
      </c>
      <c r="O115" s="160">
        <f>SUM(O112:O114)</f>
      </c>
      <c r="P115" s="166">
        <f>SUM(P112:P114)</f>
      </c>
      <c r="Q115" s="159">
        <f t="shared" si="48"/>
      </c>
      <c r="R115" s="159">
        <f t="shared" si="41"/>
      </c>
      <c r="S115" s="159">
        <f t="shared" si="49"/>
      </c>
      <c r="T115" s="160"/>
      <c r="U115" s="160">
        <f>SUM(U112:U114)</f>
      </c>
      <c r="V115" s="160"/>
      <c r="W115" s="160">
        <f>SUM(W112:W114)</f>
      </c>
    </row>
    <row r="116">
      <c r="A116" s="138">
        <v>46256</v>
      </c>
      <c r="B116" s="141" t="s">
        <v>137</v>
      </c>
      <c r="C116" s="140" t="s">
        <v>189</v>
      </c>
      <c r="D116" s="141">
        <v>4</v>
      </c>
      <c r="E116" s="142">
        <v>7852.91</v>
      </c>
      <c r="F116" s="141">
        <v>17</v>
      </c>
      <c r="G116" s="143">
        <v>11</v>
      </c>
      <c r="H116" s="143">
        <v>13997.599999999999</v>
      </c>
      <c r="I116" s="142">
        <v>5</v>
      </c>
      <c r="J116" s="142">
        <v>4186.4</v>
      </c>
      <c r="K116" s="144">
        <f t="shared" ref="K116:K118" si="4">I116+G116</f>
      </c>
      <c r="L116" s="145">
        <v>7</v>
      </c>
      <c r="M116" s="146">
        <v>8</v>
      </c>
      <c r="N116" s="143">
        <v>3</v>
      </c>
      <c r="O116" s="143">
        <v>7</v>
      </c>
      <c r="P116" s="147">
        <f t="shared" ref="P116:P119" si="31">J116+H116</f>
      </c>
      <c r="Q116" s="148">
        <f t="shared" si="48"/>
      </c>
      <c r="R116" s="149">
        <f t="shared" si="41"/>
      </c>
      <c r="S116" s="149">
        <f t="shared" si="49"/>
      </c>
      <c r="T116" s="168" t="s">
        <v>168</v>
      </c>
      <c r="U116" s="168">
        <v>8</v>
      </c>
      <c r="V116" s="169" t="s">
        <v>140</v>
      </c>
      <c r="W116" s="139">
        <v>14</v>
      </c>
    </row>
    <row r="117">
      <c r="A117" s="138">
        <v>46256</v>
      </c>
      <c r="B117" s="141" t="s">
        <v>177</v>
      </c>
      <c r="C117" s="151" t="s">
        <v>192</v>
      </c>
      <c r="D117" s="141">
        <v>2</v>
      </c>
      <c r="E117" s="142">
        <v>5599.18</v>
      </c>
      <c r="F117" s="163">
        <v>9</v>
      </c>
      <c r="G117" s="143">
        <v>4</v>
      </c>
      <c r="H117" s="143">
        <v>8965.800000000003</v>
      </c>
      <c r="I117" s="142">
        <v>1</v>
      </c>
      <c r="J117" s="142">
        <v>517</v>
      </c>
      <c r="K117" s="144">
        <f t="shared" si="4"/>
      </c>
      <c r="L117" s="145">
        <v>5</v>
      </c>
      <c r="M117" s="146">
        <v>5</v>
      </c>
      <c r="N117" s="143">
        <v>0</v>
      </c>
      <c r="O117" s="143">
        <v>4</v>
      </c>
      <c r="P117" s="147">
        <f t="shared" si="31"/>
      </c>
      <c r="Q117" s="148">
        <f t="shared" si="48"/>
      </c>
      <c r="R117" s="149">
        <f t="shared" si="41"/>
      </c>
      <c r="S117" s="149">
        <f t="shared" si="49"/>
      </c>
      <c r="T117" s="170"/>
      <c r="U117" s="170"/>
      <c r="V117" s="171"/>
      <c r="W117" s="153"/>
    </row>
    <row r="118">
      <c r="A118" s="138">
        <v>46256</v>
      </c>
      <c r="B118" s="141" t="s">
        <v>145</v>
      </c>
      <c r="C118" s="151" t="s">
        <v>193</v>
      </c>
      <c r="D118" s="141">
        <v>4</v>
      </c>
      <c r="E118" s="142">
        <v>8205.449999999999</v>
      </c>
      <c r="F118" s="152">
        <v>12</v>
      </c>
      <c r="G118" s="143">
        <v>11</v>
      </c>
      <c r="H118" s="143">
        <v>18477.700000000004</v>
      </c>
      <c r="I118" s="142">
        <v>0</v>
      </c>
      <c r="J118" s="142">
        <v>0</v>
      </c>
      <c r="K118" s="144">
        <f t="shared" si="4"/>
      </c>
      <c r="L118" s="145">
        <v>3</v>
      </c>
      <c r="M118" s="146">
        <v>5</v>
      </c>
      <c r="N118" s="143">
        <v>2</v>
      </c>
      <c r="O118" s="143">
        <v>6</v>
      </c>
      <c r="P118" s="147">
        <f t="shared" si="31"/>
      </c>
      <c r="Q118" s="148">
        <f t="shared" si="48"/>
      </c>
      <c r="R118" s="149">
        <f t="shared" si="41"/>
      </c>
      <c r="S118" s="149">
        <f t="shared" si="49"/>
      </c>
      <c r="T118" s="168"/>
      <c r="U118" s="168"/>
      <c r="V118" s="171"/>
      <c r="W118" s="153"/>
    </row>
    <row r="119">
      <c r="A119" s="138">
        <v>46256</v>
      </c>
      <c r="B119" s="141" t="s">
        <v>143</v>
      </c>
      <c r="C119" s="151" t="s">
        <v>190</v>
      </c>
      <c r="D119" s="141">
        <v>4</v>
      </c>
      <c r="E119" s="142">
        <v>9196.57</v>
      </c>
      <c r="F119" s="154">
        <v>12</v>
      </c>
      <c r="G119" s="143">
        <v>6</v>
      </c>
      <c r="H119" s="143">
        <v>8901.599999999991</v>
      </c>
      <c r="I119" s="142">
        <v>1</v>
      </c>
      <c r="J119" s="142">
        <v>480</v>
      </c>
      <c r="K119" s="144">
        <v>7</v>
      </c>
      <c r="L119" s="145">
        <v>6</v>
      </c>
      <c r="M119" s="146">
        <v>8</v>
      </c>
      <c r="N119" s="143">
        <v>1</v>
      </c>
      <c r="O119" s="143">
        <v>3</v>
      </c>
      <c r="P119" s="147">
        <f t="shared" si="31"/>
      </c>
      <c r="Q119" s="148">
        <f t="shared" si="48"/>
      </c>
      <c r="R119" s="149">
        <f t="shared" si="41"/>
      </c>
      <c r="S119" s="148">
        <f t="shared" si="49"/>
      </c>
      <c r="T119" s="165" t="s">
        <v>182</v>
      </c>
      <c r="U119" s="165">
        <v>6</v>
      </c>
      <c r="V119" s="150"/>
      <c r="W119" s="150"/>
    </row>
    <row r="120">
      <c r="A120" s="155">
        <v>46256</v>
      </c>
      <c r="B120" s="156" t="s">
        <v>150</v>
      </c>
      <c r="C120" s="157"/>
      <c r="D120" s="160">
        <f>SUM(D116:D119)</f>
      </c>
      <c r="E120" s="166">
        <f>SUM(E116:E119)</f>
      </c>
      <c r="F120" s="160">
        <f>SUM(F116:F119)</f>
      </c>
      <c r="G120" s="160">
        <f>SUM(G116:G119)</f>
      </c>
      <c r="H120" s="160">
        <f>SUM(H116:H119)</f>
      </c>
      <c r="I120" s="160">
        <f>SUM(I116:I119)</f>
      </c>
      <c r="J120" s="160">
        <f>SUM(J116:J119)</f>
      </c>
      <c r="K120" s="166">
        <f>SUM(K116:K119)</f>
      </c>
      <c r="L120" s="166">
        <f>SUM(L116:L119)</f>
      </c>
      <c r="M120" s="160">
        <f>SUM(M116:M119)</f>
      </c>
      <c r="N120" s="160">
        <f>SUM(N116:N119)</f>
      </c>
      <c r="O120" s="160">
        <f>SUM(O116:O119)</f>
      </c>
      <c r="P120" s="166">
        <f>SUM(P116:P119)</f>
      </c>
      <c r="Q120" s="159">
        <f t="shared" si="48"/>
      </c>
      <c r="R120" s="159">
        <f t="shared" si="41"/>
      </c>
      <c r="S120" s="159">
        <f t="shared" si="49"/>
      </c>
      <c r="T120" s="160"/>
      <c r="U120" s="160">
        <f>SUM(U116:U119)</f>
      </c>
      <c r="V120" s="160"/>
      <c r="W120" s="160">
        <f>SUM(W116:W119)</f>
      </c>
    </row>
    <row r="121">
      <c r="A121" s="138">
        <v>46257</v>
      </c>
      <c r="B121" s="141" t="s">
        <v>145</v>
      </c>
      <c r="C121" s="140" t="s">
        <v>189</v>
      </c>
      <c r="D121" s="141">
        <v>4</v>
      </c>
      <c r="E121" s="142">
        <v>7554.63</v>
      </c>
      <c r="F121" s="141">
        <v>12</v>
      </c>
      <c r="G121" s="143">
        <v>8</v>
      </c>
      <c r="H121" s="143">
        <v>20505.6</v>
      </c>
      <c r="I121" s="142">
        <v>0</v>
      </c>
      <c r="J121" s="142">
        <v>0</v>
      </c>
      <c r="K121" s="144">
        <f t="shared" ref="K121:K124" si="5">I121+G121</f>
      </c>
      <c r="L121" s="145">
        <v>4</v>
      </c>
      <c r="M121" s="146">
        <v>7</v>
      </c>
      <c r="N121" s="143">
        <v>0</v>
      </c>
      <c r="O121" s="143">
        <v>7</v>
      </c>
      <c r="P121" s="147">
        <f t="shared" ref="P121:P124" si="32">J121+H121</f>
      </c>
      <c r="Q121" s="148">
        <f t="shared" si="48"/>
      </c>
      <c r="R121" s="149">
        <f t="shared" si="41"/>
      </c>
      <c r="S121" s="149">
        <f t="shared" si="49"/>
      </c>
      <c r="T121" s="168" t="s">
        <v>161</v>
      </c>
      <c r="U121" s="168">
        <v>4</v>
      </c>
      <c r="V121" s="169" t="s">
        <v>140</v>
      </c>
      <c r="W121" s="139">
        <v>14</v>
      </c>
    </row>
    <row r="122">
      <c r="A122" s="138">
        <v>46257</v>
      </c>
      <c r="B122" s="141" t="s">
        <v>177</v>
      </c>
      <c r="C122" s="151" t="s">
        <v>192</v>
      </c>
      <c r="D122" s="141">
        <v>2</v>
      </c>
      <c r="E122" s="142">
        <v>3099.7</v>
      </c>
      <c r="F122" s="163">
        <v>8</v>
      </c>
      <c r="G122" s="143">
        <v>5</v>
      </c>
      <c r="H122" s="143">
        <v>8903.599999999999</v>
      </c>
      <c r="I122" s="142">
        <v>1</v>
      </c>
      <c r="J122" s="142">
        <v>504</v>
      </c>
      <c r="K122" s="144">
        <f t="shared" si="5"/>
      </c>
      <c r="L122" s="145">
        <v>5</v>
      </c>
      <c r="M122" s="146">
        <v>6</v>
      </c>
      <c r="N122" s="143">
        <v>0</v>
      </c>
      <c r="O122" s="143">
        <v>2</v>
      </c>
      <c r="P122" s="147">
        <f t="shared" si="32"/>
      </c>
      <c r="Q122" s="148">
        <f t="shared" si="48"/>
      </c>
      <c r="R122" s="149">
        <f t="shared" si="41"/>
      </c>
      <c r="S122" s="149">
        <f t="shared" si="49"/>
      </c>
      <c r="T122" s="170"/>
      <c r="U122" s="170"/>
      <c r="V122" s="171"/>
      <c r="W122" s="153"/>
    </row>
    <row r="123">
      <c r="A123" s="138">
        <v>46257</v>
      </c>
      <c r="B123" s="141" t="s">
        <v>143</v>
      </c>
      <c r="C123" s="151" t="s">
        <v>193</v>
      </c>
      <c r="D123" s="141">
        <v>4</v>
      </c>
      <c r="E123" s="142">
        <v>5708.42</v>
      </c>
      <c r="F123" s="152">
        <v>7</v>
      </c>
      <c r="G123" s="143">
        <v>5</v>
      </c>
      <c r="H123" s="143">
        <v>9017.599999999999</v>
      </c>
      <c r="I123" s="142">
        <v>0</v>
      </c>
      <c r="J123" s="142">
        <v>0</v>
      </c>
      <c r="K123" s="144">
        <f t="shared" si="5"/>
      </c>
      <c r="L123" s="145">
        <v>4</v>
      </c>
      <c r="M123" s="146">
        <v>5</v>
      </c>
      <c r="N123" s="143">
        <v>0</v>
      </c>
      <c r="O123" s="143">
        <v>4</v>
      </c>
      <c r="P123" s="147">
        <f t="shared" si="32"/>
      </c>
      <c r="Q123" s="148">
        <f t="shared" si="48"/>
      </c>
      <c r="R123" s="149">
        <f t="shared" si="41"/>
      </c>
      <c r="S123" s="149">
        <f t="shared" si="49"/>
      </c>
      <c r="T123" s="168"/>
      <c r="U123" s="168"/>
      <c r="V123" s="171"/>
      <c r="W123" s="153"/>
    </row>
    <row r="124">
      <c r="A124" s="138">
        <v>46257</v>
      </c>
      <c r="B124" s="141" t="s">
        <v>171</v>
      </c>
      <c r="C124" s="151" t="s">
        <v>190</v>
      </c>
      <c r="D124" s="141">
        <v>4</v>
      </c>
      <c r="E124" s="142">
        <v>7585.1900000000005</v>
      </c>
      <c r="F124" s="154">
        <v>11</v>
      </c>
      <c r="G124" s="143">
        <v>9</v>
      </c>
      <c r="H124" s="143">
        <v>12665.2</v>
      </c>
      <c r="I124" s="142">
        <v>1</v>
      </c>
      <c r="J124" s="142">
        <v>318</v>
      </c>
      <c r="K124" s="144">
        <f t="shared" si="5"/>
      </c>
      <c r="L124" s="145">
        <v>8</v>
      </c>
      <c r="M124" s="146">
        <v>9</v>
      </c>
      <c r="N124" s="143">
        <v>0</v>
      </c>
      <c r="O124" s="143">
        <v>4</v>
      </c>
      <c r="P124" s="147">
        <f t="shared" si="32"/>
      </c>
      <c r="Q124" s="148">
        <f t="shared" si="48"/>
      </c>
      <c r="R124" s="149">
        <f t="shared" si="41"/>
      </c>
      <c r="S124" s="148">
        <f t="shared" si="49"/>
      </c>
      <c r="T124" s="165" t="s">
        <v>194</v>
      </c>
      <c r="U124" s="168">
        <v>10</v>
      </c>
      <c r="V124" s="150"/>
      <c r="W124" s="150"/>
    </row>
    <row r="125">
      <c r="A125" s="155">
        <v>46257</v>
      </c>
      <c r="B125" s="156" t="s">
        <v>150</v>
      </c>
      <c r="C125" s="157"/>
      <c r="D125" s="160">
        <f>SUM(D121:D124)</f>
      </c>
      <c r="E125" s="166">
        <f>SUM(E121:E124)</f>
      </c>
      <c r="F125" s="160">
        <f>SUM(F121:F124)</f>
      </c>
      <c r="G125" s="160">
        <f>SUM(G121:G124)</f>
      </c>
      <c r="H125" s="160">
        <f>SUM(H121:H124)</f>
      </c>
      <c r="I125" s="160">
        <f>SUM(I121:I124)</f>
      </c>
      <c r="J125" s="160">
        <f>SUM(J121:J124)</f>
      </c>
      <c r="K125" s="166">
        <f>SUM(K121:K124)</f>
      </c>
      <c r="L125" s="166">
        <f>SUM(L121:L124)</f>
      </c>
      <c r="M125" s="160">
        <f>SUM(M121:M124)</f>
      </c>
      <c r="N125" s="160">
        <f>SUM(N121:N124)</f>
      </c>
      <c r="O125" s="160">
        <f>SUM(O121:O124)</f>
      </c>
      <c r="P125" s="166">
        <f>SUM(P121:P124)</f>
      </c>
      <c r="Q125" s="159">
        <f t="shared" si="48"/>
      </c>
      <c r="R125" s="159">
        <f t="shared" si="41"/>
      </c>
      <c r="S125" s="159">
        <f t="shared" si="49"/>
      </c>
      <c r="T125" s="160"/>
      <c r="U125" s="160">
        <f>SUM(U121:U124)</f>
      </c>
      <c r="V125" s="160"/>
      <c r="W125" s="160">
        <f>SUM(W121:W124)</f>
      </c>
    </row>
    <row r="126">
      <c r="A126" s="138">
        <v>46258</v>
      </c>
      <c r="B126" s="141" t="s">
        <v>143</v>
      </c>
      <c r="C126" s="140" t="s">
        <v>176</v>
      </c>
      <c r="D126" s="141">
        <v>5</v>
      </c>
      <c r="E126" s="142">
        <v>7479.84</v>
      </c>
      <c r="F126" s="141">
        <v>14</v>
      </c>
      <c r="G126" s="143">
        <v>7</v>
      </c>
      <c r="H126" s="143">
        <v>12233.099999999999</v>
      </c>
      <c r="I126" s="142">
        <v>2</v>
      </c>
      <c r="J126" s="142">
        <v>744</v>
      </c>
      <c r="K126" s="144">
        <f t="shared" ref="K126:K128" si="6">I126+G126</f>
      </c>
      <c r="L126" s="145">
        <v>7</v>
      </c>
      <c r="M126" s="146">
        <v>8</v>
      </c>
      <c r="N126" s="143">
        <v>1</v>
      </c>
      <c r="O126" s="143">
        <v>5</v>
      </c>
      <c r="P126" s="147">
        <f t="shared" ref="P126:P128" si="33">J126+H126</f>
      </c>
      <c r="Q126" s="148">
        <f t="shared" si="48"/>
      </c>
      <c r="R126" s="149">
        <f t="shared" si="41"/>
      </c>
      <c r="S126" s="149">
        <f t="shared" si="49"/>
      </c>
      <c r="T126" s="168" t="s">
        <v>161</v>
      </c>
      <c r="U126" s="168">
        <v>4</v>
      </c>
      <c r="V126" s="169" t="s">
        <v>140</v>
      </c>
      <c r="W126" s="139">
        <v>14</v>
      </c>
    </row>
    <row r="127">
      <c r="A127" s="138">
        <v>46258</v>
      </c>
      <c r="B127" s="141" t="s">
        <v>171</v>
      </c>
      <c r="C127" s="151" t="s">
        <v>191</v>
      </c>
      <c r="D127" s="141">
        <v>5</v>
      </c>
      <c r="E127" s="142">
        <v>8354.49</v>
      </c>
      <c r="F127" s="163">
        <v>16</v>
      </c>
      <c r="G127" s="143">
        <v>14</v>
      </c>
      <c r="H127" s="143">
        <v>20196.1</v>
      </c>
      <c r="I127" s="142">
        <v>1</v>
      </c>
      <c r="J127" s="142">
        <v>960</v>
      </c>
      <c r="K127" s="144">
        <f t="shared" si="6"/>
      </c>
      <c r="L127" s="145">
        <v>8</v>
      </c>
      <c r="M127" s="146">
        <v>8</v>
      </c>
      <c r="N127" s="143">
        <v>2</v>
      </c>
      <c r="O127" s="143">
        <v>7</v>
      </c>
      <c r="P127" s="147">
        <f t="shared" si="33"/>
      </c>
      <c r="Q127" s="148">
        <f t="shared" si="48"/>
      </c>
      <c r="R127" s="149">
        <f t="shared" si="41"/>
      </c>
      <c r="S127" s="149">
        <f t="shared" si="49"/>
      </c>
      <c r="T127" s="170"/>
      <c r="U127" s="170"/>
      <c r="V127" s="171"/>
      <c r="W127" s="153"/>
    </row>
    <row r="128">
      <c r="A128" s="138">
        <v>46258</v>
      </c>
      <c r="B128" s="141" t="s">
        <v>145</v>
      </c>
      <c r="C128" s="151" t="s">
        <v>190</v>
      </c>
      <c r="D128" s="141">
        <v>4</v>
      </c>
      <c r="E128" s="142">
        <v>10287.660000000002</v>
      </c>
      <c r="F128" s="152">
        <v>12</v>
      </c>
      <c r="G128" s="143">
        <v>7</v>
      </c>
      <c r="H128" s="143">
        <v>5131.5999999999985</v>
      </c>
      <c r="I128" s="142">
        <v>2</v>
      </c>
      <c r="J128" s="142">
        <v>1224</v>
      </c>
      <c r="K128" s="144">
        <f t="shared" si="6"/>
      </c>
      <c r="L128" s="145">
        <v>6</v>
      </c>
      <c r="M128" s="146">
        <v>9</v>
      </c>
      <c r="N128" s="143">
        <v>1</v>
      </c>
      <c r="O128" s="143">
        <v>0</v>
      </c>
      <c r="P128" s="147">
        <f t="shared" si="33"/>
      </c>
      <c r="Q128" s="148">
        <f t="shared" si="48"/>
      </c>
      <c r="R128" s="149">
        <f t="shared" si="41"/>
      </c>
      <c r="S128" s="149">
        <f t="shared" si="49"/>
      </c>
      <c r="T128" s="168" t="s">
        <v>194</v>
      </c>
      <c r="U128" s="168">
        <v>10</v>
      </c>
      <c r="V128" s="171"/>
      <c r="W128" s="153"/>
    </row>
    <row r="129">
      <c r="A129" s="155">
        <v>46258</v>
      </c>
      <c r="B129" s="156" t="s">
        <v>150</v>
      </c>
      <c r="C129" s="157"/>
      <c r="D129" s="160">
        <f>SUM(D126:D128)</f>
      </c>
      <c r="E129" s="166">
        <f>SUM(E126:E128)</f>
      </c>
      <c r="F129" s="160">
        <f>SUM(F126:F128)</f>
      </c>
      <c r="G129" s="160">
        <f>SUM(G126:G128)</f>
      </c>
      <c r="H129" s="160">
        <f>SUM(H126:H128)</f>
      </c>
      <c r="I129" s="160">
        <f>SUM(I126:I128)</f>
      </c>
      <c r="J129" s="160">
        <f>SUM(J126:J128)</f>
      </c>
      <c r="K129" s="166">
        <f>SUM(K126:K128)</f>
      </c>
      <c r="L129" s="166">
        <f>SUM(L126:L128)</f>
      </c>
      <c r="M129" s="160">
        <f>SUM(M126:M128)</f>
      </c>
      <c r="N129" s="160">
        <f>SUM(N126:N128)</f>
      </c>
      <c r="O129" s="160">
        <f>SUM(O126:O128)</f>
      </c>
      <c r="P129" s="166">
        <f>SUM(P126:P128)</f>
      </c>
      <c r="Q129" s="159">
        <f t="shared" si="48"/>
      </c>
      <c r="R129" s="159">
        <f t="shared" si="41"/>
      </c>
      <c r="S129" s="159">
        <f t="shared" si="49"/>
      </c>
      <c r="T129" s="160"/>
      <c r="U129" s="160">
        <f>SUM(U126:U128)</f>
      </c>
      <c r="V129" s="160"/>
      <c r="W129" s="160">
        <f>SUM(W126:W128)</f>
      </c>
    </row>
    <row r="130">
      <c r="A130" s="138">
        <v>46259</v>
      </c>
      <c r="B130" s="141" t="s">
        <v>171</v>
      </c>
      <c r="C130" s="140" t="s">
        <v>176</v>
      </c>
      <c r="D130" s="141">
        <v>5</v>
      </c>
      <c r="E130" s="142">
        <v>6784.17</v>
      </c>
      <c r="F130" s="141">
        <v>4</v>
      </c>
      <c r="G130" s="143">
        <v>4</v>
      </c>
      <c r="H130" s="143">
        <v>7686</v>
      </c>
      <c r="I130" s="142">
        <v>0</v>
      </c>
      <c r="J130" s="142">
        <v>0</v>
      </c>
      <c r="K130" s="144">
        <f t="shared" ref="K130:K132" si="7">I130+G130</f>
      </c>
      <c r="L130" s="145">
        <v>2</v>
      </c>
      <c r="M130" s="146">
        <v>2</v>
      </c>
      <c r="N130" s="143">
        <v>0</v>
      </c>
      <c r="O130" s="143">
        <v>3</v>
      </c>
      <c r="P130" s="147">
        <f t="shared" ref="P130:P132" si="34">J130+H130</f>
      </c>
      <c r="Q130" s="148">
        <f t="shared" si="48"/>
      </c>
      <c r="R130" s="149">
        <f t="shared" si="41"/>
      </c>
      <c r="S130" s="149">
        <f t="shared" si="49"/>
      </c>
      <c r="T130" s="168" t="s">
        <v>160</v>
      </c>
      <c r="U130" s="168">
        <v>4</v>
      </c>
      <c r="V130" s="169" t="s">
        <v>140</v>
      </c>
      <c r="W130" s="139">
        <v>14</v>
      </c>
    </row>
    <row r="131">
      <c r="A131" s="138">
        <v>46259</v>
      </c>
      <c r="B131" s="141" t="s">
        <v>145</v>
      </c>
      <c r="C131" s="151" t="s">
        <v>191</v>
      </c>
      <c r="D131" s="141">
        <v>5</v>
      </c>
      <c r="E131" s="142">
        <v>6934.339999999999</v>
      </c>
      <c r="F131" s="163">
        <v>10</v>
      </c>
      <c r="G131" s="143">
        <v>7</v>
      </c>
      <c r="H131" s="143">
        <v>6665</v>
      </c>
      <c r="I131" s="142">
        <v>1</v>
      </c>
      <c r="J131" s="142">
        <v>279</v>
      </c>
      <c r="K131" s="144">
        <f t="shared" si="7"/>
      </c>
      <c r="L131" s="145">
        <v>4</v>
      </c>
      <c r="M131" s="146">
        <v>6</v>
      </c>
      <c r="N131" s="143">
        <v>1</v>
      </c>
      <c r="O131" s="143">
        <v>1</v>
      </c>
      <c r="P131" s="147">
        <f t="shared" si="34"/>
      </c>
      <c r="Q131" s="148">
        <f t="shared" si="48"/>
      </c>
      <c r="R131" s="149">
        <f t="shared" si="41"/>
      </c>
      <c r="S131" s="149">
        <f t="shared" si="49"/>
      </c>
      <c r="T131" s="170"/>
      <c r="U131" s="170"/>
      <c r="V131" s="171"/>
      <c r="W131" s="153"/>
    </row>
    <row r="132">
      <c r="A132" s="138">
        <v>46259</v>
      </c>
      <c r="B132" s="141" t="s">
        <v>137</v>
      </c>
      <c r="C132" s="151" t="s">
        <v>190</v>
      </c>
      <c r="D132" s="141">
        <v>4</v>
      </c>
      <c r="E132" s="142">
        <v>7916.51</v>
      </c>
      <c r="F132" s="152">
        <v>11</v>
      </c>
      <c r="G132" s="143">
        <v>6</v>
      </c>
      <c r="H132" s="143">
        <v>8344.8</v>
      </c>
      <c r="I132" s="142">
        <v>2</v>
      </c>
      <c r="J132" s="142">
        <v>744</v>
      </c>
      <c r="K132" s="144">
        <f t="shared" si="7"/>
      </c>
      <c r="L132" s="145">
        <v>6</v>
      </c>
      <c r="M132" s="146">
        <v>7</v>
      </c>
      <c r="N132" s="143">
        <v>1</v>
      </c>
      <c r="O132" s="143">
        <v>2</v>
      </c>
      <c r="P132" s="147">
        <f t="shared" si="34"/>
      </c>
      <c r="Q132" s="148">
        <f t="shared" si="48"/>
      </c>
      <c r="R132" s="149">
        <f t="shared" si="41"/>
      </c>
      <c r="S132" s="149">
        <f t="shared" si="49"/>
      </c>
      <c r="T132" s="168" t="s">
        <v>194</v>
      </c>
      <c r="U132" s="168">
        <v>10</v>
      </c>
      <c r="V132" s="171"/>
      <c r="W132" s="153"/>
    </row>
    <row r="133">
      <c r="A133" s="155">
        <v>46259</v>
      </c>
      <c r="B133" s="156" t="s">
        <v>150</v>
      </c>
      <c r="C133" s="157"/>
      <c r="D133" s="160">
        <f>SUM(D130:D132)</f>
      </c>
      <c r="E133" s="166">
        <f>SUM(E130:E132)</f>
      </c>
      <c r="F133" s="160">
        <f>SUM(F130:F132)</f>
      </c>
      <c r="G133" s="160">
        <f>SUM(G130:G132)</f>
      </c>
      <c r="H133" s="160">
        <f>SUM(H130:H132)</f>
      </c>
      <c r="I133" s="160">
        <f>SUM(I130:I132)</f>
      </c>
      <c r="J133" s="160">
        <f>SUM(J130:J132)</f>
      </c>
      <c r="K133" s="166">
        <f>SUM(K130:K132)</f>
      </c>
      <c r="L133" s="166">
        <f>SUM(L130:L132)</f>
      </c>
      <c r="M133" s="160">
        <f>SUM(M130:M132)</f>
      </c>
      <c r="N133" s="160">
        <f>SUM(N130:N132)</f>
      </c>
      <c r="O133" s="160">
        <f>SUM(O130:O132)</f>
      </c>
      <c r="P133" s="166">
        <f>SUM(P130:P132)</f>
      </c>
      <c r="Q133" s="159">
        <f t="shared" si="48"/>
      </c>
      <c r="R133" s="159">
        <f t="shared" si="41"/>
      </c>
      <c r="S133" s="159">
        <f t="shared" si="49"/>
      </c>
      <c r="T133" s="160"/>
      <c r="U133" s="160">
        <f>SUM(U130:U132)</f>
      </c>
      <c r="V133" s="160"/>
      <c r="W133" s="160">
        <f>SUM(W130:W132)</f>
      </c>
    </row>
    <row r="134">
      <c r="A134" s="138">
        <v>46260</v>
      </c>
      <c r="B134" s="141" t="s">
        <v>145</v>
      </c>
      <c r="C134" s="140" t="s">
        <v>176</v>
      </c>
      <c r="D134" s="141">
        <v>5</v>
      </c>
      <c r="E134" s="142">
        <v>5484.71</v>
      </c>
      <c r="F134" s="141">
        <v>8</v>
      </c>
      <c r="G134" s="143">
        <v>6</v>
      </c>
      <c r="H134" s="143">
        <v>7389.6</v>
      </c>
      <c r="I134" s="142">
        <v>0</v>
      </c>
      <c r="J134" s="142">
        <v>0</v>
      </c>
      <c r="K134" s="144">
        <f t="shared" ref="K134:K136" si="8">I134+G134</f>
      </c>
      <c r="L134" s="145">
        <v>5</v>
      </c>
      <c r="M134" s="146">
        <v>6</v>
      </c>
      <c r="N134" s="143">
        <v>1</v>
      </c>
      <c r="O134" s="143">
        <v>2</v>
      </c>
      <c r="P134" s="147">
        <f t="shared" ref="P134:P136" si="35">J134+H134</f>
      </c>
      <c r="Q134" s="148">
        <f t="shared" si="48"/>
      </c>
      <c r="R134" s="149">
        <f t="shared" si="41"/>
      </c>
      <c r="S134" s="149">
        <f t="shared" si="49"/>
      </c>
      <c r="T134" s="168" t="s">
        <v>160</v>
      </c>
      <c r="U134" s="168">
        <v>4</v>
      </c>
      <c r="V134" s="169" t="s">
        <v>140</v>
      </c>
      <c r="W134" s="139">
        <v>14</v>
      </c>
    </row>
    <row r="135">
      <c r="A135" s="138">
        <v>46260</v>
      </c>
      <c r="B135" s="141" t="s">
        <v>137</v>
      </c>
      <c r="C135" s="151" t="s">
        <v>191</v>
      </c>
      <c r="D135" s="141">
        <v>5</v>
      </c>
      <c r="E135" s="142">
        <v>6868.18</v>
      </c>
      <c r="F135" s="163">
        <v>22</v>
      </c>
      <c r="G135" s="143">
        <v>13</v>
      </c>
      <c r="H135" s="143">
        <v>21553.199999999997</v>
      </c>
      <c r="I135" s="142">
        <v>5</v>
      </c>
      <c r="J135" s="142">
        <v>2454</v>
      </c>
      <c r="K135" s="144">
        <f t="shared" si="8"/>
      </c>
      <c r="L135" s="145">
        <v>10</v>
      </c>
      <c r="M135" s="146">
        <v>12</v>
      </c>
      <c r="N135" s="143">
        <v>3</v>
      </c>
      <c r="O135" s="143">
        <v>7</v>
      </c>
      <c r="P135" s="147">
        <f t="shared" si="35"/>
      </c>
      <c r="Q135" s="148">
        <f t="shared" si="48"/>
      </c>
      <c r="R135" s="149">
        <f t="shared" si="41"/>
      </c>
      <c r="S135" s="149">
        <f t="shared" si="49"/>
      </c>
      <c r="T135" s="170"/>
      <c r="U135" s="170"/>
      <c r="V135" s="171"/>
      <c r="W135" s="153"/>
    </row>
    <row r="136">
      <c r="A136" s="138">
        <v>46260</v>
      </c>
      <c r="B136" s="141" t="s">
        <v>143</v>
      </c>
      <c r="C136" s="151" t="s">
        <v>190</v>
      </c>
      <c r="D136" s="141">
        <v>4</v>
      </c>
      <c r="E136" s="142">
        <v>7022.29</v>
      </c>
      <c r="F136" s="152">
        <v>7</v>
      </c>
      <c r="G136" s="143">
        <v>4</v>
      </c>
      <c r="H136" s="143">
        <v>6055.9000000000015</v>
      </c>
      <c r="I136" s="142">
        <v>2</v>
      </c>
      <c r="J136" s="142">
        <v>1623.4</v>
      </c>
      <c r="K136" s="144">
        <f t="shared" si="8"/>
      </c>
      <c r="L136" s="145">
        <v>4</v>
      </c>
      <c r="M136" s="146">
        <v>8</v>
      </c>
      <c r="N136" s="143">
        <v>1</v>
      </c>
      <c r="O136" s="143">
        <v>3</v>
      </c>
      <c r="P136" s="147">
        <f t="shared" si="35"/>
      </c>
      <c r="Q136" s="148">
        <f t="shared" si="48"/>
      </c>
      <c r="R136" s="149">
        <f t="shared" si="41"/>
      </c>
      <c r="S136" s="149">
        <f t="shared" si="49"/>
      </c>
      <c r="T136" s="168" t="s">
        <v>194</v>
      </c>
      <c r="U136" s="168">
        <v>10</v>
      </c>
      <c r="V136" s="171"/>
      <c r="W136" s="153"/>
    </row>
    <row r="137">
      <c r="A137" s="155">
        <v>46260</v>
      </c>
      <c r="B137" s="156" t="s">
        <v>150</v>
      </c>
      <c r="C137" s="157"/>
      <c r="D137" s="160">
        <f>SUM(D134:D136)</f>
      </c>
      <c r="E137" s="166">
        <f>SUM(E134:E136)</f>
      </c>
      <c r="F137" s="160">
        <f>SUM(F134:F136)</f>
      </c>
      <c r="G137" s="160">
        <f>SUM(G134:G136)</f>
      </c>
      <c r="H137" s="160">
        <f>SUM(H134:H136)</f>
      </c>
      <c r="I137" s="160">
        <f>SUM(I134:I136)</f>
      </c>
      <c r="J137" s="160">
        <f>SUM(J134:J136)</f>
      </c>
      <c r="K137" s="166">
        <f>SUM(K134:K136)</f>
      </c>
      <c r="L137" s="166">
        <f>SUM(L134:L136)</f>
      </c>
      <c r="M137" s="160">
        <f>SUM(M134:M136)</f>
      </c>
      <c r="N137" s="160">
        <f>SUM(N134:N136)</f>
      </c>
      <c r="O137" s="160">
        <f>SUM(O134:O136)</f>
      </c>
      <c r="P137" s="166">
        <f>SUM(P134:P136)</f>
      </c>
      <c r="Q137" s="159">
        <f t="shared" si="48"/>
      </c>
      <c r="R137" s="159">
        <f t="shared" si="41"/>
      </c>
      <c r="S137" s="159">
        <f t="shared" si="49"/>
      </c>
      <c r="T137" s="160"/>
      <c r="U137" s="160">
        <f>SUM(U134:U136)</f>
      </c>
      <c r="V137" s="160"/>
      <c r="W137" s="160">
        <f>SUM(W134:W136)</f>
      </c>
    </row>
    <row r="138">
      <c r="A138" s="138">
        <v>46261</v>
      </c>
      <c r="B138" s="141" t="s">
        <v>137</v>
      </c>
      <c r="C138" s="140" t="s">
        <v>176</v>
      </c>
      <c r="D138" s="141">
        <v>5</v>
      </c>
      <c r="E138" s="142">
        <v>5508.7</v>
      </c>
      <c r="F138" s="141">
        <v>8</v>
      </c>
      <c r="G138" s="143">
        <v>4</v>
      </c>
      <c r="H138" s="143">
        <v>4667.400000000001</v>
      </c>
      <c r="I138" s="142">
        <v>0</v>
      </c>
      <c r="J138" s="142">
        <v>0</v>
      </c>
      <c r="K138" s="144">
        <f t="shared" ref="K138:K140" si="9">I138+G138</f>
      </c>
      <c r="L138" s="145">
        <v>2</v>
      </c>
      <c r="M138" s="146">
        <v>6</v>
      </c>
      <c r="N138" s="143">
        <v>0</v>
      </c>
      <c r="O138" s="143">
        <v>1</v>
      </c>
      <c r="P138" s="147">
        <f t="shared" ref="P138:P140" si="36">J138+H138</f>
      </c>
      <c r="Q138" s="148">
        <f t="shared" si="48"/>
      </c>
      <c r="R138" s="149">
        <f t="shared" si="41"/>
      </c>
      <c r="S138" s="149">
        <f t="shared" si="49"/>
      </c>
      <c r="T138" s="168" t="s">
        <v>139</v>
      </c>
      <c r="U138" s="168">
        <v>4</v>
      </c>
      <c r="V138" s="169" t="s">
        <v>140</v>
      </c>
      <c r="W138" s="139">
        <v>14</v>
      </c>
    </row>
    <row r="139">
      <c r="A139" s="138">
        <v>46261</v>
      </c>
      <c r="B139" s="141" t="s">
        <v>143</v>
      </c>
      <c r="C139" s="151" t="s">
        <v>191</v>
      </c>
      <c r="D139" s="141">
        <v>5</v>
      </c>
      <c r="E139" s="142">
        <v>9858.6</v>
      </c>
      <c r="F139" s="163">
        <v>14</v>
      </c>
      <c r="G139" s="143">
        <v>11</v>
      </c>
      <c r="H139" s="143">
        <v>18984.5</v>
      </c>
      <c r="I139" s="142">
        <v>0</v>
      </c>
      <c r="J139" s="142">
        <v>0</v>
      </c>
      <c r="K139" s="144">
        <f t="shared" si="9"/>
      </c>
      <c r="L139" s="145">
        <v>10</v>
      </c>
      <c r="M139" s="146">
        <v>11</v>
      </c>
      <c r="N139" s="143">
        <v>1</v>
      </c>
      <c r="O139" s="143">
        <v>6</v>
      </c>
      <c r="P139" s="147">
        <f t="shared" si="36"/>
      </c>
      <c r="Q139" s="148">
        <f t="shared" si="48"/>
      </c>
      <c r="R139" s="149">
        <f t="shared" si="41"/>
      </c>
      <c r="S139" s="149">
        <f t="shared" si="49"/>
      </c>
      <c r="T139" s="170"/>
      <c r="U139" s="170"/>
      <c r="V139" s="171"/>
      <c r="W139" s="153"/>
    </row>
    <row r="140">
      <c r="A140" s="138">
        <v>46261</v>
      </c>
      <c r="B140" s="141" t="s">
        <v>171</v>
      </c>
      <c r="C140" s="151" t="s">
        <v>190</v>
      </c>
      <c r="D140" s="141">
        <v>4</v>
      </c>
      <c r="E140" s="142">
        <v>11235.949999999999</v>
      </c>
      <c r="F140" s="152">
        <v>14</v>
      </c>
      <c r="G140" s="143">
        <v>10</v>
      </c>
      <c r="H140" s="143">
        <v>14870.400000000001</v>
      </c>
      <c r="I140" s="142">
        <v>1</v>
      </c>
      <c r="J140" s="142">
        <v>300</v>
      </c>
      <c r="K140" s="144">
        <f t="shared" si="9"/>
      </c>
      <c r="L140" s="145">
        <v>8</v>
      </c>
      <c r="M140" s="146">
        <v>10</v>
      </c>
      <c r="N140" s="143">
        <v>0</v>
      </c>
      <c r="O140" s="143">
        <v>5</v>
      </c>
      <c r="P140" s="147">
        <f t="shared" si="36"/>
      </c>
      <c r="Q140" s="148">
        <f t="shared" si="48"/>
      </c>
      <c r="R140" s="149">
        <f t="shared" si="41"/>
      </c>
      <c r="S140" s="149">
        <f t="shared" si="49"/>
      </c>
      <c r="T140" s="168" t="s">
        <v>194</v>
      </c>
      <c r="U140" s="168">
        <v>10</v>
      </c>
      <c r="V140" s="171"/>
      <c r="W140" s="153"/>
    </row>
    <row r="141">
      <c r="A141" s="155">
        <v>46261</v>
      </c>
      <c r="B141" s="156" t="s">
        <v>150</v>
      </c>
      <c r="C141" s="157"/>
      <c r="D141" s="160">
        <f>SUM(D138:D140)</f>
      </c>
      <c r="E141" s="166">
        <f>SUM(E138:E140)</f>
      </c>
      <c r="F141" s="160">
        <f>SUM(F138:F140)</f>
      </c>
      <c r="G141" s="160">
        <f>SUM(G138:G140)</f>
      </c>
      <c r="H141" s="160">
        <f>SUM(H138:H140)</f>
      </c>
      <c r="I141" s="160">
        <f>SUM(I138:I140)</f>
      </c>
      <c r="J141" s="160">
        <f>SUM(J138:J140)</f>
      </c>
      <c r="K141" s="166">
        <f>SUM(K138:K140)</f>
      </c>
      <c r="L141" s="166">
        <f>SUM(L138:L140)</f>
      </c>
      <c r="M141" s="160">
        <f>SUM(M138:M140)</f>
      </c>
      <c r="N141" s="160">
        <f>SUM(N138:N140)</f>
      </c>
      <c r="O141" s="160">
        <f>SUM(O138:O140)</f>
      </c>
      <c r="P141" s="166">
        <f>SUM(P138:P140)</f>
      </c>
      <c r="Q141" s="159">
        <f t="shared" si="48"/>
      </c>
      <c r="R141" s="159">
        <f t="shared" si="41"/>
      </c>
      <c r="S141" s="159">
        <f t="shared" si="49"/>
      </c>
      <c r="T141" s="160"/>
      <c r="U141" s="160">
        <f>SUM(U138:U140)</f>
      </c>
      <c r="V141" s="160"/>
      <c r="W141" s="160">
        <f>SUM(W138:W140)</f>
      </c>
    </row>
    <row r="142">
      <c r="A142" s="138">
        <v>46262</v>
      </c>
      <c r="B142" s="139" t="s">
        <v>137</v>
      </c>
      <c r="C142" s="140" t="s">
        <v>189</v>
      </c>
      <c r="D142" s="164">
        <f>4-0.25</f>
      </c>
      <c r="E142" s="142">
        <v>7842.78</v>
      </c>
      <c r="F142" s="141">
        <v>9</v>
      </c>
      <c r="G142" s="143">
        <v>6</v>
      </c>
      <c r="H142" s="143">
        <v>6845.199999999999</v>
      </c>
      <c r="I142" s="142">
        <v>2</v>
      </c>
      <c r="J142" s="142">
        <v>1442</v>
      </c>
      <c r="K142" s="144">
        <f t="shared" ref="K142:K145" si="45">G142+I142</f>
      </c>
      <c r="L142" s="145">
        <v>8</v>
      </c>
      <c r="M142" s="146">
        <v>8</v>
      </c>
      <c r="N142" s="143">
        <v>0</v>
      </c>
      <c r="O142" s="143">
        <v>1</v>
      </c>
      <c r="P142" s="147">
        <f t="shared" ref="P142:P145" si="37">J142+H142</f>
      </c>
      <c r="Q142" s="148">
        <f t="shared" si="48"/>
      </c>
      <c r="R142" s="149">
        <f t="shared" si="41"/>
      </c>
      <c r="S142" s="148">
        <f t="shared" si="49"/>
      </c>
      <c r="T142" s="168" t="s">
        <v>139</v>
      </c>
      <c r="U142" s="168">
        <v>4</v>
      </c>
      <c r="V142" s="169" t="s">
        <v>140</v>
      </c>
      <c r="W142" s="139">
        <v>14</v>
      </c>
    </row>
    <row r="143">
      <c r="A143" s="138">
        <v>46262</v>
      </c>
      <c r="B143" s="139" t="s">
        <v>143</v>
      </c>
      <c r="C143" s="151" t="s">
        <v>159</v>
      </c>
      <c r="D143" s="141">
        <v>3</v>
      </c>
      <c r="E143" s="142">
        <v>8230.689999999999</v>
      </c>
      <c r="F143" s="163">
        <v>14</v>
      </c>
      <c r="G143" s="143">
        <v>6</v>
      </c>
      <c r="H143" s="143">
        <v>8313.599999999999</v>
      </c>
      <c r="I143" s="142">
        <v>5</v>
      </c>
      <c r="J143" s="142">
        <v>3445</v>
      </c>
      <c r="K143" s="144">
        <f t="shared" si="45"/>
      </c>
      <c r="L143" s="145">
        <v>8</v>
      </c>
      <c r="M143" s="146">
        <v>9</v>
      </c>
      <c r="N143" s="143">
        <v>1</v>
      </c>
      <c r="O143" s="143">
        <v>4</v>
      </c>
      <c r="P143" s="147">
        <f t="shared" si="37"/>
      </c>
      <c r="Q143" s="148">
        <f t="shared" si="48"/>
      </c>
      <c r="R143" s="149">
        <f t="shared" si="41"/>
      </c>
      <c r="S143" s="148">
        <f t="shared" si="49"/>
      </c>
      <c r="T143" s="139"/>
      <c r="U143" s="150"/>
      <c r="V143" s="153"/>
      <c r="W143" s="153"/>
    </row>
    <row r="144">
      <c r="A144" s="138">
        <v>46262</v>
      </c>
      <c r="B144" s="139" t="s">
        <v>171</v>
      </c>
      <c r="C144" s="151" t="s">
        <v>186</v>
      </c>
      <c r="D144" s="141">
        <v>3</v>
      </c>
      <c r="E144" s="142">
        <v>10030</v>
      </c>
      <c r="F144" s="152">
        <v>11</v>
      </c>
      <c r="G144" s="143">
        <v>7</v>
      </c>
      <c r="H144" s="143">
        <v>8874.600000000004</v>
      </c>
      <c r="I144" s="142">
        <v>1</v>
      </c>
      <c r="J144" s="142">
        <v>318</v>
      </c>
      <c r="K144" s="144">
        <f t="shared" si="45"/>
      </c>
      <c r="L144" s="145">
        <v>7</v>
      </c>
      <c r="M144" s="146">
        <v>9</v>
      </c>
      <c r="N144" s="143">
        <v>0</v>
      </c>
      <c r="O144" s="143">
        <v>3</v>
      </c>
      <c r="P144" s="147">
        <f t="shared" si="37"/>
      </c>
      <c r="Q144" s="148">
        <f t="shared" si="48"/>
      </c>
      <c r="R144" s="149">
        <f t="shared" si="41"/>
      </c>
      <c r="S144" s="148">
        <f t="shared" si="49"/>
      </c>
      <c r="T144" s="139"/>
      <c r="U144" s="139"/>
      <c r="V144" s="153"/>
      <c r="W144" s="153"/>
    </row>
    <row r="145">
      <c r="A145" s="138">
        <v>46262</v>
      </c>
      <c r="B145" s="139" t="s">
        <v>145</v>
      </c>
      <c r="C145" s="151" t="s">
        <v>190</v>
      </c>
      <c r="D145" s="141">
        <v>4</v>
      </c>
      <c r="E145" s="142">
        <v>9033.330000000002</v>
      </c>
      <c r="F145" s="154">
        <v>3</v>
      </c>
      <c r="G145" s="143">
        <v>2</v>
      </c>
      <c r="H145" s="143">
        <v>3068.4000000000015</v>
      </c>
      <c r="I145" s="142">
        <v>0</v>
      </c>
      <c r="J145" s="142">
        <v>0</v>
      </c>
      <c r="K145" s="144">
        <f t="shared" si="45"/>
      </c>
      <c r="L145" s="145">
        <v>3</v>
      </c>
      <c r="M145" s="146">
        <v>3</v>
      </c>
      <c r="N145" s="143">
        <v>0</v>
      </c>
      <c r="O145" s="143">
        <v>2</v>
      </c>
      <c r="P145" s="147">
        <f t="shared" si="37"/>
      </c>
      <c r="Q145" s="148">
        <f t="shared" si="48"/>
      </c>
      <c r="R145" s="149">
        <f t="shared" si="41"/>
      </c>
      <c r="S145" s="148">
        <f t="shared" si="49"/>
      </c>
      <c r="T145" s="168" t="s">
        <v>194</v>
      </c>
      <c r="U145" s="168">
        <v>10</v>
      </c>
      <c r="V145" s="150"/>
      <c r="W145" s="150"/>
    </row>
    <row r="146">
      <c r="A146" s="155">
        <v>46262</v>
      </c>
      <c r="B146" s="156" t="s">
        <v>150</v>
      </c>
      <c r="C146" s="157"/>
      <c r="D146" s="160">
        <f>SUM(D142:D145)</f>
      </c>
      <c r="E146" s="160">
        <f>SUM(E142:E145)</f>
      </c>
      <c r="F146" s="160">
        <f>SUM(F142:F145)</f>
      </c>
      <c r="G146" s="160">
        <f>SUM(G142:G145)</f>
      </c>
      <c r="H146" s="160">
        <f>SUM(H142:H145)</f>
      </c>
      <c r="I146" s="160">
        <f>SUM(I142:I145)</f>
      </c>
      <c r="J146" s="160">
        <f>SUM(J142:J145)</f>
      </c>
      <c r="K146" s="160">
        <f>SUM(K142:K145)</f>
      </c>
      <c r="L146" s="160">
        <f>SUM(L142:L145)</f>
      </c>
      <c r="M146" s="160">
        <f>SUM(M142:M145)</f>
      </c>
      <c r="N146" s="160">
        <f>SUM(N142:N145)</f>
      </c>
      <c r="O146" s="160">
        <f>SUM(O142:O145)</f>
      </c>
      <c r="P146" s="160">
        <f>SUM(P142:P145)</f>
      </c>
      <c r="Q146" s="159">
        <f t="shared" si="48"/>
      </c>
      <c r="R146" s="159">
        <f t="shared" si="41"/>
      </c>
      <c r="S146" s="159">
        <f t="shared" si="49"/>
      </c>
      <c r="T146" s="160"/>
      <c r="U146" s="160">
        <f>SUM(U142:U145)</f>
      </c>
      <c r="V146" s="160"/>
      <c r="W146" s="160">
        <f>SUM(W142:W145)</f>
      </c>
    </row>
    <row r="147">
      <c r="A147" s="138">
        <v>46263</v>
      </c>
      <c r="B147" s="139" t="s">
        <v>143</v>
      </c>
      <c r="C147" s="140" t="s">
        <v>189</v>
      </c>
      <c r="D147" s="141">
        <v>4</v>
      </c>
      <c r="E147" s="142">
        <v>4853.860000000001</v>
      </c>
      <c r="F147" s="141">
        <v>5</v>
      </c>
      <c r="G147" s="143">
        <v>3</v>
      </c>
      <c r="H147" s="143">
        <v>3198</v>
      </c>
      <c r="I147" s="142">
        <v>0</v>
      </c>
      <c r="J147" s="142">
        <v>0</v>
      </c>
      <c r="K147" s="144">
        <f t="shared" ref="K147:K149" si="46">G147+I147</f>
      </c>
      <c r="L147" s="145">
        <v>2</v>
      </c>
      <c r="M147" s="146">
        <v>3</v>
      </c>
      <c r="N147" s="143">
        <v>0</v>
      </c>
      <c r="O147" s="143">
        <v>1</v>
      </c>
      <c r="P147" s="147">
        <f t="shared" ref="P147:P149" si="38">J147+H147</f>
      </c>
      <c r="Q147" s="148">
        <f t="shared" si="48"/>
      </c>
      <c r="R147" s="149">
        <f t="shared" si="41"/>
      </c>
      <c r="S147" s="148">
        <f t="shared" si="49"/>
      </c>
      <c r="T147" s="168" t="s">
        <v>139</v>
      </c>
      <c r="U147" s="168">
        <v>4</v>
      </c>
      <c r="V147" s="169" t="s">
        <v>140</v>
      </c>
      <c r="W147" s="139">
        <v>10</v>
      </c>
    </row>
    <row r="148">
      <c r="A148" s="138">
        <v>46263</v>
      </c>
      <c r="B148" s="139" t="s">
        <v>171</v>
      </c>
      <c r="C148" s="151" t="s">
        <v>159</v>
      </c>
      <c r="D148" s="141">
        <v>3</v>
      </c>
      <c r="E148" s="142">
        <v>3572.61</v>
      </c>
      <c r="F148" s="163">
        <v>2</v>
      </c>
      <c r="G148" s="143">
        <v>0</v>
      </c>
      <c r="H148" s="143">
        <v>0</v>
      </c>
      <c r="I148" s="142">
        <v>2</v>
      </c>
      <c r="J148" s="142">
        <v>760.8</v>
      </c>
      <c r="K148" s="144">
        <f t="shared" si="46"/>
      </c>
      <c r="L148" s="145">
        <v>1</v>
      </c>
      <c r="M148" s="146">
        <v>1</v>
      </c>
      <c r="N148" s="143">
        <v>1</v>
      </c>
      <c r="O148" s="143">
        <v>0</v>
      </c>
      <c r="P148" s="147">
        <f t="shared" si="38"/>
      </c>
      <c r="Q148" s="148">
        <f t="shared" si="48"/>
      </c>
      <c r="R148" s="149">
        <f t="shared" si="41"/>
      </c>
      <c r="S148" s="148">
        <f t="shared" si="49"/>
      </c>
      <c r="T148" s="139"/>
      <c r="U148" s="150"/>
      <c r="V148" s="153"/>
      <c r="W148" s="153"/>
    </row>
    <row r="149">
      <c r="A149" s="138">
        <v>46263</v>
      </c>
      <c r="B149" s="139" t="s">
        <v>145</v>
      </c>
      <c r="C149" s="151" t="s">
        <v>186</v>
      </c>
      <c r="D149" s="141">
        <v>3</v>
      </c>
      <c r="E149" s="142">
        <v>2696.6299999999997</v>
      </c>
      <c r="F149" s="152">
        <v>2</v>
      </c>
      <c r="G149" s="143">
        <v>2</v>
      </c>
      <c r="H149" s="143">
        <v>1980</v>
      </c>
      <c r="I149" s="142">
        <v>0</v>
      </c>
      <c r="J149" s="142">
        <v>0</v>
      </c>
      <c r="K149" s="144">
        <f t="shared" si="46"/>
      </c>
      <c r="L149" s="145">
        <v>1</v>
      </c>
      <c r="M149" s="146">
        <v>1</v>
      </c>
      <c r="N149" s="143">
        <v>0</v>
      </c>
      <c r="O149" s="143">
        <v>0</v>
      </c>
      <c r="P149" s="147">
        <f t="shared" si="38"/>
      </c>
      <c r="Q149" s="148">
        <f t="shared" si="48"/>
      </c>
      <c r="R149" s="149">
        <f t="shared" si="41"/>
      </c>
      <c r="S149" s="148">
        <f t="shared" si="49"/>
      </c>
      <c r="T149" s="139" t="s">
        <v>168</v>
      </c>
      <c r="U149" s="139">
        <v>6</v>
      </c>
      <c r="V149" s="153"/>
      <c r="W149" s="153"/>
    </row>
    <row r="150">
      <c r="A150" s="155">
        <v>46263</v>
      </c>
      <c r="B150" s="156" t="s">
        <v>150</v>
      </c>
      <c r="C150" s="157"/>
      <c r="D150" s="160">
        <f>SUM(D147:D149)</f>
      </c>
      <c r="E150" s="160">
        <f>SUM(E147:E149)</f>
      </c>
      <c r="F150" s="160">
        <f>SUM(F147:F149)</f>
      </c>
      <c r="G150" s="160">
        <f>SUM(G147:G149)</f>
      </c>
      <c r="H150" s="160">
        <f>SUM(H147:H149)</f>
      </c>
      <c r="I150" s="160">
        <f>SUM(I147:I149)</f>
      </c>
      <c r="J150" s="160">
        <f>SUM(J147:J149)</f>
      </c>
      <c r="K150" s="160">
        <f>SUM(K147:K149)</f>
      </c>
      <c r="L150" s="160">
        <f>SUM(L147:L149)</f>
      </c>
      <c r="M150" s="160">
        <f>SUM(M147:M149)</f>
      </c>
      <c r="N150" s="160">
        <f>SUM(N147:N149)</f>
      </c>
      <c r="O150" s="160">
        <f>SUM(O147:O149)</f>
      </c>
      <c r="P150" s="160">
        <f>SUM(P147:P149)</f>
      </c>
      <c r="Q150" s="159">
        <f t="shared" si="48"/>
      </c>
      <c r="R150" s="159">
        <f t="shared" si="41"/>
      </c>
      <c r="S150" s="159">
        <f t="shared" si="49"/>
      </c>
      <c r="T150" s="160"/>
      <c r="U150" s="160">
        <f>SUM(U147:U149)</f>
      </c>
      <c r="V150" s="160"/>
      <c r="W150" s="160">
        <f>SUM(W147:W149)</f>
      </c>
    </row>
    <row r="151">
      <c r="A151" s="138">
        <v>46264</v>
      </c>
      <c r="B151" s="139" t="s">
        <v>145</v>
      </c>
      <c r="C151" s="140" t="s">
        <v>195</v>
      </c>
      <c r="D151" s="141">
        <v>5</v>
      </c>
      <c r="E151" s="142">
        <v>8706.53</v>
      </c>
      <c r="F151" s="141">
        <v>8</v>
      </c>
      <c r="G151" s="143">
        <v>5</v>
      </c>
      <c r="H151" s="143">
        <v>6343.6</v>
      </c>
      <c r="I151" s="142">
        <v>1</v>
      </c>
      <c r="J151" s="142">
        <v>156</v>
      </c>
      <c r="K151" s="144">
        <f t="shared" ref="K151:K153" si="47">G151+I151</f>
      </c>
      <c r="L151" s="145">
        <v>4</v>
      </c>
      <c r="M151" s="146">
        <v>6</v>
      </c>
      <c r="N151" s="143">
        <v>0</v>
      </c>
      <c r="O151" s="143">
        <v>2</v>
      </c>
      <c r="P151" s="147">
        <f t="shared" ref="P151:P153" si="39">J151+H151</f>
      </c>
      <c r="Q151" s="148">
        <f t="shared" si="48"/>
      </c>
      <c r="R151" s="149">
        <f t="shared" si="41"/>
      </c>
      <c r="S151" s="148">
        <f t="shared" si="49"/>
      </c>
      <c r="T151" s="168" t="s">
        <v>139</v>
      </c>
      <c r="U151" s="168">
        <v>4</v>
      </c>
      <c r="V151" s="169" t="s">
        <v>140</v>
      </c>
      <c r="W151" s="139">
        <v>14</v>
      </c>
    </row>
    <row r="152">
      <c r="A152" s="138">
        <v>46264</v>
      </c>
      <c r="B152" s="139" t="s">
        <v>171</v>
      </c>
      <c r="C152" s="151" t="s">
        <v>170</v>
      </c>
      <c r="D152" s="141">
        <v>4</v>
      </c>
      <c r="E152" s="142">
        <v>7124.299999999999</v>
      </c>
      <c r="F152" s="163">
        <v>15</v>
      </c>
      <c r="G152" s="143">
        <v>9</v>
      </c>
      <c r="H152" s="143">
        <v>17895.600000000006</v>
      </c>
      <c r="I152" s="142">
        <v>3</v>
      </c>
      <c r="J152" s="142">
        <v>3247</v>
      </c>
      <c r="K152" s="144">
        <f t="shared" si="47"/>
      </c>
      <c r="L152" s="145">
        <v>8</v>
      </c>
      <c r="M152" s="146">
        <v>10</v>
      </c>
      <c r="N152" s="143">
        <v>3</v>
      </c>
      <c r="O152" s="143">
        <v>8</v>
      </c>
      <c r="P152" s="147">
        <f t="shared" si="39"/>
      </c>
      <c r="Q152" s="148">
        <f t="shared" si="48"/>
      </c>
      <c r="R152" s="149">
        <f t="shared" si="41"/>
      </c>
      <c r="S152" s="148">
        <f t="shared" si="49"/>
      </c>
      <c r="T152" s="139" t="s">
        <v>160</v>
      </c>
      <c r="U152" s="139">
        <v>2</v>
      </c>
      <c r="V152" s="153"/>
      <c r="W152" s="153"/>
    </row>
    <row r="153">
      <c r="A153" s="138">
        <v>46264</v>
      </c>
      <c r="B153" s="139" t="s">
        <v>143</v>
      </c>
      <c r="C153" s="151" t="s">
        <v>196</v>
      </c>
      <c r="D153" s="141">
        <v>5</v>
      </c>
      <c r="E153" s="142">
        <v>12997.3</v>
      </c>
      <c r="F153" s="152">
        <v>23</v>
      </c>
      <c r="G153" s="143">
        <v>17</v>
      </c>
      <c r="H153" s="143">
        <v>24182.800000000003</v>
      </c>
      <c r="I153" s="142">
        <v>2</v>
      </c>
      <c r="J153" s="142">
        <v>529.1999999999998</v>
      </c>
      <c r="K153" s="144">
        <f t="shared" si="47"/>
      </c>
      <c r="L153" s="145">
        <v>11</v>
      </c>
      <c r="M153" s="146">
        <v>15</v>
      </c>
      <c r="N153" s="143">
        <v>3</v>
      </c>
      <c r="O153" s="143">
        <v>9</v>
      </c>
      <c r="P153" s="147">
        <f t="shared" si="39"/>
      </c>
      <c r="Q153" s="148">
        <f t="shared" si="48"/>
      </c>
      <c r="R153" s="149">
        <f t="shared" si="41"/>
      </c>
      <c r="S153" s="148">
        <f t="shared" si="49"/>
      </c>
      <c r="T153" s="139" t="s">
        <v>168</v>
      </c>
      <c r="U153" s="139">
        <v>8</v>
      </c>
      <c r="V153" s="153"/>
      <c r="W153" s="153"/>
    </row>
    <row r="154">
      <c r="A154" s="155">
        <v>46264</v>
      </c>
      <c r="B154" s="156" t="s">
        <v>150</v>
      </c>
      <c r="C154" s="157"/>
      <c r="D154" s="160">
        <f>SUM(D151:D153)</f>
      </c>
      <c r="E154" s="160">
        <f>SUM(E151:E153)</f>
      </c>
      <c r="F154" s="160">
        <f>SUM(F151:F153)</f>
      </c>
      <c r="G154" s="160">
        <f>SUM(G151:G153)</f>
      </c>
      <c r="H154" s="160">
        <f>SUM(H151:H153)</f>
      </c>
      <c r="I154" s="160">
        <f>SUM(I151:I153)</f>
      </c>
      <c r="J154" s="160">
        <f>SUM(J151:J153)</f>
      </c>
      <c r="K154" s="160">
        <f>SUM(K151:K153)</f>
      </c>
      <c r="L154" s="160">
        <f>SUM(L151:L153)</f>
      </c>
      <c r="M154" s="160">
        <f>SUM(M151:M153)</f>
      </c>
      <c r="N154" s="160">
        <f>SUM(N151:N153)</f>
      </c>
      <c r="O154" s="160">
        <f>SUM(O151:O153)</f>
      </c>
      <c r="P154" s="160">
        <f>SUM(P151:P153)</f>
      </c>
      <c r="Q154" s="159">
        <f t="shared" si="48"/>
      </c>
      <c r="R154" s="159">
        <f t="shared" si="41"/>
      </c>
      <c r="S154" s="159">
        <f t="shared" si="49"/>
      </c>
      <c r="T154" s="160"/>
      <c r="U154" s="160">
        <f>SUM(U151:U153)</f>
      </c>
      <c r="V154" s="160"/>
      <c r="W154" s="160">
        <f>SUM(W151:W153)</f>
      </c>
    </row>
    <row r="155">
      <c r="A155" s="138">
        <v>46265</v>
      </c>
      <c r="B155" s="139" t="s">
        <v>145</v>
      </c>
      <c r="C155" s="140" t="s">
        <v>195</v>
      </c>
      <c r="D155" s="141">
        <v>5</v>
      </c>
      <c r="E155" s="142">
        <v>8600.2</v>
      </c>
      <c r="F155" s="141">
        <v>6</v>
      </c>
      <c r="G155" s="143">
        <v>4</v>
      </c>
      <c r="H155" s="143">
        <v>7084.800000000001</v>
      </c>
      <c r="I155" s="142">
        <v>2</v>
      </c>
      <c r="J155" s="142">
        <v>2053</v>
      </c>
      <c r="K155" s="144">
        <f>G155+I155</f>
      </c>
      <c r="L155" s="145">
        <v>4</v>
      </c>
      <c r="M155" s="146">
        <v>4</v>
      </c>
      <c r="N155" s="143">
        <v>0</v>
      </c>
      <c r="O155" s="143">
        <v>2</v>
      </c>
      <c r="P155" s="147">
        <f t="shared" ref="P155:P157" si="40">J155+H155</f>
      </c>
      <c r="Q155" s="148">
        <f t="shared" si="48"/>
      </c>
      <c r="R155" s="149">
        <f t="shared" si="41"/>
      </c>
      <c r="S155" s="148">
        <f t="shared" si="49"/>
      </c>
      <c r="T155" s="139" t="s">
        <v>160</v>
      </c>
      <c r="U155" s="139">
        <v>5</v>
      </c>
      <c r="V155" s="169" t="s">
        <v>140</v>
      </c>
      <c r="W155" s="139">
        <v>14</v>
      </c>
    </row>
    <row r="156">
      <c r="A156" s="138">
        <v>46265</v>
      </c>
      <c r="B156" s="139" t="s">
        <v>171</v>
      </c>
      <c r="C156" s="151" t="s">
        <v>170</v>
      </c>
      <c r="D156" s="141">
        <v>4</v>
      </c>
      <c r="E156" s="142">
        <v>7418.780000000001</v>
      </c>
      <c r="F156" s="163">
        <v>7</v>
      </c>
      <c r="G156" s="143">
        <v>7</v>
      </c>
      <c r="H156" s="143">
        <v>11274.000000000002</v>
      </c>
      <c r="I156" s="142">
        <v>0</v>
      </c>
      <c r="J156" s="142">
        <v>0</v>
      </c>
      <c r="K156" s="144">
        <v>7</v>
      </c>
      <c r="L156" s="145">
        <v>5</v>
      </c>
      <c r="M156" s="146">
        <v>5</v>
      </c>
      <c r="N156" s="143">
        <v>0</v>
      </c>
      <c r="O156" s="143">
        <v>3</v>
      </c>
      <c r="P156" s="147">
        <f t="shared" si="40"/>
      </c>
      <c r="Q156" s="148">
        <f t="shared" si="48"/>
      </c>
      <c r="R156" s="149">
        <f t="shared" si="41"/>
      </c>
      <c r="S156" s="148">
        <f t="shared" si="49"/>
      </c>
      <c r="T156" s="139" t="s">
        <v>139</v>
      </c>
      <c r="U156" s="139">
        <v>1</v>
      </c>
      <c r="V156" s="153"/>
      <c r="W156" s="153"/>
    </row>
    <row r="157">
      <c r="A157" s="138">
        <v>46265</v>
      </c>
      <c r="B157" s="139" t="s">
        <v>143</v>
      </c>
      <c r="C157" s="151" t="s">
        <v>196</v>
      </c>
      <c r="D157" s="164">
        <f>5-0.5</f>
      </c>
      <c r="E157" s="142">
        <v>9875.630000000001</v>
      </c>
      <c r="F157" s="152">
        <v>11</v>
      </c>
      <c r="G157" s="143">
        <v>10</v>
      </c>
      <c r="H157" s="143">
        <v>15887.199999999997</v>
      </c>
      <c r="I157" s="142">
        <v>0</v>
      </c>
      <c r="J157" s="142">
        <v>0</v>
      </c>
      <c r="K157" s="144">
        <f>G157+I157</f>
      </c>
      <c r="L157" s="145">
        <v>9</v>
      </c>
      <c r="M157" s="146">
        <v>10</v>
      </c>
      <c r="N157" s="143">
        <v>0</v>
      </c>
      <c r="O157" s="143">
        <v>4</v>
      </c>
      <c r="P157" s="147">
        <f t="shared" si="40"/>
      </c>
      <c r="Q157" s="148">
        <f t="shared" si="48"/>
      </c>
      <c r="R157" s="149">
        <f t="shared" si="41"/>
      </c>
      <c r="S157" s="148">
        <f t="shared" si="49"/>
      </c>
      <c r="T157" s="139" t="s">
        <v>168</v>
      </c>
      <c r="U157" s="139">
        <v>8</v>
      </c>
      <c r="V157" s="153"/>
      <c r="W157" s="153"/>
    </row>
    <row r="158">
      <c r="A158" s="155">
        <v>46265</v>
      </c>
      <c r="B158" s="156" t="s">
        <v>150</v>
      </c>
      <c r="C158" s="157"/>
      <c r="D158" s="160">
        <f>SUM(D155:D157)</f>
      </c>
      <c r="E158" s="160">
        <f>SUM(E155:E157)</f>
      </c>
      <c r="F158" s="160">
        <f>SUM(F155:F157)</f>
      </c>
      <c r="G158" s="160">
        <f>SUM(G155:G157)</f>
      </c>
      <c r="H158" s="160">
        <f>SUM(H155:H157)</f>
      </c>
      <c r="I158" s="160">
        <f>SUM(I155:I157)</f>
      </c>
      <c r="J158" s="160">
        <f>SUM(J155:J157)</f>
      </c>
      <c r="K158" s="160">
        <f>SUM(K155:K157)</f>
      </c>
      <c r="L158" s="160">
        <f>SUM(L155:L157)</f>
      </c>
      <c r="M158" s="160">
        <f>SUM(M155:M157)</f>
      </c>
      <c r="N158" s="160">
        <f>SUM(N155:N157)</f>
      </c>
      <c r="O158" s="160">
        <f>SUM(O155:O157)</f>
      </c>
      <c r="P158" s="160">
        <f>SUM(P155:P157)</f>
      </c>
      <c r="Q158" s="159">
        <f t="shared" si="48"/>
      </c>
      <c r="R158" s="159">
        <f t="shared" si="41"/>
      </c>
      <c r="S158" s="159">
        <f t="shared" si="49"/>
      </c>
      <c r="T158" s="160"/>
      <c r="U158" s="160">
        <f>SUM(U155:U157)</f>
      </c>
      <c r="V158" s="160"/>
      <c r="W158" s="160">
        <f>SUM(W155:W157)</f>
      </c>
    </row>
    <row r="159"/>
    <row r="160">
      <c r="E160" s="172"/>
    </row>
    <row r="161">
      <c r="E161" s="172"/>
    </row>
    <row r="162"/>
    <row r="163"/>
    <row r="164"/>
    <row r="165"/>
    <row r="166"/>
    <row r="167"/>
    <row r="168"/>
    <row r="169"/>
    <row r="170">
      <c r="F170" s="173"/>
    </row>
  </sheetData>
  <autoFilter ref="A1:W158"/>
  <dataValidations count="3">
    <dataValidation allowBlank="true" errorStyle="stop" showErrorMessage="true" sqref="B76:B79" type="list">
      <formula1>"刘丽杰,张仪凡,路孟玲,王梦晴"</formula1>
    </dataValidation>
    <dataValidation allowBlank="true" errorStyle="stop" showErrorMessage="true" sqref="B81:B83 B85:B89 B91:B95 B97:B100 B102:B105 B107:B110 B112:B114 B116:B119 B121:B124 B126:B128 B130:B132 B134:B136 B138:B140" type="list">
      <formula1>"刘丽杰,张仪凡,路孟玲,王梦晴,边丽媛"</formula1>
    </dataValidation>
    <dataValidation allowBlank="true" errorStyle="stop" showErrorMessage="true" sqref="B142:B145 B147:B149 B151:B153 B155:B157" type="list">
      <formula1>"张仪凡,路孟玲,边丽媛,刘丽杰"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8" min="18" style="0" width="11.211267605633802"/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6" min="6" style="0" width="14.109595070422536"/>
    <col collapsed="false" customWidth="true" hidden="false" max="8" min="8" style="0" width="12.67605633802817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19" min="19" style="0" width="11.211267605633802"/>
    <col collapsed="false" customWidth="true" hidden="false" max="21" min="21" style="0" width="11.211267605633802"/>
    <col collapsed="false" customWidth="true" hidden="false" max="5" min="5" style="0" width="11.211267605633802"/>
    <col collapsed="false" customWidth="true" hidden="false" max="7" min="7" style="0" width="14.109595070422536"/>
    <col collapsed="false" customWidth="true" hidden="false" max="12" min="12" style="0" width="11.211267605633802"/>
  </cols>
  <sheetData>
    <row r="1">
      <c r="A1" s="174" t="s">
        <v>197</v>
      </c>
      <c r="B1" s="175" t="s">
        <v>198</v>
      </c>
      <c r="C1" s="174" t="s">
        <v>199</v>
      </c>
      <c r="D1" s="174" t="s">
        <v>200</v>
      </c>
      <c r="E1" s="174" t="s">
        <v>201</v>
      </c>
      <c r="F1" s="176" t="s">
        <v>202</v>
      </c>
      <c r="G1" s="174" t="s">
        <v>203</v>
      </c>
      <c r="H1" s="176" t="s">
        <v>204</v>
      </c>
      <c r="I1" s="174" t="s">
        <v>205</v>
      </c>
      <c r="J1" s="174" t="s">
        <v>206</v>
      </c>
      <c r="K1" s="177" t="s">
        <v>207</v>
      </c>
      <c r="L1" s="177" t="s">
        <v>208</v>
      </c>
      <c r="M1" s="177" t="s">
        <v>209</v>
      </c>
      <c r="N1" s="177" t="s">
        <v>210</v>
      </c>
      <c r="O1" s="178" t="s">
        <v>211</v>
      </c>
      <c r="P1" s="178" t="s">
        <v>212</v>
      </c>
      <c r="Q1" s="178" t="s">
        <v>213</v>
      </c>
      <c r="R1" s="178" t="s">
        <v>214</v>
      </c>
      <c r="S1" s="178" t="s">
        <v>215</v>
      </c>
      <c r="T1" s="174" t="s">
        <v>216</v>
      </c>
      <c r="U1" s="174" t="s">
        <v>217</v>
      </c>
      <c r="V1" s="179" t="s">
        <v>218</v>
      </c>
      <c r="W1" s="179" t="s">
        <v>219</v>
      </c>
    </row>
    <row hidden="true" r="2">
      <c r="A2" s="180">
        <v>46217</v>
      </c>
      <c r="B2" s="181" t="s">
        <v>220</v>
      </c>
      <c r="C2" s="182" t="s">
        <v>221</v>
      </c>
      <c r="D2" s="181">
        <v>3</v>
      </c>
      <c r="E2" s="181">
        <v>1</v>
      </c>
      <c r="F2" s="183">
        <v>0</v>
      </c>
      <c r="G2" s="184">
        <f t="shared" ref="G2:G3" si="0">K2+M2</f>
      </c>
      <c r="H2" s="185">
        <v>0</v>
      </c>
      <c r="I2" s="186">
        <v>0</v>
      </c>
      <c r="J2" s="186">
        <v>0</v>
      </c>
      <c r="K2" s="187">
        <v>0</v>
      </c>
      <c r="L2" s="187">
        <v>0</v>
      </c>
      <c r="M2" s="186">
        <v>0</v>
      </c>
      <c r="N2" s="186">
        <v>0</v>
      </c>
      <c r="O2" s="184">
        <f t="shared" ref="O2:O3" si="5">L2+N2</f>
      </c>
      <c r="P2" s="187">
        <v>321.97</v>
      </c>
      <c r="Q2" s="188">
        <f t="shared" ref="Q2:Q91" si="23">O2/P2</f>
      </c>
      <c r="R2" s="189">
        <f t="shared" ref="R2:R91" si="24">O2/G2</f>
      </c>
      <c r="S2" s="188">
        <f t="shared" ref="S2:S91" si="4">P2/G2</f>
      </c>
      <c r="T2" s="190" t="s">
        <v>222</v>
      </c>
      <c r="U2" s="190">
        <v>8</v>
      </c>
      <c r="V2" s="191" t="s">
        <v>223</v>
      </c>
      <c r="W2" s="190">
        <v>8</v>
      </c>
    </row>
    <row hidden="true" r="3">
      <c r="A3" s="180">
        <v>46217</v>
      </c>
      <c r="B3" s="190" t="s">
        <v>224</v>
      </c>
      <c r="C3" s="192" t="s">
        <v>225</v>
      </c>
      <c r="D3" s="181">
        <v>2</v>
      </c>
      <c r="E3" s="193">
        <v>1</v>
      </c>
      <c r="F3" s="183">
        <v>1</v>
      </c>
      <c r="G3" s="184">
        <f t="shared" si="0"/>
      </c>
      <c r="H3" s="185">
        <v>1</v>
      </c>
      <c r="I3" s="186">
        <v>0</v>
      </c>
      <c r="J3" s="186">
        <v>1</v>
      </c>
      <c r="K3" s="187">
        <v>0</v>
      </c>
      <c r="L3" s="187">
        <v>0</v>
      </c>
      <c r="M3" s="186">
        <v>1</v>
      </c>
      <c r="N3" s="194">
        <v>1653.6000000000001</v>
      </c>
      <c r="O3" s="184">
        <f t="shared" si="5"/>
      </c>
      <c r="P3" s="194">
        <v>731.49</v>
      </c>
      <c r="Q3" s="188">
        <f t="shared" si="23"/>
      </c>
      <c r="R3" s="189">
        <f t="shared" si="24"/>
      </c>
      <c r="S3" s="188">
        <f t="shared" si="4"/>
      </c>
      <c r="T3" s="191"/>
      <c r="U3" s="191"/>
      <c r="V3" s="195"/>
      <c r="W3" s="195"/>
    </row>
    <row hidden="true" r="4">
      <c r="A4" s="180">
        <v>46217</v>
      </c>
      <c r="B4" s="190" t="s">
        <v>226</v>
      </c>
      <c r="C4" s="196" t="s">
        <v>227</v>
      </c>
      <c r="D4" s="181">
        <v>3</v>
      </c>
      <c r="E4" s="197">
        <v>2</v>
      </c>
      <c r="F4" s="183">
        <v>2</v>
      </c>
      <c r="G4" s="198">
        <v>1</v>
      </c>
      <c r="H4" s="185">
        <v>1</v>
      </c>
      <c r="I4" s="186">
        <v>0</v>
      </c>
      <c r="J4" s="186">
        <v>0</v>
      </c>
      <c r="K4" s="187">
        <v>0</v>
      </c>
      <c r="L4" s="187">
        <v>0</v>
      </c>
      <c r="M4" s="186">
        <v>1</v>
      </c>
      <c r="N4" s="186">
        <v>640.8</v>
      </c>
      <c r="O4" s="184">
        <v>640.8</v>
      </c>
      <c r="P4" s="194">
        <v>2646.7200000000003</v>
      </c>
      <c r="Q4" s="188">
        <f t="shared" si="23"/>
      </c>
      <c r="R4" s="189">
        <f t="shared" si="24"/>
      </c>
      <c r="S4" s="188">
        <f t="shared" si="4"/>
      </c>
      <c r="T4" s="191"/>
      <c r="U4" s="191"/>
      <c r="V4" s="191"/>
      <c r="W4" s="191"/>
    </row>
    <row hidden="true" r="5">
      <c r="A5" s="199">
        <v>46217</v>
      </c>
      <c r="B5" s="200" t="s">
        <v>228</v>
      </c>
      <c r="C5" s="201"/>
      <c r="D5" s="202">
        <f>D4+D2+D3</f>
      </c>
      <c r="E5" s="202">
        <f>E4+E2+E3</f>
      </c>
      <c r="F5" s="202">
        <f>F4+F2+F3</f>
      </c>
      <c r="G5" s="202">
        <f>G4+G2+G3</f>
      </c>
      <c r="H5" s="202">
        <f>H4+H2+H3</f>
      </c>
      <c r="I5" s="202">
        <f>I4+I2+I3</f>
      </c>
      <c r="J5" s="202">
        <f>J4+J2+J3</f>
      </c>
      <c r="K5" s="202">
        <f>K4+K2+K3</f>
      </c>
      <c r="L5" s="202"/>
      <c r="M5" s="202">
        <f>M4+M2+M3</f>
      </c>
      <c r="N5" s="202"/>
      <c r="O5" s="202">
        <f>O4+O2+O3</f>
      </c>
      <c r="P5" s="202">
        <f>P4+P2+P3</f>
      </c>
      <c r="Q5" s="203">
        <f t="shared" si="23"/>
      </c>
      <c r="R5" s="203">
        <f t="shared" si="24"/>
      </c>
      <c r="S5" s="203">
        <f t="shared" si="4"/>
      </c>
      <c r="T5" s="204"/>
      <c r="U5" s="204">
        <f>SUM(U2:U4)</f>
      </c>
      <c r="V5" s="204"/>
      <c r="W5" s="205">
        <f>SUM(W2:W4)</f>
      </c>
    </row>
    <row hidden="true" r="6">
      <c r="A6" s="206">
        <v>46218</v>
      </c>
      <c r="B6" s="181" t="s">
        <v>220</v>
      </c>
      <c r="C6" s="182" t="s">
        <v>229</v>
      </c>
      <c r="D6" s="181">
        <v>3</v>
      </c>
      <c r="E6" s="181">
        <v>0</v>
      </c>
      <c r="F6" s="183">
        <v>1</v>
      </c>
      <c r="G6" s="198">
        <f t="shared" ref="G6:G9" si="1">K6+M6</f>
      </c>
      <c r="H6" s="185">
        <v>0</v>
      </c>
      <c r="I6" s="186">
        <v>0</v>
      </c>
      <c r="J6" s="186">
        <v>0</v>
      </c>
      <c r="K6" s="187">
        <v>0</v>
      </c>
      <c r="L6" s="187">
        <v>0</v>
      </c>
      <c r="M6" s="186">
        <v>0</v>
      </c>
      <c r="N6" s="186">
        <v>0</v>
      </c>
      <c r="O6" s="184">
        <f t="shared" ref="O6:O9" si="6">L6+N6</f>
      </c>
      <c r="P6" s="187">
        <v>877.9200000000001</v>
      </c>
      <c r="Q6" s="188">
        <f t="shared" si="23"/>
      </c>
      <c r="R6" s="189">
        <f t="shared" si="24"/>
      </c>
      <c r="S6" s="188">
        <f t="shared" si="4"/>
      </c>
      <c r="T6" s="190" t="s">
        <v>222</v>
      </c>
      <c r="U6" s="190">
        <v>10</v>
      </c>
      <c r="V6" s="191" t="s">
        <v>223</v>
      </c>
      <c r="W6" s="190">
        <v>10</v>
      </c>
    </row>
    <row hidden="true" r="7">
      <c r="A7" s="206">
        <v>46218</v>
      </c>
      <c r="B7" s="190" t="s">
        <v>224</v>
      </c>
      <c r="C7" s="207" t="s">
        <v>230</v>
      </c>
      <c r="D7" s="181">
        <v>2</v>
      </c>
      <c r="E7" s="193">
        <v>2</v>
      </c>
      <c r="F7" s="183">
        <v>1</v>
      </c>
      <c r="G7" s="198">
        <f t="shared" si="1"/>
      </c>
      <c r="H7" s="185">
        <v>1</v>
      </c>
      <c r="I7" s="186">
        <v>0</v>
      </c>
      <c r="J7" s="186">
        <v>1</v>
      </c>
      <c r="K7" s="187">
        <v>0</v>
      </c>
      <c r="L7" s="187">
        <v>0</v>
      </c>
      <c r="M7" s="186">
        <v>2</v>
      </c>
      <c r="N7" s="208">
        <v>3445.2</v>
      </c>
      <c r="O7" s="198">
        <f t="shared" si="6"/>
      </c>
      <c r="P7" s="194">
        <v>750.79</v>
      </c>
      <c r="Q7" s="188">
        <f t="shared" si="23"/>
      </c>
      <c r="R7" s="189">
        <f t="shared" si="24"/>
      </c>
      <c r="S7" s="188">
        <f t="shared" si="4"/>
      </c>
      <c r="T7" s="191"/>
      <c r="U7" s="191"/>
      <c r="V7" s="195"/>
      <c r="W7" s="195"/>
    </row>
    <row customHeight="true" hidden="true" ht="18.452380952380953" r="8">
      <c r="A8" s="206">
        <v>46218</v>
      </c>
      <c r="B8" s="190" t="s">
        <v>231</v>
      </c>
      <c r="C8" s="207" t="s">
        <v>232</v>
      </c>
      <c r="D8" s="181">
        <v>2</v>
      </c>
      <c r="E8" s="193">
        <v>0</v>
      </c>
      <c r="F8" s="183">
        <v>0</v>
      </c>
      <c r="G8" s="198">
        <f t="shared" si="1"/>
      </c>
      <c r="H8" s="185">
        <v>0</v>
      </c>
      <c r="I8" s="186">
        <v>0</v>
      </c>
      <c r="J8" s="186">
        <v>0</v>
      </c>
      <c r="K8" s="187">
        <v>0</v>
      </c>
      <c r="L8" s="187">
        <v>0</v>
      </c>
      <c r="M8" s="186">
        <v>0</v>
      </c>
      <c r="N8" s="186">
        <v>0</v>
      </c>
      <c r="O8" s="198">
        <f t="shared" si="6"/>
      </c>
      <c r="P8" s="194">
        <v>981.8</v>
      </c>
      <c r="Q8" s="188">
        <f t="shared" si="23"/>
      </c>
      <c r="R8" s="189">
        <f t="shared" si="24"/>
      </c>
      <c r="S8" s="188">
        <f t="shared" si="4"/>
      </c>
      <c r="T8" s="191"/>
      <c r="U8" s="191"/>
      <c r="V8" s="195"/>
      <c r="W8" s="195"/>
    </row>
    <row hidden="true" r="9">
      <c r="A9" s="206">
        <v>46218</v>
      </c>
      <c r="B9" s="190" t="s">
        <v>226</v>
      </c>
      <c r="C9" s="209" t="s">
        <v>233</v>
      </c>
      <c r="D9" s="181">
        <v>3</v>
      </c>
      <c r="E9" s="197">
        <v>6</v>
      </c>
      <c r="F9" s="183">
        <v>5</v>
      </c>
      <c r="G9" s="198">
        <f t="shared" si="1"/>
      </c>
      <c r="H9" s="185">
        <v>4</v>
      </c>
      <c r="I9" s="186">
        <v>0</v>
      </c>
      <c r="J9" s="186">
        <v>1</v>
      </c>
      <c r="K9" s="187">
        <v>0</v>
      </c>
      <c r="L9" s="187">
        <v>0</v>
      </c>
      <c r="M9" s="186">
        <v>4</v>
      </c>
      <c r="N9" s="186">
        <v>5977.200000000001</v>
      </c>
      <c r="O9" s="184">
        <f t="shared" si="6"/>
      </c>
      <c r="P9" s="187">
        <v>4719.65</v>
      </c>
      <c r="Q9" s="188">
        <f t="shared" si="23"/>
      </c>
      <c r="R9" s="189">
        <f t="shared" si="24"/>
      </c>
      <c r="S9" s="188">
        <f t="shared" si="4"/>
      </c>
      <c r="T9" s="191"/>
      <c r="U9" s="191"/>
      <c r="V9" s="191"/>
      <c r="W9" s="191"/>
    </row>
    <row hidden="true" r="10">
      <c r="A10" s="210">
        <v>46218</v>
      </c>
      <c r="B10" s="200" t="s">
        <v>228</v>
      </c>
      <c r="C10" s="201"/>
      <c r="D10" s="202">
        <f>D9+D6+D7+D8</f>
      </c>
      <c r="E10" s="202">
        <f>E9+E6+E7+E8</f>
      </c>
      <c r="F10" s="202">
        <f>F9+F6+F7+F8</f>
      </c>
      <c r="G10" s="202">
        <f>G9+G6+G7+G8</f>
      </c>
      <c r="H10" s="202">
        <f>H9+H6+H7+H8</f>
      </c>
      <c r="I10" s="202">
        <f>I9+I6+I7+I8</f>
      </c>
      <c r="J10" s="202">
        <f>J9+J6+J7+J8</f>
      </c>
      <c r="K10" s="202">
        <f>K9+K6+K7+K8</f>
      </c>
      <c r="L10" s="202">
        <f>L9+L6+L7+L8</f>
      </c>
      <c r="M10" s="202">
        <f>M9+M6+M7+M8</f>
      </c>
      <c r="N10" s="202">
        <f>N9+N6+N7+N8</f>
      </c>
      <c r="O10" s="202">
        <f>O9+O6+O7+O8</f>
      </c>
      <c r="P10" s="202">
        <f>P9+P6+P7+P8</f>
      </c>
      <c r="Q10" s="203">
        <f t="shared" si="23"/>
      </c>
      <c r="R10" s="203">
        <f t="shared" si="24"/>
      </c>
      <c r="S10" s="203">
        <f t="shared" si="4"/>
      </c>
      <c r="T10" s="204"/>
      <c r="U10" s="204">
        <f>SUM(U6:U9)</f>
      </c>
      <c r="V10" s="204"/>
      <c r="W10" s="205">
        <f>SUM(W6:W9)</f>
      </c>
    </row>
    <row hidden="true" r="11">
      <c r="A11" s="206">
        <v>46219</v>
      </c>
      <c r="B11" s="190" t="s">
        <v>234</v>
      </c>
      <c r="C11" s="182" t="s">
        <v>235</v>
      </c>
      <c r="D11" s="181">
        <v>2</v>
      </c>
      <c r="E11" s="181">
        <v>5</v>
      </c>
      <c r="F11" s="183">
        <v>1</v>
      </c>
      <c r="G11" s="198">
        <f t="shared" ref="G11:G13" si="2">K11+M11</f>
      </c>
      <c r="H11" s="185">
        <v>0</v>
      </c>
      <c r="I11" s="186">
        <v>0</v>
      </c>
      <c r="J11" s="186">
        <v>0</v>
      </c>
      <c r="K11" s="187">
        <v>0</v>
      </c>
      <c r="L11" s="187">
        <v>0</v>
      </c>
      <c r="M11" s="186">
        <v>0</v>
      </c>
      <c r="N11" s="186">
        <v>0</v>
      </c>
      <c r="O11" s="184">
        <f t="shared" ref="O11:O13" si="7">L11+N11</f>
      </c>
      <c r="P11" s="187">
        <v>1463.87</v>
      </c>
      <c r="Q11" s="188">
        <f t="shared" si="23"/>
      </c>
      <c r="R11" s="189">
        <f t="shared" si="24"/>
      </c>
      <c r="S11" s="188">
        <f t="shared" si="4"/>
      </c>
      <c r="T11" s="190" t="s">
        <v>222</v>
      </c>
      <c r="U11" s="190">
        <v>10</v>
      </c>
      <c r="V11" s="191" t="s">
        <v>223</v>
      </c>
      <c r="W11" s="190">
        <v>10</v>
      </c>
    </row>
    <row hidden="true" r="12">
      <c r="A12" s="206">
        <v>46219</v>
      </c>
      <c r="B12" s="190" t="s">
        <v>224</v>
      </c>
      <c r="C12" s="207" t="s">
        <v>236</v>
      </c>
      <c r="D12" s="181">
        <v>4</v>
      </c>
      <c r="E12" s="193">
        <v>6</v>
      </c>
      <c r="F12" s="183">
        <v>2</v>
      </c>
      <c r="G12" s="198">
        <f t="shared" si="2"/>
      </c>
      <c r="H12" s="185">
        <v>2</v>
      </c>
      <c r="I12" s="186">
        <v>0</v>
      </c>
      <c r="J12" s="186">
        <v>2</v>
      </c>
      <c r="K12" s="187">
        <v>0</v>
      </c>
      <c r="L12" s="187">
        <v>0</v>
      </c>
      <c r="M12" s="186">
        <v>3</v>
      </c>
      <c r="N12" s="187">
        <v>7196.4</v>
      </c>
      <c r="O12" s="184">
        <f t="shared" si="7"/>
      </c>
      <c r="P12" s="194">
        <v>2131.08</v>
      </c>
      <c r="Q12" s="188">
        <f t="shared" si="23"/>
      </c>
      <c r="R12" s="189">
        <f t="shared" si="24"/>
      </c>
      <c r="S12" s="188">
        <f t="shared" si="4"/>
      </c>
      <c r="T12" s="191"/>
      <c r="U12" s="191"/>
      <c r="V12" s="195"/>
      <c r="W12" s="195"/>
    </row>
    <row hidden="true" r="13">
      <c r="A13" s="206">
        <v>46219</v>
      </c>
      <c r="B13" s="190" t="s">
        <v>226</v>
      </c>
      <c r="C13" s="209" t="s">
        <v>227</v>
      </c>
      <c r="D13" s="181">
        <v>4</v>
      </c>
      <c r="E13" s="197">
        <v>4</v>
      </c>
      <c r="F13" s="183">
        <v>6</v>
      </c>
      <c r="G13" s="198">
        <f t="shared" si="2"/>
      </c>
      <c r="H13" s="185">
        <v>2</v>
      </c>
      <c r="I13" s="186">
        <v>0</v>
      </c>
      <c r="J13" s="186">
        <v>1</v>
      </c>
      <c r="K13" s="187">
        <v>0</v>
      </c>
      <c r="L13" s="187">
        <v>0</v>
      </c>
      <c r="M13" s="186">
        <v>2</v>
      </c>
      <c r="N13" s="186">
        <v>3560.3999999999996</v>
      </c>
      <c r="O13" s="184">
        <f t="shared" si="7"/>
      </c>
      <c r="P13" s="187">
        <v>2372.03</v>
      </c>
      <c r="Q13" s="188">
        <f t="shared" si="23"/>
      </c>
      <c r="R13" s="189">
        <f t="shared" si="24"/>
      </c>
      <c r="S13" s="188">
        <f t="shared" si="4"/>
      </c>
      <c r="T13" s="191"/>
      <c r="U13" s="191"/>
      <c r="V13" s="191"/>
      <c r="W13" s="191"/>
    </row>
    <row hidden="true" r="14">
      <c r="A14" s="211">
        <v>46219</v>
      </c>
      <c r="B14" s="200" t="s">
        <v>228</v>
      </c>
      <c r="C14" s="201"/>
      <c r="D14" s="202">
        <f>D13+D11+D12</f>
      </c>
      <c r="E14" s="202">
        <f>E13+E11+E12</f>
      </c>
      <c r="F14" s="202">
        <f>F13+F11+F12</f>
      </c>
      <c r="G14" s="202">
        <f>G13+G11+G12</f>
      </c>
      <c r="H14" s="202">
        <f>H13+H11+H12</f>
      </c>
      <c r="I14" s="202">
        <f>I13+I11+I12</f>
      </c>
      <c r="J14" s="202">
        <f>J13+J11+J12</f>
      </c>
      <c r="K14" s="202">
        <f>K13+K11+K12</f>
      </c>
      <c r="L14" s="202">
        <f>L13+L11+L12</f>
      </c>
      <c r="M14" s="202">
        <f>M13+M11+M12</f>
      </c>
      <c r="N14" s="202">
        <f>N13+N11+N12</f>
      </c>
      <c r="O14" s="202">
        <f>O13+O11+O12</f>
      </c>
      <c r="P14" s="212">
        <f>P11+P12+P13</f>
      </c>
      <c r="Q14" s="203">
        <f t="shared" si="23"/>
      </c>
      <c r="R14" s="203">
        <f t="shared" si="24"/>
      </c>
      <c r="S14" s="203">
        <f t="shared" si="4"/>
      </c>
      <c r="T14" s="204"/>
      <c r="U14" s="204">
        <f>SUM(U11:U13)</f>
      </c>
      <c r="V14" s="204"/>
      <c r="W14" s="205">
        <f>SUM(W11:W13)</f>
      </c>
    </row>
    <row hidden="true" r="15">
      <c r="A15" s="206">
        <v>46220</v>
      </c>
      <c r="B15" s="190" t="s">
        <v>226</v>
      </c>
      <c r="C15" s="182" t="s">
        <v>229</v>
      </c>
      <c r="D15" s="181">
        <v>3</v>
      </c>
      <c r="E15" s="181">
        <v>4</v>
      </c>
      <c r="F15" s="183">
        <v>3</v>
      </c>
      <c r="G15" s="198">
        <v>1</v>
      </c>
      <c r="H15" s="185">
        <v>1</v>
      </c>
      <c r="I15" s="186">
        <v>0</v>
      </c>
      <c r="J15" s="186">
        <v>1</v>
      </c>
      <c r="K15" s="187">
        <v>0</v>
      </c>
      <c r="L15" s="187">
        <v>0</v>
      </c>
      <c r="M15" s="186">
        <v>1</v>
      </c>
      <c r="N15" s="186">
        <v>1653.6</v>
      </c>
      <c r="O15" s="184">
        <f t="shared" ref="O15:O18" si="8">L15+N15</f>
      </c>
      <c r="P15" s="187">
        <v>4036.84</v>
      </c>
      <c r="Q15" s="188">
        <f t="shared" si="23"/>
      </c>
      <c r="R15" s="189">
        <f t="shared" si="24"/>
      </c>
      <c r="S15" s="188">
        <f t="shared" si="4"/>
      </c>
      <c r="T15" s="190" t="s">
        <v>222</v>
      </c>
      <c r="U15" s="190">
        <v>10</v>
      </c>
      <c r="V15" s="191" t="s">
        <v>223</v>
      </c>
      <c r="W15" s="190">
        <v>10</v>
      </c>
    </row>
    <row hidden="true" r="16">
      <c r="A16" s="206">
        <v>46220</v>
      </c>
      <c r="B16" s="190" t="s">
        <v>237</v>
      </c>
      <c r="C16" s="207" t="s">
        <v>230</v>
      </c>
      <c r="D16" s="181">
        <v>2</v>
      </c>
      <c r="E16" s="193">
        <v>6</v>
      </c>
      <c r="F16" s="183">
        <v>6</v>
      </c>
      <c r="G16" s="198">
        <f>K16+M16</f>
      </c>
      <c r="H16" s="185">
        <v>1</v>
      </c>
      <c r="I16" s="186">
        <v>0</v>
      </c>
      <c r="J16" s="186">
        <v>1</v>
      </c>
      <c r="K16" s="187">
        <v>0</v>
      </c>
      <c r="L16" s="187">
        <v>0</v>
      </c>
      <c r="M16" s="186">
        <v>1</v>
      </c>
      <c r="N16" s="186">
        <v>2961.6000000000004</v>
      </c>
      <c r="O16" s="184">
        <f t="shared" si="8"/>
      </c>
      <c r="P16" s="194">
        <v>2557.6</v>
      </c>
      <c r="Q16" s="188">
        <f t="shared" si="23"/>
      </c>
      <c r="R16" s="189">
        <f t="shared" si="24"/>
      </c>
      <c r="S16" s="188">
        <f t="shared" si="4"/>
      </c>
      <c r="T16" s="191"/>
      <c r="U16" s="191"/>
      <c r="V16" s="195"/>
      <c r="W16" s="195"/>
    </row>
    <row customHeight="true" hidden="true" ht="18.452380952380953" r="17">
      <c r="A17" s="206">
        <v>46220</v>
      </c>
      <c r="B17" s="190" t="s">
        <v>224</v>
      </c>
      <c r="C17" s="207" t="s">
        <v>238</v>
      </c>
      <c r="D17" s="181">
        <v>3</v>
      </c>
      <c r="E17" s="193">
        <v>6</v>
      </c>
      <c r="F17" s="183">
        <v>6</v>
      </c>
      <c r="G17" s="198">
        <v>4</v>
      </c>
      <c r="H17" s="185">
        <v>4</v>
      </c>
      <c r="I17" s="186">
        <v>0</v>
      </c>
      <c r="J17" s="186">
        <v>2</v>
      </c>
      <c r="K17" s="187">
        <v>0</v>
      </c>
      <c r="L17" s="187">
        <v>0</v>
      </c>
      <c r="M17" s="186">
        <v>4</v>
      </c>
      <c r="N17" s="186">
        <v>7296</v>
      </c>
      <c r="O17" s="184">
        <f t="shared" si="8"/>
      </c>
      <c r="P17" s="194">
        <v>4617.759999999999</v>
      </c>
      <c r="Q17" s="188">
        <f t="shared" si="23"/>
      </c>
      <c r="R17" s="189">
        <f t="shared" si="24"/>
      </c>
      <c r="S17" s="188">
        <f t="shared" si="4"/>
      </c>
      <c r="T17" s="191"/>
      <c r="U17" s="191"/>
      <c r="V17" s="195"/>
      <c r="W17" s="195"/>
    </row>
    <row hidden="true" r="18">
      <c r="A18" s="213">
        <v>46220</v>
      </c>
      <c r="B18" s="190" t="s">
        <v>234</v>
      </c>
      <c r="C18" s="214" t="s">
        <v>239</v>
      </c>
      <c r="D18" s="181">
        <v>2</v>
      </c>
      <c r="E18" s="197">
        <v>1</v>
      </c>
      <c r="F18" s="183">
        <v>1</v>
      </c>
      <c r="G18" s="198">
        <f>K18+M18</f>
      </c>
      <c r="H18" s="185">
        <v>1</v>
      </c>
      <c r="I18" s="186">
        <v>0</v>
      </c>
      <c r="J18" s="186">
        <v>1</v>
      </c>
      <c r="K18" s="187">
        <v>0</v>
      </c>
      <c r="L18" s="187">
        <v>0</v>
      </c>
      <c r="M18" s="186">
        <v>1</v>
      </c>
      <c r="N18" s="186">
        <v>2722.8</v>
      </c>
      <c r="O18" s="184">
        <f t="shared" si="8"/>
      </c>
      <c r="P18" s="187">
        <v>2055.13</v>
      </c>
      <c r="Q18" s="188">
        <f t="shared" si="23"/>
      </c>
      <c r="R18" s="189">
        <f t="shared" si="24"/>
      </c>
      <c r="S18" s="188">
        <f t="shared" si="4"/>
      </c>
      <c r="T18" s="191"/>
      <c r="U18" s="191"/>
      <c r="V18" s="191"/>
      <c r="W18" s="191"/>
    </row>
    <row hidden="true" r="19">
      <c r="A19" s="215">
        <v>46220</v>
      </c>
      <c r="B19" s="216" t="s">
        <v>228</v>
      </c>
      <c r="C19" s="217"/>
      <c r="D19" s="218">
        <f>D18+D15+D16+D17</f>
      </c>
      <c r="E19" s="202">
        <f>E18+E15+E16+E17</f>
      </c>
      <c r="F19" s="202">
        <f>F18+F15+F16+F17</f>
      </c>
      <c r="G19" s="202">
        <f>G18+G15+G16+G17</f>
      </c>
      <c r="H19" s="202">
        <f>H18+H15+H16+H17</f>
      </c>
      <c r="I19" s="202">
        <f>I18+I15+I16+I17</f>
      </c>
      <c r="J19" s="202">
        <f>J18+J15+J16+J17</f>
      </c>
      <c r="K19" s="202">
        <f>K18+K15+K16+K17</f>
      </c>
      <c r="L19" s="202">
        <f>L18+L15+L16+L17</f>
      </c>
      <c r="M19" s="202">
        <f>M18+M15+M16+M17</f>
      </c>
      <c r="N19" s="202">
        <f>N18+N15+N16+N17</f>
      </c>
      <c r="O19" s="202">
        <f>O18+O15+O16+O17</f>
      </c>
      <c r="P19" s="202">
        <f>P18+P15+P16+P17</f>
      </c>
      <c r="Q19" s="203">
        <f t="shared" si="23"/>
      </c>
      <c r="R19" s="203">
        <f t="shared" si="24"/>
      </c>
      <c r="S19" s="203">
        <f t="shared" si="4"/>
      </c>
      <c r="T19" s="204"/>
      <c r="U19" s="204">
        <f>SUM(U15:U18)</f>
      </c>
      <c r="V19" s="204"/>
      <c r="W19" s="205">
        <f>SUM(W15:W18)</f>
      </c>
    </row>
    <row hidden="true" r="20">
      <c r="A20" s="206">
        <v>46221</v>
      </c>
      <c r="B20" s="190" t="s">
        <v>226</v>
      </c>
      <c r="C20" s="182" t="s">
        <v>229</v>
      </c>
      <c r="D20" s="181">
        <v>3</v>
      </c>
      <c r="E20" s="181">
        <v>4</v>
      </c>
      <c r="F20" s="183">
        <v>3</v>
      </c>
      <c r="G20" s="198">
        <v>2</v>
      </c>
      <c r="H20" s="185">
        <v>1</v>
      </c>
      <c r="I20" s="186">
        <v>0</v>
      </c>
      <c r="J20" s="186">
        <v>0</v>
      </c>
      <c r="K20" s="187">
        <v>0</v>
      </c>
      <c r="L20" s="187">
        <v>0</v>
      </c>
      <c r="M20" s="186">
        <v>2</v>
      </c>
      <c r="N20" s="186">
        <v>1708.8000000000002</v>
      </c>
      <c r="O20" s="184">
        <f t="shared" ref="O20:O23" si="9">L20+N20</f>
      </c>
      <c r="P20" s="187">
        <v>3466.9799999999996</v>
      </c>
      <c r="Q20" s="188">
        <f t="shared" si="23"/>
      </c>
      <c r="R20" s="189">
        <f t="shared" si="24"/>
      </c>
      <c r="S20" s="188">
        <f t="shared" si="4"/>
      </c>
      <c r="T20" s="190" t="s">
        <v>222</v>
      </c>
      <c r="U20" s="190">
        <v>10</v>
      </c>
      <c r="V20" s="191" t="s">
        <v>223</v>
      </c>
      <c r="W20" s="190">
        <v>10</v>
      </c>
    </row>
    <row hidden="true" r="21">
      <c r="A21" s="206">
        <v>46221</v>
      </c>
      <c r="B21" s="190" t="s">
        <v>231</v>
      </c>
      <c r="C21" s="207" t="s">
        <v>230</v>
      </c>
      <c r="D21" s="181">
        <v>2</v>
      </c>
      <c r="E21" s="193">
        <v>3</v>
      </c>
      <c r="F21" s="183">
        <v>2</v>
      </c>
      <c r="G21" s="198">
        <f>K21+M21</f>
      </c>
      <c r="H21" s="185">
        <v>2</v>
      </c>
      <c r="I21" s="186">
        <v>0</v>
      </c>
      <c r="J21" s="186">
        <v>1</v>
      </c>
      <c r="K21" s="187">
        <v>0</v>
      </c>
      <c r="L21" s="187">
        <v>0</v>
      </c>
      <c r="M21" s="186">
        <v>2</v>
      </c>
      <c r="N21" s="186">
        <v>4050</v>
      </c>
      <c r="O21" s="184">
        <f t="shared" si="9"/>
      </c>
      <c r="P21" s="194">
        <v>3030.9999999999995</v>
      </c>
      <c r="Q21" s="188">
        <f t="shared" si="23"/>
      </c>
      <c r="R21" s="189">
        <f t="shared" si="24"/>
      </c>
      <c r="S21" s="188">
        <f t="shared" si="4"/>
      </c>
      <c r="T21" s="191"/>
      <c r="U21" s="191"/>
      <c r="V21" s="195"/>
      <c r="W21" s="195"/>
    </row>
    <row hidden="true" r="22">
      <c r="A22" s="206">
        <v>46221</v>
      </c>
      <c r="B22" s="190" t="s">
        <v>224</v>
      </c>
      <c r="C22" s="207" t="s">
        <v>238</v>
      </c>
      <c r="D22" s="181">
        <v>3</v>
      </c>
      <c r="E22" s="193">
        <v>6</v>
      </c>
      <c r="F22" s="183">
        <v>6</v>
      </c>
      <c r="G22" s="198">
        <v>4</v>
      </c>
      <c r="H22" s="185">
        <v>3</v>
      </c>
      <c r="I22" s="186">
        <v>0</v>
      </c>
      <c r="J22" s="186">
        <v>3</v>
      </c>
      <c r="K22" s="187">
        <v>0</v>
      </c>
      <c r="L22" s="187">
        <v>0</v>
      </c>
      <c r="M22" s="186">
        <v>4</v>
      </c>
      <c r="N22" s="186">
        <v>8665.2</v>
      </c>
      <c r="O22" s="184">
        <f t="shared" si="9"/>
      </c>
      <c r="P22" s="194">
        <v>5674.63</v>
      </c>
      <c r="Q22" s="188">
        <f t="shared" si="23"/>
      </c>
      <c r="R22" s="189">
        <f t="shared" si="24"/>
      </c>
      <c r="S22" s="188">
        <f t="shared" si="4"/>
      </c>
      <c r="T22" s="191"/>
      <c r="U22" s="191"/>
      <c r="V22" s="195"/>
      <c r="W22" s="195"/>
    </row>
    <row hidden="true" r="23">
      <c r="A23" s="206">
        <v>46221</v>
      </c>
      <c r="B23" s="190" t="s">
        <v>234</v>
      </c>
      <c r="C23" s="214" t="s">
        <v>239</v>
      </c>
      <c r="D23" s="181">
        <v>2</v>
      </c>
      <c r="E23" s="197">
        <v>2</v>
      </c>
      <c r="F23" s="183">
        <v>2</v>
      </c>
      <c r="G23" s="198">
        <v>1</v>
      </c>
      <c r="H23" s="185">
        <v>0</v>
      </c>
      <c r="I23" s="186">
        <v>0</v>
      </c>
      <c r="J23" s="186">
        <v>0</v>
      </c>
      <c r="K23" s="187">
        <v>0</v>
      </c>
      <c r="L23" s="187">
        <v>0</v>
      </c>
      <c r="M23" s="186">
        <v>1</v>
      </c>
      <c r="N23" s="186">
        <v>1414.8000000000002</v>
      </c>
      <c r="O23" s="184">
        <f t="shared" si="9"/>
      </c>
      <c r="P23" s="187">
        <v>2568.01</v>
      </c>
      <c r="Q23" s="188">
        <f t="shared" si="23"/>
      </c>
      <c r="R23" s="189">
        <f t="shared" si="24"/>
      </c>
      <c r="S23" s="188">
        <f t="shared" si="4"/>
      </c>
      <c r="T23" s="191"/>
      <c r="U23" s="191"/>
      <c r="V23" s="191"/>
      <c r="W23" s="191"/>
    </row>
    <row hidden="true" r="24">
      <c r="A24" s="211">
        <v>46221</v>
      </c>
      <c r="B24" s="216" t="s">
        <v>228</v>
      </c>
      <c r="C24" s="217"/>
      <c r="D24" s="218">
        <f>D23+D20+D21+D22</f>
      </c>
      <c r="E24" s="202">
        <f>E23+E20+E21+E22</f>
      </c>
      <c r="F24" s="202">
        <f>F23+F20+F21+F22</f>
      </c>
      <c r="G24" s="202">
        <f>G23+G20+G21+G22</f>
      </c>
      <c r="H24" s="202">
        <f>H23+H20+H21+H22</f>
      </c>
      <c r="I24" s="202">
        <f>I23+I20+I21+I22</f>
      </c>
      <c r="J24" s="202">
        <f>J23+J20+J21+J22</f>
      </c>
      <c r="K24" s="202">
        <f>K23+K20+K21+K22</f>
      </c>
      <c r="L24" s="202">
        <f>L23+L20+L21+L22</f>
      </c>
      <c r="M24" s="202">
        <f>M23+M20+M21+M22</f>
      </c>
      <c r="N24" s="202">
        <f>N23+N20+N21+N22</f>
      </c>
      <c r="O24" s="202">
        <f>O23+O20+O21+O22</f>
      </c>
      <c r="P24" s="202">
        <f>P23+P20+P21+P22</f>
      </c>
      <c r="Q24" s="203">
        <f t="shared" si="23"/>
      </c>
      <c r="R24" s="203">
        <f t="shared" si="24"/>
      </c>
      <c r="S24" s="203">
        <f t="shared" si="4"/>
      </c>
      <c r="T24" s="204"/>
      <c r="U24" s="204">
        <f>SUM(U20:U23)</f>
      </c>
      <c r="V24" s="204"/>
      <c r="W24" s="205">
        <f>SUM(W20:W23)</f>
      </c>
    </row>
    <row hidden="true" r="25">
      <c r="A25" s="206">
        <v>46222</v>
      </c>
      <c r="B25" s="190" t="s">
        <v>224</v>
      </c>
      <c r="C25" s="182" t="s">
        <v>229</v>
      </c>
      <c r="D25" s="181">
        <v>3</v>
      </c>
      <c r="E25" s="181">
        <v>1</v>
      </c>
      <c r="F25" s="183">
        <v>1</v>
      </c>
      <c r="G25" s="198">
        <f t="shared" ref="G25:G27" si="3">K25+M25</f>
      </c>
      <c r="H25" s="185">
        <v>1</v>
      </c>
      <c r="I25" s="186">
        <v>0</v>
      </c>
      <c r="J25" s="186">
        <v>0</v>
      </c>
      <c r="K25" s="187">
        <v>0</v>
      </c>
      <c r="L25" s="187">
        <v>0</v>
      </c>
      <c r="M25" s="186">
        <v>1</v>
      </c>
      <c r="N25" s="186">
        <v>652.8</v>
      </c>
      <c r="O25" s="184">
        <f t="shared" ref="O25:O28" si="10">L25+N25</f>
      </c>
      <c r="P25" s="187">
        <v>3500.68</v>
      </c>
      <c r="Q25" s="188">
        <f t="shared" si="23"/>
      </c>
      <c r="R25" s="189">
        <f t="shared" si="24"/>
      </c>
      <c r="S25" s="188">
        <f t="shared" si="4"/>
      </c>
      <c r="T25" s="190" t="s">
        <v>222</v>
      </c>
      <c r="U25" s="190">
        <v>10</v>
      </c>
      <c r="V25" s="191" t="s">
        <v>223</v>
      </c>
      <c r="W25" s="190">
        <v>10</v>
      </c>
    </row>
    <row hidden="true" r="26">
      <c r="A26" s="206">
        <v>46222</v>
      </c>
      <c r="B26" s="190" t="s">
        <v>231</v>
      </c>
      <c r="C26" s="207" t="s">
        <v>230</v>
      </c>
      <c r="D26" s="181">
        <v>2</v>
      </c>
      <c r="E26" s="193">
        <v>2</v>
      </c>
      <c r="F26" s="183">
        <v>2</v>
      </c>
      <c r="G26" s="198">
        <f t="shared" si="3"/>
      </c>
      <c r="H26" s="185">
        <v>1</v>
      </c>
      <c r="I26" s="186">
        <v>0</v>
      </c>
      <c r="J26" s="186">
        <v>0</v>
      </c>
      <c r="K26" s="187">
        <v>0</v>
      </c>
      <c r="L26" s="187">
        <v>0</v>
      </c>
      <c r="M26" s="186">
        <v>1</v>
      </c>
      <c r="N26" s="186">
        <v>640.8</v>
      </c>
      <c r="O26" s="184">
        <f t="shared" si="10"/>
      </c>
      <c r="P26" s="194">
        <v>3962.8</v>
      </c>
      <c r="Q26" s="188">
        <f t="shared" si="23"/>
      </c>
      <c r="R26" s="189">
        <f t="shared" si="24"/>
      </c>
      <c r="S26" s="188">
        <f t="shared" si="4"/>
      </c>
      <c r="T26" s="191"/>
      <c r="U26" s="191"/>
      <c r="V26" s="195"/>
      <c r="W26" s="195"/>
    </row>
    <row hidden="true" r="27">
      <c r="A27" s="206">
        <v>46222</v>
      </c>
      <c r="B27" s="190" t="s">
        <v>237</v>
      </c>
      <c r="C27" s="207" t="s">
        <v>232</v>
      </c>
      <c r="D27" s="181">
        <v>2</v>
      </c>
      <c r="E27" s="193">
        <v>5</v>
      </c>
      <c r="F27" s="183">
        <v>4</v>
      </c>
      <c r="G27" s="198">
        <f t="shared" si="3"/>
      </c>
      <c r="H27" s="185">
        <v>3</v>
      </c>
      <c r="I27" s="186">
        <v>0</v>
      </c>
      <c r="J27" s="186">
        <v>0</v>
      </c>
      <c r="K27" s="187">
        <v>0</v>
      </c>
      <c r="L27" s="187">
        <v>0</v>
      </c>
      <c r="M27" s="186">
        <v>3</v>
      </c>
      <c r="N27" s="186">
        <v>2382</v>
      </c>
      <c r="O27" s="184">
        <f t="shared" si="10"/>
      </c>
      <c r="P27" s="194">
        <v>3995.09</v>
      </c>
      <c r="Q27" s="188">
        <f t="shared" si="23"/>
      </c>
      <c r="R27" s="189">
        <f t="shared" si="24"/>
      </c>
      <c r="S27" s="188">
        <f t="shared" si="4"/>
      </c>
      <c r="T27" s="191"/>
      <c r="U27" s="191"/>
      <c r="V27" s="195"/>
      <c r="W27" s="195"/>
    </row>
    <row hidden="true" r="28">
      <c r="A28" s="206">
        <v>46222</v>
      </c>
      <c r="B28" s="190" t="s">
        <v>226</v>
      </c>
      <c r="C28" s="214" t="s">
        <v>233</v>
      </c>
      <c r="D28" s="181">
        <v>3</v>
      </c>
      <c r="E28" s="197">
        <v>1</v>
      </c>
      <c r="F28" s="183">
        <v>1</v>
      </c>
      <c r="G28" s="198">
        <v>1</v>
      </c>
      <c r="H28" s="185">
        <v>1</v>
      </c>
      <c r="I28" s="186">
        <v>0</v>
      </c>
      <c r="J28" s="186">
        <v>0</v>
      </c>
      <c r="K28" s="187">
        <v>0</v>
      </c>
      <c r="L28" s="187">
        <v>0</v>
      </c>
      <c r="M28" s="186">
        <v>6</v>
      </c>
      <c r="N28" s="186">
        <v>652.8</v>
      </c>
      <c r="O28" s="184">
        <f t="shared" si="10"/>
      </c>
      <c r="P28" s="187">
        <v>3094.93</v>
      </c>
      <c r="Q28" s="188">
        <f t="shared" si="23"/>
      </c>
      <c r="R28" s="189">
        <f t="shared" si="24"/>
      </c>
      <c r="S28" s="188">
        <f t="shared" si="4"/>
      </c>
      <c r="T28" s="191"/>
      <c r="U28" s="191"/>
      <c r="V28" s="191"/>
      <c r="W28" s="191"/>
    </row>
    <row hidden="true" r="29">
      <c r="A29" s="211">
        <v>46222</v>
      </c>
      <c r="B29" s="216" t="s">
        <v>228</v>
      </c>
      <c r="C29" s="217"/>
      <c r="D29" s="218">
        <f>D28+D25+D26+D27</f>
      </c>
      <c r="E29" s="202">
        <f>E28+E25+E26+E27</f>
      </c>
      <c r="F29" s="202">
        <f>F28+F25+F26+F27</f>
      </c>
      <c r="G29" s="202">
        <f>G28+G25+G26+G27</f>
      </c>
      <c r="H29" s="202">
        <f>H28+H25+H26+H27</f>
      </c>
      <c r="I29" s="202">
        <f>I28+I25+I26+I27</f>
      </c>
      <c r="J29" s="202">
        <f>J28+J25+J26+J27</f>
      </c>
      <c r="K29" s="202">
        <f>K28+K25+K26+K27</f>
      </c>
      <c r="L29" s="202">
        <f>L28+L25+L26+L27</f>
      </c>
      <c r="M29" s="202">
        <f>M28+M25+M26+M27</f>
      </c>
      <c r="N29" s="202">
        <f>N28+N25+N26+N27</f>
      </c>
      <c r="O29" s="202">
        <f>O28+O25+O26+O27</f>
      </c>
      <c r="P29" s="202">
        <f>P28+P25+P26+P27</f>
      </c>
      <c r="Q29" s="203">
        <f t="shared" si="23"/>
      </c>
      <c r="R29" s="203">
        <f t="shared" si="24"/>
      </c>
      <c r="S29" s="203">
        <f t="shared" si="4"/>
      </c>
      <c r="T29" s="204"/>
      <c r="U29" s="204">
        <f>SUM(U25:U28)</f>
      </c>
      <c r="V29" s="204"/>
      <c r="W29" s="205">
        <f>SUM(W25:W28)</f>
      </c>
    </row>
    <row hidden="true" r="30">
      <c r="A30" s="206">
        <v>46223</v>
      </c>
      <c r="B30" s="190" t="s">
        <v>224</v>
      </c>
      <c r="C30" s="182" t="s">
        <v>229</v>
      </c>
      <c r="D30" s="181">
        <v>3</v>
      </c>
      <c r="E30" s="181">
        <v>12</v>
      </c>
      <c r="F30" s="183">
        <v>6</v>
      </c>
      <c r="G30" s="198">
        <v>7</v>
      </c>
      <c r="H30" s="185">
        <v>4</v>
      </c>
      <c r="I30" s="186">
        <v>0</v>
      </c>
      <c r="J30" s="186">
        <v>5</v>
      </c>
      <c r="K30" s="187">
        <v>0</v>
      </c>
      <c r="L30" s="187">
        <v>0</v>
      </c>
      <c r="M30" s="186">
        <v>7</v>
      </c>
      <c r="N30" s="186">
        <v>14770.8</v>
      </c>
      <c r="O30" s="184">
        <f t="shared" ref="O30:O32" si="11">L30+N30</f>
      </c>
      <c r="P30" s="187">
        <v>2685.23</v>
      </c>
      <c r="Q30" s="188">
        <f t="shared" si="23"/>
      </c>
      <c r="R30" s="189">
        <f t="shared" si="24"/>
      </c>
      <c r="S30" s="188">
        <f t="shared" si="4"/>
      </c>
      <c r="T30" s="190" t="s">
        <v>240</v>
      </c>
      <c r="U30" s="190">
        <v>9</v>
      </c>
      <c r="V30" s="191" t="s">
        <v>223</v>
      </c>
      <c r="W30" s="190">
        <v>9</v>
      </c>
    </row>
    <row hidden="true" r="31">
      <c r="A31" s="206">
        <v>46223</v>
      </c>
      <c r="B31" s="190" t="s">
        <v>237</v>
      </c>
      <c r="C31" s="207" t="s">
        <v>230</v>
      </c>
      <c r="D31" s="193">
        <v>2</v>
      </c>
      <c r="E31" s="193">
        <v>4</v>
      </c>
      <c r="F31" s="193">
        <v>3</v>
      </c>
      <c r="G31" s="198">
        <v>3</v>
      </c>
      <c r="H31" s="193">
        <v>2</v>
      </c>
      <c r="I31" s="186">
        <v>0</v>
      </c>
      <c r="J31" s="186">
        <v>2</v>
      </c>
      <c r="K31" s="187">
        <v>0</v>
      </c>
      <c r="L31" s="187">
        <v>0</v>
      </c>
      <c r="M31" s="186">
        <v>3</v>
      </c>
      <c r="N31" s="186">
        <v>5386.2</v>
      </c>
      <c r="O31" s="184">
        <f t="shared" si="11"/>
      </c>
      <c r="P31" s="187">
        <v>4263.67</v>
      </c>
      <c r="Q31" s="188">
        <f t="shared" si="23"/>
      </c>
      <c r="R31" s="189">
        <f t="shared" si="24"/>
      </c>
      <c r="S31" s="188">
        <f t="shared" si="4"/>
      </c>
      <c r="T31" s="191"/>
      <c r="U31" s="191"/>
      <c r="V31" s="195"/>
      <c r="W31" s="195"/>
    </row>
    <row hidden="true" r="32">
      <c r="A32" s="206">
        <v>46223</v>
      </c>
      <c r="B32" s="190" t="s">
        <v>226</v>
      </c>
      <c r="C32" s="207" t="s">
        <v>241</v>
      </c>
      <c r="D32" s="181">
        <v>4</v>
      </c>
      <c r="E32" s="193">
        <v>3</v>
      </c>
      <c r="F32" s="183">
        <v>3</v>
      </c>
      <c r="G32" s="198">
        <v>3</v>
      </c>
      <c r="H32" s="185">
        <v>3</v>
      </c>
      <c r="I32" s="186">
        <v>0</v>
      </c>
      <c r="J32" s="186">
        <v>0</v>
      </c>
      <c r="K32" s="187">
        <v>0</v>
      </c>
      <c r="L32" s="187">
        <v>0</v>
      </c>
      <c r="M32" s="186">
        <v>3</v>
      </c>
      <c r="N32" s="186">
        <v>2143.2</v>
      </c>
      <c r="O32" s="184">
        <f t="shared" si="11"/>
      </c>
      <c r="P32" s="187">
        <v>6048.729999999999</v>
      </c>
      <c r="Q32" s="188">
        <f t="shared" si="23"/>
      </c>
      <c r="R32" s="189">
        <f t="shared" si="24"/>
      </c>
      <c r="S32" s="188">
        <f t="shared" si="4"/>
      </c>
      <c r="T32" s="191"/>
      <c r="U32" s="191"/>
      <c r="V32" s="195"/>
      <c r="W32" s="195"/>
    </row>
    <row hidden="true" r="33">
      <c r="A33" s="211">
        <v>46223</v>
      </c>
      <c r="B33" s="216" t="s">
        <v>228</v>
      </c>
      <c r="C33" s="217"/>
      <c r="D33" s="219">
        <f>D30+D31+D32</f>
      </c>
      <c r="E33" s="202">
        <f>E30+E31+E32</f>
      </c>
      <c r="F33" s="202">
        <f>F30+F31+F32</f>
      </c>
      <c r="G33" s="202">
        <f>G30+G31+G32</f>
      </c>
      <c r="H33" s="202">
        <f>H30+H31+H32</f>
      </c>
      <c r="I33" s="202">
        <f>I30+I31+I32</f>
      </c>
      <c r="J33" s="202">
        <f>J30+J31+J32</f>
      </c>
      <c r="K33" s="202">
        <f>K30+K31+K32</f>
      </c>
      <c r="L33" s="202">
        <f>L30+L31+L32</f>
      </c>
      <c r="M33" s="202">
        <f>M30+M31+M32</f>
      </c>
      <c r="N33" s="202">
        <f>N30+N31+N32</f>
      </c>
      <c r="O33" s="202">
        <f>O30+O31+O32</f>
      </c>
      <c r="P33" s="202">
        <f>P30+P31+P32</f>
      </c>
      <c r="Q33" s="203">
        <f t="shared" si="23"/>
      </c>
      <c r="R33" s="203">
        <f t="shared" si="24"/>
      </c>
      <c r="S33" s="203">
        <f t="shared" si="4"/>
      </c>
      <c r="T33" s="204"/>
      <c r="U33" s="204">
        <f>SUM(U30:U32)</f>
      </c>
      <c r="V33" s="204"/>
      <c r="W33" s="205">
        <f>SUM(W30:W32)</f>
      </c>
    </row>
    <row hidden="true" r="34">
      <c r="A34" s="206">
        <v>46224</v>
      </c>
      <c r="B34" s="190" t="s">
        <v>224</v>
      </c>
      <c r="C34" s="182" t="s">
        <v>229</v>
      </c>
      <c r="D34" s="181">
        <v>3</v>
      </c>
      <c r="E34" s="181">
        <v>3</v>
      </c>
      <c r="F34" s="183">
        <v>1</v>
      </c>
      <c r="G34" s="198">
        <v>2</v>
      </c>
      <c r="H34" s="185">
        <v>1</v>
      </c>
      <c r="I34" s="186">
        <v>0</v>
      </c>
      <c r="J34" s="186">
        <v>0</v>
      </c>
      <c r="K34" s="187">
        <v>0</v>
      </c>
      <c r="L34" s="187">
        <v>0</v>
      </c>
      <c r="M34" s="186">
        <v>2</v>
      </c>
      <c r="N34" s="186">
        <v>804</v>
      </c>
      <c r="O34" s="184">
        <f t="shared" ref="O34:O37" si="12">L34+N34</f>
      </c>
      <c r="P34" s="187">
        <v>1240.94</v>
      </c>
      <c r="Q34" s="188">
        <f t="shared" si="23"/>
      </c>
      <c r="R34" s="189">
        <f t="shared" si="24"/>
      </c>
      <c r="S34" s="188">
        <f t="shared" si="4"/>
      </c>
      <c r="T34" s="190" t="s">
        <v>240</v>
      </c>
      <c r="U34" s="190">
        <v>10</v>
      </c>
      <c r="V34" s="191" t="s">
        <v>223</v>
      </c>
      <c r="W34" s="190">
        <v>10</v>
      </c>
    </row>
    <row hidden="true" r="35">
      <c r="A35" s="206">
        <v>46224</v>
      </c>
      <c r="B35" s="190" t="s">
        <v>231</v>
      </c>
      <c r="C35" s="207" t="s">
        <v>230</v>
      </c>
      <c r="D35" s="181">
        <v>2</v>
      </c>
      <c r="E35" s="193">
        <v>0</v>
      </c>
      <c r="F35" s="183">
        <v>0</v>
      </c>
      <c r="G35" s="198">
        <v>0</v>
      </c>
      <c r="H35" s="185">
        <v>0</v>
      </c>
      <c r="I35" s="186">
        <v>0</v>
      </c>
      <c r="J35" s="186">
        <v>0</v>
      </c>
      <c r="K35" s="187">
        <v>0</v>
      </c>
      <c r="L35" s="187">
        <v>0</v>
      </c>
      <c r="M35" s="186">
        <v>0</v>
      </c>
      <c r="N35" s="186">
        <v>0</v>
      </c>
      <c r="O35" s="184">
        <f t="shared" si="12"/>
      </c>
      <c r="P35" s="187">
        <v>1429.06</v>
      </c>
      <c r="Q35" s="188">
        <f t="shared" si="23"/>
      </c>
      <c r="R35" s="189">
        <f t="shared" si="24"/>
      </c>
      <c r="S35" s="188">
        <f t="shared" si="4"/>
      </c>
      <c r="T35" s="191"/>
      <c r="U35" s="191"/>
      <c r="V35" s="195"/>
      <c r="W35" s="195"/>
    </row>
    <row hidden="true" r="36">
      <c r="A36" s="206">
        <v>46224</v>
      </c>
      <c r="B36" s="190" t="s">
        <v>237</v>
      </c>
      <c r="C36" s="207" t="s">
        <v>238</v>
      </c>
      <c r="D36" s="181">
        <v>3</v>
      </c>
      <c r="E36" s="193">
        <v>4</v>
      </c>
      <c r="F36" s="183">
        <v>3</v>
      </c>
      <c r="G36" s="198">
        <v>3</v>
      </c>
      <c r="H36" s="185">
        <v>2</v>
      </c>
      <c r="I36" s="186">
        <v>1</v>
      </c>
      <c r="J36" s="186">
        <v>2</v>
      </c>
      <c r="K36" s="187">
        <v>0</v>
      </c>
      <c r="L36" s="187">
        <v>0</v>
      </c>
      <c r="M36" s="186">
        <v>3</v>
      </c>
      <c r="N36" s="186">
        <v>6012</v>
      </c>
      <c r="O36" s="184">
        <f t="shared" si="12"/>
      </c>
      <c r="P36" s="187">
        <v>3024.11</v>
      </c>
      <c r="Q36" s="188">
        <f t="shared" si="23"/>
      </c>
      <c r="R36" s="189">
        <f t="shared" si="24"/>
      </c>
      <c r="S36" s="188">
        <f t="shared" si="4"/>
      </c>
      <c r="T36" s="191"/>
      <c r="U36" s="191"/>
      <c r="V36" s="195"/>
      <c r="W36" s="195"/>
    </row>
    <row hidden="true" r="37">
      <c r="A37" s="206">
        <v>46224</v>
      </c>
      <c r="B37" s="190" t="s">
        <v>234</v>
      </c>
      <c r="C37" s="207" t="s">
        <v>239</v>
      </c>
      <c r="D37" s="181">
        <v>2</v>
      </c>
      <c r="E37" s="197">
        <v>1</v>
      </c>
      <c r="F37" s="183">
        <v>1</v>
      </c>
      <c r="G37" s="198">
        <v>1</v>
      </c>
      <c r="H37" s="185">
        <v>1</v>
      </c>
      <c r="I37" s="186">
        <v>0</v>
      </c>
      <c r="J37" s="186">
        <v>0</v>
      </c>
      <c r="K37" s="187">
        <v>0</v>
      </c>
      <c r="L37" s="187">
        <v>0</v>
      </c>
      <c r="M37" s="186">
        <v>1</v>
      </c>
      <c r="N37" s="186">
        <v>1653.6</v>
      </c>
      <c r="O37" s="184">
        <f t="shared" si="12"/>
      </c>
      <c r="P37" s="187">
        <v>1543.44</v>
      </c>
      <c r="Q37" s="188">
        <f t="shared" si="23"/>
      </c>
      <c r="R37" s="189">
        <f t="shared" si="24"/>
      </c>
      <c r="S37" s="188">
        <f t="shared" si="4"/>
      </c>
      <c r="T37" s="191"/>
      <c r="U37" s="191"/>
      <c r="V37" s="191"/>
      <c r="W37" s="191"/>
    </row>
    <row hidden="true" r="38">
      <c r="A38" s="211">
        <v>46224</v>
      </c>
      <c r="B38" s="216" t="s">
        <v>228</v>
      </c>
      <c r="C38" s="217"/>
      <c r="D38" s="218">
        <f>D37+D34+D35+D36</f>
      </c>
      <c r="E38" s="202">
        <f>E37+E34+E35+E36</f>
      </c>
      <c r="F38" s="202">
        <f>F37+F34+F35+F36</f>
      </c>
      <c r="G38" s="202">
        <f>G37+G34+G35+G36</f>
      </c>
      <c r="H38" s="202">
        <f>H37+H34+H35+H36</f>
      </c>
      <c r="I38" s="202">
        <f>I37+I34+I35+I36</f>
      </c>
      <c r="J38" s="202">
        <f>J37+J34+J35+J36</f>
      </c>
      <c r="K38" s="202">
        <f>K37+K34+K35+K36</f>
      </c>
      <c r="L38" s="202">
        <f>L37+L34+L35+L36</f>
      </c>
      <c r="M38" s="202">
        <f>M37+M34+M35+M36</f>
      </c>
      <c r="N38" s="202">
        <f>N37+N34+N35+N36</f>
      </c>
      <c r="O38" s="202">
        <f>O37+O34+O35+O36</f>
      </c>
      <c r="P38" s="202">
        <f>P37+P34+P35+P36</f>
      </c>
      <c r="Q38" s="203">
        <f t="shared" si="23"/>
      </c>
      <c r="R38" s="203">
        <f t="shared" si="24"/>
      </c>
      <c r="S38" s="203">
        <f t="shared" si="4"/>
      </c>
      <c r="T38" s="204"/>
      <c r="U38" s="204">
        <f>SUM(U34:U37)</f>
      </c>
      <c r="V38" s="204"/>
      <c r="W38" s="205">
        <f>SUM(W34:W37)</f>
      </c>
    </row>
    <row hidden="true" r="39">
      <c r="A39" s="206">
        <v>46225</v>
      </c>
      <c r="B39" s="190" t="s">
        <v>224</v>
      </c>
      <c r="C39" s="182" t="s">
        <v>242</v>
      </c>
      <c r="D39" s="181">
        <v>3</v>
      </c>
      <c r="E39" s="181">
        <v>6</v>
      </c>
      <c r="F39" s="183">
        <v>5</v>
      </c>
      <c r="G39" s="198">
        <v>5</v>
      </c>
      <c r="H39" s="185">
        <v>4</v>
      </c>
      <c r="I39" s="186">
        <v>0</v>
      </c>
      <c r="J39" s="186">
        <v>1</v>
      </c>
      <c r="K39" s="187">
        <v>0</v>
      </c>
      <c r="L39" s="187">
        <v>0</v>
      </c>
      <c r="M39" s="186">
        <v>5</v>
      </c>
      <c r="N39" s="186">
        <v>7236</v>
      </c>
      <c r="O39" s="184">
        <f t="shared" ref="O39:O42" si="13">L39+N39</f>
      </c>
      <c r="P39" s="187">
        <v>3513.15</v>
      </c>
      <c r="Q39" s="188">
        <f t="shared" si="23"/>
      </c>
      <c r="R39" s="189">
        <f t="shared" si="24"/>
      </c>
      <c r="S39" s="188">
        <f t="shared" si="4"/>
      </c>
      <c r="T39" s="190" t="s">
        <v>240</v>
      </c>
      <c r="U39" s="190">
        <v>10</v>
      </c>
      <c r="V39" s="191" t="s">
        <v>223</v>
      </c>
      <c r="W39" s="190">
        <v>10</v>
      </c>
    </row>
    <row hidden="true" r="40">
      <c r="A40" s="206">
        <v>46225</v>
      </c>
      <c r="B40" s="190" t="s">
        <v>237</v>
      </c>
      <c r="C40" s="207" t="s">
        <v>243</v>
      </c>
      <c r="D40" s="181">
        <v>3</v>
      </c>
      <c r="E40" s="193">
        <v>3</v>
      </c>
      <c r="F40" s="183">
        <v>2</v>
      </c>
      <c r="G40" s="198">
        <v>0</v>
      </c>
      <c r="H40" s="185">
        <v>0</v>
      </c>
      <c r="I40" s="186">
        <v>0</v>
      </c>
      <c r="J40" s="186">
        <v>0</v>
      </c>
      <c r="K40" s="187">
        <v>0</v>
      </c>
      <c r="L40" s="187">
        <v>0</v>
      </c>
      <c r="M40" s="186">
        <v>0</v>
      </c>
      <c r="N40" s="186">
        <v>0</v>
      </c>
      <c r="O40" s="184">
        <f t="shared" si="13"/>
      </c>
      <c r="P40" s="187">
        <v>4018.37</v>
      </c>
      <c r="Q40" s="188">
        <f t="shared" si="23"/>
      </c>
      <c r="R40" s="189">
        <f t="shared" si="24"/>
      </c>
      <c r="S40" s="188">
        <f t="shared" si="4"/>
      </c>
      <c r="T40" s="191"/>
      <c r="U40" s="191"/>
      <c r="V40" s="195"/>
      <c r="W40" s="195"/>
    </row>
    <row hidden="true" r="41">
      <c r="A41" s="206">
        <v>46225</v>
      </c>
      <c r="B41" s="190" t="s">
        <v>226</v>
      </c>
      <c r="C41" s="207" t="s">
        <v>244</v>
      </c>
      <c r="D41" s="181">
        <v>2</v>
      </c>
      <c r="E41" s="193">
        <v>7</v>
      </c>
      <c r="F41" s="183">
        <v>4</v>
      </c>
      <c r="G41" s="198">
        <v>5</v>
      </c>
      <c r="H41" s="185">
        <v>3</v>
      </c>
      <c r="I41" s="186">
        <v>0</v>
      </c>
      <c r="J41" s="186">
        <v>1</v>
      </c>
      <c r="K41" s="187">
        <v>0</v>
      </c>
      <c r="L41" s="187">
        <v>0</v>
      </c>
      <c r="M41" s="186">
        <v>5</v>
      </c>
      <c r="N41" s="186">
        <v>6309.2</v>
      </c>
      <c r="O41" s="184">
        <f t="shared" si="13"/>
      </c>
      <c r="P41" s="187">
        <v>2953.83</v>
      </c>
      <c r="Q41" s="188">
        <f t="shared" si="23"/>
      </c>
      <c r="R41" s="189">
        <f t="shared" si="24"/>
      </c>
      <c r="S41" s="188">
        <f t="shared" si="4"/>
      </c>
      <c r="T41" s="191"/>
      <c r="U41" s="191"/>
      <c r="V41" s="195"/>
      <c r="W41" s="195"/>
    </row>
    <row hidden="true" r="42">
      <c r="A42" s="206">
        <v>46225</v>
      </c>
      <c r="B42" s="190" t="s">
        <v>234</v>
      </c>
      <c r="C42" s="207" t="s">
        <v>245</v>
      </c>
      <c r="D42" s="181">
        <v>2</v>
      </c>
      <c r="E42" s="197">
        <v>2</v>
      </c>
      <c r="F42" s="183">
        <v>1</v>
      </c>
      <c r="G42" s="198">
        <v>1</v>
      </c>
      <c r="H42" s="185">
        <v>0</v>
      </c>
      <c r="I42" s="186">
        <v>0</v>
      </c>
      <c r="J42" s="186">
        <v>1</v>
      </c>
      <c r="K42" s="187">
        <v>0</v>
      </c>
      <c r="L42" s="187">
        <v>0</v>
      </c>
      <c r="M42" s="186">
        <v>1</v>
      </c>
      <c r="N42" s="186">
        <v>3397.2</v>
      </c>
      <c r="O42" s="184">
        <f t="shared" si="13"/>
      </c>
      <c r="P42" s="187">
        <v>3033.83</v>
      </c>
      <c r="Q42" s="188">
        <f t="shared" si="23"/>
      </c>
      <c r="R42" s="189">
        <f t="shared" si="24"/>
      </c>
      <c r="S42" s="188">
        <f t="shared" si="4"/>
      </c>
      <c r="T42" s="191"/>
      <c r="U42" s="191"/>
      <c r="V42" s="191"/>
      <c r="W42" s="191"/>
    </row>
    <row hidden="true" r="43">
      <c r="A43" s="211">
        <v>46225</v>
      </c>
      <c r="B43" s="216" t="s">
        <v>228</v>
      </c>
      <c r="C43" s="217"/>
      <c r="D43" s="218">
        <f>D42+D39+D40+D41</f>
      </c>
      <c r="E43" s="202">
        <f>E42+E39+E40+E41</f>
      </c>
      <c r="F43" s="202">
        <f>F42+F39+F40+F41</f>
      </c>
      <c r="G43" s="202">
        <f>G42+G39+G40+G41</f>
      </c>
      <c r="H43" s="202">
        <f>H42+H39+H40+H41</f>
      </c>
      <c r="I43" s="202">
        <f>I42+I39+I40+I41</f>
      </c>
      <c r="J43" s="202">
        <f>J42+J39+J40+J41</f>
      </c>
      <c r="K43" s="202">
        <f>K42+K39+K40+K41</f>
      </c>
      <c r="L43" s="202">
        <f>L42+L39+L40+L41</f>
      </c>
      <c r="M43" s="202">
        <f>M42+M39+M40+M41</f>
      </c>
      <c r="N43" s="202">
        <f>N42+N39+N40+N41</f>
      </c>
      <c r="O43" s="202">
        <f>O42+O39+O40+O41</f>
      </c>
      <c r="P43" s="202">
        <f>P42+P39+P40+P41</f>
      </c>
      <c r="Q43" s="203">
        <f t="shared" si="23"/>
      </c>
      <c r="R43" s="203">
        <f t="shared" si="24"/>
      </c>
      <c r="S43" s="203">
        <f t="shared" si="4"/>
      </c>
      <c r="T43" s="204"/>
      <c r="U43" s="204">
        <f>SUM(U39:U42)</f>
      </c>
      <c r="V43" s="204"/>
      <c r="W43" s="205">
        <f>SUM(W39:W42)</f>
      </c>
    </row>
    <row hidden="true" r="44">
      <c r="A44" s="206">
        <v>46226</v>
      </c>
      <c r="B44" s="190" t="s">
        <v>224</v>
      </c>
      <c r="C44" s="182" t="s">
        <v>242</v>
      </c>
      <c r="D44" s="181">
        <v>3</v>
      </c>
      <c r="E44" s="181">
        <v>7</v>
      </c>
      <c r="F44" s="183">
        <v>4</v>
      </c>
      <c r="G44" s="198">
        <v>4</v>
      </c>
      <c r="H44" s="185">
        <v>4</v>
      </c>
      <c r="I44" s="186">
        <v>0</v>
      </c>
      <c r="J44" s="186">
        <v>1</v>
      </c>
      <c r="K44" s="187">
        <v>0</v>
      </c>
      <c r="L44" s="187">
        <v>0</v>
      </c>
      <c r="M44" s="186">
        <v>4</v>
      </c>
      <c r="N44" s="186">
        <v>4811.200000000001</v>
      </c>
      <c r="O44" s="184">
        <f t="shared" ref="O44:O47" si="14">L44+N44</f>
      </c>
      <c r="P44" s="187">
        <v>4382.86</v>
      </c>
      <c r="Q44" s="188">
        <f t="shared" si="23"/>
      </c>
      <c r="R44" s="189">
        <f t="shared" si="24"/>
      </c>
      <c r="S44" s="188">
        <f t="shared" si="4"/>
      </c>
      <c r="T44" s="190" t="s">
        <v>240</v>
      </c>
      <c r="U44" s="190">
        <v>10</v>
      </c>
      <c r="V44" s="191" t="s">
        <v>223</v>
      </c>
      <c r="W44" s="190">
        <v>10</v>
      </c>
    </row>
    <row hidden="true" r="45">
      <c r="A45" s="206">
        <v>46226</v>
      </c>
      <c r="B45" s="190" t="s">
        <v>226</v>
      </c>
      <c r="C45" s="207" t="s">
        <v>243</v>
      </c>
      <c r="D45" s="181">
        <v>3</v>
      </c>
      <c r="E45" s="193">
        <v>2</v>
      </c>
      <c r="F45" s="183">
        <v>2</v>
      </c>
      <c r="G45" s="198">
        <v>0</v>
      </c>
      <c r="H45" s="185">
        <v>0</v>
      </c>
      <c r="I45" s="186">
        <v>0</v>
      </c>
      <c r="J45" s="186">
        <v>0</v>
      </c>
      <c r="K45" s="187">
        <v>0</v>
      </c>
      <c r="L45" s="187">
        <v>0</v>
      </c>
      <c r="M45" s="186">
        <v>0</v>
      </c>
      <c r="N45" s="186">
        <v>0</v>
      </c>
      <c r="O45" s="184">
        <f t="shared" si="14"/>
      </c>
      <c r="P45" s="187">
        <v>2346.74</v>
      </c>
      <c r="Q45" s="188">
        <f t="shared" si="23"/>
      </c>
      <c r="R45" s="189">
        <f t="shared" si="24"/>
      </c>
      <c r="S45" s="188">
        <f t="shared" si="4"/>
      </c>
      <c r="T45" s="191"/>
      <c r="U45" s="191"/>
      <c r="V45" s="195"/>
      <c r="W45" s="195"/>
    </row>
    <row hidden="true" r="46">
      <c r="A46" s="206">
        <v>46226</v>
      </c>
      <c r="B46" s="181" t="s">
        <v>246</v>
      </c>
      <c r="C46" s="207" t="s">
        <v>244</v>
      </c>
      <c r="D46" s="181">
        <v>2</v>
      </c>
      <c r="E46" s="193">
        <v>3</v>
      </c>
      <c r="F46" s="183">
        <v>2</v>
      </c>
      <c r="G46" s="198">
        <v>1</v>
      </c>
      <c r="H46" s="185">
        <v>0</v>
      </c>
      <c r="I46" s="186">
        <v>0</v>
      </c>
      <c r="J46" s="186">
        <v>1</v>
      </c>
      <c r="K46" s="187">
        <v>0</v>
      </c>
      <c r="L46" s="187">
        <v>0</v>
      </c>
      <c r="M46" s="186">
        <v>1</v>
      </c>
      <c r="N46" s="186">
        <v>1653.6</v>
      </c>
      <c r="O46" s="184">
        <f t="shared" si="14"/>
      </c>
      <c r="P46" s="187">
        <v>927.95</v>
      </c>
      <c r="Q46" s="188">
        <f t="shared" si="23"/>
      </c>
      <c r="R46" s="189">
        <f t="shared" si="24"/>
      </c>
      <c r="S46" s="188">
        <f t="shared" si="4"/>
      </c>
      <c r="T46" s="191"/>
      <c r="U46" s="191"/>
      <c r="V46" s="195"/>
      <c r="W46" s="195"/>
    </row>
    <row hidden="true" r="47">
      <c r="A47" s="206">
        <v>46226</v>
      </c>
      <c r="B47" s="190" t="s">
        <v>231</v>
      </c>
      <c r="C47" s="207" t="s">
        <v>245</v>
      </c>
      <c r="D47" s="181">
        <v>2</v>
      </c>
      <c r="E47" s="197">
        <v>2</v>
      </c>
      <c r="F47" s="183">
        <v>2</v>
      </c>
      <c r="G47" s="198">
        <v>2</v>
      </c>
      <c r="H47" s="185">
        <v>1</v>
      </c>
      <c r="I47" s="186">
        <v>0</v>
      </c>
      <c r="J47" s="186">
        <v>2</v>
      </c>
      <c r="K47" s="187">
        <v>0</v>
      </c>
      <c r="L47" s="187">
        <v>0</v>
      </c>
      <c r="M47" s="186">
        <v>2</v>
      </c>
      <c r="N47" s="186">
        <v>4376.4</v>
      </c>
      <c r="O47" s="184">
        <f t="shared" si="14"/>
      </c>
      <c r="P47" s="187">
        <v>919.54</v>
      </c>
      <c r="Q47" s="188">
        <f t="shared" si="23"/>
      </c>
      <c r="R47" s="189">
        <f t="shared" si="24"/>
      </c>
      <c r="S47" s="188">
        <f t="shared" si="4"/>
      </c>
      <c r="T47" s="191"/>
      <c r="U47" s="191"/>
      <c r="V47" s="191"/>
      <c r="W47" s="191"/>
    </row>
    <row hidden="true" r="48">
      <c r="A48" s="211">
        <v>46226</v>
      </c>
      <c r="B48" s="216" t="s">
        <v>228</v>
      </c>
      <c r="C48" s="217"/>
      <c r="D48" s="218">
        <f>D47+D44+D45+D46</f>
      </c>
      <c r="E48" s="202">
        <f>E47+E44+E45+E46</f>
      </c>
      <c r="F48" s="202">
        <f>F47+F44+F45+F46</f>
      </c>
      <c r="G48" s="202">
        <f>G47+G44+G45+G46</f>
      </c>
      <c r="H48" s="202">
        <f>H47+H44+H45+H46</f>
      </c>
      <c r="I48" s="202">
        <f>I47+I44+I45+I46</f>
      </c>
      <c r="J48" s="202">
        <f>J47+J44+J45+J46</f>
      </c>
      <c r="K48" s="202">
        <f>K47+K44+K45+K46</f>
      </c>
      <c r="L48" s="202">
        <f>L47+L44+L45+L46</f>
      </c>
      <c r="M48" s="202">
        <f>M47+M44+M45+M46</f>
      </c>
      <c r="N48" s="202">
        <f>N47+N44+N45+N46</f>
      </c>
      <c r="O48" s="202">
        <f>O47+O44+O45+O46</f>
      </c>
      <c r="P48" s="202">
        <f>P47+P44+P45+P46</f>
      </c>
      <c r="Q48" s="203">
        <f t="shared" si="23"/>
      </c>
      <c r="R48" s="203">
        <f t="shared" si="24"/>
      </c>
      <c r="S48" s="203">
        <f t="shared" si="4"/>
      </c>
      <c r="T48" s="204"/>
      <c r="U48" s="204">
        <f>SUM(U44:U47)</f>
      </c>
      <c r="V48" s="204"/>
      <c r="W48" s="205">
        <f>SUM(W44:W47)</f>
      </c>
    </row>
    <row hidden="true" r="49">
      <c r="A49" s="206">
        <v>46227</v>
      </c>
      <c r="B49" s="190" t="s">
        <v>224</v>
      </c>
      <c r="C49" s="182" t="s">
        <v>242</v>
      </c>
      <c r="D49" s="181">
        <v>3</v>
      </c>
      <c r="E49" s="181">
        <v>6</v>
      </c>
      <c r="F49" s="183">
        <v>4</v>
      </c>
      <c r="G49" s="198">
        <v>4</v>
      </c>
      <c r="H49" s="185">
        <v>4</v>
      </c>
      <c r="I49" s="186">
        <v>0</v>
      </c>
      <c r="J49" s="186">
        <v>3</v>
      </c>
      <c r="K49" s="187">
        <v>0</v>
      </c>
      <c r="L49" s="187">
        <v>0</v>
      </c>
      <c r="M49" s="186">
        <v>4</v>
      </c>
      <c r="N49" s="186">
        <v>8349.6</v>
      </c>
      <c r="O49" s="184">
        <f t="shared" ref="O49:O52" si="15">L49+N49</f>
      </c>
      <c r="P49" s="187">
        <v>3710.88</v>
      </c>
      <c r="Q49" s="188">
        <f t="shared" si="23"/>
      </c>
      <c r="R49" s="189">
        <f t="shared" si="24"/>
      </c>
      <c r="S49" s="188">
        <f t="shared" si="4"/>
      </c>
      <c r="T49" s="190" t="s">
        <v>240</v>
      </c>
      <c r="U49" s="190">
        <v>11</v>
      </c>
      <c r="V49" s="191" t="s">
        <v>223</v>
      </c>
      <c r="W49" s="190">
        <v>11</v>
      </c>
    </row>
    <row hidden="true" r="50">
      <c r="A50" s="206">
        <v>46227</v>
      </c>
      <c r="B50" s="181" t="s">
        <v>220</v>
      </c>
      <c r="C50" s="207" t="s">
        <v>243</v>
      </c>
      <c r="D50" s="181">
        <v>3</v>
      </c>
      <c r="E50" s="193">
        <v>8</v>
      </c>
      <c r="F50" s="183">
        <v>5</v>
      </c>
      <c r="G50" s="198">
        <v>6</v>
      </c>
      <c r="H50" s="185">
        <v>3</v>
      </c>
      <c r="I50" s="186">
        <v>1</v>
      </c>
      <c r="J50" s="186">
        <v>3</v>
      </c>
      <c r="K50" s="187">
        <v>0</v>
      </c>
      <c r="L50" s="187">
        <v>0</v>
      </c>
      <c r="M50" s="186">
        <v>6</v>
      </c>
      <c r="N50" s="186">
        <v>8099.9</v>
      </c>
      <c r="O50" s="184">
        <f t="shared" si="15"/>
      </c>
      <c r="P50" s="187">
        <v>4693.45</v>
      </c>
      <c r="Q50" s="188">
        <f t="shared" si="23"/>
      </c>
      <c r="R50" s="189">
        <f t="shared" si="24"/>
      </c>
      <c r="S50" s="188">
        <f t="shared" si="4"/>
      </c>
      <c r="T50" s="191"/>
      <c r="U50" s="191"/>
      <c r="V50" s="195"/>
      <c r="W50" s="195"/>
    </row>
    <row hidden="true" r="51">
      <c r="A51" s="206">
        <v>46227</v>
      </c>
      <c r="B51" s="181" t="s">
        <v>246</v>
      </c>
      <c r="C51" s="207" t="s">
        <v>244</v>
      </c>
      <c r="D51" s="181">
        <v>2</v>
      </c>
      <c r="E51" s="193">
        <v>4</v>
      </c>
      <c r="F51" s="183">
        <v>3</v>
      </c>
      <c r="G51" s="198">
        <v>2</v>
      </c>
      <c r="H51" s="185">
        <v>2</v>
      </c>
      <c r="I51" s="186">
        <v>0</v>
      </c>
      <c r="J51" s="186">
        <v>1</v>
      </c>
      <c r="K51" s="187">
        <v>0</v>
      </c>
      <c r="L51" s="187">
        <v>0</v>
      </c>
      <c r="M51" s="186">
        <v>2</v>
      </c>
      <c r="N51" s="186">
        <v>2098.2000000000007</v>
      </c>
      <c r="O51" s="184">
        <f t="shared" si="15"/>
      </c>
      <c r="P51" s="187">
        <v>2334.7799999999997</v>
      </c>
      <c r="Q51" s="188">
        <f t="shared" si="23"/>
      </c>
      <c r="R51" s="189">
        <f t="shared" si="24"/>
      </c>
      <c r="S51" s="188">
        <f t="shared" si="4"/>
      </c>
      <c r="T51" s="191"/>
      <c r="U51" s="191"/>
      <c r="V51" s="195"/>
      <c r="W51" s="195"/>
    </row>
    <row hidden="true" r="52">
      <c r="A52" s="206">
        <v>46227</v>
      </c>
      <c r="B52" s="190" t="s">
        <v>231</v>
      </c>
      <c r="C52" s="207" t="s">
        <v>247</v>
      </c>
      <c r="D52" s="181">
        <v>3</v>
      </c>
      <c r="E52" s="197">
        <v>10</v>
      </c>
      <c r="F52" s="183">
        <v>7</v>
      </c>
      <c r="G52" s="198">
        <v>8</v>
      </c>
      <c r="H52" s="185">
        <v>5</v>
      </c>
      <c r="I52" s="186">
        <v>1</v>
      </c>
      <c r="J52" s="186">
        <v>0</v>
      </c>
      <c r="K52" s="187">
        <v>0</v>
      </c>
      <c r="L52" s="187">
        <v>0</v>
      </c>
      <c r="M52" s="186">
        <v>8</v>
      </c>
      <c r="N52" s="186">
        <v>5967.5999999999985</v>
      </c>
      <c r="O52" s="184">
        <f t="shared" si="15"/>
      </c>
      <c r="P52" s="187">
        <v>2542.44</v>
      </c>
      <c r="Q52" s="188">
        <f t="shared" si="23"/>
      </c>
      <c r="R52" s="189">
        <f t="shared" si="24"/>
      </c>
      <c r="S52" s="188">
        <f t="shared" si="4"/>
      </c>
      <c r="T52" s="191"/>
      <c r="U52" s="191"/>
      <c r="V52" s="191"/>
      <c r="W52" s="191"/>
    </row>
    <row hidden="true" r="53">
      <c r="A53" s="211">
        <v>46227</v>
      </c>
      <c r="B53" s="216" t="s">
        <v>228</v>
      </c>
      <c r="C53" s="217"/>
      <c r="D53" s="218">
        <f>D52+D49+D50+D51</f>
      </c>
      <c r="E53" s="202">
        <f>E52+E49+E50+E51</f>
      </c>
      <c r="F53" s="202">
        <f>F52+F49+F50+F51</f>
      </c>
      <c r="G53" s="202">
        <f>G52+G49+G50+G51</f>
      </c>
      <c r="H53" s="202">
        <f>H52+H49+H50+H51</f>
      </c>
      <c r="I53" s="202">
        <f>I52+I49+I50+I51</f>
      </c>
      <c r="J53" s="202">
        <f>J52+J49+J50+J51</f>
      </c>
      <c r="K53" s="202">
        <f>K52+K49+K50+K51</f>
      </c>
      <c r="L53" s="202">
        <f>L52+L49+L50+L51</f>
      </c>
      <c r="M53" s="202">
        <f>M52+M49+M50+M51</f>
      </c>
      <c r="N53" s="202">
        <f>N52+N49+N50+N51</f>
      </c>
      <c r="O53" s="202">
        <f>O52+O49+O50+O51</f>
      </c>
      <c r="P53" s="202">
        <f>P52+P49+P50+P51</f>
      </c>
      <c r="Q53" s="203">
        <f t="shared" si="23"/>
      </c>
      <c r="R53" s="203">
        <f t="shared" si="24"/>
      </c>
      <c r="S53" s="203">
        <f t="shared" si="4"/>
      </c>
      <c r="T53" s="204"/>
      <c r="U53" s="204">
        <f>SUM(U49:U52)</f>
      </c>
      <c r="V53" s="204"/>
      <c r="W53" s="205">
        <f>SUM(W49:W52)</f>
      </c>
    </row>
    <row hidden="true" r="54">
      <c r="A54" s="206">
        <v>46228</v>
      </c>
      <c r="B54" s="190" t="s">
        <v>224</v>
      </c>
      <c r="C54" s="182" t="s">
        <v>242</v>
      </c>
      <c r="D54" s="181">
        <v>3</v>
      </c>
      <c r="E54" s="181">
        <v>13</v>
      </c>
      <c r="F54" s="183">
        <v>6</v>
      </c>
      <c r="G54" s="198">
        <v>11</v>
      </c>
      <c r="H54" s="185">
        <v>5</v>
      </c>
      <c r="I54" s="186">
        <v>3</v>
      </c>
      <c r="J54" s="186">
        <v>7</v>
      </c>
      <c r="K54" s="187">
        <v>0</v>
      </c>
      <c r="L54" s="187">
        <v>0</v>
      </c>
      <c r="M54" s="186">
        <v>11</v>
      </c>
      <c r="N54" s="186">
        <v>16353.599999999997</v>
      </c>
      <c r="O54" s="184">
        <f t="shared" ref="O54:O57" si="16">L54+N54</f>
      </c>
      <c r="P54" s="187">
        <v>4990.33</v>
      </c>
      <c r="Q54" s="188">
        <f t="shared" si="23"/>
      </c>
      <c r="R54" s="189">
        <f t="shared" si="24"/>
      </c>
      <c r="S54" s="188">
        <f t="shared" si="4"/>
      </c>
      <c r="T54" s="190" t="s">
        <v>240</v>
      </c>
      <c r="U54" s="190">
        <v>10</v>
      </c>
      <c r="V54" s="191" t="s">
        <v>223</v>
      </c>
      <c r="W54" s="190">
        <v>10</v>
      </c>
    </row>
    <row hidden="true" r="55">
      <c r="A55" s="206">
        <v>46228</v>
      </c>
      <c r="B55" s="181" t="s">
        <v>220</v>
      </c>
      <c r="C55" s="207" t="s">
        <v>243</v>
      </c>
      <c r="D55" s="181">
        <v>3</v>
      </c>
      <c r="E55" s="193">
        <v>3</v>
      </c>
      <c r="F55" s="183">
        <v>2</v>
      </c>
      <c r="G55" s="198">
        <v>2</v>
      </c>
      <c r="H55" s="185">
        <v>2</v>
      </c>
      <c r="I55" s="186">
        <v>0</v>
      </c>
      <c r="J55" s="186">
        <v>1</v>
      </c>
      <c r="K55" s="187">
        <v>0</v>
      </c>
      <c r="L55" s="187">
        <v>0</v>
      </c>
      <c r="M55" s="186">
        <v>2</v>
      </c>
      <c r="N55" s="186">
        <v>2189.600000000002</v>
      </c>
      <c r="O55" s="184">
        <f t="shared" si="16"/>
      </c>
      <c r="P55" s="187">
        <v>4253.25</v>
      </c>
      <c r="Q55" s="188">
        <f t="shared" si="23"/>
      </c>
      <c r="R55" s="189">
        <f t="shared" si="24"/>
      </c>
      <c r="S55" s="188">
        <f t="shared" si="4"/>
      </c>
      <c r="T55" s="191"/>
      <c r="U55" s="191"/>
      <c r="V55" s="195"/>
      <c r="W55" s="195"/>
    </row>
    <row hidden="true" r="56">
      <c r="A56" s="206">
        <v>46228</v>
      </c>
      <c r="B56" s="190" t="s">
        <v>237</v>
      </c>
      <c r="C56" s="207" t="s">
        <v>244</v>
      </c>
      <c r="D56" s="181">
        <v>2</v>
      </c>
      <c r="E56" s="193">
        <v>4</v>
      </c>
      <c r="F56" s="183">
        <v>3</v>
      </c>
      <c r="G56" s="198">
        <v>2</v>
      </c>
      <c r="H56" s="185">
        <v>2</v>
      </c>
      <c r="I56" s="186">
        <v>0</v>
      </c>
      <c r="J56" s="186">
        <v>0</v>
      </c>
      <c r="K56" s="187">
        <v>0</v>
      </c>
      <c r="L56" s="187">
        <v>0</v>
      </c>
      <c r="M56" s="186">
        <v>2</v>
      </c>
      <c r="N56" s="186">
        <v>1345.1999999999998</v>
      </c>
      <c r="O56" s="184">
        <f t="shared" si="16"/>
      </c>
      <c r="P56" s="187">
        <v>2830.6400000000003</v>
      </c>
      <c r="Q56" s="188">
        <f t="shared" si="23"/>
      </c>
      <c r="R56" s="189">
        <f t="shared" si="24"/>
      </c>
      <c r="S56" s="188">
        <f t="shared" si="4"/>
      </c>
      <c r="T56" s="191"/>
      <c r="U56" s="191"/>
      <c r="V56" s="195"/>
      <c r="W56" s="195"/>
    </row>
    <row hidden="true" r="57">
      <c r="A57" s="206">
        <v>46228</v>
      </c>
      <c r="B57" s="190" t="s">
        <v>231</v>
      </c>
      <c r="C57" s="207" t="s">
        <v>245</v>
      </c>
      <c r="D57" s="181">
        <v>2</v>
      </c>
      <c r="E57" s="197">
        <v>5</v>
      </c>
      <c r="F57" s="183">
        <v>4</v>
      </c>
      <c r="G57" s="198">
        <v>3</v>
      </c>
      <c r="H57" s="185">
        <v>2</v>
      </c>
      <c r="I57" s="186">
        <v>0</v>
      </c>
      <c r="J57" s="186">
        <v>2</v>
      </c>
      <c r="K57" s="187">
        <v>0</v>
      </c>
      <c r="L57" s="187">
        <v>0</v>
      </c>
      <c r="M57" s="186">
        <v>3</v>
      </c>
      <c r="N57" s="186">
        <v>6218.600000000002</v>
      </c>
      <c r="O57" s="184">
        <f t="shared" si="16"/>
      </c>
      <c r="P57" s="187">
        <v>1845.73</v>
      </c>
      <c r="Q57" s="188">
        <f t="shared" si="23"/>
      </c>
      <c r="R57" s="189">
        <f t="shared" si="24"/>
      </c>
      <c r="S57" s="188">
        <f t="shared" si="4"/>
      </c>
      <c r="T57" s="191"/>
      <c r="U57" s="191"/>
      <c r="V57" s="191"/>
      <c r="W57" s="191"/>
    </row>
    <row hidden="true" r="58">
      <c r="A58" s="211">
        <v>46228</v>
      </c>
      <c r="B58" s="216" t="s">
        <v>228</v>
      </c>
      <c r="C58" s="217"/>
      <c r="D58" s="218">
        <f>D57+D54+D55+D56</f>
      </c>
      <c r="E58" s="202">
        <f>E57+E54+E55+E56</f>
      </c>
      <c r="F58" s="202">
        <f>F57+F54+F55+F56</f>
      </c>
      <c r="G58" s="202">
        <f>G57+G54+G55+G56</f>
      </c>
      <c r="H58" s="202">
        <f>H57+H54+H55+H56</f>
      </c>
      <c r="I58" s="202">
        <f>I57+I54+I55+I56</f>
      </c>
      <c r="J58" s="202">
        <f>J57+J54+J55+J56</f>
      </c>
      <c r="K58" s="202">
        <f>K57+K54+K55+K56</f>
      </c>
      <c r="L58" s="202">
        <f>L57+L54+L55+L56</f>
      </c>
      <c r="M58" s="202">
        <f>M57+M54+M55+M56</f>
      </c>
      <c r="N58" s="202">
        <f>N57+N54+N55+N56</f>
      </c>
      <c r="O58" s="202">
        <f>O57+O54+O55+O56</f>
      </c>
      <c r="P58" s="202">
        <f>P57+P54+P55+P56</f>
      </c>
      <c r="Q58" s="203">
        <f t="shared" si="23"/>
      </c>
      <c r="R58" s="203">
        <f t="shared" si="24"/>
      </c>
      <c r="S58" s="203">
        <f t="shared" si="4"/>
      </c>
      <c r="T58" s="204"/>
      <c r="U58" s="204">
        <f>SUM(U54:U57)</f>
      </c>
      <c r="V58" s="204"/>
      <c r="W58" s="205">
        <f>SUM(W54:W57)</f>
      </c>
    </row>
    <row hidden="true" r="59">
      <c r="A59" s="206">
        <v>46229</v>
      </c>
      <c r="B59" s="190" t="s">
        <v>226</v>
      </c>
      <c r="C59" s="182" t="s">
        <v>242</v>
      </c>
      <c r="D59" s="220">
        <f>3-0.25</f>
      </c>
      <c r="E59" s="181">
        <v>3</v>
      </c>
      <c r="F59" s="183">
        <v>2</v>
      </c>
      <c r="G59" s="198">
        <v>3</v>
      </c>
      <c r="H59" s="185">
        <v>2</v>
      </c>
      <c r="I59" s="186">
        <v>1</v>
      </c>
      <c r="J59" s="186">
        <v>0</v>
      </c>
      <c r="K59" s="187">
        <v>0</v>
      </c>
      <c r="L59" s="187">
        <v>0</v>
      </c>
      <c r="M59" s="186">
        <v>3</v>
      </c>
      <c r="N59" s="186">
        <v>2130</v>
      </c>
      <c r="O59" s="184">
        <f t="shared" ref="O59:O62" si="17">L59+N59</f>
      </c>
      <c r="P59" s="187">
        <v>3681.1800000000003</v>
      </c>
      <c r="Q59" s="188">
        <f t="shared" si="23"/>
      </c>
      <c r="R59" s="189">
        <f t="shared" si="24"/>
      </c>
      <c r="S59" s="188">
        <f t="shared" si="4"/>
      </c>
      <c r="T59" s="190" t="s">
        <v>240</v>
      </c>
      <c r="U59" s="190">
        <v>10</v>
      </c>
      <c r="V59" s="191" t="s">
        <v>223</v>
      </c>
      <c r="W59" s="190">
        <v>10</v>
      </c>
    </row>
    <row hidden="true" r="60">
      <c r="A60" s="206">
        <v>46229</v>
      </c>
      <c r="B60" s="190" t="s">
        <v>237</v>
      </c>
      <c r="C60" s="207" t="s">
        <v>248</v>
      </c>
      <c r="D60" s="181">
        <v>2</v>
      </c>
      <c r="E60" s="193">
        <v>7</v>
      </c>
      <c r="F60" s="183">
        <v>7</v>
      </c>
      <c r="G60" s="198">
        <v>6</v>
      </c>
      <c r="H60" s="185">
        <v>6</v>
      </c>
      <c r="I60" s="186">
        <v>0</v>
      </c>
      <c r="J60" s="186">
        <v>2</v>
      </c>
      <c r="K60" s="187">
        <v>0</v>
      </c>
      <c r="L60" s="187">
        <v>0</v>
      </c>
      <c r="M60" s="186">
        <v>6</v>
      </c>
      <c r="N60" s="186">
        <v>8703.2</v>
      </c>
      <c r="O60" s="184">
        <f t="shared" si="17"/>
      </c>
      <c r="P60" s="187">
        <v>4462.53</v>
      </c>
      <c r="Q60" s="188">
        <f t="shared" si="23"/>
      </c>
      <c r="R60" s="189">
        <f t="shared" si="24"/>
      </c>
      <c r="S60" s="188">
        <f t="shared" si="4"/>
      </c>
      <c r="T60" s="191"/>
      <c r="U60" s="191"/>
      <c r="V60" s="195"/>
      <c r="W60" s="195"/>
    </row>
    <row hidden="true" r="61">
      <c r="A61" s="206">
        <v>46229</v>
      </c>
      <c r="B61" s="181" t="s">
        <v>246</v>
      </c>
      <c r="C61" s="207" t="s">
        <v>249</v>
      </c>
      <c r="D61" s="181">
        <v>2</v>
      </c>
      <c r="E61" s="193">
        <v>2</v>
      </c>
      <c r="F61" s="183">
        <v>2</v>
      </c>
      <c r="G61" s="198">
        <v>1</v>
      </c>
      <c r="H61" s="185">
        <v>1</v>
      </c>
      <c r="I61" s="186">
        <v>0</v>
      </c>
      <c r="J61" s="186">
        <v>1</v>
      </c>
      <c r="K61" s="187">
        <v>0</v>
      </c>
      <c r="L61" s="187">
        <v>0</v>
      </c>
      <c r="M61" s="186">
        <v>1</v>
      </c>
      <c r="N61" s="186">
        <v>1653.6000000000004</v>
      </c>
      <c r="O61" s="184">
        <f t="shared" si="17"/>
      </c>
      <c r="P61" s="187">
        <v>4089.33</v>
      </c>
      <c r="Q61" s="188">
        <f t="shared" si="23"/>
      </c>
      <c r="R61" s="189">
        <f t="shared" si="24"/>
      </c>
      <c r="S61" s="188">
        <f t="shared" si="4"/>
      </c>
      <c r="T61" s="191"/>
      <c r="U61" s="191"/>
      <c r="V61" s="195"/>
      <c r="W61" s="195"/>
    </row>
    <row hidden="true" r="62">
      <c r="A62" s="206">
        <v>46229</v>
      </c>
      <c r="B62" s="190" t="s">
        <v>231</v>
      </c>
      <c r="C62" s="207" t="s">
        <v>229</v>
      </c>
      <c r="D62" s="181">
        <v>3</v>
      </c>
      <c r="E62" s="197">
        <v>2</v>
      </c>
      <c r="F62" s="183">
        <v>2</v>
      </c>
      <c r="G62" s="198">
        <v>1</v>
      </c>
      <c r="H62" s="185">
        <v>1</v>
      </c>
      <c r="I62" s="186">
        <v>0</v>
      </c>
      <c r="J62" s="186">
        <v>0</v>
      </c>
      <c r="K62" s="187">
        <v>0</v>
      </c>
      <c r="L62" s="187">
        <v>0</v>
      </c>
      <c r="M62" s="186">
        <v>1</v>
      </c>
      <c r="N62" s="186">
        <v>1327.2</v>
      </c>
      <c r="O62" s="184">
        <f t="shared" si="17"/>
      </c>
      <c r="P62" s="187">
        <v>5482.46</v>
      </c>
      <c r="Q62" s="188">
        <f t="shared" si="23"/>
      </c>
      <c r="R62" s="189">
        <f t="shared" si="24"/>
      </c>
      <c r="S62" s="188">
        <f t="shared" si="4"/>
      </c>
      <c r="T62" s="191"/>
      <c r="U62" s="191"/>
      <c r="V62" s="191"/>
      <c r="W62" s="191"/>
    </row>
    <row hidden="true" r="63">
      <c r="A63" s="211">
        <v>46229</v>
      </c>
      <c r="B63" s="216" t="s">
        <v>228</v>
      </c>
      <c r="C63" s="217"/>
      <c r="D63" s="218">
        <f>D62+D59+D60+D61</f>
      </c>
      <c r="E63" s="202">
        <f>E62+E59+E60+E61</f>
      </c>
      <c r="F63" s="202">
        <f>F62+F59+F60+F61</f>
      </c>
      <c r="G63" s="202">
        <f>G62+G59+G60+G61</f>
      </c>
      <c r="H63" s="202">
        <f>H62+H59+H60+H61</f>
      </c>
      <c r="I63" s="202">
        <f>I62+I59+I60+I61</f>
      </c>
      <c r="J63" s="202">
        <f>J62+J59+J60+J61</f>
      </c>
      <c r="K63" s="202">
        <f>K62+K59+K60+K61</f>
      </c>
      <c r="L63" s="202">
        <f>L62+L59+L60+L61</f>
      </c>
      <c r="M63" s="202">
        <f>M62+M59+M60+M61</f>
      </c>
      <c r="N63" s="202">
        <f>N62+N59+N60+N61</f>
      </c>
      <c r="O63" s="202">
        <f>O62+O59+O60+O61</f>
      </c>
      <c r="P63" s="202">
        <f>P62+P59+P60+P61</f>
      </c>
      <c r="Q63" s="203">
        <f t="shared" si="23"/>
      </c>
      <c r="R63" s="203">
        <f t="shared" si="24"/>
      </c>
      <c r="S63" s="203">
        <f t="shared" si="4"/>
      </c>
      <c r="T63" s="204"/>
      <c r="U63" s="204">
        <f>SUM(U59:U62)</f>
      </c>
      <c r="V63" s="204"/>
      <c r="W63" s="205">
        <f>SUM(W59:W62)</f>
      </c>
    </row>
    <row hidden="true" r="64">
      <c r="A64" s="206">
        <v>46230</v>
      </c>
      <c r="B64" s="190" t="s">
        <v>224</v>
      </c>
      <c r="C64" s="182" t="s">
        <v>250</v>
      </c>
      <c r="D64" s="181">
        <v>4</v>
      </c>
      <c r="E64" s="181">
        <v>5</v>
      </c>
      <c r="F64" s="183">
        <v>4</v>
      </c>
      <c r="G64" s="198">
        <v>4</v>
      </c>
      <c r="H64" s="185">
        <v>3</v>
      </c>
      <c r="I64" s="186">
        <v>0</v>
      </c>
      <c r="J64" s="186">
        <v>1</v>
      </c>
      <c r="K64" s="187">
        <v>0</v>
      </c>
      <c r="L64" s="187">
        <v>0</v>
      </c>
      <c r="M64" s="186">
        <v>4</v>
      </c>
      <c r="N64" s="186">
        <v>3531</v>
      </c>
      <c r="O64" s="184">
        <f t="shared" ref="O64:O67" si="18">L64+N64</f>
      </c>
      <c r="P64" s="187">
        <v>6947.790000000001</v>
      </c>
      <c r="Q64" s="188">
        <f t="shared" si="23"/>
      </c>
      <c r="R64" s="189">
        <f t="shared" si="24"/>
      </c>
      <c r="S64" s="188">
        <f t="shared" si="4"/>
      </c>
      <c r="T64" s="190" t="s">
        <v>240</v>
      </c>
      <c r="U64" s="190">
        <v>10</v>
      </c>
      <c r="V64" s="191" t="s">
        <v>223</v>
      </c>
      <c r="W64" s="190">
        <v>10</v>
      </c>
    </row>
    <row hidden="true" r="65">
      <c r="A65" s="206">
        <v>46230</v>
      </c>
      <c r="B65" s="181" t="s">
        <v>246</v>
      </c>
      <c r="C65" s="207" t="s">
        <v>251</v>
      </c>
      <c r="D65" s="181">
        <v>2</v>
      </c>
      <c r="E65" s="193">
        <v>4</v>
      </c>
      <c r="F65" s="183">
        <v>3</v>
      </c>
      <c r="G65" s="198">
        <v>3</v>
      </c>
      <c r="H65" s="185">
        <v>2</v>
      </c>
      <c r="I65" s="186">
        <v>0</v>
      </c>
      <c r="J65" s="186">
        <v>1</v>
      </c>
      <c r="K65" s="187">
        <v>0</v>
      </c>
      <c r="L65" s="187">
        <v>0</v>
      </c>
      <c r="M65" s="186">
        <v>3</v>
      </c>
      <c r="N65" s="186">
        <v>3068</v>
      </c>
      <c r="O65" s="184">
        <f t="shared" si="18"/>
      </c>
      <c r="P65" s="187">
        <v>3371.7799999999997</v>
      </c>
      <c r="Q65" s="188">
        <f t="shared" si="23"/>
      </c>
      <c r="R65" s="189">
        <f t="shared" si="24"/>
      </c>
      <c r="S65" s="188">
        <f t="shared" si="4"/>
      </c>
      <c r="T65" s="191"/>
      <c r="U65" s="191"/>
      <c r="V65" s="195"/>
      <c r="W65" s="195"/>
    </row>
    <row hidden="true" r="66">
      <c r="A66" s="206">
        <v>46230</v>
      </c>
      <c r="B66" s="190" t="s">
        <v>234</v>
      </c>
      <c r="C66" s="207" t="s">
        <v>244</v>
      </c>
      <c r="D66" s="181">
        <v>2</v>
      </c>
      <c r="E66" s="193">
        <v>5</v>
      </c>
      <c r="F66" s="183">
        <v>4</v>
      </c>
      <c r="G66" s="198">
        <v>4</v>
      </c>
      <c r="H66" s="185">
        <v>3</v>
      </c>
      <c r="I66" s="186">
        <v>0</v>
      </c>
      <c r="J66" s="186">
        <v>1</v>
      </c>
      <c r="K66" s="187">
        <v>0</v>
      </c>
      <c r="L66" s="187">
        <v>0</v>
      </c>
      <c r="M66" s="186">
        <v>4</v>
      </c>
      <c r="N66" s="186">
        <v>3744</v>
      </c>
      <c r="O66" s="184">
        <f t="shared" si="18"/>
      </c>
      <c r="P66" s="187">
        <v>2862.99</v>
      </c>
      <c r="Q66" s="188">
        <f t="shared" si="23"/>
      </c>
      <c r="R66" s="189">
        <f t="shared" si="24"/>
      </c>
      <c r="S66" s="188">
        <f t="shared" si="4"/>
      </c>
      <c r="T66" s="191"/>
      <c r="U66" s="191"/>
      <c r="V66" s="195"/>
      <c r="W66" s="195"/>
    </row>
    <row hidden="true" r="67">
      <c r="A67" s="206">
        <v>46230</v>
      </c>
      <c r="B67" s="190" t="s">
        <v>231</v>
      </c>
      <c r="C67" s="207" t="s">
        <v>245</v>
      </c>
      <c r="D67" s="181">
        <v>2</v>
      </c>
      <c r="E67" s="197">
        <v>3</v>
      </c>
      <c r="F67" s="183">
        <v>2</v>
      </c>
      <c r="G67" s="198">
        <v>3</v>
      </c>
      <c r="H67" s="185">
        <v>2</v>
      </c>
      <c r="I67" s="186">
        <v>1</v>
      </c>
      <c r="J67" s="186">
        <v>1</v>
      </c>
      <c r="K67" s="187">
        <v>0</v>
      </c>
      <c r="L67" s="187">
        <v>0</v>
      </c>
      <c r="M67" s="186">
        <v>3</v>
      </c>
      <c r="N67" s="186">
        <v>4076.7999999999993</v>
      </c>
      <c r="O67" s="184">
        <f t="shared" si="18"/>
      </c>
      <c r="P67" s="187">
        <v>1700.67</v>
      </c>
      <c r="Q67" s="188">
        <f t="shared" si="23"/>
      </c>
      <c r="R67" s="189">
        <f t="shared" si="24"/>
      </c>
      <c r="S67" s="188">
        <f t="shared" si="4"/>
      </c>
      <c r="T67" s="191"/>
      <c r="U67" s="191"/>
      <c r="V67" s="191"/>
      <c r="W67" s="191"/>
    </row>
    <row hidden="true" r="68">
      <c r="A68" s="211">
        <v>46230</v>
      </c>
      <c r="B68" s="216" t="s">
        <v>228</v>
      </c>
      <c r="C68" s="217"/>
      <c r="D68" s="218">
        <f>D67+D64+D65+D66</f>
      </c>
      <c r="E68" s="202">
        <f>E67+E64+E65+E66</f>
      </c>
      <c r="F68" s="202">
        <f>F67+F64+F65+F66</f>
      </c>
      <c r="G68" s="202">
        <f>G67+G64+G65+G66</f>
      </c>
      <c r="H68" s="202">
        <f>H67+H64+H65+H66</f>
      </c>
      <c r="I68" s="202">
        <f>I67+I64+I65+I66</f>
      </c>
      <c r="J68" s="202">
        <f>J67+J64+J65+J66</f>
      </c>
      <c r="K68" s="202">
        <f>K67+K64+K65+K66</f>
      </c>
      <c r="L68" s="202">
        <f>L67+L64+L65+L66</f>
      </c>
      <c r="M68" s="202">
        <f>M67+M64+M65+M66</f>
      </c>
      <c r="N68" s="202">
        <f>N67+N64+N65+N66</f>
      </c>
      <c r="O68" s="202">
        <f>O67+O64+O65+O66</f>
      </c>
      <c r="P68" s="202">
        <f>P67+P64+P65+P66</f>
      </c>
      <c r="Q68" s="203">
        <f t="shared" si="23"/>
      </c>
      <c r="R68" s="203">
        <f t="shared" si="24"/>
      </c>
      <c r="S68" s="203">
        <f t="shared" si="4"/>
      </c>
      <c r="T68" s="204"/>
      <c r="U68" s="204">
        <f>SUM(U64:U67)</f>
      </c>
      <c r="V68" s="204"/>
      <c r="W68" s="205">
        <f>SUM(W64:W67)</f>
      </c>
    </row>
    <row hidden="true" r="69">
      <c r="A69" s="206">
        <v>46231</v>
      </c>
      <c r="B69" s="190" t="s">
        <v>224</v>
      </c>
      <c r="C69" s="182" t="s">
        <v>250</v>
      </c>
      <c r="D69" s="181">
        <v>4</v>
      </c>
      <c r="E69" s="181">
        <v>12</v>
      </c>
      <c r="F69" s="183">
        <v>11</v>
      </c>
      <c r="G69" s="198">
        <v>10</v>
      </c>
      <c r="H69" s="185">
        <v>7</v>
      </c>
      <c r="I69" s="186">
        <v>1</v>
      </c>
      <c r="J69" s="186">
        <v>4</v>
      </c>
      <c r="K69" s="187">
        <v>0</v>
      </c>
      <c r="L69" s="187">
        <v>0</v>
      </c>
      <c r="M69" s="186">
        <v>10</v>
      </c>
      <c r="N69" s="186">
        <v>10417.2</v>
      </c>
      <c r="O69" s="184">
        <f t="shared" ref="O69:O72" si="19">L69+N69</f>
      </c>
      <c r="P69" s="187">
        <v>9471.97</v>
      </c>
      <c r="Q69" s="188">
        <f t="shared" si="23"/>
      </c>
      <c r="R69" s="189">
        <f t="shared" si="24"/>
      </c>
      <c r="S69" s="188">
        <f t="shared" si="4"/>
      </c>
      <c r="T69" s="190" t="s">
        <v>240</v>
      </c>
      <c r="U69" s="190">
        <v>10</v>
      </c>
      <c r="V69" s="191" t="s">
        <v>223</v>
      </c>
      <c r="W69" s="190">
        <v>10</v>
      </c>
    </row>
    <row hidden="true" r="70">
      <c r="A70" s="206">
        <v>46231</v>
      </c>
      <c r="B70" s="181" t="s">
        <v>246</v>
      </c>
      <c r="C70" s="207" t="s">
        <v>251</v>
      </c>
      <c r="D70" s="181">
        <v>2</v>
      </c>
      <c r="E70" s="193">
        <v>6</v>
      </c>
      <c r="F70" s="183">
        <v>5</v>
      </c>
      <c r="G70" s="198">
        <v>5</v>
      </c>
      <c r="H70" s="185">
        <v>4</v>
      </c>
      <c r="I70" s="186">
        <v>1</v>
      </c>
      <c r="J70" s="186">
        <v>3</v>
      </c>
      <c r="K70" s="187">
        <v>0</v>
      </c>
      <c r="L70" s="187">
        <v>0</v>
      </c>
      <c r="M70" s="186">
        <v>5</v>
      </c>
      <c r="N70" s="186">
        <v>5719.200000000001</v>
      </c>
      <c r="O70" s="184">
        <f t="shared" si="19"/>
      </c>
      <c r="P70" s="187">
        <v>4059.43</v>
      </c>
      <c r="Q70" s="188">
        <f t="shared" si="23"/>
      </c>
      <c r="R70" s="189">
        <f t="shared" si="24"/>
      </c>
      <c r="S70" s="188">
        <f t="shared" si="4"/>
      </c>
      <c r="T70" s="191"/>
      <c r="U70" s="191"/>
      <c r="V70" s="195"/>
      <c r="W70" s="195"/>
    </row>
    <row hidden="true" r="71">
      <c r="A71" s="206">
        <v>46231</v>
      </c>
      <c r="B71" s="190" t="s">
        <v>234</v>
      </c>
      <c r="C71" s="207" t="s">
        <v>244</v>
      </c>
      <c r="D71" s="181">
        <v>2</v>
      </c>
      <c r="E71" s="193">
        <v>7</v>
      </c>
      <c r="F71" s="183">
        <v>3</v>
      </c>
      <c r="G71" s="198">
        <v>6</v>
      </c>
      <c r="H71" s="185">
        <v>3</v>
      </c>
      <c r="I71" s="186">
        <v>0</v>
      </c>
      <c r="J71" s="186">
        <v>1</v>
      </c>
      <c r="K71" s="187">
        <v>0</v>
      </c>
      <c r="L71" s="187">
        <v>0</v>
      </c>
      <c r="M71" s="186">
        <v>6</v>
      </c>
      <c r="N71" s="186">
        <v>6026.799999999999</v>
      </c>
      <c r="O71" s="184">
        <f t="shared" si="19"/>
      </c>
      <c r="P71" s="187">
        <v>5952.360000000001</v>
      </c>
      <c r="Q71" s="188">
        <f t="shared" si="23"/>
      </c>
      <c r="R71" s="189">
        <f t="shared" si="24"/>
      </c>
      <c r="S71" s="188">
        <f t="shared" si="4"/>
      </c>
      <c r="T71" s="191"/>
      <c r="U71" s="191"/>
      <c r="V71" s="195"/>
      <c r="W71" s="195"/>
    </row>
    <row hidden="true" r="72">
      <c r="A72" s="206">
        <v>46231</v>
      </c>
      <c r="B72" s="190" t="s">
        <v>237</v>
      </c>
      <c r="C72" s="207" t="s">
        <v>245</v>
      </c>
      <c r="D72" s="181">
        <v>2</v>
      </c>
      <c r="E72" s="197">
        <v>3</v>
      </c>
      <c r="F72" s="183">
        <v>4</v>
      </c>
      <c r="G72" s="198">
        <v>2</v>
      </c>
      <c r="H72" s="185">
        <v>3</v>
      </c>
      <c r="I72" s="186">
        <v>0</v>
      </c>
      <c r="J72" s="186">
        <v>1</v>
      </c>
      <c r="K72" s="187">
        <v>0</v>
      </c>
      <c r="L72" s="187">
        <v>0</v>
      </c>
      <c r="M72" s="186">
        <v>2</v>
      </c>
      <c r="N72" s="186">
        <v>2712.7999999999993</v>
      </c>
      <c r="O72" s="184">
        <f t="shared" si="19"/>
      </c>
      <c r="P72" s="187">
        <v>5801.87</v>
      </c>
      <c r="Q72" s="188">
        <f t="shared" si="23"/>
      </c>
      <c r="R72" s="189">
        <f t="shared" si="24"/>
      </c>
      <c r="S72" s="188">
        <f t="shared" si="4"/>
      </c>
      <c r="T72" s="191"/>
      <c r="U72" s="191"/>
      <c r="V72" s="191"/>
      <c r="W72" s="191"/>
    </row>
    <row hidden="true" r="73">
      <c r="A73" s="211">
        <v>46231</v>
      </c>
      <c r="B73" s="216" t="s">
        <v>228</v>
      </c>
      <c r="C73" s="217"/>
      <c r="D73" s="218">
        <f>D72+D69+D70+D71</f>
      </c>
      <c r="E73" s="202">
        <f>E72+E69+E70+E71</f>
      </c>
      <c r="F73" s="202">
        <f>F72+F69+F70+F71</f>
      </c>
      <c r="G73" s="202">
        <f>G72+G69+G70+G71</f>
      </c>
      <c r="H73" s="202">
        <f>H72+H69+H70+H71</f>
      </c>
      <c r="I73" s="202">
        <f>I72+I69+I70+I71</f>
      </c>
      <c r="J73" s="202">
        <f>J72+J69+J70+J71</f>
      </c>
      <c r="K73" s="202">
        <f>K72+K69+K70+K71</f>
      </c>
      <c r="L73" s="202">
        <f>L72+L69+L70+L71</f>
      </c>
      <c r="M73" s="202">
        <f>M72+M69+M70+M71</f>
      </c>
      <c r="N73" s="202">
        <f>N72+N69+N70+N71</f>
      </c>
      <c r="O73" s="202">
        <f>O72+O69+O70+O71</f>
      </c>
      <c r="P73" s="202">
        <f>P72+P69+P70+P71</f>
      </c>
      <c r="Q73" s="203">
        <f t="shared" si="23"/>
      </c>
      <c r="R73" s="203">
        <f t="shared" si="24"/>
      </c>
      <c r="S73" s="203">
        <f t="shared" si="4"/>
      </c>
      <c r="T73" s="204"/>
      <c r="U73" s="204">
        <f>SUM(U69:U72)</f>
      </c>
      <c r="V73" s="204"/>
      <c r="W73" s="205">
        <f>SUM(W69:W72)</f>
      </c>
    </row>
    <row hidden="true" r="74">
      <c r="A74" s="206">
        <v>46232</v>
      </c>
      <c r="B74" s="190" t="s">
        <v>224</v>
      </c>
      <c r="C74" s="182" t="s">
        <v>250</v>
      </c>
      <c r="D74" s="181">
        <v>4</v>
      </c>
      <c r="E74" s="181">
        <v>19</v>
      </c>
      <c r="F74" s="183">
        <v>8</v>
      </c>
      <c r="G74" s="198">
        <v>15</v>
      </c>
      <c r="H74" s="185">
        <v>5</v>
      </c>
      <c r="I74" s="186">
        <v>3</v>
      </c>
      <c r="J74" s="186">
        <v>7</v>
      </c>
      <c r="K74" s="187">
        <v>0</v>
      </c>
      <c r="L74" s="187">
        <v>0</v>
      </c>
      <c r="M74" s="186">
        <v>15</v>
      </c>
      <c r="N74" s="186">
        <v>20673</v>
      </c>
      <c r="O74" s="184">
        <f t="shared" ref="O74:O78" si="20">L74+N74</f>
      </c>
      <c r="P74" s="187">
        <v>7765.13</v>
      </c>
      <c r="Q74" s="188">
        <f t="shared" si="23"/>
      </c>
      <c r="R74" s="189">
        <f t="shared" si="24"/>
      </c>
      <c r="S74" s="188">
        <f t="shared" si="4"/>
      </c>
      <c r="T74" s="190" t="s">
        <v>252</v>
      </c>
      <c r="U74" s="190">
        <v>8</v>
      </c>
      <c r="V74" s="191" t="s">
        <v>223</v>
      </c>
      <c r="W74" s="190">
        <v>16</v>
      </c>
    </row>
    <row hidden="true" r="75">
      <c r="A75" s="206">
        <v>46232</v>
      </c>
      <c r="B75" s="181" t="s">
        <v>246</v>
      </c>
      <c r="C75" s="207" t="s">
        <v>253</v>
      </c>
      <c r="D75" s="181">
        <v>3</v>
      </c>
      <c r="E75" s="193">
        <v>15</v>
      </c>
      <c r="F75" s="183">
        <v>10</v>
      </c>
      <c r="G75" s="198">
        <v>9</v>
      </c>
      <c r="H75" s="185">
        <v>7</v>
      </c>
      <c r="I75" s="186">
        <v>0</v>
      </c>
      <c r="J75" s="186">
        <v>5</v>
      </c>
      <c r="K75" s="187">
        <v>0</v>
      </c>
      <c r="L75" s="187">
        <v>0</v>
      </c>
      <c r="M75" s="186">
        <v>9</v>
      </c>
      <c r="N75" s="186">
        <v>15501.600000000006</v>
      </c>
      <c r="O75" s="184">
        <f t="shared" si="20"/>
      </c>
      <c r="P75" s="187">
        <v>4435.15</v>
      </c>
      <c r="Q75" s="188">
        <f t="shared" si="23"/>
      </c>
      <c r="R75" s="189">
        <f t="shared" si="24"/>
      </c>
      <c r="S75" s="188">
        <f t="shared" si="4"/>
      </c>
      <c r="T75" s="191"/>
      <c r="U75" s="191"/>
      <c r="V75" s="195"/>
      <c r="W75" s="195"/>
    </row>
    <row hidden="true" r="76">
      <c r="A76" s="206">
        <v>46232</v>
      </c>
      <c r="B76" s="190" t="s">
        <v>237</v>
      </c>
      <c r="C76" s="207" t="s">
        <v>229</v>
      </c>
      <c r="D76" s="181">
        <v>3</v>
      </c>
      <c r="E76" s="193">
        <v>4</v>
      </c>
      <c r="F76" s="183">
        <v>3</v>
      </c>
      <c r="G76" s="198">
        <v>2</v>
      </c>
      <c r="H76" s="185">
        <v>1</v>
      </c>
      <c r="I76" s="186">
        <v>0</v>
      </c>
      <c r="J76" s="186">
        <v>0</v>
      </c>
      <c r="K76" s="187">
        <v>0</v>
      </c>
      <c r="L76" s="187">
        <v>0</v>
      </c>
      <c r="M76" s="186">
        <v>2</v>
      </c>
      <c r="N76" s="186">
        <v>3124.800000000003</v>
      </c>
      <c r="O76" s="184">
        <f t="shared" si="20"/>
      </c>
      <c r="P76" s="187">
        <v>3896.04</v>
      </c>
      <c r="Q76" s="188">
        <f t="shared" si="23"/>
      </c>
      <c r="R76" s="189">
        <f t="shared" si="24"/>
      </c>
      <c r="S76" s="188">
        <f t="shared" si="4"/>
      </c>
      <c r="T76" s="191"/>
      <c r="U76" s="191"/>
      <c r="V76" s="195"/>
      <c r="W76" s="195"/>
    </row>
    <row hidden="true" r="77">
      <c r="A77" s="206">
        <v>46232</v>
      </c>
      <c r="B77" s="190" t="s">
        <v>234</v>
      </c>
      <c r="C77" s="207" t="s">
        <v>225</v>
      </c>
      <c r="D77" s="181">
        <v>3</v>
      </c>
      <c r="E77" s="197">
        <v>3</v>
      </c>
      <c r="F77" s="183">
        <v>3</v>
      </c>
      <c r="G77" s="198">
        <v>3</v>
      </c>
      <c r="H77" s="185">
        <v>3</v>
      </c>
      <c r="I77" s="186">
        <v>0</v>
      </c>
      <c r="J77" s="186">
        <v>0</v>
      </c>
      <c r="K77" s="187">
        <v>0</v>
      </c>
      <c r="L77" s="187">
        <v>0</v>
      </c>
      <c r="M77" s="186">
        <v>3</v>
      </c>
      <c r="N77" s="186">
        <v>1354.800000000003</v>
      </c>
      <c r="O77" s="184">
        <f t="shared" si="20"/>
      </c>
      <c r="P77" s="187">
        <v>4889.41</v>
      </c>
      <c r="Q77" s="188">
        <f t="shared" si="23"/>
      </c>
      <c r="R77" s="189">
        <f t="shared" si="24"/>
      </c>
      <c r="S77" s="188">
        <f t="shared" si="4"/>
      </c>
      <c r="T77" s="191"/>
      <c r="U77" s="191"/>
      <c r="V77" s="191"/>
      <c r="W77" s="191"/>
    </row>
    <row customHeight="true" hidden="true" ht="18.452380952380953" r="78">
      <c r="A78" s="206">
        <v>46232</v>
      </c>
      <c r="B78" s="190" t="s">
        <v>231</v>
      </c>
      <c r="C78" s="207" t="s">
        <v>254</v>
      </c>
      <c r="D78" s="181">
        <v>3</v>
      </c>
      <c r="E78" s="197">
        <v>11</v>
      </c>
      <c r="F78" s="183">
        <v>7</v>
      </c>
      <c r="G78" s="198">
        <v>10</v>
      </c>
      <c r="H78" s="185">
        <v>6</v>
      </c>
      <c r="I78" s="186">
        <v>1</v>
      </c>
      <c r="J78" s="186">
        <v>4</v>
      </c>
      <c r="K78" s="187">
        <v>0</v>
      </c>
      <c r="L78" s="187">
        <v>0</v>
      </c>
      <c r="M78" s="186">
        <v>10</v>
      </c>
      <c r="N78" s="186">
        <v>13662</v>
      </c>
      <c r="O78" s="184">
        <f t="shared" si="20"/>
      </c>
      <c r="P78" s="187">
        <v>6714.039999999999</v>
      </c>
      <c r="Q78" s="188">
        <f t="shared" si="23"/>
      </c>
      <c r="R78" s="189">
        <f t="shared" si="24"/>
      </c>
      <c r="S78" s="188">
        <f t="shared" si="4"/>
      </c>
      <c r="T78" s="190" t="s">
        <v>240</v>
      </c>
      <c r="U78" s="190">
        <v>8</v>
      </c>
      <c r="V78" s="191"/>
      <c r="W78" s="191"/>
    </row>
    <row hidden="true" r="79">
      <c r="A79" s="211">
        <v>46232</v>
      </c>
      <c r="B79" s="216" t="s">
        <v>228</v>
      </c>
      <c r="C79" s="217"/>
      <c r="D79" s="218">
        <f>D77+D74+D75+D76+D78</f>
      </c>
      <c r="E79" s="218">
        <f>E77+E74+E75+E76+E78</f>
      </c>
      <c r="F79" s="218">
        <f>F77+F74+F75+F76+F78</f>
      </c>
      <c r="G79" s="218">
        <f>G77+G74+G75+G76+G78</f>
      </c>
      <c r="H79" s="218">
        <f>H77+H74+H75+H76+H78</f>
      </c>
      <c r="I79" s="218">
        <f>I77+I74+I75+I76+I78</f>
      </c>
      <c r="J79" s="218">
        <f>J77+J74+J75+J76+J78</f>
      </c>
      <c r="K79" s="218">
        <f>K77+K74+K75+K76+K78</f>
      </c>
      <c r="L79" s="218">
        <f>L77+L74+L75+L76+L78</f>
      </c>
      <c r="M79" s="218">
        <f>M77+M74+M75+M76+M78</f>
      </c>
      <c r="N79" s="218">
        <f>N77+N74+N75+N76+N78</f>
      </c>
      <c r="O79" s="218">
        <f>O77+O74+O75+O76+O78</f>
      </c>
      <c r="P79" s="218">
        <f>P77+P74+P75+P76+P78</f>
      </c>
      <c r="Q79" s="203">
        <f t="shared" si="23"/>
      </c>
      <c r="R79" s="203">
        <f t="shared" si="24"/>
      </c>
      <c r="S79" s="203">
        <f t="shared" si="4"/>
      </c>
      <c r="T79" s="204"/>
      <c r="U79" s="204">
        <f>SUM(U74:U78)</f>
      </c>
      <c r="V79" s="204"/>
      <c r="W79" s="204">
        <f>SUM(W74:W78)</f>
      </c>
    </row>
    <row hidden="true" r="80">
      <c r="A80" s="206">
        <v>46233</v>
      </c>
      <c r="B80" s="190" t="s">
        <v>224</v>
      </c>
      <c r="C80" s="182" t="s">
        <v>250</v>
      </c>
      <c r="D80" s="181">
        <v>4</v>
      </c>
      <c r="E80" s="181">
        <v>10</v>
      </c>
      <c r="F80" s="183">
        <v>5</v>
      </c>
      <c r="G80" s="198">
        <v>5</v>
      </c>
      <c r="H80" s="185">
        <v>3</v>
      </c>
      <c r="I80" s="186">
        <v>1</v>
      </c>
      <c r="J80" s="186">
        <v>2</v>
      </c>
      <c r="K80" s="187">
        <v>0</v>
      </c>
      <c r="L80" s="187">
        <v>0</v>
      </c>
      <c r="M80" s="186">
        <v>5</v>
      </c>
      <c r="N80" s="186">
        <v>5138.9</v>
      </c>
      <c r="O80" s="184">
        <f t="shared" ref="O80:O84" si="21">L80+N80</f>
      </c>
      <c r="P80" s="187">
        <v>6802.0599999999995</v>
      </c>
      <c r="Q80" s="188">
        <f t="shared" si="23"/>
      </c>
      <c r="R80" s="189">
        <f t="shared" si="24"/>
      </c>
      <c r="S80" s="188">
        <f t="shared" si="4"/>
      </c>
      <c r="T80" s="190" t="s">
        <v>240</v>
      </c>
      <c r="U80" s="190">
        <v>8</v>
      </c>
      <c r="V80" s="191" t="s">
        <v>223</v>
      </c>
      <c r="W80" s="190">
        <v>16</v>
      </c>
    </row>
    <row hidden="true" r="81">
      <c r="A81" s="206">
        <v>46233</v>
      </c>
      <c r="B81" s="181" t="s">
        <v>246</v>
      </c>
      <c r="C81" s="207" t="s">
        <v>255</v>
      </c>
      <c r="D81" s="181">
        <v>4</v>
      </c>
      <c r="E81" s="193">
        <v>18</v>
      </c>
      <c r="F81" s="183">
        <v>15</v>
      </c>
      <c r="G81" s="198">
        <v>16</v>
      </c>
      <c r="H81" s="185">
        <v>12</v>
      </c>
      <c r="I81" s="186">
        <v>3</v>
      </c>
      <c r="J81" s="186">
        <v>9</v>
      </c>
      <c r="K81" s="187">
        <v>0</v>
      </c>
      <c r="L81" s="187">
        <v>0</v>
      </c>
      <c r="M81" s="186">
        <v>16</v>
      </c>
      <c r="N81" s="186">
        <v>30589.4</v>
      </c>
      <c r="O81" s="184">
        <f t="shared" si="21"/>
      </c>
      <c r="P81" s="187">
        <v>14937.550000000001</v>
      </c>
      <c r="Q81" s="188">
        <f t="shared" si="23"/>
      </c>
      <c r="R81" s="189">
        <f t="shared" si="24"/>
      </c>
      <c r="S81" s="188">
        <f t="shared" si="4"/>
      </c>
      <c r="T81" s="191"/>
      <c r="U81" s="191"/>
      <c r="V81" s="195"/>
      <c r="W81" s="195"/>
    </row>
    <row hidden="true" r="82">
      <c r="A82" s="206">
        <v>46233</v>
      </c>
      <c r="B82" s="190" t="s">
        <v>234</v>
      </c>
      <c r="C82" s="207" t="s">
        <v>245</v>
      </c>
      <c r="D82" s="181">
        <v>2</v>
      </c>
      <c r="E82" s="193">
        <v>12</v>
      </c>
      <c r="F82" s="183">
        <v>9</v>
      </c>
      <c r="G82" s="198">
        <v>10</v>
      </c>
      <c r="H82" s="185">
        <v>8</v>
      </c>
      <c r="I82" s="186">
        <v>1</v>
      </c>
      <c r="J82" s="186">
        <v>2</v>
      </c>
      <c r="K82" s="187">
        <v>0</v>
      </c>
      <c r="L82" s="187">
        <v>0</v>
      </c>
      <c r="M82" s="186">
        <v>10</v>
      </c>
      <c r="N82" s="186">
        <v>9144.400000000001</v>
      </c>
      <c r="O82" s="184">
        <f t="shared" si="21"/>
      </c>
      <c r="P82" s="187">
        <v>4765.01</v>
      </c>
      <c r="Q82" s="188">
        <f t="shared" si="23"/>
      </c>
      <c r="R82" s="189">
        <f t="shared" si="24"/>
      </c>
      <c r="S82" s="188">
        <f t="shared" si="4"/>
      </c>
      <c r="T82" s="191"/>
      <c r="U82" s="191"/>
      <c r="V82" s="195"/>
      <c r="W82" s="195"/>
    </row>
    <row hidden="true" r="83">
      <c r="A83" s="206">
        <v>46233</v>
      </c>
      <c r="B83" s="190" t="s">
        <v>237</v>
      </c>
      <c r="C83" s="207" t="s">
        <v>230</v>
      </c>
      <c r="D83" s="220">
        <f>2-0.25</f>
      </c>
      <c r="E83" s="197">
        <v>9</v>
      </c>
      <c r="F83" s="183">
        <v>9</v>
      </c>
      <c r="G83" s="198">
        <v>7</v>
      </c>
      <c r="H83" s="185">
        <v>6</v>
      </c>
      <c r="I83" s="186">
        <v>0</v>
      </c>
      <c r="J83" s="186">
        <v>3</v>
      </c>
      <c r="K83" s="187">
        <v>0</v>
      </c>
      <c r="L83" s="187">
        <v>0</v>
      </c>
      <c r="M83" s="186">
        <v>7</v>
      </c>
      <c r="N83" s="186">
        <v>12063.799999999996</v>
      </c>
      <c r="O83" s="184">
        <f t="shared" si="21"/>
      </c>
      <c r="P83" s="187">
        <v>5791.02</v>
      </c>
      <c r="Q83" s="188">
        <f t="shared" si="23"/>
      </c>
      <c r="R83" s="189">
        <f t="shared" si="24"/>
      </c>
      <c r="S83" s="188">
        <f t="shared" si="4"/>
      </c>
      <c r="T83" s="191"/>
      <c r="U83" s="191"/>
      <c r="V83" s="191"/>
      <c r="W83" s="191"/>
    </row>
    <row hidden="true" r="84">
      <c r="A84" s="206">
        <v>46233</v>
      </c>
      <c r="B84" s="190" t="s">
        <v>231</v>
      </c>
      <c r="C84" s="207" t="s">
        <v>241</v>
      </c>
      <c r="D84" s="181">
        <v>4</v>
      </c>
      <c r="E84" s="197">
        <v>17</v>
      </c>
      <c r="F84" s="183">
        <v>16</v>
      </c>
      <c r="G84" s="198">
        <v>12</v>
      </c>
      <c r="H84" s="185">
        <v>10</v>
      </c>
      <c r="I84" s="186">
        <v>0</v>
      </c>
      <c r="J84" s="186">
        <v>7</v>
      </c>
      <c r="K84" s="187">
        <v>0</v>
      </c>
      <c r="L84" s="187">
        <v>0</v>
      </c>
      <c r="M84" s="186">
        <v>12</v>
      </c>
      <c r="N84" s="186">
        <v>19042.800000000003</v>
      </c>
      <c r="O84" s="184">
        <f t="shared" si="21"/>
      </c>
      <c r="P84" s="187">
        <v>13203.57</v>
      </c>
      <c r="Q84" s="188">
        <f t="shared" si="23"/>
      </c>
      <c r="R84" s="189">
        <f t="shared" si="24"/>
      </c>
      <c r="S84" s="188">
        <f t="shared" si="4"/>
      </c>
      <c r="T84" s="190" t="s">
        <v>252</v>
      </c>
      <c r="U84" s="190">
        <v>8</v>
      </c>
      <c r="V84" s="191"/>
      <c r="W84" s="191"/>
    </row>
    <row hidden="true" r="85">
      <c r="A85" s="211">
        <v>46233</v>
      </c>
      <c r="B85" s="216" t="s">
        <v>228</v>
      </c>
      <c r="C85" s="217"/>
      <c r="D85" s="218">
        <f>D83+D80+D81+D82+D84</f>
      </c>
      <c r="E85" s="218">
        <f>E83+E80+E81+E82+E84</f>
      </c>
      <c r="F85" s="218">
        <f>F83+F80+F81+F82+F84</f>
      </c>
      <c r="G85" s="218">
        <f>G83+G80+G81+G82+G84</f>
      </c>
      <c r="H85" s="218">
        <f>H83+H80+H81+H82+H84</f>
      </c>
      <c r="I85" s="218">
        <f>I83+I80+I81+I82+I84</f>
      </c>
      <c r="J85" s="218">
        <f>J83+J80+J81+J82+J84</f>
      </c>
      <c r="K85" s="218">
        <f>K83+K80+K81+K82+K84</f>
      </c>
      <c r="L85" s="218">
        <f>L83+L80+L81+L82+L84</f>
      </c>
      <c r="M85" s="218">
        <f>M83+M80+M81+M82+M84</f>
      </c>
      <c r="N85" s="218">
        <f>N83+N80+N81+N82+N84</f>
      </c>
      <c r="O85" s="218">
        <f>O83+O80+O81+O82+O84</f>
      </c>
      <c r="P85" s="218">
        <f>P83+P80+P81+P82+P84</f>
      </c>
      <c r="Q85" s="203">
        <f t="shared" si="23"/>
      </c>
      <c r="R85" s="203">
        <f t="shared" si="24"/>
      </c>
      <c r="S85" s="203">
        <f t="shared" si="4"/>
      </c>
      <c r="T85" s="204"/>
      <c r="U85" s="204">
        <f>SUM(U80:U84)</f>
      </c>
      <c r="V85" s="204"/>
      <c r="W85" s="204">
        <f>SUM(W80:W84)</f>
      </c>
    </row>
    <row hidden="true" r="86">
      <c r="A86" s="206">
        <v>46234</v>
      </c>
      <c r="B86" s="190" t="s">
        <v>224</v>
      </c>
      <c r="C86" s="182" t="s">
        <v>250</v>
      </c>
      <c r="D86" s="220">
        <f>4-0.25</f>
      </c>
      <c r="E86" s="181">
        <v>24</v>
      </c>
      <c r="F86" s="183">
        <v>18</v>
      </c>
      <c r="G86" s="198">
        <v>16</v>
      </c>
      <c r="H86" s="185">
        <v>10</v>
      </c>
      <c r="I86" s="186">
        <v>1</v>
      </c>
      <c r="J86" s="186">
        <v>7</v>
      </c>
      <c r="K86" s="187">
        <v>0</v>
      </c>
      <c r="L86" s="187">
        <v>0</v>
      </c>
      <c r="M86" s="186">
        <v>16</v>
      </c>
      <c r="N86" s="186">
        <v>22568.999999999996</v>
      </c>
      <c r="O86" s="184">
        <f t="shared" ref="O86:O90" si="22">L86+N86</f>
      </c>
      <c r="P86" s="187">
        <v>12437.550000000001</v>
      </c>
      <c r="Q86" s="188">
        <f t="shared" si="23"/>
      </c>
      <c r="R86" s="189">
        <f t="shared" si="24"/>
      </c>
      <c r="S86" s="188">
        <f t="shared" si="4"/>
      </c>
      <c r="T86" s="190" t="s">
        <v>252</v>
      </c>
      <c r="U86" s="190">
        <v>8</v>
      </c>
      <c r="V86" s="191" t="s">
        <v>223</v>
      </c>
      <c r="W86" s="190">
        <v>16</v>
      </c>
    </row>
    <row hidden="true" r="87">
      <c r="A87" s="206">
        <v>46234</v>
      </c>
      <c r="B87" s="181" t="s">
        <v>246</v>
      </c>
      <c r="C87" s="207" t="s">
        <v>255</v>
      </c>
      <c r="D87" s="181">
        <v>4</v>
      </c>
      <c r="E87" s="193">
        <v>14</v>
      </c>
      <c r="F87" s="183">
        <v>12</v>
      </c>
      <c r="G87" s="198">
        <v>11</v>
      </c>
      <c r="H87" s="185">
        <v>8</v>
      </c>
      <c r="I87" s="186">
        <v>1</v>
      </c>
      <c r="J87" s="186">
        <v>4</v>
      </c>
      <c r="K87" s="187">
        <v>0</v>
      </c>
      <c r="L87" s="187">
        <v>0</v>
      </c>
      <c r="M87" s="186">
        <v>11</v>
      </c>
      <c r="N87" s="186">
        <v>24292.2</v>
      </c>
      <c r="O87" s="184">
        <f t="shared" si="22"/>
      </c>
      <c r="P87" s="187">
        <v>11089.65</v>
      </c>
      <c r="Q87" s="188">
        <f t="shared" si="23"/>
      </c>
      <c r="R87" s="189">
        <f t="shared" si="24"/>
      </c>
      <c r="S87" s="188">
        <f t="shared" si="4"/>
      </c>
      <c r="T87" s="191"/>
      <c r="U87" s="191"/>
      <c r="V87" s="195"/>
      <c r="W87" s="195"/>
    </row>
    <row hidden="true" r="88">
      <c r="A88" s="206">
        <v>46234</v>
      </c>
      <c r="B88" s="190" t="s">
        <v>234</v>
      </c>
      <c r="C88" s="207" t="s">
        <v>245</v>
      </c>
      <c r="D88" s="181">
        <v>2</v>
      </c>
      <c r="E88" s="193">
        <v>5</v>
      </c>
      <c r="F88" s="183">
        <v>5</v>
      </c>
      <c r="G88" s="198">
        <v>2</v>
      </c>
      <c r="H88" s="185">
        <v>2</v>
      </c>
      <c r="I88" s="186">
        <v>0</v>
      </c>
      <c r="J88" s="186">
        <v>0</v>
      </c>
      <c r="K88" s="187">
        <v>0</v>
      </c>
      <c r="L88" s="187">
        <v>0</v>
      </c>
      <c r="M88" s="186">
        <v>2</v>
      </c>
      <c r="N88" s="186">
        <v>1305.5999999999985</v>
      </c>
      <c r="O88" s="184">
        <f t="shared" si="22"/>
      </c>
      <c r="P88" s="187">
        <v>6069.93</v>
      </c>
      <c r="Q88" s="188">
        <f t="shared" si="23"/>
      </c>
      <c r="R88" s="189">
        <f t="shared" si="24"/>
      </c>
      <c r="S88" s="188">
        <f t="shared" si="4"/>
      </c>
      <c r="T88" s="191"/>
      <c r="U88" s="191"/>
      <c r="V88" s="195"/>
      <c r="W88" s="195"/>
    </row>
    <row r="89">
      <c r="A89" s="206">
        <v>46234</v>
      </c>
      <c r="B89" s="190" t="s">
        <v>256</v>
      </c>
      <c r="C89" s="207" t="s">
        <v>230</v>
      </c>
      <c r="D89" s="181">
        <v>2</v>
      </c>
      <c r="E89" s="197">
        <v>4</v>
      </c>
      <c r="F89" s="183">
        <v>3</v>
      </c>
      <c r="G89" s="198">
        <v>3</v>
      </c>
      <c r="H89" s="185">
        <v>3</v>
      </c>
      <c r="I89" s="186">
        <v>0</v>
      </c>
      <c r="J89" s="186">
        <v>0</v>
      </c>
      <c r="K89" s="187">
        <v>0</v>
      </c>
      <c r="L89" s="187">
        <v>0</v>
      </c>
      <c r="M89" s="186">
        <v>3</v>
      </c>
      <c r="N89" s="186">
        <v>2218.800000000003</v>
      </c>
      <c r="O89" s="184">
        <f t="shared" si="22"/>
      </c>
      <c r="P89" s="187">
        <v>4160.13</v>
      </c>
      <c r="Q89" s="188">
        <f t="shared" si="23"/>
      </c>
      <c r="R89" s="189">
        <f t="shared" si="24"/>
      </c>
      <c r="S89" s="188">
        <f t="shared" si="4"/>
      </c>
      <c r="T89" s="191"/>
      <c r="U89" s="191"/>
      <c r="V89" s="191"/>
      <c r="W89" s="191"/>
    </row>
    <row hidden="true" r="90">
      <c r="A90" s="206">
        <v>46234</v>
      </c>
      <c r="B90" s="190" t="s">
        <v>231</v>
      </c>
      <c r="C90" s="207" t="s">
        <v>241</v>
      </c>
      <c r="D90" s="220">
        <f>4-0.25</f>
      </c>
      <c r="E90" s="197">
        <v>18</v>
      </c>
      <c r="F90" s="183">
        <v>12</v>
      </c>
      <c r="G90" s="198">
        <v>14</v>
      </c>
      <c r="H90" s="185">
        <v>8</v>
      </c>
      <c r="I90" s="186">
        <v>3</v>
      </c>
      <c r="J90" s="186">
        <v>4</v>
      </c>
      <c r="K90" s="187">
        <v>0</v>
      </c>
      <c r="L90" s="187">
        <v>0</v>
      </c>
      <c r="M90" s="186">
        <v>14</v>
      </c>
      <c r="N90" s="186">
        <v>19394.6</v>
      </c>
      <c r="O90" s="184">
        <f t="shared" si="22"/>
      </c>
      <c r="P90" s="187">
        <v>11676.77</v>
      </c>
      <c r="Q90" s="188">
        <f t="shared" si="23"/>
      </c>
      <c r="R90" s="189">
        <f t="shared" si="24"/>
      </c>
      <c r="S90" s="188">
        <f t="shared" si="4"/>
      </c>
      <c r="T90" s="190" t="s">
        <v>240</v>
      </c>
      <c r="U90" s="190">
        <v>8</v>
      </c>
      <c r="V90" s="191"/>
      <c r="W90" s="191"/>
    </row>
    <row hidden="true" r="91">
      <c r="A91" s="211">
        <v>46234</v>
      </c>
      <c r="B91" s="216" t="s">
        <v>228</v>
      </c>
      <c r="C91" s="217"/>
      <c r="D91" s="218">
        <f>D89+D86+D87+D88+D90</f>
      </c>
      <c r="E91" s="218">
        <f>E89+E86+E87+E88+E90</f>
      </c>
      <c r="F91" s="218">
        <f>F89+F86+F87+F88+F90</f>
      </c>
      <c r="G91" s="218">
        <f>G89+G86+G87+G88+G90</f>
      </c>
      <c r="H91" s="218">
        <f>H89+H86+H87+H88+H90</f>
      </c>
      <c r="I91" s="218">
        <f>I89+I86+I87+I88+I90</f>
      </c>
      <c r="J91" s="218">
        <f>J89+J86+J87+J88+J90</f>
      </c>
      <c r="K91" s="218">
        <f>K89+K86+K87+K88+K90</f>
      </c>
      <c r="L91" s="218">
        <f>L89+L86+L87+L88+L90</f>
      </c>
      <c r="M91" s="218">
        <f>M89+M86+M87+M88+M90</f>
      </c>
      <c r="N91" s="218">
        <f>N89+N86+N87+N88+N90</f>
      </c>
      <c r="O91" s="218">
        <f>O89+O86+O87+O88+O90</f>
      </c>
      <c r="P91" s="218">
        <f>P89+P86+P87+P88+P90</f>
      </c>
      <c r="Q91" s="203">
        <f t="shared" si="23"/>
      </c>
      <c r="R91" s="203">
        <f t="shared" si="24"/>
      </c>
      <c r="S91" s="203">
        <f t="shared" si="4"/>
      </c>
      <c r="T91" s="204"/>
      <c r="U91" s="204">
        <f>SUM(U86:U90)</f>
      </c>
      <c r="V91" s="204"/>
      <c r="W91" s="204">
        <f>SUM(W86:W90)</f>
      </c>
    </row>
    <row hidden="true" r="92"/>
    <row hidden="true" r="93">
      <c r="Q93" s="221"/>
    </row>
    <row hidden="true" r="94">
      <c r="Q94" s="221"/>
    </row>
    <row hidden="true" r="95">
      <c r="Q95" s="221"/>
    </row>
    <row hidden="true" r="96">
      <c r="Q96" s="221"/>
    </row>
    <row hidden="true" r="97">
      <c r="Q97" s="221"/>
    </row>
    <row hidden="true" r="98">
      <c r="Q98" s="221"/>
    </row>
    <row hidden="true" r="99">
      <c r="Q99" s="221"/>
    </row>
    <row hidden="true" r="100">
      <c r="Q100" s="221"/>
    </row>
    <row hidden="true" r="101">
      <c r="Q101" s="221"/>
    </row>
    <row hidden="true" r="102">
      <c r="Q102" s="221"/>
    </row>
    <row hidden="true" r="103">
      <c r="Q103" s="221"/>
    </row>
    <row hidden="true" r="104">
      <c r="Q104" s="221"/>
    </row>
    <row hidden="true" r="105">
      <c r="Q105" s="221"/>
    </row>
    <row hidden="true" r="106">
      <c r="Q106" s="221"/>
    </row>
    <row hidden="true" r="107">
      <c r="Q107" s="221"/>
    </row>
    <row hidden="true" r="108">
      <c r="Q108" s="221"/>
    </row>
    <row hidden="true" r="109">
      <c r="Q109" s="221"/>
    </row>
    <row hidden="true" r="110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</row>
    <row hidden="true" r="111"/>
    <row hidden="true" r="112"/>
    <row hidden="true" r="113"/>
    <row hidden="true" r="114"/>
    <row hidden="true" r="115"/>
    <row hidden="true" r="116"/>
    <row hidden="true" r="117"/>
    <row hidden="true" r="118"/>
    <row hidden="true" r="119"/>
    <row hidden="true" r="120"/>
    <row hidden="true" r="121"/>
    <row hidden="true" r="122"/>
    <row hidden="true" r="123"/>
    <row hidden="true" r="124"/>
    <row hidden="true" r="125"/>
    <row hidden="true" r="126"/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hidden="true" r="140"/>
    <row hidden="true" r="141"/>
    <row hidden="true" r="142"/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hidden="true" r="193"/>
    <row hidden="true" r="194"/>
    <row hidden="true" r="195"/>
    <row hidden="true" r="196"/>
    <row hidden="true" r="197"/>
    <row hidden="true" r="198"/>
    <row hidden="true" r="199"/>
    <row hidden="true" r="200"/>
    <row hidden="true" r="201"/>
    <row hidden="true" r="202"/>
    <row hidden="true" r="203"/>
    <row hidden="true" r="204"/>
    <row hidden="true" r="205">
      <c r="O205">
        <f>O63+O58+O53+O48+O43+O38+O33</f>
      </c>
      <c r="P205">
        <f>P63+P58+P53+P48+P43+P38+P33</f>
      </c>
    </row>
  </sheetData>
  <autoFilter ref="A1:W205">
    <filterColumn colId="1">
      <filters>
        <filter val="路孟玲"/>
      </filters>
    </filterColumn>
  </autoFilter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3" min="13" style="0" width="12.64480633802817"/>
    <col collapsed="false" customWidth="true" hidden="false" max="15" min="15" style="0" width="12.64480633802817"/>
    <col collapsed="false" customWidth="true" hidden="false" max="7" min="7" style="0" width="12.64480633802817"/>
    <col collapsed="false" customWidth="true" hidden="false" max="9" min="9" style="0" width="15.574383802816902"/>
    <col collapsed="false" customWidth="true" hidden="false" max="11" min="11" style="0" width="14.109595070422536"/>
    <col collapsed="false" customWidth="true" hidden="false" max="12" min="12" style="0" width="14.109595070422536"/>
    <col collapsed="false" customWidth="true" hidden="false" max="14" min="14" style="0" width="13.977992957746478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2.64480633802817"/>
  </cols>
  <sheetData>
    <row r="1">
      <c r="A1" s="222" t="s">
        <v>257</v>
      </c>
      <c r="B1" s="223" t="s">
        <v>258</v>
      </c>
      <c r="C1" s="222" t="s">
        <v>259</v>
      </c>
      <c r="D1" s="222" t="s">
        <v>260</v>
      </c>
      <c r="E1" s="224" t="s">
        <v>261</v>
      </c>
      <c r="F1" s="222" t="s">
        <v>262</v>
      </c>
      <c r="G1" s="225" t="s">
        <v>263</v>
      </c>
      <c r="H1" s="225" t="s">
        <v>264</v>
      </c>
      <c r="I1" s="225" t="s">
        <v>265</v>
      </c>
      <c r="J1" s="225" t="s">
        <v>266</v>
      </c>
      <c r="K1" s="225" t="s">
        <v>267</v>
      </c>
      <c r="L1" s="226" t="s">
        <v>268</v>
      </c>
      <c r="M1" s="227" t="s">
        <v>269</v>
      </c>
      <c r="N1" s="222" t="s">
        <v>270</v>
      </c>
      <c r="O1" s="228" t="s">
        <v>271</v>
      </c>
      <c r="P1" s="224" t="s">
        <v>272</v>
      </c>
      <c r="Q1" s="224" t="s">
        <v>273</v>
      </c>
      <c r="R1" s="224" t="s">
        <v>274</v>
      </c>
      <c r="S1" s="224" t="s">
        <v>275</v>
      </c>
    </row>
    <row r="2">
      <c r="A2" s="229">
        <v>46307</v>
      </c>
      <c r="B2" s="230" t="s">
        <v>276</v>
      </c>
      <c r="C2" s="231" t="s">
        <v>277</v>
      </c>
      <c r="D2" s="232">
        <v>4</v>
      </c>
      <c r="E2" s="233">
        <v>7682.4400000000005</v>
      </c>
      <c r="F2" s="232">
        <v>7</v>
      </c>
      <c r="G2" s="234">
        <v>5</v>
      </c>
      <c r="H2" s="234">
        <v>9025.8</v>
      </c>
      <c r="I2" s="233">
        <v>0</v>
      </c>
      <c r="J2" s="233">
        <v>0</v>
      </c>
      <c r="K2" s="235">
        <f t="shared" ref="K2:K5" si="14">G2+I2</f>
      </c>
      <c r="L2" s="236">
        <v>4</v>
      </c>
      <c r="M2" s="237">
        <v>5</v>
      </c>
      <c r="N2" s="234">
        <v>0</v>
      </c>
      <c r="O2" s="234">
        <v>3</v>
      </c>
      <c r="P2" s="235">
        <f t="shared" ref="P2:P5" si="21">J2+H2</f>
      </c>
      <c r="Q2" s="238">
        <f t="shared" ref="Q2:Q5" si="28">P2/E2</f>
      </c>
      <c r="R2" s="239">
        <f t="shared" ref="R2:R5" si="0">P2/K2</f>
      </c>
      <c r="S2" s="238">
        <f t="shared" ref="S2:S5" si="7">E2/K2</f>
      </c>
    </row>
    <row r="3">
      <c r="A3" s="229">
        <v>46307</v>
      </c>
      <c r="B3" s="230" t="s">
        <v>278</v>
      </c>
      <c r="C3" s="240" t="s">
        <v>279</v>
      </c>
      <c r="D3" s="232">
        <v>4</v>
      </c>
      <c r="E3" s="233">
        <v>6948.01</v>
      </c>
      <c r="F3" s="241">
        <v>10</v>
      </c>
      <c r="G3" s="234">
        <v>7</v>
      </c>
      <c r="H3" s="234">
        <v>7774</v>
      </c>
      <c r="I3" s="233">
        <v>1</v>
      </c>
      <c r="J3" s="233">
        <v>205</v>
      </c>
      <c r="K3" s="235">
        <f t="shared" si="14"/>
      </c>
      <c r="L3" s="236">
        <v>4</v>
      </c>
      <c r="M3" s="237">
        <v>6</v>
      </c>
      <c r="N3" s="234">
        <v>1</v>
      </c>
      <c r="O3" s="234">
        <v>3</v>
      </c>
      <c r="P3" s="235">
        <f t="shared" si="21"/>
      </c>
      <c r="Q3" s="238">
        <f t="shared" si="28"/>
      </c>
      <c r="R3" s="239">
        <f t="shared" si="0"/>
      </c>
      <c r="S3" s="238">
        <f t="shared" si="7"/>
      </c>
    </row>
    <row r="4">
      <c r="A4" s="229">
        <v>46307</v>
      </c>
      <c r="B4" s="230" t="s">
        <v>280</v>
      </c>
      <c r="C4" s="240" t="s">
        <v>281</v>
      </c>
      <c r="D4" s="232">
        <v>4</v>
      </c>
      <c r="E4" s="233">
        <v>8152.83</v>
      </c>
      <c r="F4" s="242">
        <v>10</v>
      </c>
      <c r="G4" s="234">
        <v>9</v>
      </c>
      <c r="H4" s="234">
        <v>17242.8</v>
      </c>
      <c r="I4" s="233">
        <v>1</v>
      </c>
      <c r="J4" s="233">
        <v>279</v>
      </c>
      <c r="K4" s="235">
        <f t="shared" si="14"/>
      </c>
      <c r="L4" s="236">
        <v>10</v>
      </c>
      <c r="M4" s="237">
        <v>10</v>
      </c>
      <c r="N4" s="234">
        <v>0</v>
      </c>
      <c r="O4" s="234">
        <v>4</v>
      </c>
      <c r="P4" s="235">
        <f t="shared" si="21"/>
      </c>
      <c r="Q4" s="238">
        <f t="shared" si="28"/>
      </c>
      <c r="R4" s="239">
        <f t="shared" si="0"/>
      </c>
      <c r="S4" s="238">
        <f t="shared" si="7"/>
      </c>
    </row>
    <row r="5">
      <c r="A5" s="229">
        <v>46307</v>
      </c>
      <c r="B5" s="230" t="s">
        <v>282</v>
      </c>
      <c r="C5" s="240" t="s">
        <v>283</v>
      </c>
      <c r="D5" s="232">
        <v>4</v>
      </c>
      <c r="E5" s="233">
        <v>9103.72</v>
      </c>
      <c r="F5" s="243">
        <v>12</v>
      </c>
      <c r="G5" s="234">
        <v>6</v>
      </c>
      <c r="H5" s="234">
        <v>6741.8</v>
      </c>
      <c r="I5" s="233">
        <v>1</v>
      </c>
      <c r="J5" s="233">
        <v>504</v>
      </c>
      <c r="K5" s="235">
        <f t="shared" si="14"/>
      </c>
      <c r="L5" s="236">
        <v>7</v>
      </c>
      <c r="M5" s="237">
        <v>11</v>
      </c>
      <c r="N5" s="234">
        <v>0</v>
      </c>
      <c r="O5" s="234">
        <v>2</v>
      </c>
      <c r="P5" s="235">
        <f t="shared" si="21"/>
      </c>
      <c r="Q5" s="238">
        <f t="shared" si="28"/>
      </c>
      <c r="R5" s="239">
        <f t="shared" si="0"/>
      </c>
      <c r="S5" s="238">
        <f t="shared" si="7"/>
      </c>
    </row>
    <row r="6">
      <c r="A6" s="244"/>
      <c r="B6" s="245"/>
      <c r="C6" s="246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8"/>
      <c r="R6" s="248"/>
      <c r="S6" s="248"/>
    </row>
    <row r="7">
      <c r="A7" s="229">
        <v>46308</v>
      </c>
      <c r="B7" s="230" t="s">
        <v>278</v>
      </c>
      <c r="C7" s="231" t="s">
        <v>284</v>
      </c>
      <c r="D7" s="232">
        <v>5</v>
      </c>
      <c r="E7" s="233">
        <v>9446.37</v>
      </c>
      <c r="F7" s="232">
        <v>14</v>
      </c>
      <c r="G7" s="234">
        <v>12</v>
      </c>
      <c r="H7" s="234">
        <v>20572.399999999998</v>
      </c>
      <c r="I7" s="233">
        <v>1</v>
      </c>
      <c r="J7" s="233">
        <v>2436</v>
      </c>
      <c r="K7" s="235">
        <f t="shared" ref="K7:K10" si="15">G7+I7</f>
      </c>
      <c r="L7" s="236">
        <v>9</v>
      </c>
      <c r="M7" s="237">
        <v>9</v>
      </c>
      <c r="N7" s="234">
        <v>3</v>
      </c>
      <c r="O7" s="234">
        <v>7</v>
      </c>
      <c r="P7" s="235">
        <f t="shared" ref="P7:P10" si="22">J7+H7</f>
      </c>
      <c r="Q7" s="238">
        <f t="shared" ref="Q7:Q10" si="29">P7/E7</f>
      </c>
      <c r="R7" s="239">
        <f t="shared" ref="R7:R10" si="1">P7/K7</f>
      </c>
      <c r="S7" s="238">
        <f t="shared" ref="S7:S10" si="8">E7/K7</f>
      </c>
    </row>
    <row r="8">
      <c r="A8" s="229">
        <v>46308</v>
      </c>
      <c r="B8" s="230" t="s">
        <v>280</v>
      </c>
      <c r="C8" s="240" t="s">
        <v>285</v>
      </c>
      <c r="D8" s="232">
        <v>3</v>
      </c>
      <c r="E8" s="233">
        <v>8670.33</v>
      </c>
      <c r="F8" s="241">
        <v>5</v>
      </c>
      <c r="G8" s="234">
        <v>5</v>
      </c>
      <c r="H8" s="234">
        <v>8614.8</v>
      </c>
      <c r="I8" s="233">
        <v>0</v>
      </c>
      <c r="J8" s="233">
        <v>0</v>
      </c>
      <c r="K8" s="235">
        <f t="shared" si="15"/>
      </c>
      <c r="L8" s="236">
        <v>6</v>
      </c>
      <c r="M8" s="237">
        <v>5</v>
      </c>
      <c r="N8" s="234">
        <v>0</v>
      </c>
      <c r="O8" s="234">
        <v>3</v>
      </c>
      <c r="P8" s="235">
        <f t="shared" si="22"/>
      </c>
      <c r="Q8" s="238">
        <f t="shared" si="29"/>
      </c>
      <c r="R8" s="239">
        <f t="shared" si="1"/>
      </c>
      <c r="S8" s="238">
        <f t="shared" si="8"/>
      </c>
    </row>
    <row r="9">
      <c r="A9" s="229">
        <v>46308</v>
      </c>
      <c r="B9" s="230" t="s">
        <v>282</v>
      </c>
      <c r="C9" s="240" t="s">
        <v>281</v>
      </c>
      <c r="D9" s="232">
        <v>4</v>
      </c>
      <c r="E9" s="233">
        <v>10218.54</v>
      </c>
      <c r="F9" s="242">
        <v>17</v>
      </c>
      <c r="G9" s="234">
        <v>14</v>
      </c>
      <c r="H9" s="234">
        <v>21822.6</v>
      </c>
      <c r="I9" s="233">
        <v>0</v>
      </c>
      <c r="J9" s="233">
        <v>0</v>
      </c>
      <c r="K9" s="235">
        <f t="shared" si="15"/>
      </c>
      <c r="L9" s="236">
        <v>9</v>
      </c>
      <c r="M9" s="237">
        <v>12</v>
      </c>
      <c r="N9" s="234">
        <v>1</v>
      </c>
      <c r="O9" s="234">
        <v>7</v>
      </c>
      <c r="P9" s="235">
        <f t="shared" si="22"/>
      </c>
      <c r="Q9" s="238">
        <f t="shared" si="29"/>
      </c>
      <c r="R9" s="239">
        <f t="shared" si="1"/>
      </c>
      <c r="S9" s="238">
        <f t="shared" si="8"/>
      </c>
    </row>
    <row r="10">
      <c r="A10" s="229">
        <v>46308</v>
      </c>
      <c r="B10" s="230" t="s">
        <v>286</v>
      </c>
      <c r="C10" s="240" t="s">
        <v>283</v>
      </c>
      <c r="D10" s="232">
        <v>4</v>
      </c>
      <c r="E10" s="233">
        <v>7805.48</v>
      </c>
      <c r="F10" s="243">
        <v>4</v>
      </c>
      <c r="G10" s="234">
        <v>4</v>
      </c>
      <c r="H10" s="234">
        <v>3588</v>
      </c>
      <c r="I10" s="233">
        <v>0</v>
      </c>
      <c r="J10" s="233">
        <v>0</v>
      </c>
      <c r="K10" s="235">
        <f t="shared" si="15"/>
      </c>
      <c r="L10" s="236">
        <v>4</v>
      </c>
      <c r="M10" s="237">
        <v>3</v>
      </c>
      <c r="N10" s="234">
        <v>0</v>
      </c>
      <c r="O10" s="234">
        <v>1</v>
      </c>
      <c r="P10" s="235">
        <f t="shared" si="22"/>
      </c>
      <c r="Q10" s="238">
        <f t="shared" si="29"/>
      </c>
      <c r="R10" s="239">
        <f t="shared" si="1"/>
      </c>
      <c r="S10" s="238">
        <f t="shared" si="8"/>
      </c>
    </row>
    <row r="11">
      <c r="A11" s="244"/>
      <c r="B11" s="245"/>
      <c r="C11" s="246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8"/>
      <c r="R11" s="248"/>
      <c r="S11" s="248"/>
    </row>
    <row r="12">
      <c r="A12" s="229">
        <v>46309</v>
      </c>
      <c r="B12" s="230" t="s">
        <v>278</v>
      </c>
      <c r="C12" s="231" t="s">
        <v>277</v>
      </c>
      <c r="D12" s="232">
        <v>4</v>
      </c>
      <c r="E12" s="233">
        <v>10636.3</v>
      </c>
      <c r="F12" s="232">
        <v>23</v>
      </c>
      <c r="G12" s="234">
        <v>15</v>
      </c>
      <c r="H12" s="234">
        <v>22749.800000000007</v>
      </c>
      <c r="I12" s="233">
        <v>5</v>
      </c>
      <c r="J12" s="233">
        <v>1276.2</v>
      </c>
      <c r="K12" s="235">
        <f t="shared" ref="K12:K15" si="16">G12+I12</f>
      </c>
      <c r="L12" s="236">
        <v>15</v>
      </c>
      <c r="M12" s="237">
        <v>17</v>
      </c>
      <c r="N12" s="234">
        <v>2</v>
      </c>
      <c r="O12" s="234">
        <v>6</v>
      </c>
      <c r="P12" s="235">
        <f t="shared" ref="P12:P15" si="23">J12+H12</f>
      </c>
      <c r="Q12" s="238">
        <f t="shared" ref="Q12:Q15" si="30">P12/E12</f>
      </c>
      <c r="R12" s="239">
        <f t="shared" ref="R12:R15" si="2">P12/K12</f>
      </c>
      <c r="S12" s="238">
        <f t="shared" ref="S12:S15" si="9">E12/K12</f>
      </c>
    </row>
    <row r="13">
      <c r="A13" s="229">
        <v>46309</v>
      </c>
      <c r="B13" s="230" t="s">
        <v>282</v>
      </c>
      <c r="C13" s="240" t="s">
        <v>279</v>
      </c>
      <c r="D13" s="232">
        <v>4</v>
      </c>
      <c r="E13" s="233">
        <v>13530.08</v>
      </c>
      <c r="F13" s="241">
        <v>21</v>
      </c>
      <c r="G13" s="234">
        <v>13</v>
      </c>
      <c r="H13" s="234">
        <v>19393.2</v>
      </c>
      <c r="I13" s="233">
        <v>1</v>
      </c>
      <c r="J13" s="233">
        <v>612</v>
      </c>
      <c r="K13" s="235">
        <f t="shared" si="16"/>
      </c>
      <c r="L13" s="236">
        <v>9</v>
      </c>
      <c r="M13" s="237">
        <v>16</v>
      </c>
      <c r="N13" s="234">
        <v>1</v>
      </c>
      <c r="O13" s="234">
        <v>6</v>
      </c>
      <c r="P13" s="235">
        <f t="shared" si="23"/>
      </c>
      <c r="Q13" s="238">
        <f t="shared" si="30"/>
      </c>
      <c r="R13" s="239">
        <f t="shared" si="2"/>
      </c>
      <c r="S13" s="238">
        <f t="shared" si="9"/>
      </c>
    </row>
    <row r="14">
      <c r="A14" s="229">
        <v>46309</v>
      </c>
      <c r="B14" s="230" t="s">
        <v>286</v>
      </c>
      <c r="C14" s="240" t="s">
        <v>281</v>
      </c>
      <c r="D14" s="232">
        <v>4</v>
      </c>
      <c r="E14" s="233">
        <v>10475.51</v>
      </c>
      <c r="F14" s="242">
        <v>16</v>
      </c>
      <c r="G14" s="234">
        <v>12</v>
      </c>
      <c r="H14" s="234">
        <v>24012.1</v>
      </c>
      <c r="I14" s="233">
        <v>0</v>
      </c>
      <c r="J14" s="233">
        <v>0</v>
      </c>
      <c r="K14" s="235">
        <f t="shared" si="16"/>
      </c>
      <c r="L14" s="236">
        <v>9</v>
      </c>
      <c r="M14" s="237">
        <v>13</v>
      </c>
      <c r="N14" s="234">
        <v>2</v>
      </c>
      <c r="O14" s="234">
        <v>10</v>
      </c>
      <c r="P14" s="235">
        <f t="shared" si="23"/>
      </c>
      <c r="Q14" s="238">
        <f t="shared" si="30"/>
      </c>
      <c r="R14" s="239">
        <f t="shared" si="2"/>
      </c>
      <c r="S14" s="238">
        <f t="shared" si="9"/>
      </c>
    </row>
    <row r="15">
      <c r="A15" s="229">
        <v>46309</v>
      </c>
      <c r="B15" s="230" t="s">
        <v>276</v>
      </c>
      <c r="C15" s="240" t="s">
        <v>283</v>
      </c>
      <c r="D15" s="232">
        <v>4</v>
      </c>
      <c r="E15" s="233">
        <v>11418.29</v>
      </c>
      <c r="F15" s="243">
        <v>15</v>
      </c>
      <c r="G15" s="234">
        <v>10</v>
      </c>
      <c r="H15" s="234">
        <v>19913</v>
      </c>
      <c r="I15" s="233">
        <v>0</v>
      </c>
      <c r="J15" s="233">
        <v>0</v>
      </c>
      <c r="K15" s="235">
        <f t="shared" si="16"/>
      </c>
      <c r="L15" s="236">
        <v>6</v>
      </c>
      <c r="M15" s="237">
        <v>11</v>
      </c>
      <c r="N15" s="234">
        <v>1</v>
      </c>
      <c r="O15" s="234">
        <v>5</v>
      </c>
      <c r="P15" s="235">
        <f t="shared" si="23"/>
      </c>
      <c r="Q15" s="238">
        <f t="shared" si="30"/>
      </c>
      <c r="R15" s="239">
        <f t="shared" si="2"/>
      </c>
      <c r="S15" s="238">
        <f t="shared" si="9"/>
      </c>
    </row>
    <row r="16">
      <c r="A16" s="244"/>
      <c r="B16" s="245"/>
      <c r="C16" s="246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8"/>
      <c r="R16" s="248"/>
      <c r="S16" s="248"/>
    </row>
    <row r="17">
      <c r="A17" s="229">
        <v>46310</v>
      </c>
      <c r="B17" s="230" t="s">
        <v>278</v>
      </c>
      <c r="C17" s="231" t="s">
        <v>277</v>
      </c>
      <c r="D17" s="232">
        <v>4</v>
      </c>
      <c r="E17" s="233">
        <v>7265.709999999999</v>
      </c>
      <c r="F17" s="232">
        <v>12</v>
      </c>
      <c r="G17" s="234">
        <v>8</v>
      </c>
      <c r="H17" s="234">
        <v>16522.4</v>
      </c>
      <c r="I17" s="233">
        <v>0</v>
      </c>
      <c r="J17" s="233">
        <v>0</v>
      </c>
      <c r="K17" s="235">
        <f t="shared" ref="K17:K20" si="17">G17+I17</f>
      </c>
      <c r="L17" s="236">
        <v>5</v>
      </c>
      <c r="M17" s="237">
        <v>8</v>
      </c>
      <c r="N17" s="234">
        <v>2</v>
      </c>
      <c r="O17" s="234">
        <v>6</v>
      </c>
      <c r="P17" s="235">
        <f t="shared" ref="P17:P20" si="24">J17+H17</f>
      </c>
      <c r="Q17" s="238">
        <f t="shared" ref="Q17:Q20" si="31">P17/E17</f>
      </c>
      <c r="R17" s="239">
        <f t="shared" ref="R17:R20" si="3">P17/K17</f>
      </c>
      <c r="S17" s="238">
        <f t="shared" ref="S17:S20" si="10">E17/K17</f>
      </c>
    </row>
    <row r="18">
      <c r="A18" s="229">
        <v>46310</v>
      </c>
      <c r="B18" s="230" t="s">
        <v>286</v>
      </c>
      <c r="C18" s="240" t="s">
        <v>279</v>
      </c>
      <c r="D18" s="232">
        <v>4</v>
      </c>
      <c r="E18" s="233">
        <v>6940.42</v>
      </c>
      <c r="F18" s="241">
        <v>8</v>
      </c>
      <c r="G18" s="234">
        <v>6</v>
      </c>
      <c r="H18" s="234">
        <v>13407.6</v>
      </c>
      <c r="I18" s="233">
        <v>1</v>
      </c>
      <c r="J18" s="233">
        <v>300</v>
      </c>
      <c r="K18" s="235">
        <f t="shared" si="17"/>
      </c>
      <c r="L18" s="236">
        <v>3</v>
      </c>
      <c r="M18" s="237">
        <v>6</v>
      </c>
      <c r="N18" s="234">
        <v>0</v>
      </c>
      <c r="O18" s="234">
        <v>5</v>
      </c>
      <c r="P18" s="235">
        <f t="shared" si="24"/>
      </c>
      <c r="Q18" s="238">
        <f t="shared" si="31"/>
      </c>
      <c r="R18" s="239">
        <f t="shared" si="3"/>
      </c>
      <c r="S18" s="238">
        <f t="shared" si="10"/>
      </c>
    </row>
    <row r="19">
      <c r="A19" s="229">
        <v>46310</v>
      </c>
      <c r="B19" s="230" t="s">
        <v>276</v>
      </c>
      <c r="C19" s="240" t="s">
        <v>281</v>
      </c>
      <c r="D19" s="232">
        <v>4</v>
      </c>
      <c r="E19" s="233">
        <v>6993.67</v>
      </c>
      <c r="F19" s="242">
        <v>8</v>
      </c>
      <c r="G19" s="234">
        <v>6</v>
      </c>
      <c r="H19" s="234">
        <v>8191</v>
      </c>
      <c r="I19" s="233">
        <v>1</v>
      </c>
      <c r="J19" s="233">
        <v>1164</v>
      </c>
      <c r="K19" s="235">
        <f t="shared" si="17"/>
      </c>
      <c r="L19" s="236">
        <v>7</v>
      </c>
      <c r="M19" s="237">
        <v>8</v>
      </c>
      <c r="N19" s="234">
        <v>0</v>
      </c>
      <c r="O19" s="234">
        <v>3</v>
      </c>
      <c r="P19" s="235">
        <f t="shared" si="24"/>
      </c>
      <c r="Q19" s="238">
        <f t="shared" si="31"/>
      </c>
      <c r="R19" s="239">
        <f t="shared" si="3"/>
      </c>
      <c r="S19" s="238">
        <f t="shared" si="10"/>
      </c>
    </row>
    <row r="20">
      <c r="A20" s="229">
        <v>46310</v>
      </c>
      <c r="B20" s="230" t="s">
        <v>280</v>
      </c>
      <c r="C20" s="240" t="s">
        <v>283</v>
      </c>
      <c r="D20" s="232">
        <v>4</v>
      </c>
      <c r="E20" s="233">
        <v>7778.08</v>
      </c>
      <c r="F20" s="243">
        <v>4</v>
      </c>
      <c r="G20" s="234">
        <v>4</v>
      </c>
      <c r="H20" s="234">
        <v>4547.6</v>
      </c>
      <c r="I20" s="233">
        <v>0</v>
      </c>
      <c r="J20" s="233">
        <v>0</v>
      </c>
      <c r="K20" s="235">
        <f t="shared" si="17"/>
      </c>
      <c r="L20" s="236">
        <v>2</v>
      </c>
      <c r="M20" s="237">
        <v>2</v>
      </c>
      <c r="N20" s="234">
        <v>0</v>
      </c>
      <c r="O20" s="234">
        <v>2</v>
      </c>
      <c r="P20" s="235">
        <f t="shared" si="24"/>
      </c>
      <c r="Q20" s="238">
        <f t="shared" si="31"/>
      </c>
      <c r="R20" s="239">
        <f t="shared" si="3"/>
      </c>
      <c r="S20" s="238">
        <f t="shared" si="10"/>
      </c>
    </row>
    <row r="21">
      <c r="A21" s="244"/>
      <c r="B21" s="245"/>
      <c r="C21" s="246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8"/>
      <c r="R21" s="248"/>
      <c r="S21" s="248"/>
    </row>
    <row r="22">
      <c r="A22" s="229">
        <v>46311</v>
      </c>
      <c r="B22" s="230" t="s">
        <v>278</v>
      </c>
      <c r="C22" s="231" t="s">
        <v>277</v>
      </c>
      <c r="D22" s="232">
        <v>4</v>
      </c>
      <c r="E22" s="233">
        <v>7583.91</v>
      </c>
      <c r="F22" s="232">
        <v>17</v>
      </c>
      <c r="G22" s="234">
        <v>14</v>
      </c>
      <c r="H22" s="234">
        <v>27834</v>
      </c>
      <c r="I22" s="233">
        <v>2</v>
      </c>
      <c r="J22" s="233">
        <v>3792</v>
      </c>
      <c r="K22" s="235">
        <f t="shared" ref="K22:K25" si="18">G22+I22</f>
      </c>
      <c r="L22" s="236">
        <v>7</v>
      </c>
      <c r="M22" s="237">
        <v>9</v>
      </c>
      <c r="N22" s="234">
        <v>3</v>
      </c>
      <c r="O22" s="234">
        <v>11</v>
      </c>
      <c r="P22" s="235">
        <f t="shared" ref="P22:P25" si="25">J22+H22</f>
      </c>
      <c r="Q22" s="238">
        <f t="shared" ref="Q22:Q25" si="32">P22/E22</f>
      </c>
      <c r="R22" s="239">
        <f t="shared" ref="R22:R25" si="4">P22/K22</f>
      </c>
      <c r="S22" s="238">
        <f t="shared" ref="S22:S25" si="11">E22/K22</f>
      </c>
    </row>
    <row r="23">
      <c r="A23" s="229">
        <v>46311</v>
      </c>
      <c r="B23" s="230" t="s">
        <v>276</v>
      </c>
      <c r="C23" s="240" t="s">
        <v>279</v>
      </c>
      <c r="D23" s="232">
        <v>4</v>
      </c>
      <c r="E23" s="233">
        <v>13910.74</v>
      </c>
      <c r="F23" s="241">
        <v>22</v>
      </c>
      <c r="G23" s="234">
        <v>15</v>
      </c>
      <c r="H23" s="234">
        <v>21152.5</v>
      </c>
      <c r="I23" s="233">
        <v>2</v>
      </c>
      <c r="J23" s="233">
        <v>645.6</v>
      </c>
      <c r="K23" s="235">
        <f t="shared" si="18"/>
      </c>
      <c r="L23" s="236">
        <v>12</v>
      </c>
      <c r="M23" s="237">
        <v>14</v>
      </c>
      <c r="N23" s="234">
        <v>3</v>
      </c>
      <c r="O23" s="234">
        <v>8</v>
      </c>
      <c r="P23" s="235">
        <f t="shared" si="25"/>
      </c>
      <c r="Q23" s="238">
        <f t="shared" si="32"/>
      </c>
      <c r="R23" s="239">
        <f t="shared" si="4"/>
      </c>
      <c r="S23" s="238">
        <f t="shared" si="11"/>
      </c>
    </row>
    <row r="24">
      <c r="A24" s="229">
        <v>46311</v>
      </c>
      <c r="B24" s="230" t="s">
        <v>280</v>
      </c>
      <c r="C24" s="240" t="s">
        <v>281</v>
      </c>
      <c r="D24" s="232">
        <v>4</v>
      </c>
      <c r="E24" s="233">
        <v>9726.3</v>
      </c>
      <c r="F24" s="242">
        <v>9</v>
      </c>
      <c r="G24" s="234">
        <v>8</v>
      </c>
      <c r="H24" s="234">
        <v>10520.4</v>
      </c>
      <c r="I24" s="233">
        <v>0</v>
      </c>
      <c r="J24" s="233">
        <v>0</v>
      </c>
      <c r="K24" s="235">
        <f t="shared" si="18"/>
      </c>
      <c r="L24" s="236">
        <v>6</v>
      </c>
      <c r="M24" s="237">
        <v>5</v>
      </c>
      <c r="N24" s="234">
        <v>1</v>
      </c>
      <c r="O24" s="234">
        <v>3</v>
      </c>
      <c r="P24" s="235">
        <f t="shared" si="25"/>
      </c>
      <c r="Q24" s="238">
        <f t="shared" si="32"/>
      </c>
      <c r="R24" s="239">
        <f t="shared" si="4"/>
      </c>
      <c r="S24" s="238">
        <f t="shared" si="11"/>
      </c>
    </row>
    <row r="25">
      <c r="A25" s="229">
        <v>46311</v>
      </c>
      <c r="B25" s="230" t="s">
        <v>282</v>
      </c>
      <c r="C25" s="240" t="s">
        <v>283</v>
      </c>
      <c r="D25" s="232">
        <v>4</v>
      </c>
      <c r="E25" s="233">
        <v>8124.67</v>
      </c>
      <c r="F25" s="243">
        <v>10</v>
      </c>
      <c r="G25" s="234">
        <v>8</v>
      </c>
      <c r="H25" s="234">
        <v>16709.4</v>
      </c>
      <c r="I25" s="233">
        <v>0</v>
      </c>
      <c r="J25" s="233">
        <v>0</v>
      </c>
      <c r="K25" s="235">
        <f t="shared" si="18"/>
      </c>
      <c r="L25" s="236">
        <v>6</v>
      </c>
      <c r="M25" s="237">
        <v>7</v>
      </c>
      <c r="N25" s="234">
        <v>1</v>
      </c>
      <c r="O25" s="234">
        <v>6</v>
      </c>
      <c r="P25" s="235">
        <f t="shared" si="25"/>
      </c>
      <c r="Q25" s="238">
        <f t="shared" si="32"/>
      </c>
      <c r="R25" s="239">
        <f t="shared" si="4"/>
      </c>
      <c r="S25" s="238">
        <f t="shared" si="11"/>
      </c>
    </row>
    <row r="26">
      <c r="A26" s="244"/>
      <c r="B26" s="245"/>
      <c r="C26" s="246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8"/>
      <c r="R26" s="248"/>
      <c r="S26" s="248"/>
    </row>
    <row r="27">
      <c r="A27" s="229">
        <v>46312</v>
      </c>
      <c r="B27" s="230" t="s">
        <v>276</v>
      </c>
      <c r="C27" s="231" t="s">
        <v>277</v>
      </c>
      <c r="D27" s="232">
        <v>4</v>
      </c>
      <c r="E27" s="233">
        <v>6726.23</v>
      </c>
      <c r="F27" s="232">
        <v>12</v>
      </c>
      <c r="G27" s="234">
        <v>7</v>
      </c>
      <c r="H27" s="234">
        <v>9655.6</v>
      </c>
      <c r="I27" s="233">
        <v>0</v>
      </c>
      <c r="J27" s="233">
        <v>0</v>
      </c>
      <c r="K27" s="235">
        <f t="shared" ref="K27:K31" si="19">G27+I27</f>
      </c>
      <c r="L27" s="236">
        <v>6</v>
      </c>
      <c r="M27" s="237">
        <v>10</v>
      </c>
      <c r="N27" s="234">
        <v>1</v>
      </c>
      <c r="O27" s="234">
        <v>4</v>
      </c>
      <c r="P27" s="235">
        <f t="shared" ref="P27:P30" si="26">J27+H27</f>
      </c>
      <c r="Q27" s="238">
        <f t="shared" ref="Q27:Q31" si="33">P27/E27</f>
      </c>
      <c r="R27" s="239">
        <f t="shared" ref="R27:R31" si="5">P27/K27</f>
      </c>
      <c r="S27" s="238">
        <f t="shared" ref="S27:S31" si="12">E27/K27</f>
      </c>
    </row>
    <row r="28">
      <c r="A28" s="229">
        <v>46312</v>
      </c>
      <c r="B28" s="230" t="s">
        <v>278</v>
      </c>
      <c r="C28" s="240" t="s">
        <v>279</v>
      </c>
      <c r="D28" s="232">
        <v>4</v>
      </c>
      <c r="E28" s="233">
        <v>8084.66</v>
      </c>
      <c r="F28" s="241">
        <v>12</v>
      </c>
      <c r="G28" s="234">
        <v>11</v>
      </c>
      <c r="H28" s="234">
        <v>14706</v>
      </c>
      <c r="I28" s="233">
        <v>0</v>
      </c>
      <c r="J28" s="233">
        <v>0</v>
      </c>
      <c r="K28" s="235">
        <f t="shared" si="19"/>
      </c>
      <c r="L28" s="236">
        <v>10</v>
      </c>
      <c r="M28" s="237">
        <v>11</v>
      </c>
      <c r="N28" s="234">
        <v>2</v>
      </c>
      <c r="O28" s="234">
        <v>4</v>
      </c>
      <c r="P28" s="235">
        <f t="shared" si="26"/>
      </c>
      <c r="Q28" s="238">
        <f t="shared" si="33"/>
      </c>
      <c r="R28" s="239">
        <f t="shared" si="5"/>
      </c>
      <c r="S28" s="238">
        <f t="shared" si="12"/>
      </c>
    </row>
    <row r="29">
      <c r="A29" s="229">
        <v>46312</v>
      </c>
      <c r="B29" s="230" t="s">
        <v>282</v>
      </c>
      <c r="C29" s="240" t="s">
        <v>287</v>
      </c>
      <c r="D29" s="232">
        <v>3</v>
      </c>
      <c r="E29" s="233">
        <v>6436.22</v>
      </c>
      <c r="F29" s="242">
        <v>6</v>
      </c>
      <c r="G29" s="234">
        <v>3</v>
      </c>
      <c r="H29" s="234">
        <v>3296</v>
      </c>
      <c r="I29" s="233">
        <v>0</v>
      </c>
      <c r="J29" s="233">
        <v>0</v>
      </c>
      <c r="K29" s="235">
        <f t="shared" si="19"/>
      </c>
      <c r="L29" s="236">
        <v>1</v>
      </c>
      <c r="M29" s="237">
        <v>4</v>
      </c>
      <c r="N29" s="234">
        <v>1</v>
      </c>
      <c r="O29" s="234">
        <v>2</v>
      </c>
      <c r="P29" s="235">
        <f t="shared" si="26"/>
      </c>
      <c r="Q29" s="238">
        <f t="shared" si="33"/>
      </c>
      <c r="R29" s="239">
        <f t="shared" si="5"/>
      </c>
      <c r="S29" s="238">
        <f t="shared" si="12"/>
      </c>
    </row>
    <row r="30">
      <c r="A30" s="229">
        <v>46312</v>
      </c>
      <c r="B30" s="230" t="s">
        <v>288</v>
      </c>
      <c r="C30" s="240" t="s">
        <v>289</v>
      </c>
      <c r="D30" s="232">
        <v>2</v>
      </c>
      <c r="E30" s="233">
        <v>2936.46</v>
      </c>
      <c r="F30" s="243">
        <v>2</v>
      </c>
      <c r="G30" s="234">
        <v>1</v>
      </c>
      <c r="H30" s="234">
        <v>1327.2</v>
      </c>
      <c r="I30" s="233">
        <v>0</v>
      </c>
      <c r="J30" s="233">
        <v>0</v>
      </c>
      <c r="K30" s="235">
        <f t="shared" si="19"/>
      </c>
      <c r="L30" s="236">
        <v>0</v>
      </c>
      <c r="M30" s="237">
        <v>1</v>
      </c>
      <c r="N30" s="234">
        <v>0</v>
      </c>
      <c r="O30" s="234">
        <v>0</v>
      </c>
      <c r="P30" s="235">
        <f t="shared" si="26"/>
      </c>
      <c r="Q30" s="238">
        <f t="shared" si="33"/>
      </c>
      <c r="R30" s="239">
        <f t="shared" si="5"/>
      </c>
      <c r="S30" s="238">
        <f t="shared" si="12"/>
      </c>
    </row>
    <row r="31">
      <c r="A31" s="229">
        <v>46312</v>
      </c>
      <c r="B31" s="230" t="s">
        <v>286</v>
      </c>
      <c r="C31" s="240" t="s">
        <v>290</v>
      </c>
      <c r="D31" s="232">
        <v>3</v>
      </c>
      <c r="E31" s="233">
        <v>3639.3</v>
      </c>
      <c r="F31" s="243">
        <v>7</v>
      </c>
      <c r="G31" s="234">
        <v>4</v>
      </c>
      <c r="H31" s="234">
        <v>7076.4</v>
      </c>
      <c r="I31" s="233">
        <v>2</v>
      </c>
      <c r="J31" s="233">
        <v>397</v>
      </c>
      <c r="K31" s="235">
        <f t="shared" si="19"/>
      </c>
      <c r="L31" s="236">
        <v>3</v>
      </c>
      <c r="M31" s="237">
        <v>4</v>
      </c>
      <c r="N31" s="234">
        <v>0</v>
      </c>
      <c r="O31" s="234">
        <v>2</v>
      </c>
      <c r="P31" s="249">
        <v>7473.4</v>
      </c>
      <c r="Q31" s="238">
        <f t="shared" si="33"/>
      </c>
      <c r="R31" s="239">
        <f t="shared" si="5"/>
      </c>
      <c r="S31" s="238">
        <f t="shared" si="12"/>
      </c>
    </row>
    <row r="32">
      <c r="A32" s="244"/>
      <c r="B32" s="245"/>
      <c r="C32" s="246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8"/>
      <c r="R32" s="248"/>
      <c r="S32" s="248"/>
    </row>
    <row r="33">
      <c r="A33" s="229">
        <v>46313</v>
      </c>
      <c r="B33" s="230" t="s">
        <v>278</v>
      </c>
      <c r="C33" s="231" t="s">
        <v>277</v>
      </c>
      <c r="D33" s="232">
        <v>4</v>
      </c>
      <c r="E33" s="233">
        <v>5298.29</v>
      </c>
      <c r="F33" s="232">
        <v>10</v>
      </c>
      <c r="G33" s="234">
        <v>8</v>
      </c>
      <c r="H33" s="234">
        <v>14097.800000000001</v>
      </c>
      <c r="I33" s="233">
        <v>0</v>
      </c>
      <c r="J33" s="233">
        <v>0</v>
      </c>
      <c r="K33" s="235">
        <f t="shared" ref="K33:K37" si="20">G33+I33</f>
      </c>
      <c r="L33" s="236">
        <v>6</v>
      </c>
      <c r="M33" s="237">
        <v>8</v>
      </c>
      <c r="N33" s="234">
        <v>1</v>
      </c>
      <c r="O33" s="234">
        <v>5</v>
      </c>
      <c r="P33" s="235">
        <f t="shared" ref="P33:P37" si="27">J33+H33</f>
      </c>
      <c r="Q33" s="238">
        <f t="shared" ref="Q33:Q37" si="34">P33/E33</f>
      </c>
      <c r="R33" s="239">
        <f t="shared" ref="R33:R37" si="6">P33/K33</f>
      </c>
      <c r="S33" s="238">
        <f t="shared" ref="S33:S37" si="13">E33/K33</f>
      </c>
    </row>
    <row r="34">
      <c r="A34" s="229">
        <v>46313</v>
      </c>
      <c r="B34" s="230" t="s">
        <v>282</v>
      </c>
      <c r="C34" s="240" t="s">
        <v>279</v>
      </c>
      <c r="D34" s="232">
        <v>4</v>
      </c>
      <c r="E34" s="233">
        <v>8527.02</v>
      </c>
      <c r="F34" s="241">
        <v>11</v>
      </c>
      <c r="G34" s="234">
        <v>8</v>
      </c>
      <c r="H34" s="234">
        <v>14321.6</v>
      </c>
      <c r="I34" s="233">
        <v>1</v>
      </c>
      <c r="J34" s="233">
        <v>372</v>
      </c>
      <c r="K34" s="235">
        <f t="shared" si="20"/>
      </c>
      <c r="L34" s="236">
        <v>7</v>
      </c>
      <c r="M34" s="237">
        <v>8</v>
      </c>
      <c r="N34" s="234">
        <v>2</v>
      </c>
      <c r="O34" s="234">
        <v>5</v>
      </c>
      <c r="P34" s="235">
        <f t="shared" si="27"/>
      </c>
      <c r="Q34" s="238">
        <f t="shared" si="34"/>
      </c>
      <c r="R34" s="239">
        <f t="shared" si="6"/>
      </c>
      <c r="S34" s="238">
        <f t="shared" si="13"/>
      </c>
    </row>
    <row r="35">
      <c r="A35" s="229">
        <v>46313</v>
      </c>
      <c r="B35" s="230" t="s">
        <v>286</v>
      </c>
      <c r="C35" s="240" t="s">
        <v>287</v>
      </c>
      <c r="D35" s="232">
        <v>3</v>
      </c>
      <c r="E35" s="233">
        <v>6739.36</v>
      </c>
      <c r="F35" s="242">
        <v>6</v>
      </c>
      <c r="G35" s="234">
        <v>5</v>
      </c>
      <c r="H35" s="234">
        <v>5940</v>
      </c>
      <c r="I35" s="233">
        <v>1</v>
      </c>
      <c r="J35" s="233">
        <v>582</v>
      </c>
      <c r="K35" s="235">
        <f t="shared" si="20"/>
      </c>
      <c r="L35" s="236">
        <v>5</v>
      </c>
      <c r="M35" s="237">
        <v>6</v>
      </c>
      <c r="N35" s="234">
        <v>1</v>
      </c>
      <c r="O35" s="234">
        <v>2</v>
      </c>
      <c r="P35" s="235">
        <f t="shared" si="27"/>
      </c>
      <c r="Q35" s="238">
        <f t="shared" si="34"/>
      </c>
      <c r="R35" s="239">
        <f t="shared" si="6"/>
      </c>
      <c r="S35" s="238">
        <f t="shared" si="13"/>
      </c>
    </row>
    <row r="36">
      <c r="A36" s="229">
        <v>46313</v>
      </c>
      <c r="B36" s="230" t="s">
        <v>288</v>
      </c>
      <c r="C36" s="240" t="s">
        <v>289</v>
      </c>
      <c r="D36" s="232">
        <v>2</v>
      </c>
      <c r="E36" s="233">
        <v>5883.78</v>
      </c>
      <c r="F36" s="243">
        <v>5</v>
      </c>
      <c r="G36" s="234">
        <v>2</v>
      </c>
      <c r="H36" s="234">
        <v>1054.8</v>
      </c>
      <c r="I36" s="233">
        <v>1</v>
      </c>
      <c r="J36" s="233">
        <v>240</v>
      </c>
      <c r="K36" s="235">
        <f t="shared" si="20"/>
      </c>
      <c r="L36" s="236">
        <v>4</v>
      </c>
      <c r="M36" s="237">
        <v>4</v>
      </c>
      <c r="N36" s="234">
        <v>0</v>
      </c>
      <c r="O36" s="234">
        <v>0</v>
      </c>
      <c r="P36" s="235">
        <f t="shared" si="27"/>
      </c>
      <c r="Q36" s="238">
        <f t="shared" si="34"/>
      </c>
      <c r="R36" s="239">
        <f t="shared" si="6"/>
      </c>
      <c r="S36" s="238">
        <f t="shared" si="13"/>
      </c>
    </row>
    <row r="37">
      <c r="A37" s="229">
        <v>46313</v>
      </c>
      <c r="B37" s="230" t="s">
        <v>276</v>
      </c>
      <c r="C37" s="240" t="s">
        <v>290</v>
      </c>
      <c r="D37" s="232">
        <v>3</v>
      </c>
      <c r="E37" s="233">
        <v>5868.43</v>
      </c>
      <c r="F37" s="243">
        <v>6</v>
      </c>
      <c r="G37" s="234">
        <v>6</v>
      </c>
      <c r="H37" s="234">
        <v>5340</v>
      </c>
      <c r="I37" s="233">
        <v>0</v>
      </c>
      <c r="J37" s="233">
        <v>0</v>
      </c>
      <c r="K37" s="235">
        <f t="shared" si="20"/>
      </c>
      <c r="L37" s="236">
        <v>6</v>
      </c>
      <c r="M37" s="237">
        <v>6</v>
      </c>
      <c r="N37" s="234">
        <v>0</v>
      </c>
      <c r="O37" s="234">
        <v>2</v>
      </c>
      <c r="P37" s="235">
        <f t="shared" si="27"/>
      </c>
      <c r="Q37" s="238">
        <f t="shared" si="34"/>
      </c>
      <c r="R37" s="239">
        <f t="shared" si="6"/>
      </c>
      <c r="S37" s="238">
        <f t="shared" si="13"/>
      </c>
    </row>
    <row r="38">
      <c r="A38" s="244"/>
      <c r="B38" s="245"/>
      <c r="C38" s="246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8"/>
      <c r="R38" s="248"/>
      <c r="S38" s="248"/>
    </row>
  </sheetData>
  <dataValidations count="2">
    <dataValidation allowBlank="true" errorStyle="stop" showErrorMessage="true" sqref="B2:B5 B7:B10 B12:B15 B17:B20 B22:B25" type="list">
      <formula1>"张仪凡,路孟玲,边丽媛,刘丽杰,王梦晴,申丽媛"</formula1>
    </dataValidation>
    <dataValidation allowBlank="true" errorStyle="stop" showErrorMessage="true" sqref="B27:B31 B33:B37" type="list">
      <formula1>"张仪凡,路孟玲,边丽媛,刘丽杰,王梦晴,申丽媛,赵若含"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