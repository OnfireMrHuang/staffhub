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10" sheetId="2" r:id="rId5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<sst xmlns="http://schemas.openxmlformats.org/spreadsheetml/2006/main" count="69" uniqueCount="69">
  <si>
    <t xml:space="preserve">  </t>
  </si>
  <si>
    <t xml:space="preserve">基础信息</t>
  </si>
  <si>
    <t/>
    <r>
      <rPr>
        <b val="true"/>
        <i val="false"/>
        <strike val="false"/>
        <sz val="12"/>
        <color rgb="FF000000"/>
      </rPr>
      <t>业务数据</t>
    </r>
  </si>
  <si>
    <t xml:space="preserve">过程指标</t>
  </si>
  <si>
    <t xml:space="preserve">互动数</t>
  </si>
  <si>
    <t xml:space="preserve">日期</t>
  </si>
  <si>
    <t xml:space="preserve">时间</t>
  </si>
  <si>
    <t xml:space="preserve">主播</t>
  </si>
  <si>
    <t xml:space="preserve">总消耗</t>
  </si>
  <si>
    <t xml:space="preserve">短视频投放消耗</t>
  </si>
  <si>
    <t xml:space="preserve">直投消耗</t>
  </si>
  <si>
    <t xml:space="preserve">保单量</t>
  </si>
  <si>
    <t xml:space="preserve">年化保费</t>
  </si>
  <si>
    <t xml:space="preserve">ROI</t>
  </si>
  <si>
    <t xml:space="preserve">外层点击率</t>
  </si>
  <si>
    <t xml:space="preserve">观看成本</t>
  </si>
  <si>
    <t xml:space="preserve">超1分钟观看率</t>
  </si>
  <si>
    <t xml:space="preserve">组建点击率</t>
  </si>
  <si>
    <t xml:space="preserve">组件点击成本</t>
  </si>
  <si>
    <t xml:space="preserve">订单提交率</t>
  </si>
  <si>
    <t xml:space="preserve">保单转化率</t>
  </si>
  <si>
    <t xml:space="preserve">保单成本</t>
  </si>
  <si>
    <t xml:space="preserve">单均</t>
  </si>
  <si>
    <t xml:space="preserve">AD成本</t>
  </si>
  <si>
    <t xml:space="preserve">千元互动率</t>
  </si>
  <si>
    <t xml:space="preserve">投手</t>
  </si>
  <si>
    <t xml:space="preserve">场控</t>
  </si>
  <si>
    <t xml:space="preserve">回传</t>
  </si>
  <si>
    <t xml:space="preserve">展示数</t>
  </si>
  <si>
    <t xml:space="preserve">点击数</t>
  </si>
  <si>
    <t xml:space="preserve">竞价观看数</t>
  </si>
  <si>
    <t xml:space="preserve">超1分钟停留数</t>
  </si>
  <si>
    <t xml:space="preserve">组件点击数</t>
  </si>
  <si>
    <t xml:space="preserve">后台订单提交数</t>
  </si>
  <si>
    <t xml:space="preserve">2026.10.14</t>
  </si>
  <si>
    <t xml:space="preserve">20:00-21:00</t>
  </si>
  <si>
    <t xml:space="preserve">孙克岚</t>
  </si>
  <si>
    <t xml:space="preserve">赖法彬</t>
  </si>
  <si>
    <t xml:space="preserve">李叶叶</t>
  </si>
  <si>
    <t xml:space="preserve">21:00-22:00</t>
  </si>
  <si>
    <t xml:space="preserve">22:00-23:00</t>
  </si>
  <si>
    <t xml:space="preserve">23:00-24:00</t>
  </si>
  <si>
    <t xml:space="preserve">分主播汇总</t>
  </si>
  <si>
    <t xml:space="preserve">合计</t>
  </si>
  <si>
    <t xml:space="preserve">2026.10.15</t>
  </si>
  <si>
    <t xml:space="preserve">16:00-17:00</t>
  </si>
  <si>
    <t xml:space="preserve">陈哲贤</t>
  </si>
  <si>
    <t xml:space="preserve">17:00-18:00</t>
  </si>
  <si>
    <t xml:space="preserve">18:00-19:00</t>
  </si>
  <si>
    <t xml:space="preserve">19:00-20:00</t>
  </si>
  <si>
    <t xml:space="preserve">2026.10.16</t>
  </si>
  <si>
    <t xml:space="preserve">2026.10.17</t>
  </si>
  <si>
    <t xml:space="preserve">12:00-13:00</t>
  </si>
  <si>
    <t xml:space="preserve">张德华</t>
  </si>
  <si>
    <t xml:space="preserve">曹颖慧</t>
  </si>
  <si>
    <t xml:space="preserve">13:00-14:00</t>
  </si>
  <si>
    <t xml:space="preserve">14:00-15:00</t>
  </si>
  <si>
    <t xml:space="preserve">15:00-16:00</t>
  </si>
  <si>
    <t xml:space="preserve">孙文曜</t>
  </si>
  <si>
    <t xml:space="preserve">2026.10.18</t>
  </si>
  <si>
    <t xml:space="preserve">08:00-09:00</t>
  </si>
  <si>
    <t xml:space="preserve">李哲</t>
  </si>
  <si>
    <t xml:space="preserve">09:00-10:00</t>
  </si>
  <si>
    <t xml:space="preserve">10:00-11:00</t>
  </si>
  <si>
    <t xml:space="preserve">11:00-12:00</t>
  </si>
  <si>
    <t xml:space="preserve">陈蕾</t>
  </si>
  <si>
    <t xml:space="preserve">组件点击率</t>
  </si>
  <si>
    <t xml:space="preserve">2026.10.19</t>
  </si>
  <si>
    <t xml:space="preserve">张欣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</si>
</sst>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1">
    <numFmt numFmtId="164" formatCode="0.00_);[Red]\(0.00\)"/>
    <numFmt numFmtId="165" formatCode="0.00_ ;[Red]\-0.00\ "/>
    <numFmt numFmtId="166" formatCode="0_ ;[Red]\-0\ "/>
    <numFmt numFmtId="167" formatCode="0_);[Red]\(0\)"/>
    <numFmt numFmtId="168" formatCode="0.00%"/>
    <numFmt numFmtId="169" formatCode="h:mm;@"/>
    <numFmt numFmtId="170" formatCode="General"/>
    <numFmt numFmtId="171" formatCode="0.00_);[Red](0.00)"/>
    <numFmt numFmtId="172" formatCode="yyyy/m/d"/>
    <numFmt numFmtId="173" formatCode="0_);[Red](0)"/>
    <numFmt numFmtId="174" formatCode="#,##0.00"/>
  </numFmts>
  <fonts count="11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2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b val="true"/>
      <sz val="12"/>
      <color rgb="FFFF0000"/>
      <name val="Calibri"/>
      <family val="2"/>
      <scheme val="minor"/>
    </font>
    <font>
      <b val="true"/>
      <sz val="12"/>
      <color rgb="FF1F2329"/>
      <name val="Calibri"/>
      <family val="2"/>
      <scheme val="minor"/>
    </font>
    <font>
      <sz val="10"/>
      <color rgb="FF000000"/>
      <name val="Calibri"/>
      <family val="2"/>
      <scheme val="minor"/>
    </font>
    <font>
      <b val="true"/>
      <sz val="10"/>
      <color rgb="FFF54A45"/>
      <name val="Calibri"/>
      <family val="2"/>
      <scheme val="minor"/>
    </font>
    <font>
      <sz val="10"/>
      <color rgb="FF1F2329"/>
      <name val="Calibri"/>
      <family val="2"/>
      <scheme val="minor"/>
    </font>
  </fonts>
  <fills count="12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CC4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00B0F0"/>
        <bgColor/>
      </patternFill>
    </fill>
    <fill>
      <patternFill patternType="solid">
        <fgColor rgb="FF7EDAFB"/>
        <bgColor/>
      </patternFill>
    </fill>
    <fill>
      <patternFill patternType="solid">
        <fgColor rgb="FFF8F9FA"/>
        <bgColor/>
      </patternFill>
    </fill>
    <fill>
      <patternFill patternType="solid">
        <fgColor rgb="FFFFF9E3"/>
        <bgColor/>
      </patternFill>
    </fill>
    <fill>
      <patternFill patternType="solid">
        <fgColor rgb="FFFDEBFF"/>
        <bgColor/>
      </patternFill>
    </fill>
    <fill>
      <patternFill patternType="solid">
        <fgColor rgb="FFFFFF00"/>
        <bgColor/>
      </patternFill>
    </fill>
    <fill>
      <patternFill patternType="solid">
        <fgColor rgb="FFFFFFFF"/>
        <bgColor/>
      </patternFill>
    </fill>
  </fills>
  <borders count="1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107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4" xfId="0">
      <alignment horizontal="center" vertical="center"/>
    </xf>
    <xf applyAlignment="true" applyBorder="false" applyFill="true" applyFont="true" applyNumberFormat="true" applyProtection="false" borderId="1" fillId="4" fontId="1" numFmtId="164" xfId="0">
      <alignment horizontal="center" vertical="center"/>
    </xf>
    <xf applyAlignment="true" applyBorder="false" applyFill="true" applyFont="true" applyNumberFormat="true" applyProtection="false" borderId="1" fillId="3" fontId="2" numFmtId="165" xfId="0">
      <alignment horizontal="center" vertical="center"/>
    </xf>
    <xf applyAlignment="true" applyBorder="false" applyFill="true" applyFont="true" applyNumberFormat="true" applyProtection="false" borderId="1" fillId="3" fontId="2" numFmtId="166" xfId="0">
      <alignment horizontal="center" vertical="center"/>
    </xf>
    <xf applyAlignment="true" applyBorder="false" applyFill="true" applyFont="true" applyNumberFormat="true" applyProtection="false" borderId="1" fillId="5" fontId="3" numFmtId="167" xfId="0">
      <alignment horizontal="center" vertical="center"/>
    </xf>
    <xf applyAlignment="true" applyBorder="false" applyFill="true" applyFont="true" applyNumberFormat="false" applyProtection="false" borderId="1" fillId="3" fontId="1" numFmtId="0" xfId="0">
      <alignment horizontal="center" vertical="center"/>
    </xf>
    <xf applyAlignment="true" applyBorder="false" applyFill="true" applyFont="true" applyNumberFormat="true" applyProtection="false" borderId="1" fillId="3" fontId="1" numFmtId="167" xfId="0">
      <alignment horizontal="center" vertical="center"/>
    </xf>
    <xf applyAlignment="true" applyBorder="false" applyFill="true" applyFont="true" applyNumberFormat="true" applyProtection="false" borderId="1" fillId="4" fontId="1" numFmtId="168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center"/>
    </xf>
    <xf applyAlignment="true" applyBorder="false" applyFill="true" applyFont="true" applyNumberFormat="true" applyProtection="false" borderId="1" fillId="6" fontId="4" numFmtId="166" xfId="0">
      <alignment horizontal="center" vertical="center"/>
    </xf>
    <xf applyAlignment="true" applyBorder="false" applyFill="false" applyFont="true" applyNumberFormat="false" applyProtection="false" borderId="1" fillId="0" fontId="3" numFmtId="0" xfId="0">
      <alignment horizontal="center" vertical="center"/>
    </xf>
    <xf applyAlignment="true" applyBorder="false" applyFill="false" applyFont="true" applyNumberFormat="false" applyProtection="false" borderId="1" fillId="0" fontId="5" numFmtId="0" xfId="0">
      <alignment horizontal="center" vertical="center"/>
    </xf>
    <xf applyAlignment="true" applyBorder="false" applyFill="true" applyFont="true" applyNumberFormat="true" applyProtection="false" borderId="2" fillId="7" fontId="4" numFmtId="169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true" applyFont="true" applyNumberFormat="true" applyProtection="false" borderId="1" fillId="8" fontId="6" numFmtId="171" xfId="0">
      <alignment horizontal="center" vertical="center"/>
    </xf>
    <xf applyAlignment="true" applyBorder="false" applyFill="false" applyFont="true" applyNumberFormat="true" applyProtection="false" borderId="1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center"/>
    </xf>
    <xf applyAlignment="true" applyBorder="false" applyFill="false" applyFont="true" applyNumberFormat="true" applyProtection="false" borderId="2" fillId="0" fontId="4" numFmtId="168" xfId="0">
      <alignment horizontal="center" vertical="center"/>
    </xf>
    <xf applyAlignment="true" applyBorder="false" applyFill="false" applyFont="true" applyNumberFormat="true" applyProtection="false" borderId="1" fillId="0" fontId="4" numFmtId="164" xfId="0">
      <alignment horizontal="center" vertical="bottom"/>
    </xf>
    <xf applyAlignment="true" applyBorder="false" applyFill="false" applyFont="true" applyNumberFormat="true" applyProtection="false" borderId="1" fillId="0" fontId="6" numFmtId="165" xfId="0">
      <alignment horizontal="center" vertical="center"/>
    </xf>
    <xf applyAlignment="true" applyBorder="false" applyFill="false" applyFont="true" applyNumberFormat="true" applyProtection="false" borderId="1" fillId="0" fontId="4" numFmtId="165" xfId="0">
      <alignment horizontal="center" vertical="bottom"/>
    </xf>
    <xf applyAlignment="true" applyBorder="false" applyFill="false" applyFont="true" applyNumberFormat="false" applyProtection="false" borderId="1" fillId="0" fontId="4" numFmtId="0" xfId="0">
      <alignment horizontal="center" vertical="bottom"/>
    </xf>
    <xf applyAlignment="true" applyBorder="false" applyFill="false" applyFont="true" applyNumberFormat="true" applyProtection="false" borderId="3" fillId="0" fontId="4" numFmtId="170" xfId="0">
      <alignment horizontal="center" vertical="center"/>
    </xf>
    <xf applyAlignment="true" applyBorder="false" applyFill="false" applyFont="true" applyNumberFormat="true" applyProtection="false" borderId="3" fillId="0" fontId="4" numFmtId="170" xfId="0">
      <alignment horizontal="center" vertical="center"/>
    </xf>
    <xf applyAlignment="true" applyBorder="false" applyFill="false" applyFont="true" applyNumberFormat="true" applyProtection="false" borderId="4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5" numFmtId="172" xfId="0">
      <alignment horizontal="center" vertical="center"/>
    </xf>
    <xf applyAlignment="true" applyBorder="false" applyFill="false" applyFont="true" applyNumberFormat="true" applyProtection="false" borderId="2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bottom"/>
    </xf>
    <xf applyAlignment="true" applyBorder="false" applyFill="false" applyFont="true" applyNumberFormat="true" applyProtection="false" borderId="5" fillId="0" fontId="4" numFmtId="170" xfId="0">
      <alignment horizontal="center" vertical="center"/>
    </xf>
    <xf applyAlignment="true" applyBorder="false" applyFill="false" applyFont="true" applyNumberFormat="true" applyProtection="false" borderId="4" fillId="0" fontId="4" numFmtId="170" xfId="0">
      <alignment horizontal="center" vertical="center"/>
    </xf>
    <xf applyAlignment="true" applyBorder="false" applyFill="true" applyFont="true" applyNumberFormat="true" applyProtection="false" borderId="2" fillId="9" fontId="1" numFmtId="170" xfId="0">
      <alignment horizontal="center" vertical="center"/>
    </xf>
    <xf applyAlignment="true" applyBorder="false" applyFill="true" applyFont="true" applyNumberFormat="true" applyProtection="false" borderId="1" fillId="9" fontId="1" numFmtId="170" xfId="0">
      <alignment horizontal="center" vertical="center"/>
    </xf>
    <xf applyAlignment="true" applyBorder="false" applyFill="true" applyFont="true" applyNumberFormat="true" applyProtection="false" borderId="1" fillId="9" fontId="6" numFmtId="171" xfId="0">
      <alignment horizontal="center" vertical="center"/>
    </xf>
    <xf applyAlignment="true" applyBorder="false" applyFill="true" applyFont="true" applyNumberFormat="true" applyProtection="false" borderId="1" fillId="9" fontId="1" numFmtId="168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center"/>
    </xf>
    <xf applyAlignment="true" applyBorder="false" applyFill="true" applyFont="true" applyNumberFormat="true" applyProtection="false" borderId="2" fillId="9" fontId="1" numFmtId="168" xfId="0">
      <alignment horizontal="center" vertical="center"/>
    </xf>
    <xf applyAlignment="true" applyBorder="false" applyFill="true" applyFont="true" applyNumberFormat="true" applyProtection="false" borderId="1" fillId="9" fontId="1" numFmtId="164" xfId="0">
      <alignment horizontal="center" vertical="bottom"/>
    </xf>
    <xf applyAlignment="true" applyBorder="false" applyFill="true" applyFont="true" applyNumberFormat="true" applyProtection="false" borderId="1" fillId="9" fontId="6" numFmtId="165" xfId="0">
      <alignment horizontal="center" vertical="center"/>
    </xf>
    <xf applyAlignment="true" applyBorder="false" applyFill="true" applyFont="true" applyNumberFormat="true" applyProtection="false" borderId="1" fillId="9" fontId="6" numFmtId="170" xfId="0">
      <alignment horizontal="center" vertical="center"/>
    </xf>
    <xf applyAlignment="true" applyBorder="false" applyFill="true" applyFont="true" applyNumberFormat="true" applyProtection="false" borderId="1" fillId="9" fontId="7" numFmtId="170" xfId="0">
      <alignment horizontal="center" vertical="center"/>
    </xf>
    <xf applyAlignment="true" applyBorder="false" applyFill="true" applyFont="true" applyNumberFormat="true" applyProtection="false" borderId="6" fillId="10" fontId="6" numFmtId="170" xfId="0">
      <alignment horizontal="center" vertical="center"/>
    </xf>
    <xf applyAlignment="true" applyBorder="false" applyFill="true" applyFont="true" applyNumberFormat="true" applyProtection="false" borderId="6" fillId="10" fontId="6" numFmtId="171" xfId="0">
      <alignment horizontal="center" vertical="center"/>
    </xf>
    <xf applyAlignment="true" applyBorder="false" applyFill="true" applyFont="true" applyNumberFormat="true" applyProtection="false" borderId="6" fillId="10" fontId="6" numFmtId="173" xfId="0">
      <alignment horizontal="center" vertical="center"/>
    </xf>
    <xf applyAlignment="true" applyBorder="false" applyFill="true" applyFont="true" applyNumberFormat="true" applyProtection="false" borderId="7" fillId="10" fontId="6" numFmtId="171" xfId="0">
      <alignment horizontal="center" vertical="center"/>
    </xf>
    <xf applyAlignment="true" applyBorder="false" applyFill="true" applyFont="true" applyNumberFormat="true" applyProtection="false" borderId="8" fillId="10" fontId="6" numFmtId="168" xfId="0">
      <alignment horizontal="center" vertical="center"/>
    </xf>
    <xf applyAlignment="true" applyBorder="false" applyFill="true" applyFont="true" applyNumberFormat="true" applyProtection="false" borderId="5" fillId="10" fontId="6" numFmtId="171" xfId="0">
      <alignment horizontal="center" vertical="center"/>
    </xf>
    <xf applyAlignment="true" applyBorder="false" applyFill="true" applyFont="true" applyNumberFormat="true" applyProtection="false" borderId="5" fillId="10" fontId="6" numFmtId="168" xfId="0">
      <alignment horizontal="center" vertical="center"/>
    </xf>
    <xf applyAlignment="true" applyBorder="false" applyFill="true" applyFont="true" applyNumberFormat="true" applyProtection="false" borderId="9" fillId="10" fontId="6" numFmtId="164" xfId="0">
      <alignment horizontal="center" vertical="center"/>
    </xf>
    <xf applyAlignment="true" applyBorder="false" applyFill="true" applyFont="true" applyNumberFormat="true" applyProtection="false" borderId="10" fillId="10" fontId="6" numFmtId="165" xfId="0">
      <alignment horizontal="center" vertical="center"/>
    </xf>
    <xf applyAlignment="true" applyBorder="false" applyFill="true" applyFont="true" applyNumberFormat="true" applyProtection="false" borderId="7" fillId="3" fontId="1" numFmtId="164" xfId="0">
      <alignment horizontal="center" vertical="center"/>
    </xf>
    <xf applyAlignment="true" applyBorder="false" applyFill="false" applyFont="true" applyNumberFormat="true" applyProtection="false" borderId="11" fillId="0" fontId="4" numFmtId="170" xfId="0">
      <alignment horizontal="center" vertical="center"/>
    </xf>
    <xf applyAlignment="true" applyBorder="false" applyFill="false" applyFont="true" applyNumberFormat="true" applyProtection="false" borderId="12" fillId="0" fontId="4" numFmtId="170" xfId="0">
      <alignment horizontal="center" vertical="center"/>
    </xf>
    <xf applyAlignment="true" applyBorder="false" applyFill="false" applyFont="true" applyNumberFormat="true" applyProtection="false" borderId="13" fillId="0" fontId="4" numFmtId="170" xfId="0">
      <alignment horizontal="center" vertical="center"/>
    </xf>
    <xf applyAlignment="true" applyBorder="false" applyFill="false" applyFont="true" applyNumberFormat="true" applyProtection="false" borderId="5" fillId="0" fontId="4" numFmtId="170" xfId="0">
      <alignment horizontal="center" vertical="center"/>
    </xf>
    <xf applyAlignment="true" applyBorder="false" applyFill="false" applyFont="true" applyNumberFormat="false" applyProtection="false" borderId="7" fillId="0" fontId="5" numFmtId="0" xfId="0">
      <alignment horizontal="center" vertical="center"/>
    </xf>
    <xf applyAlignment="true" applyBorder="false" applyFill="true" applyFont="true" applyNumberFormat="false" applyProtection="false" borderId="13" fillId="2" fontId="1" numFmtId="0" xfId="0">
      <alignment horizontal="center" vertical="center"/>
    </xf>
    <xf applyAlignment="true" applyBorder="false" applyFill="true" applyFont="true" applyNumberFormat="false" applyProtection="false" borderId="14" fillId="2" fontId="1" numFmtId="0" xfId="0">
      <alignment horizontal="center" vertical="center"/>
    </xf>
    <xf applyAlignment="true" applyBorder="false" applyFill="true" applyFont="true" applyNumberFormat="true" applyProtection="false" borderId="13" fillId="3" fontId="1" numFmtId="164" xfId="0">
      <alignment horizontal="center" vertical="center"/>
    </xf>
    <xf applyAlignment="true" applyBorder="false" applyFill="true" applyFont="true" applyNumberFormat="true" applyProtection="false" borderId="13" fillId="4" fontId="1" numFmtId="164" xfId="0">
      <alignment horizontal="center" vertical="center"/>
    </xf>
    <xf applyAlignment="true" applyBorder="false" applyFill="true" applyFont="true" applyNumberFormat="true" applyProtection="false" borderId="13" fillId="3" fontId="2" numFmtId="165" xfId="0">
      <alignment horizontal="center" vertical="center"/>
    </xf>
    <xf applyAlignment="true" applyBorder="false" applyFill="true" applyFont="true" applyNumberFormat="true" applyProtection="false" borderId="13" fillId="3" fontId="2" numFmtId="166" xfId="0">
      <alignment horizontal="center" vertical="center"/>
    </xf>
    <xf applyAlignment="true" applyBorder="false" applyFill="true" applyFont="true" applyNumberFormat="true" applyProtection="false" borderId="13" fillId="5" fontId="3" numFmtId="167" xfId="0">
      <alignment horizontal="center" vertical="center"/>
    </xf>
    <xf applyAlignment="true" applyBorder="false" applyFill="true" applyFont="true" applyNumberFormat="false" applyProtection="false" borderId="15" fillId="2" fontId="1" numFmtId="0" xfId="0">
      <alignment horizontal="center" vertical="center"/>
    </xf>
    <xf applyAlignment="true" applyBorder="false" applyFill="true" applyFont="true" applyNumberFormat="true" applyProtection="false" borderId="16" fillId="3" fontId="1" numFmtId="164" xfId="0">
      <alignment horizontal="center" vertical="center"/>
    </xf>
    <xf applyAlignment="true" applyBorder="false" applyFill="true" applyFont="true" applyNumberFormat="false" applyProtection="false" borderId="13" fillId="3" fontId="1" numFmtId="0" xfId="0">
      <alignment horizontal="center" vertical="center"/>
    </xf>
    <xf applyAlignment="true" applyBorder="false" applyFill="true" applyFont="true" applyNumberFormat="true" applyProtection="false" borderId="13" fillId="3" fontId="1" numFmtId="167" xfId="0">
      <alignment horizontal="center" vertical="center"/>
    </xf>
    <xf applyAlignment="true" applyBorder="false" applyFill="true" applyFont="true" applyNumberFormat="true" applyProtection="false" borderId="13" fillId="4" fontId="1" numFmtId="168" xfId="0">
      <alignment horizontal="center" vertical="center"/>
    </xf>
    <xf applyAlignment="true" applyBorder="false" applyFill="false" applyFont="true" applyNumberFormat="true" applyProtection="false" borderId="13" fillId="0" fontId="4" numFmtId="165" xfId="0">
      <alignment horizontal="center" vertical="center"/>
    </xf>
    <xf applyAlignment="true" applyBorder="false" applyFill="true" applyFont="true" applyNumberFormat="true" applyProtection="false" borderId="13" fillId="6" fontId="4" numFmtId="166" xfId="0">
      <alignment horizontal="center" vertical="center"/>
    </xf>
    <xf applyAlignment="true" applyBorder="false" applyFill="false" applyFont="true" applyNumberFormat="false" applyProtection="false" borderId="13" fillId="0" fontId="3" numFmtId="0" xfId="0">
      <alignment horizontal="center" vertical="center"/>
    </xf>
    <xf applyAlignment="true" applyBorder="false" applyFill="false" applyFont="true" applyNumberFormat="false" applyProtection="false" borderId="13" fillId="0" fontId="5" numFmtId="0" xfId="0">
      <alignment horizontal="center" vertical="center"/>
    </xf>
    <xf applyAlignment="true" applyBorder="false" applyFill="false" applyFont="true" applyNumberFormat="true" applyProtection="false" borderId="17" fillId="0" fontId="4" numFmtId="170" xfId="0">
      <alignment horizontal="center" vertical="center"/>
    </xf>
    <xf applyAlignment="true" applyBorder="false" applyFill="false" applyFont="true" applyNumberFormat="true" applyProtection="false" borderId="13" fillId="0" fontId="4" numFmtId="170" xfId="0">
      <alignment horizontal="center" vertical="center"/>
    </xf>
    <xf applyAlignment="true" applyBorder="false" applyFill="true" applyFont="true" applyNumberFormat="true" applyProtection="false" borderId="13" fillId="8" fontId="6" numFmtId="171" xfId="0">
      <alignment horizontal="center" vertical="center"/>
    </xf>
    <xf applyAlignment="true" applyBorder="false" applyFill="false" applyFont="true" applyNumberFormat="true" applyProtection="false" borderId="13" fillId="0" fontId="4" numFmtId="168" xfId="0">
      <alignment horizontal="center" vertical="center"/>
    </xf>
    <xf applyAlignment="true" applyBorder="false" applyFill="false" applyFont="true" applyNumberFormat="true" applyProtection="false" borderId="13" fillId="0" fontId="4" numFmtId="164" xfId="0">
      <alignment horizontal="center" vertical="center"/>
    </xf>
    <xf applyAlignment="true" applyBorder="false" applyFill="false" applyFont="true" applyNumberFormat="true" applyProtection="false" borderId="13" fillId="0" fontId="4" numFmtId="164" xfId="0">
      <alignment horizontal="center" vertical="bottom"/>
    </xf>
    <xf applyAlignment="true" applyBorder="false" applyFill="false" applyFont="true" applyNumberFormat="true" applyProtection="false" borderId="13" fillId="0" fontId="6" numFmtId="165" xfId="0">
      <alignment horizontal="center" vertical="center"/>
    </xf>
    <xf applyAlignment="true" applyBorder="false" applyFill="false" applyFont="true" applyNumberFormat="true" applyProtection="false" borderId="13" fillId="0" fontId="4" numFmtId="165" xfId="0">
      <alignment horizontal="center" vertical="bottom"/>
    </xf>
    <xf applyAlignment="true" applyBorder="false" applyFill="false" applyFont="true" applyNumberFormat="false" applyProtection="false" borderId="13" fillId="0" fontId="4" numFmtId="0" xfId="0">
      <alignment horizontal="center" vertical="bottom"/>
    </xf>
    <xf applyAlignment="true" applyBorder="false" applyFill="false" applyFont="true" applyNumberFormat="true" applyProtection="false" borderId="13" fillId="0" fontId="4" numFmtId="170" xfId="0">
      <alignment horizontal="center" vertical="bottom"/>
    </xf>
    <xf applyAlignment="true" applyBorder="false" applyFill="true" applyFont="true" applyNumberFormat="true" applyProtection="false" borderId="13" fillId="9" fontId="1" numFmtId="170" xfId="0">
      <alignment horizontal="center" vertical="center"/>
    </xf>
    <xf applyAlignment="true" applyBorder="false" applyFill="true" applyFont="true" applyNumberFormat="true" applyProtection="false" borderId="13" fillId="9" fontId="6" numFmtId="171" xfId="0">
      <alignment horizontal="center" vertical="center"/>
    </xf>
    <xf applyAlignment="true" applyBorder="false" applyFill="true" applyFont="true" applyNumberFormat="true" applyProtection="false" borderId="13" fillId="9" fontId="1" numFmtId="168" xfId="0">
      <alignment horizontal="center" vertical="center"/>
    </xf>
    <xf applyAlignment="true" applyBorder="false" applyFill="true" applyFont="true" applyNumberFormat="true" applyProtection="false" borderId="13" fillId="9" fontId="1" numFmtId="164" xfId="0">
      <alignment horizontal="center" vertical="center"/>
    </xf>
    <xf applyAlignment="true" applyBorder="false" applyFill="true" applyFont="true" applyNumberFormat="true" applyProtection="false" borderId="13" fillId="9" fontId="1" numFmtId="164" xfId="0">
      <alignment horizontal="center" vertical="bottom"/>
    </xf>
    <xf applyAlignment="true" applyBorder="false" applyFill="true" applyFont="true" applyNumberFormat="true" applyProtection="false" borderId="13" fillId="9" fontId="6" numFmtId="165" xfId="0">
      <alignment horizontal="center" vertical="center"/>
    </xf>
    <xf applyAlignment="true" applyBorder="false" applyFill="true" applyFont="true" applyNumberFormat="true" applyProtection="false" borderId="13" fillId="9" fontId="6" numFmtId="170" xfId="0">
      <alignment horizontal="center" vertical="center"/>
    </xf>
    <xf applyAlignment="true" applyBorder="false" applyFill="true" applyFont="true" applyNumberFormat="true" applyProtection="false" borderId="13" fillId="9" fontId="7" numFmtId="170" xfId="0">
      <alignment horizontal="center" vertical="center"/>
    </xf>
    <xf applyAlignment="true" applyBorder="false" applyFill="true" applyFont="true" applyNumberFormat="true" applyProtection="false" borderId="13" fillId="10" fontId="6" numFmtId="170" xfId="0">
      <alignment horizontal="center" vertical="center"/>
    </xf>
    <xf applyAlignment="true" applyBorder="false" applyFill="true" applyFont="true" applyNumberFormat="true" applyProtection="false" borderId="13" fillId="10" fontId="6" numFmtId="171" xfId="0">
      <alignment horizontal="center" vertical="center"/>
    </xf>
    <xf applyAlignment="true" applyBorder="false" applyFill="true" applyFont="true" applyNumberFormat="true" applyProtection="false" borderId="13" fillId="10" fontId="6" numFmtId="168" xfId="0">
      <alignment horizontal="center" vertical="center"/>
    </xf>
    <xf applyAlignment="true" applyBorder="false" applyFill="true" applyFont="true" applyNumberFormat="true" applyProtection="false" borderId="13" fillId="10" fontId="6" numFmtId="164" xfId="0">
      <alignment horizontal="center" vertical="center"/>
    </xf>
    <xf applyAlignment="true" applyBorder="false" applyFill="true" applyFont="true" applyNumberFormat="true" applyProtection="false" borderId="13" fillId="10" fontId="6" numFmtId="165" xfId="0">
      <alignment horizontal="center" vertical="center"/>
    </xf>
    <xf applyAlignment="true" applyBorder="false" applyFill="true" applyFont="true" applyNumberFormat="true" applyProtection="false" borderId="13" fillId="10" fontId="6" numFmtId="173" xfId="0">
      <alignment horizontal="center" vertical="center"/>
    </xf>
    <xf applyAlignment="true" applyBorder="false" applyFill="true" applyFont="true" applyNumberFormat="true" applyProtection="false" borderId="18" fillId="7" fontId="4" numFmtId="169" xfId="0">
      <alignment horizontal="center" vertical="center"/>
    </xf>
    <xf applyAlignment="true" applyBorder="false" applyFill="true" applyFont="true" applyNumberFormat="true" applyProtection="false" borderId="2" fillId="7" fontId="4" numFmtId="169" xfId="0">
      <alignment horizontal="center" vertical="center"/>
    </xf>
    <xf applyAlignment="true" applyBorder="false" applyFill="true" applyFont="true" applyNumberFormat="true" applyProtection="false" borderId="13" fillId="4" fontId="1" numFmtId="168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true" applyFont="true" applyNumberFormat="false" applyProtection="false" borderId="0" fillId="11" fontId="9" numFmtId="0" xfId="0">
      <alignment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10" numFmtId="0" xfId="0">
      <alignment vertical="center"/>
    </xf>
    <xf applyAlignment="true" applyBorder="false" applyFill="false" applyFont="true" applyNumberFormat="true" applyProtection="false" borderId="0" fillId="0" fontId="8" numFmtId="174" xfId="0">
      <alignment vertical="center"/>
    </xf>
    <xf applyAlignment="true" applyBorder="false" applyFill="false" applyFont="true" applyNumberFormat="false" applyProtection="false" borderId="0" fillId="0" fontId="10" numFmtId="0" xfId="0">
      <alignment horizontal="center"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5" min="5" style="0" width="14.253521126760564"/>
    <col collapsed="false" customWidth="true" hidden="false" max="6" min="6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3" t="s">
        <v>3</v>
      </c>
      <c r="K1" s="3"/>
      <c r="L1" s="3"/>
      <c r="M1" s="3"/>
      <c r="N1" s="3"/>
      <c r="O1" s="3"/>
      <c r="P1" s="3"/>
      <c r="Q1" s="3"/>
      <c r="R1" s="3"/>
      <c r="S1" s="3"/>
      <c r="T1" s="4"/>
      <c r="U1" s="4"/>
      <c r="V1" s="4"/>
      <c r="W1" s="5"/>
      <c r="X1" s="5"/>
      <c r="Y1" s="5"/>
      <c r="Z1" s="5"/>
      <c r="AA1" s="5"/>
      <c r="AB1" s="5"/>
      <c r="AC1" s="5"/>
      <c r="AD1" s="6" t="s">
        <v>4</v>
      </c>
    </row>
    <row r="2">
      <c r="A2" s="1" t="s">
        <v>5</v>
      </c>
      <c r="B2" s="1" t="s">
        <v>6</v>
      </c>
      <c r="C2" s="1" t="s">
        <v>7</v>
      </c>
      <c r="D2" s="2" t="s">
        <v>8</v>
      </c>
      <c r="E2" s="7" t="s">
        <v>9</v>
      </c>
      <c r="F2" s="7" t="s">
        <v>10</v>
      </c>
      <c r="G2" s="8" t="s">
        <v>11</v>
      </c>
      <c r="H2" s="2" t="s">
        <v>12</v>
      </c>
      <c r="I2" s="7" t="s">
        <v>13</v>
      </c>
      <c r="J2" s="3" t="s">
        <v>14</v>
      </c>
      <c r="K2" s="3" t="s">
        <v>15</v>
      </c>
      <c r="L2" s="9" t="s">
        <v>16</v>
      </c>
      <c r="M2" s="9" t="s">
        <v>17</v>
      </c>
      <c r="N2" s="3" t="s">
        <v>18</v>
      </c>
      <c r="O2" s="9" t="s">
        <v>19</v>
      </c>
      <c r="P2" s="9" t="s">
        <v>20</v>
      </c>
      <c r="Q2" s="3" t="s">
        <v>21</v>
      </c>
      <c r="R2" s="9" t="s">
        <v>22</v>
      </c>
      <c r="S2" s="3" t="s">
        <v>23</v>
      </c>
      <c r="T2" s="10" t="s">
        <v>24</v>
      </c>
      <c r="U2" s="10" t="s">
        <v>25</v>
      </c>
      <c r="V2" s="10" t="s">
        <v>26</v>
      </c>
      <c r="W2" s="11" t="s">
        <v>27</v>
      </c>
      <c r="X2" s="12" t="s">
        <v>28</v>
      </c>
      <c r="Y2" s="12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6"/>
    </row>
    <row r="3">
      <c r="A3" s="13" t="s">
        <v>34</v>
      </c>
      <c r="B3" s="14" t="s">
        <v>35</v>
      </c>
      <c r="C3" s="15" t="s">
        <v>36</v>
      </c>
      <c r="D3" s="15">
        <f t="shared" ref="D3:D6" si="42">E3+F3</f>
      </c>
      <c r="E3" s="15">
        <v>18.56</v>
      </c>
      <c r="F3" s="15">
        <v>3.39</v>
      </c>
      <c r="G3" s="16">
        <v>0</v>
      </c>
      <c r="H3" s="16">
        <v>0</v>
      </c>
      <c r="I3" s="17">
        <f t="shared" ref="I3:I8" si="24">H3/D3</f>
      </c>
      <c r="J3" s="18">
        <f t="shared" ref="J3:J8" si="0">Y3/X3</f>
      </c>
      <c r="K3" s="19">
        <f t="shared" ref="K3:K8" si="70">D3/Z3</f>
      </c>
      <c r="L3" s="20">
        <f t="shared" ref="L3:L8" si="6">AA3/Z3</f>
      </c>
      <c r="M3" s="18">
        <f t="shared" ref="M3:M8" si="58">AB3/Z3</f>
      </c>
      <c r="N3" s="19">
        <f t="shared" ref="N3:N8" si="30">D3/AB3</f>
      </c>
      <c r="O3" s="18">
        <f t="shared" ref="O3:O8" si="12">AC3/AB3</f>
      </c>
      <c r="P3" s="18">
        <f t="shared" ref="P3:P8" si="76">G3/AC3</f>
      </c>
      <c r="Q3" s="19">
        <f t="shared" ref="Q3:Q8" si="64">D3/G3</f>
      </c>
      <c r="R3" s="21">
        <f t="shared" ref="R3:R8" si="36">H3/G3</f>
      </c>
      <c r="S3" s="19">
        <f t="shared" ref="S3:S8" si="18">D3/W3</f>
      </c>
      <c r="T3" s="22">
        <f t="shared" ref="T3:T8" si="82">AD3*1000/D3</f>
      </c>
      <c r="U3" s="23" t="s">
        <v>37</v>
      </c>
      <c r="V3" s="24" t="s">
        <v>38</v>
      </c>
      <c r="W3" s="15">
        <v>0</v>
      </c>
      <c r="X3" s="15">
        <v>105</v>
      </c>
      <c r="Y3" s="15">
        <v>9</v>
      </c>
      <c r="Z3" s="15">
        <v>11</v>
      </c>
      <c r="AA3" s="15">
        <v>2</v>
      </c>
      <c r="AB3" s="25">
        <v>4</v>
      </c>
      <c r="AC3" s="26">
        <v>0</v>
      </c>
      <c r="AD3" s="27">
        <v>5</v>
      </c>
    </row>
    <row r="4">
      <c r="A4" s="28"/>
      <c r="B4" s="29" t="s">
        <v>39</v>
      </c>
      <c r="C4" s="15" t="s">
        <v>36</v>
      </c>
      <c r="D4" s="15">
        <f t="shared" si="42"/>
      </c>
      <c r="E4" s="15">
        <v>384.42</v>
      </c>
      <c r="F4" s="15">
        <v>2.95</v>
      </c>
      <c r="G4" s="16">
        <v>0</v>
      </c>
      <c r="H4" s="16">
        <v>0</v>
      </c>
      <c r="I4" s="17">
        <f t="shared" si="24"/>
      </c>
      <c r="J4" s="18">
        <f t="shared" si="0"/>
      </c>
      <c r="K4" s="19">
        <f t="shared" si="70"/>
      </c>
      <c r="L4" s="20">
        <f t="shared" si="6"/>
      </c>
      <c r="M4" s="18">
        <f t="shared" si="58"/>
      </c>
      <c r="N4" s="19">
        <f t="shared" si="30"/>
      </c>
      <c r="O4" s="18">
        <f t="shared" si="12"/>
      </c>
      <c r="P4" s="18">
        <f t="shared" si="76"/>
      </c>
      <c r="Q4" s="19">
        <f t="shared" si="64"/>
      </c>
      <c r="R4" s="21">
        <f t="shared" si="36"/>
      </c>
      <c r="S4" s="19">
        <f t="shared" si="18"/>
      </c>
      <c r="T4" s="22">
        <f t="shared" si="82"/>
      </c>
      <c r="U4" s="23" t="s">
        <v>37</v>
      </c>
      <c r="V4" s="24" t="s">
        <v>38</v>
      </c>
      <c r="W4" s="30">
        <v>0</v>
      </c>
      <c r="X4" s="15">
        <v>6670</v>
      </c>
      <c r="Y4" s="15">
        <v>80</v>
      </c>
      <c r="Z4" s="15">
        <v>83</v>
      </c>
      <c r="AA4" s="15">
        <v>8</v>
      </c>
      <c r="AB4" s="15">
        <v>8</v>
      </c>
      <c r="AC4" s="26">
        <v>1</v>
      </c>
      <c r="AD4" s="31">
        <v>18</v>
      </c>
    </row>
    <row r="5">
      <c r="A5" s="28"/>
      <c r="B5" s="29" t="s">
        <v>40</v>
      </c>
      <c r="C5" s="15" t="s">
        <v>36</v>
      </c>
      <c r="D5" s="15">
        <f t="shared" si="42"/>
      </c>
      <c r="E5" s="15">
        <v>945.49</v>
      </c>
      <c r="F5" s="15">
        <v>13.21</v>
      </c>
      <c r="G5" s="16">
        <v>0</v>
      </c>
      <c r="H5" s="16">
        <v>0</v>
      </c>
      <c r="I5" s="17">
        <f t="shared" si="24"/>
      </c>
      <c r="J5" s="18">
        <f t="shared" si="0"/>
      </c>
      <c r="K5" s="19">
        <f t="shared" si="70"/>
      </c>
      <c r="L5" s="20">
        <f t="shared" si="6"/>
      </c>
      <c r="M5" s="18">
        <f t="shared" si="58"/>
      </c>
      <c r="N5" s="19">
        <f t="shared" si="30"/>
      </c>
      <c r="O5" s="18">
        <f t="shared" si="12"/>
      </c>
      <c r="P5" s="18">
        <f t="shared" si="76"/>
      </c>
      <c r="Q5" s="19">
        <f t="shared" si="64"/>
      </c>
      <c r="R5" s="21">
        <f t="shared" si="36"/>
      </c>
      <c r="S5" s="19">
        <f t="shared" si="18"/>
      </c>
      <c r="T5" s="22">
        <f t="shared" si="82"/>
      </c>
      <c r="U5" s="23" t="s">
        <v>37</v>
      </c>
      <c r="V5" s="24" t="s">
        <v>38</v>
      </c>
      <c r="W5" s="30">
        <v>0</v>
      </c>
      <c r="X5" s="15">
        <v>8339</v>
      </c>
      <c r="Y5" s="15">
        <v>377</v>
      </c>
      <c r="Z5" s="15">
        <v>527</v>
      </c>
      <c r="AA5" s="15">
        <v>109</v>
      </c>
      <c r="AB5" s="15">
        <v>1</v>
      </c>
      <c r="AC5" s="26">
        <v>4</v>
      </c>
      <c r="AD5" s="32">
        <v>22</v>
      </c>
    </row>
    <row r="6">
      <c r="A6" s="28"/>
      <c r="B6" s="29" t="s">
        <v>41</v>
      </c>
      <c r="C6" s="15" t="s">
        <v>36</v>
      </c>
      <c r="D6" s="15">
        <f t="shared" si="42"/>
      </c>
      <c r="E6" s="15">
        <v>227.15</v>
      </c>
      <c r="F6" s="15">
        <v>19.14</v>
      </c>
      <c r="G6" s="16">
        <v>3</v>
      </c>
      <c r="H6" s="15">
        <v>1439.4</v>
      </c>
      <c r="I6" s="17">
        <f t="shared" si="24"/>
      </c>
      <c r="J6" s="18">
        <f t="shared" si="0"/>
      </c>
      <c r="K6" s="19">
        <f t="shared" si="70"/>
      </c>
      <c r="L6" s="20">
        <f t="shared" si="6"/>
      </c>
      <c r="M6" s="18">
        <f t="shared" si="58"/>
      </c>
      <c r="N6" s="19">
        <f t="shared" si="30"/>
      </c>
      <c r="O6" s="18">
        <f t="shared" si="12"/>
      </c>
      <c r="P6" s="18">
        <f t="shared" si="76"/>
      </c>
      <c r="Q6" s="19">
        <f t="shared" si="64"/>
      </c>
      <c r="R6" s="21">
        <f t="shared" si="36"/>
      </c>
      <c r="S6" s="19">
        <f t="shared" si="18"/>
      </c>
      <c r="T6" s="22">
        <f t="shared" si="82"/>
      </c>
      <c r="U6" s="23" t="s">
        <v>37</v>
      </c>
      <c r="V6" s="24" t="s">
        <v>38</v>
      </c>
      <c r="W6" s="30">
        <v>0</v>
      </c>
      <c r="X6" s="15">
        <v>1444</v>
      </c>
      <c r="Y6" s="15">
        <v>100</v>
      </c>
      <c r="Z6" s="15">
        <v>183</v>
      </c>
      <c r="AA6" s="15">
        <v>31</v>
      </c>
      <c r="AB6" s="15">
        <v>34</v>
      </c>
      <c r="AC6" s="26">
        <v>5</v>
      </c>
      <c r="AD6" s="31">
        <v>4</v>
      </c>
    </row>
    <row r="7">
      <c r="A7" s="28"/>
      <c r="B7" s="33" t="s">
        <v>42</v>
      </c>
      <c r="C7" s="33"/>
      <c r="D7" s="34">
        <f>SUM(D3:D6)</f>
      </c>
      <c r="E7" s="34">
        <f>SUM(E3:E6)</f>
      </c>
      <c r="F7" s="34">
        <f>SUM(F3:F6)</f>
      </c>
      <c r="G7" s="34">
        <f>SUM(G3:G6)</f>
      </c>
      <c r="H7" s="34">
        <f>SUM(H3:H6)</f>
      </c>
      <c r="I7" s="35">
        <f t="shared" si="24"/>
      </c>
      <c r="J7" s="36">
        <f t="shared" si="0"/>
      </c>
      <c r="K7" s="37">
        <f t="shared" si="70"/>
      </c>
      <c r="L7" s="38">
        <f t="shared" si="6"/>
      </c>
      <c r="M7" s="36">
        <f t="shared" si="58"/>
      </c>
      <c r="N7" s="37">
        <f t="shared" si="30"/>
      </c>
      <c r="O7" s="36">
        <f t="shared" si="12"/>
      </c>
      <c r="P7" s="36">
        <f t="shared" si="76"/>
      </c>
      <c r="Q7" s="37">
        <f t="shared" si="64"/>
      </c>
      <c r="R7" s="39">
        <f t="shared" si="36"/>
      </c>
      <c r="S7" s="37">
        <f t="shared" si="18"/>
      </c>
      <c r="T7" s="40">
        <f t="shared" si="82"/>
      </c>
      <c r="U7" s="40"/>
      <c r="V7" s="40"/>
      <c r="W7" s="41">
        <f>SUM(W3:W6)</f>
      </c>
      <c r="X7" s="42">
        <f>SUM(X3:X6)</f>
      </c>
      <c r="Y7" s="42">
        <f>SUM(Y3:Y6)</f>
      </c>
      <c r="Z7" s="42">
        <f>SUM(Z3:Z6)</f>
      </c>
      <c r="AA7" s="42">
        <f>SUM(AA3:AA6)</f>
      </c>
      <c r="AB7" s="42">
        <f>SUM(AB3:AB6)</f>
      </c>
      <c r="AC7" s="42">
        <f>SUM(AC3:AC6)</f>
      </c>
      <c r="AD7" s="42">
        <f>SUM(AD3:AD6)</f>
      </c>
    </row>
    <row r="8">
      <c r="A8" s="28"/>
      <c r="B8" s="43" t="s">
        <v>43</v>
      </c>
      <c r="C8" s="43"/>
      <c r="D8" s="44">
        <f>D7</f>
      </c>
      <c r="E8" s="44">
        <f>E7</f>
      </c>
      <c r="F8" s="44">
        <f>F7</f>
      </c>
      <c r="G8" s="45">
        <f>G7</f>
      </c>
      <c r="H8" s="44">
        <f>H7</f>
      </c>
      <c r="I8" s="46">
        <f t="shared" si="24"/>
      </c>
      <c r="J8" s="47">
        <f t="shared" si="0"/>
      </c>
      <c r="K8" s="48">
        <f t="shared" si="70"/>
      </c>
      <c r="L8" s="49">
        <f t="shared" si="6"/>
      </c>
      <c r="M8" s="49">
        <f t="shared" si="58"/>
      </c>
      <c r="N8" s="48">
        <f t="shared" si="30"/>
      </c>
      <c r="O8" s="49">
        <f t="shared" si="12"/>
      </c>
      <c r="P8" s="49">
        <f t="shared" si="76"/>
      </c>
      <c r="Q8" s="48">
        <f t="shared" si="64"/>
      </c>
      <c r="R8" s="50">
        <f t="shared" si="36"/>
      </c>
      <c r="S8" s="48">
        <f t="shared" si="18"/>
      </c>
      <c r="T8" s="51">
        <f t="shared" si="82"/>
      </c>
      <c r="U8" s="51"/>
      <c r="V8" s="51"/>
      <c r="W8" s="45">
        <f>W7</f>
      </c>
      <c r="X8" s="45">
        <f>X7</f>
      </c>
      <c r="Y8" s="45">
        <f>Y7</f>
      </c>
      <c r="Z8" s="45">
        <f>Z7</f>
      </c>
      <c r="AA8" s="45">
        <f>AA7</f>
      </c>
      <c r="AB8" s="45">
        <f>AB7</f>
      </c>
      <c r="AC8" s="45">
        <f>AC7</f>
      </c>
      <c r="AD8" s="45">
        <f>AD7</f>
      </c>
    </row>
    <row r="9">
      <c r="A9" s="1" t="s">
        <v>1</v>
      </c>
      <c r="B9" s="1"/>
      <c r="C9" s="1"/>
      <c r="D9" s="2" t="s">
        <v>2</v>
      </c>
      <c r="E9" s="2"/>
      <c r="F9" s="2"/>
      <c r="G9" s="2"/>
      <c r="H9" s="2"/>
      <c r="I9" s="2"/>
      <c r="J9" s="3" t="s">
        <v>3</v>
      </c>
      <c r="K9" s="3"/>
      <c r="L9" s="3"/>
      <c r="M9" s="3"/>
      <c r="N9" s="3"/>
      <c r="O9" s="3"/>
      <c r="P9" s="3"/>
      <c r="Q9" s="3"/>
      <c r="R9" s="3"/>
      <c r="S9" s="3"/>
      <c r="T9" s="4"/>
      <c r="U9" s="4"/>
      <c r="V9" s="4"/>
      <c r="W9" s="5"/>
      <c r="X9" s="5"/>
      <c r="Y9" s="5"/>
      <c r="Z9" s="5"/>
      <c r="AA9" s="5"/>
      <c r="AB9" s="5"/>
      <c r="AC9" s="5"/>
      <c r="AD9" s="6" t="s">
        <v>4</v>
      </c>
    </row>
    <row r="10">
      <c r="A10" s="1" t="s">
        <v>5</v>
      </c>
      <c r="B10" s="1" t="s">
        <v>6</v>
      </c>
      <c r="C10" s="1" t="s">
        <v>7</v>
      </c>
      <c r="D10" s="52" t="s">
        <v>8</v>
      </c>
      <c r="E10" s="7" t="s">
        <v>9</v>
      </c>
      <c r="F10" s="7" t="s">
        <v>10</v>
      </c>
      <c r="G10" s="8" t="s">
        <v>11</v>
      </c>
      <c r="H10" s="2" t="s">
        <v>12</v>
      </c>
      <c r="I10" s="7" t="s">
        <v>13</v>
      </c>
      <c r="J10" s="3" t="s">
        <v>14</v>
      </c>
      <c r="K10" s="3" t="s">
        <v>15</v>
      </c>
      <c r="L10" s="9" t="s">
        <v>16</v>
      </c>
      <c r="M10" s="9" t="s">
        <v>17</v>
      </c>
      <c r="N10" s="3" t="s">
        <v>18</v>
      </c>
      <c r="O10" s="9" t="s">
        <v>19</v>
      </c>
      <c r="P10" s="9" t="s">
        <v>20</v>
      </c>
      <c r="Q10" s="3" t="s">
        <v>21</v>
      </c>
      <c r="R10" s="9" t="s">
        <v>22</v>
      </c>
      <c r="S10" s="3" t="s">
        <v>23</v>
      </c>
      <c r="T10" s="10" t="s">
        <v>24</v>
      </c>
      <c r="U10" s="10" t="s">
        <v>25</v>
      </c>
      <c r="V10" s="10" t="s">
        <v>26</v>
      </c>
      <c r="W10" s="11" t="s">
        <v>27</v>
      </c>
      <c r="X10" s="12" t="s">
        <v>28</v>
      </c>
      <c r="Y10" s="12" t="s">
        <v>29</v>
      </c>
      <c r="Z10" s="12" t="s">
        <v>30</v>
      </c>
      <c r="AA10" s="12" t="s">
        <v>31</v>
      </c>
      <c r="AB10" s="12" t="s">
        <v>32</v>
      </c>
      <c r="AC10" s="12" t="s">
        <v>33</v>
      </c>
      <c r="AD10" s="6"/>
    </row>
    <row r="11">
      <c r="A11" s="13" t="s">
        <v>44</v>
      </c>
      <c r="B11" s="53" t="s">
        <v>45</v>
      </c>
      <c r="C11" s="54" t="s">
        <v>46</v>
      </c>
      <c r="D11" s="55">
        <f t="shared" ref="D11:D14" si="43">E11+F11</f>
      </c>
      <c r="E11" s="29">
        <v>165.88</v>
      </c>
      <c r="F11" s="15">
        <v>27.63</v>
      </c>
      <c r="G11" s="16">
        <v>1</v>
      </c>
      <c r="H11" s="16">
        <v>796.3199999999999</v>
      </c>
      <c r="I11" s="17">
        <f t="shared" ref="I11:I21" si="25">H11/D11</f>
      </c>
      <c r="J11" s="18">
        <f t="shared" ref="J11:J21" si="1">Y11/X11</f>
      </c>
      <c r="K11" s="19">
        <f t="shared" ref="K11:K21" si="71">D11/Z11</f>
      </c>
      <c r="L11" s="20">
        <f t="shared" ref="L11:L21" si="7">AA11/Z11</f>
      </c>
      <c r="M11" s="18">
        <f t="shared" ref="M11:M21" si="59">AB11/Z11</f>
      </c>
      <c r="N11" s="19">
        <f t="shared" ref="N11:N21" si="31">D11/AB11</f>
      </c>
      <c r="O11" s="18">
        <f t="shared" ref="O11:O21" si="13">AC11/AB11</f>
      </c>
      <c r="P11" s="18">
        <f t="shared" ref="P11:P21" si="77">G11/AC11</f>
      </c>
      <c r="Q11" s="19">
        <f t="shared" ref="Q11:Q21" si="65">D11/G11</f>
      </c>
      <c r="R11" s="21">
        <f t="shared" ref="R11:R21" si="37">H11/G11</f>
      </c>
      <c r="S11" s="19">
        <f t="shared" ref="S11:S21" si="19">D11/W11</f>
      </c>
      <c r="T11" s="22">
        <f t="shared" ref="T11:T21" si="83">AD11*1000/D11</f>
      </c>
      <c r="U11" s="23" t="s">
        <v>37</v>
      </c>
      <c r="V11" s="24" t="s">
        <v>38</v>
      </c>
      <c r="W11" s="15">
        <v>1</v>
      </c>
      <c r="X11" s="15">
        <v>785</v>
      </c>
      <c r="Y11" s="15">
        <v>91</v>
      </c>
      <c r="Z11" s="15">
        <v>96</v>
      </c>
      <c r="AA11" s="15">
        <v>28</v>
      </c>
      <c r="AB11" s="25">
        <v>16</v>
      </c>
      <c r="AC11" s="26">
        <v>1</v>
      </c>
      <c r="AD11" s="27">
        <v>2</v>
      </c>
    </row>
    <row r="12">
      <c r="A12" s="13"/>
      <c r="B12" s="15" t="s">
        <v>47</v>
      </c>
      <c r="C12" s="16" t="s">
        <v>46</v>
      </c>
      <c r="D12" s="53">
        <f t="shared" si="43"/>
      </c>
      <c r="E12" s="15">
        <v>100.08</v>
      </c>
      <c r="F12" s="15">
        <v>47.23</v>
      </c>
      <c r="G12" s="16">
        <v>0</v>
      </c>
      <c r="H12" s="16">
        <v>0</v>
      </c>
      <c r="I12" s="17">
        <f t="shared" si="25"/>
      </c>
      <c r="J12" s="18">
        <f t="shared" si="1"/>
      </c>
      <c r="K12" s="19">
        <f t="shared" si="71"/>
      </c>
      <c r="L12" s="20">
        <f t="shared" si="7"/>
      </c>
      <c r="M12" s="18">
        <f t="shared" si="59"/>
      </c>
      <c r="N12" s="19">
        <f t="shared" si="31"/>
      </c>
      <c r="O12" s="18">
        <f t="shared" si="13"/>
      </c>
      <c r="P12" s="18">
        <f t="shared" si="77"/>
      </c>
      <c r="Q12" s="19">
        <f t="shared" si="65"/>
      </c>
      <c r="R12" s="21">
        <f t="shared" si="37"/>
      </c>
      <c r="S12" s="19">
        <f t="shared" si="19"/>
      </c>
      <c r="T12" s="22">
        <f t="shared" si="83"/>
      </c>
      <c r="U12" s="23" t="s">
        <v>37</v>
      </c>
      <c r="V12" s="24" t="s">
        <v>38</v>
      </c>
      <c r="W12" s="30">
        <v>0</v>
      </c>
      <c r="X12" s="15">
        <v>769</v>
      </c>
      <c r="Y12" s="15">
        <v>75</v>
      </c>
      <c r="Z12" s="15">
        <v>103</v>
      </c>
      <c r="AA12" s="15">
        <v>28</v>
      </c>
      <c r="AB12" s="15">
        <v>8</v>
      </c>
      <c r="AC12" s="26">
        <v>1</v>
      </c>
      <c r="AD12" s="31">
        <v>7</v>
      </c>
    </row>
    <row r="13">
      <c r="A13" s="13"/>
      <c r="B13" s="15" t="s">
        <v>48</v>
      </c>
      <c r="C13" s="16" t="s">
        <v>46</v>
      </c>
      <c r="D13" s="15">
        <f t="shared" si="43"/>
      </c>
      <c r="E13" s="15">
        <v>90.19000000000001</v>
      </c>
      <c r="F13" s="15">
        <v>82.64</v>
      </c>
      <c r="G13" s="16">
        <v>0</v>
      </c>
      <c r="H13" s="16">
        <v>0</v>
      </c>
      <c r="I13" s="17">
        <f t="shared" si="25"/>
      </c>
      <c r="J13" s="18">
        <f t="shared" si="1"/>
      </c>
      <c r="K13" s="19">
        <f t="shared" si="71"/>
      </c>
      <c r="L13" s="20">
        <f t="shared" si="7"/>
      </c>
      <c r="M13" s="18">
        <f t="shared" si="59"/>
      </c>
      <c r="N13" s="19">
        <f t="shared" si="31"/>
      </c>
      <c r="O13" s="18">
        <f t="shared" si="13"/>
      </c>
      <c r="P13" s="18">
        <f t="shared" si="77"/>
      </c>
      <c r="Q13" s="19">
        <f t="shared" si="65"/>
      </c>
      <c r="R13" s="21">
        <f t="shared" si="37"/>
      </c>
      <c r="S13" s="19">
        <f t="shared" si="19"/>
      </c>
      <c r="T13" s="22">
        <f t="shared" si="83"/>
      </c>
      <c r="U13" s="23" t="s">
        <v>37</v>
      </c>
      <c r="V13" s="24" t="s">
        <v>38</v>
      </c>
      <c r="W13" s="30">
        <v>0</v>
      </c>
      <c r="X13" s="15">
        <v>914</v>
      </c>
      <c r="Y13" s="15">
        <v>114</v>
      </c>
      <c r="Z13" s="15">
        <v>187</v>
      </c>
      <c r="AA13" s="15">
        <v>33</v>
      </c>
      <c r="AB13" s="15">
        <v>13</v>
      </c>
      <c r="AC13" s="26">
        <v>1</v>
      </c>
      <c r="AD13" s="32">
        <v>4</v>
      </c>
    </row>
    <row r="14">
      <c r="A14" s="13"/>
      <c r="B14" s="15" t="s">
        <v>49</v>
      </c>
      <c r="C14" s="16" t="s">
        <v>46</v>
      </c>
      <c r="D14" s="15">
        <f t="shared" si="43"/>
      </c>
      <c r="E14" s="15">
        <v>125.09</v>
      </c>
      <c r="F14" s="15">
        <v>144.63</v>
      </c>
      <c r="G14" s="16">
        <v>1</v>
      </c>
      <c r="H14" s="15">
        <v>711.6000000000001</v>
      </c>
      <c r="I14" s="17">
        <f t="shared" si="25"/>
      </c>
      <c r="J14" s="18">
        <f t="shared" si="1"/>
      </c>
      <c r="K14" s="19">
        <f t="shared" si="71"/>
      </c>
      <c r="L14" s="20">
        <f t="shared" si="7"/>
      </c>
      <c r="M14" s="18">
        <f t="shared" si="59"/>
      </c>
      <c r="N14" s="19">
        <f t="shared" si="31"/>
      </c>
      <c r="O14" s="18">
        <f t="shared" si="13"/>
      </c>
      <c r="P14" s="18">
        <f t="shared" si="77"/>
      </c>
      <c r="Q14" s="19">
        <f t="shared" si="65"/>
      </c>
      <c r="R14" s="21">
        <f t="shared" si="37"/>
      </c>
      <c r="S14" s="19">
        <f t="shared" si="19"/>
      </c>
      <c r="T14" s="22">
        <f t="shared" si="83"/>
      </c>
      <c r="U14" s="23" t="s">
        <v>37</v>
      </c>
      <c r="V14" s="24" t="s">
        <v>38</v>
      </c>
      <c r="W14" s="30">
        <v>0</v>
      </c>
      <c r="X14" s="15">
        <v>1124</v>
      </c>
      <c r="Y14" s="15">
        <v>151</v>
      </c>
      <c r="Z14" s="15">
        <v>213</v>
      </c>
      <c r="AA14" s="15">
        <v>64</v>
      </c>
      <c r="AB14" s="15">
        <v>9</v>
      </c>
      <c r="AC14" s="26">
        <v>3</v>
      </c>
      <c r="AD14" s="31">
        <v>13</v>
      </c>
    </row>
    <row r="15">
      <c r="A15" s="13"/>
      <c r="B15" s="33" t="s">
        <v>42</v>
      </c>
      <c r="C15" s="33"/>
      <c r="D15" s="34">
        <f>SUM(D11:D14)</f>
      </c>
      <c r="E15" s="34">
        <f>SUM(E11:E14)</f>
      </c>
      <c r="F15" s="34">
        <f>SUM(F11:F14)</f>
      </c>
      <c r="G15" s="34">
        <f>SUM(G11:G14)</f>
      </c>
      <c r="H15" s="34">
        <f>SUM(H11:H14)</f>
      </c>
      <c r="I15" s="35">
        <f t="shared" si="25"/>
      </c>
      <c r="J15" s="36">
        <f t="shared" si="1"/>
      </c>
      <c r="K15" s="37">
        <f t="shared" si="71"/>
      </c>
      <c r="L15" s="38">
        <f t="shared" si="7"/>
      </c>
      <c r="M15" s="36">
        <f t="shared" si="59"/>
      </c>
      <c r="N15" s="37">
        <f t="shared" si="31"/>
      </c>
      <c r="O15" s="36">
        <f t="shared" si="13"/>
      </c>
      <c r="P15" s="36">
        <f t="shared" si="77"/>
      </c>
      <c r="Q15" s="37">
        <f t="shared" si="65"/>
      </c>
      <c r="R15" s="39">
        <f t="shared" si="37"/>
      </c>
      <c r="S15" s="37">
        <f t="shared" si="19"/>
      </c>
      <c r="T15" s="40">
        <f t="shared" si="83"/>
      </c>
      <c r="U15" s="40"/>
      <c r="V15" s="40"/>
      <c r="W15" s="41">
        <f>SUM(W11:W14)</f>
      </c>
      <c r="X15" s="42">
        <f>SUM(X11:X14)</f>
      </c>
      <c r="Y15" s="42">
        <f>SUM(Y11:Y14)</f>
      </c>
      <c r="Z15" s="42">
        <f>SUM(Z11:Z14)</f>
      </c>
      <c r="AA15" s="42">
        <f>SUM(AA11:AA14)</f>
      </c>
      <c r="AB15" s="42">
        <f>SUM(AB11:AB14)</f>
      </c>
      <c r="AC15" s="42">
        <f>SUM(AC11:AC14)</f>
      </c>
      <c r="AD15" s="42">
        <f>SUM(AD11:AD14)</f>
      </c>
    </row>
    <row customHeight="true" ht="18.452380952380953" r="16">
      <c r="A16" s="13"/>
      <c r="B16" s="15" t="s">
        <v>35</v>
      </c>
      <c r="C16" s="15" t="s">
        <v>36</v>
      </c>
      <c r="D16" s="15">
        <f t="shared" ref="D16:D19" si="44">E16+F16</f>
      </c>
      <c r="E16" s="15">
        <v>148.21</v>
      </c>
      <c r="F16" s="15">
        <v>134.78</v>
      </c>
      <c r="G16" s="16">
        <v>0</v>
      </c>
      <c r="H16" s="16">
        <v>0</v>
      </c>
      <c r="I16" s="17">
        <f t="shared" si="25"/>
      </c>
      <c r="J16" s="18">
        <f t="shared" si="1"/>
      </c>
      <c r="K16" s="19">
        <f t="shared" si="71"/>
      </c>
      <c r="L16" s="20">
        <f t="shared" si="7"/>
      </c>
      <c r="M16" s="18">
        <f t="shared" si="59"/>
      </c>
      <c r="N16" s="19">
        <f t="shared" si="31"/>
      </c>
      <c r="O16" s="18">
        <f t="shared" si="13"/>
      </c>
      <c r="P16" s="18">
        <f t="shared" si="77"/>
      </c>
      <c r="Q16" s="19">
        <f t="shared" si="65"/>
      </c>
      <c r="R16" s="21">
        <f t="shared" si="37"/>
      </c>
      <c r="S16" s="19">
        <f t="shared" si="19"/>
      </c>
      <c r="T16" s="22">
        <f t="shared" si="83"/>
      </c>
      <c r="U16" s="23" t="s">
        <v>37</v>
      </c>
      <c r="V16" s="24" t="s">
        <v>38</v>
      </c>
      <c r="W16" s="30">
        <v>0</v>
      </c>
      <c r="X16" s="15">
        <v>1142</v>
      </c>
      <c r="Y16" s="15">
        <v>127</v>
      </c>
      <c r="Z16" s="15">
        <v>180</v>
      </c>
      <c r="AA16" s="15">
        <v>58</v>
      </c>
      <c r="AB16" s="15">
        <v>6</v>
      </c>
      <c r="AC16" s="26">
        <v>2</v>
      </c>
      <c r="AD16" s="31">
        <v>12</v>
      </c>
    </row>
    <row customHeight="true" ht="18.452380952380953" r="17">
      <c r="A17" s="13"/>
      <c r="B17" s="15" t="s">
        <v>39</v>
      </c>
      <c r="C17" s="15" t="s">
        <v>36</v>
      </c>
      <c r="D17" s="15">
        <f t="shared" si="44"/>
      </c>
      <c r="E17" s="15">
        <v>100.66</v>
      </c>
      <c r="F17" s="15">
        <v>114.01</v>
      </c>
      <c r="G17" s="16">
        <v>1</v>
      </c>
      <c r="H17" s="16">
        <v>355.79999999999995</v>
      </c>
      <c r="I17" s="17">
        <f t="shared" si="25"/>
      </c>
      <c r="J17" s="18">
        <f t="shared" si="1"/>
      </c>
      <c r="K17" s="19">
        <f t="shared" si="71"/>
      </c>
      <c r="L17" s="20">
        <f t="shared" si="7"/>
      </c>
      <c r="M17" s="18">
        <f t="shared" si="59"/>
      </c>
      <c r="N17" s="19">
        <f t="shared" si="31"/>
      </c>
      <c r="O17" s="18">
        <f t="shared" si="13"/>
      </c>
      <c r="P17" s="18">
        <f t="shared" si="77"/>
      </c>
      <c r="Q17" s="19">
        <f t="shared" si="65"/>
      </c>
      <c r="R17" s="21">
        <f t="shared" si="37"/>
      </c>
      <c r="S17" s="19">
        <f t="shared" si="19"/>
      </c>
      <c r="T17" s="22">
        <f t="shared" si="83"/>
      </c>
      <c r="U17" s="23" t="s">
        <v>37</v>
      </c>
      <c r="V17" s="24" t="s">
        <v>38</v>
      </c>
      <c r="W17" s="30">
        <v>1</v>
      </c>
      <c r="X17" s="15">
        <v>1173</v>
      </c>
      <c r="Y17" s="15">
        <v>145</v>
      </c>
      <c r="Z17" s="15">
        <v>227</v>
      </c>
      <c r="AA17" s="15">
        <v>54</v>
      </c>
      <c r="AB17" s="15">
        <v>15</v>
      </c>
      <c r="AC17" s="26">
        <v>3</v>
      </c>
      <c r="AD17" s="31">
        <v>15</v>
      </c>
    </row>
    <row customHeight="true" ht="18.452380952380953" r="18">
      <c r="A18" s="13"/>
      <c r="B18" s="15" t="s">
        <v>40</v>
      </c>
      <c r="C18" s="15" t="s">
        <v>36</v>
      </c>
      <c r="D18" s="15">
        <f t="shared" si="44"/>
      </c>
      <c r="E18" s="15">
        <v>245.52</v>
      </c>
      <c r="F18" s="15">
        <v>263.63</v>
      </c>
      <c r="G18" s="16">
        <v>4</v>
      </c>
      <c r="H18" s="15">
        <v>3549.12</v>
      </c>
      <c r="I18" s="17">
        <f t="shared" si="25"/>
      </c>
      <c r="J18" s="18">
        <f t="shared" si="1"/>
      </c>
      <c r="K18" s="19">
        <f t="shared" si="71"/>
      </c>
      <c r="L18" s="20">
        <f t="shared" si="7"/>
      </c>
      <c r="M18" s="18">
        <f t="shared" si="59"/>
      </c>
      <c r="N18" s="19">
        <f t="shared" si="31"/>
      </c>
      <c r="O18" s="18">
        <f t="shared" si="13"/>
      </c>
      <c r="P18" s="18">
        <f t="shared" si="77"/>
      </c>
      <c r="Q18" s="19">
        <f t="shared" si="65"/>
      </c>
      <c r="R18" s="21">
        <f t="shared" si="37"/>
      </c>
      <c r="S18" s="19">
        <f t="shared" si="19"/>
      </c>
      <c r="T18" s="22">
        <f t="shared" si="83"/>
      </c>
      <c r="U18" s="23" t="s">
        <v>37</v>
      </c>
      <c r="V18" s="24" t="s">
        <v>38</v>
      </c>
      <c r="W18" s="30">
        <v>1</v>
      </c>
      <c r="X18" s="15">
        <v>1692</v>
      </c>
      <c r="Y18" s="15">
        <v>260</v>
      </c>
      <c r="Z18" s="15">
        <v>349</v>
      </c>
      <c r="AA18" s="15">
        <v>93</v>
      </c>
      <c r="AB18" s="15">
        <v>7</v>
      </c>
      <c r="AC18" s="26">
        <v>8</v>
      </c>
      <c r="AD18" s="31">
        <v>19</v>
      </c>
    </row>
    <row customHeight="true" ht="18.452380952380953" r="19">
      <c r="A19" s="13"/>
      <c r="B19" s="15" t="s">
        <v>41</v>
      </c>
      <c r="C19" s="15" t="s">
        <v>36</v>
      </c>
      <c r="D19" s="15">
        <f t="shared" si="44"/>
      </c>
      <c r="E19" s="15">
        <v>133.96</v>
      </c>
      <c r="F19" s="15">
        <v>158.42</v>
      </c>
      <c r="G19" s="16">
        <v>0</v>
      </c>
      <c r="H19" s="16">
        <v>0</v>
      </c>
      <c r="I19" s="17">
        <f t="shared" si="25"/>
      </c>
      <c r="J19" s="18">
        <f t="shared" si="1"/>
      </c>
      <c r="K19" s="19">
        <f t="shared" si="71"/>
      </c>
      <c r="L19" s="20">
        <f t="shared" si="7"/>
      </c>
      <c r="M19" s="18">
        <f t="shared" si="59"/>
      </c>
      <c r="N19" s="19">
        <f t="shared" si="31"/>
      </c>
      <c r="O19" s="18">
        <f t="shared" si="13"/>
      </c>
      <c r="P19" s="18">
        <f t="shared" si="77"/>
      </c>
      <c r="Q19" s="19">
        <f t="shared" si="65"/>
      </c>
      <c r="R19" s="21">
        <f t="shared" si="37"/>
      </c>
      <c r="S19" s="19">
        <f t="shared" si="19"/>
      </c>
      <c r="T19" s="22">
        <f t="shared" si="83"/>
      </c>
      <c r="U19" s="23" t="s">
        <v>37</v>
      </c>
      <c r="V19" s="24" t="s">
        <v>38</v>
      </c>
      <c r="W19" s="30">
        <v>0</v>
      </c>
      <c r="X19" s="15">
        <v>1083</v>
      </c>
      <c r="Y19" s="15">
        <v>164</v>
      </c>
      <c r="Z19" s="15">
        <v>258</v>
      </c>
      <c r="AA19" s="15">
        <v>65</v>
      </c>
      <c r="AB19" s="15">
        <v>7</v>
      </c>
      <c r="AC19" s="26">
        <v>0</v>
      </c>
      <c r="AD19" s="56">
        <v>4</v>
      </c>
    </row>
    <row customHeight="true" ht="18.452380952380953" r="20">
      <c r="A20" s="13"/>
      <c r="B20" s="33" t="s">
        <v>42</v>
      </c>
      <c r="C20" s="33"/>
      <c r="D20" s="34">
        <f>SUM(D16:D19)</f>
      </c>
      <c r="E20" s="34">
        <f>SUM(E16:E19)</f>
      </c>
      <c r="F20" s="34">
        <f>SUM(F16:F19)</f>
      </c>
      <c r="G20" s="34">
        <f>SUM(G16:G19)</f>
      </c>
      <c r="H20" s="34">
        <f>SUM(H16:H19)</f>
      </c>
      <c r="I20" s="35">
        <f t="shared" si="25"/>
      </c>
      <c r="J20" s="36">
        <f t="shared" si="1"/>
      </c>
      <c r="K20" s="37">
        <f t="shared" si="71"/>
      </c>
      <c r="L20" s="38">
        <f t="shared" si="7"/>
      </c>
      <c r="M20" s="36">
        <f t="shared" si="59"/>
      </c>
      <c r="N20" s="37">
        <f t="shared" si="31"/>
      </c>
      <c r="O20" s="36">
        <f t="shared" si="13"/>
      </c>
      <c r="P20" s="36">
        <f t="shared" si="77"/>
      </c>
      <c r="Q20" s="37">
        <f t="shared" si="65"/>
      </c>
      <c r="R20" s="39">
        <f t="shared" si="37"/>
      </c>
      <c r="S20" s="37">
        <f t="shared" si="19"/>
      </c>
      <c r="T20" s="40">
        <f t="shared" si="83"/>
      </c>
      <c r="U20" s="40"/>
      <c r="V20" s="40"/>
      <c r="W20" s="41">
        <f>SUM(W16:W19)</f>
      </c>
      <c r="X20" s="42">
        <f>SUM(X16:X19)</f>
      </c>
      <c r="Y20" s="42">
        <f>SUM(Y16:Y19)</f>
      </c>
      <c r="Z20" s="42">
        <f>SUM(Z16:Z19)</f>
      </c>
      <c r="AA20" s="42">
        <f>SUM(AA16:AA19)</f>
      </c>
      <c r="AB20" s="42">
        <f>SUM(AB16:AB19)</f>
      </c>
      <c r="AC20" s="42">
        <f>SUM(AC16:AC19)</f>
      </c>
      <c r="AD20" s="42">
        <f>SUM(AD16:AD19)</f>
      </c>
    </row>
    <row r="21">
      <c r="A21" s="57"/>
      <c r="B21" s="43" t="s">
        <v>43</v>
      </c>
      <c r="C21" s="43"/>
      <c r="D21" s="44">
        <f>D15+D20</f>
      </c>
      <c r="E21" s="44">
        <f>E15+E20</f>
      </c>
      <c r="F21" s="44">
        <f>F15+F20</f>
      </c>
      <c r="G21" s="44">
        <f>G15+G20</f>
      </c>
      <c r="H21" s="44">
        <f>H15+H20</f>
      </c>
      <c r="I21" s="46">
        <f t="shared" si="25"/>
      </c>
      <c r="J21" s="47">
        <f t="shared" si="1"/>
      </c>
      <c r="K21" s="48">
        <f t="shared" si="71"/>
      </c>
      <c r="L21" s="49">
        <f t="shared" si="7"/>
      </c>
      <c r="M21" s="49">
        <f t="shared" si="59"/>
      </c>
      <c r="N21" s="48">
        <f t="shared" si="31"/>
      </c>
      <c r="O21" s="49">
        <f t="shared" si="13"/>
      </c>
      <c r="P21" s="49">
        <f t="shared" si="77"/>
      </c>
      <c r="Q21" s="48">
        <f t="shared" si="65"/>
      </c>
      <c r="R21" s="50">
        <f t="shared" si="37"/>
      </c>
      <c r="S21" s="48">
        <f t="shared" si="19"/>
      </c>
      <c r="T21" s="51">
        <f t="shared" si="83"/>
      </c>
      <c r="U21" s="51"/>
      <c r="V21" s="51"/>
      <c r="W21" s="45">
        <f>W15+W20</f>
      </c>
      <c r="X21" s="45">
        <f>X15+X20</f>
      </c>
      <c r="Y21" s="45">
        <f>Y15+Y20</f>
      </c>
      <c r="Z21" s="45">
        <f>Z15+Z20</f>
      </c>
      <c r="AA21" s="45">
        <f>AA15+AA20</f>
      </c>
      <c r="AB21" s="45">
        <f>AB15+AB20</f>
      </c>
      <c r="AC21" s="45">
        <f>AC15+AC20</f>
      </c>
      <c r="AD21" s="45">
        <f>AD15+AD20</f>
      </c>
    </row>
    <row r="22">
      <c r="A22" s="58" t="s">
        <v>1</v>
      </c>
      <c r="B22" s="58"/>
      <c r="C22" s="59"/>
      <c r="D22" s="60" t="s">
        <v>2</v>
      </c>
      <c r="E22" s="60"/>
      <c r="F22" s="60"/>
      <c r="G22" s="60"/>
      <c r="H22" s="60"/>
      <c r="I22" s="60"/>
      <c r="J22" s="61" t="s">
        <v>3</v>
      </c>
      <c r="K22" s="61"/>
      <c r="L22" s="61"/>
      <c r="M22" s="61"/>
      <c r="N22" s="61"/>
      <c r="O22" s="61"/>
      <c r="P22" s="61"/>
      <c r="Q22" s="61"/>
      <c r="R22" s="61"/>
      <c r="S22" s="61"/>
      <c r="T22" s="62"/>
      <c r="U22" s="62"/>
      <c r="V22" s="62"/>
      <c r="W22" s="63"/>
      <c r="X22" s="63"/>
      <c r="Y22" s="63"/>
      <c r="Z22" s="63"/>
      <c r="AA22" s="63"/>
      <c r="AB22" s="63"/>
      <c r="AC22" s="63"/>
      <c r="AD22" s="64" t="s">
        <v>4</v>
      </c>
    </row>
    <row r="23">
      <c r="A23" s="58" t="s">
        <v>5</v>
      </c>
      <c r="B23" s="65" t="s">
        <v>6</v>
      </c>
      <c r="C23" s="58" t="s">
        <v>7</v>
      </c>
      <c r="D23" s="66" t="s">
        <v>8</v>
      </c>
      <c r="E23" s="67" t="s">
        <v>9</v>
      </c>
      <c r="F23" s="67" t="s">
        <v>10</v>
      </c>
      <c r="G23" s="68" t="s">
        <v>11</v>
      </c>
      <c r="H23" s="60" t="s">
        <v>12</v>
      </c>
      <c r="I23" s="67" t="s">
        <v>13</v>
      </c>
      <c r="J23" s="61" t="s">
        <v>14</v>
      </c>
      <c r="K23" s="61" t="s">
        <v>15</v>
      </c>
      <c r="L23" s="69" t="s">
        <v>16</v>
      </c>
      <c r="M23" s="69" t="s">
        <v>17</v>
      </c>
      <c r="N23" s="61" t="s">
        <v>18</v>
      </c>
      <c r="O23" s="69" t="s">
        <v>19</v>
      </c>
      <c r="P23" s="69" t="s">
        <v>20</v>
      </c>
      <c r="Q23" s="61" t="s">
        <v>21</v>
      </c>
      <c r="R23" s="69" t="s">
        <v>22</v>
      </c>
      <c r="S23" s="61" t="s">
        <v>23</v>
      </c>
      <c r="T23" s="70" t="s">
        <v>24</v>
      </c>
      <c r="U23" s="70" t="s">
        <v>25</v>
      </c>
      <c r="V23" s="70" t="s">
        <v>26</v>
      </c>
      <c r="W23" s="71" t="s">
        <v>27</v>
      </c>
      <c r="X23" s="72" t="s">
        <v>28</v>
      </c>
      <c r="Y23" s="72" t="s">
        <v>29</v>
      </c>
      <c r="Z23" s="72" t="s">
        <v>30</v>
      </c>
      <c r="AA23" s="72" t="s">
        <v>31</v>
      </c>
      <c r="AB23" s="72" t="s">
        <v>32</v>
      </c>
      <c r="AC23" s="72" t="s">
        <v>33</v>
      </c>
      <c r="AD23" s="64"/>
    </row>
    <row r="24">
      <c r="A24" s="73" t="s">
        <v>50</v>
      </c>
      <c r="B24" s="55" t="s">
        <v>45</v>
      </c>
      <c r="C24" s="74" t="s">
        <v>36</v>
      </c>
      <c r="D24" s="55">
        <f t="shared" ref="D24:D27" si="45">E24+F24</f>
      </c>
      <c r="E24" s="55">
        <v>73.05</v>
      </c>
      <c r="F24" s="55">
        <v>511.67</v>
      </c>
      <c r="G24" s="75">
        <v>1</v>
      </c>
      <c r="H24" s="75">
        <v>577.5600000000001</v>
      </c>
      <c r="I24" s="76">
        <f t="shared" ref="I24:I34" si="26">H24/D24</f>
      </c>
      <c r="J24" s="77">
        <f t="shared" ref="J24:J34" si="2">Y24/X24</f>
      </c>
      <c r="K24" s="78">
        <f t="shared" ref="K24:K34" si="72">D24/Z24</f>
      </c>
      <c r="L24" s="77">
        <f t="shared" ref="L24:L34" si="8">AA24/Z24</f>
      </c>
      <c r="M24" s="77">
        <f t="shared" ref="M24:M34" si="60">AB24/Z24</f>
      </c>
      <c r="N24" s="78">
        <f t="shared" ref="N24:N34" si="32">D24/AB24</f>
      </c>
      <c r="O24" s="77">
        <f t="shared" ref="O24:O34" si="14">AC24/AB24</f>
      </c>
      <c r="P24" s="77">
        <f t="shared" ref="P24:P34" si="78">G24/AC24</f>
      </c>
      <c r="Q24" s="78">
        <f t="shared" ref="Q24:Q34" si="66">D24/G24</f>
      </c>
      <c r="R24" s="79">
        <f t="shared" ref="R24:R34" si="38">H24/G24</f>
      </c>
      <c r="S24" s="78">
        <f t="shared" ref="S24:S34" si="20">D24/W24</f>
      </c>
      <c r="T24" s="80">
        <f t="shared" ref="T24:T34" si="84">AD24*1000/D24</f>
      </c>
      <c r="U24" s="81" t="s">
        <v>37</v>
      </c>
      <c r="V24" s="82" t="s">
        <v>38</v>
      </c>
      <c r="W24" s="55">
        <v>1</v>
      </c>
      <c r="X24" s="55">
        <v>947</v>
      </c>
      <c r="Y24" s="55">
        <v>308</v>
      </c>
      <c r="Z24" s="55">
        <v>517</v>
      </c>
      <c r="AA24" s="55">
        <v>155</v>
      </c>
      <c r="AB24" s="55">
        <v>6</v>
      </c>
      <c r="AC24" s="75">
        <v>3</v>
      </c>
      <c r="AD24" s="75">
        <v>11</v>
      </c>
    </row>
    <row r="25">
      <c r="A25" s="73"/>
      <c r="B25" s="55" t="s">
        <v>47</v>
      </c>
      <c r="C25" s="55" t="s">
        <v>36</v>
      </c>
      <c r="D25" s="55">
        <f t="shared" si="45"/>
      </c>
      <c r="E25" s="55">
        <v>67.63</v>
      </c>
      <c r="F25" s="55">
        <v>574.2</v>
      </c>
      <c r="G25" s="75">
        <v>0</v>
      </c>
      <c r="H25" s="75">
        <v>0</v>
      </c>
      <c r="I25" s="76">
        <f t="shared" si="26"/>
      </c>
      <c r="J25" s="77">
        <f t="shared" si="2"/>
      </c>
      <c r="K25" s="78">
        <f t="shared" si="72"/>
      </c>
      <c r="L25" s="77">
        <f t="shared" si="8"/>
      </c>
      <c r="M25" s="77">
        <f t="shared" si="60"/>
      </c>
      <c r="N25" s="78">
        <f t="shared" si="32"/>
      </c>
      <c r="O25" s="77">
        <f t="shared" si="14"/>
      </c>
      <c r="P25" s="77">
        <f t="shared" si="78"/>
      </c>
      <c r="Q25" s="78">
        <f t="shared" si="66"/>
      </c>
      <c r="R25" s="79">
        <f t="shared" si="38"/>
      </c>
      <c r="S25" s="78">
        <f t="shared" si="20"/>
      </c>
      <c r="T25" s="80">
        <f t="shared" si="84"/>
      </c>
      <c r="U25" s="81" t="s">
        <v>37</v>
      </c>
      <c r="V25" s="82" t="s">
        <v>38</v>
      </c>
      <c r="W25" s="83">
        <v>0</v>
      </c>
      <c r="X25" s="55">
        <v>1061</v>
      </c>
      <c r="Y25" s="55">
        <v>385</v>
      </c>
      <c r="Z25" s="55">
        <v>619</v>
      </c>
      <c r="AA25" s="55">
        <v>200</v>
      </c>
      <c r="AB25" s="55">
        <v>5</v>
      </c>
      <c r="AC25" s="75">
        <v>2</v>
      </c>
      <c r="AD25" s="55">
        <v>15</v>
      </c>
    </row>
    <row r="26">
      <c r="A26" s="73"/>
      <c r="B26" s="55" t="s">
        <v>48</v>
      </c>
      <c r="C26" s="55" t="s">
        <v>36</v>
      </c>
      <c r="D26" s="55">
        <f t="shared" si="45"/>
      </c>
      <c r="E26" s="55">
        <v>101.63</v>
      </c>
      <c r="F26" s="55">
        <v>292.08</v>
      </c>
      <c r="G26" s="75">
        <v>0</v>
      </c>
      <c r="H26" s="75">
        <v>0</v>
      </c>
      <c r="I26" s="76">
        <f t="shared" si="26"/>
      </c>
      <c r="J26" s="77">
        <f t="shared" si="2"/>
      </c>
      <c r="K26" s="78">
        <f t="shared" si="72"/>
      </c>
      <c r="L26" s="77">
        <f t="shared" si="8"/>
      </c>
      <c r="M26" s="77">
        <f t="shared" si="60"/>
      </c>
      <c r="N26" s="78">
        <f t="shared" si="32"/>
      </c>
      <c r="O26" s="77">
        <f t="shared" si="14"/>
      </c>
      <c r="P26" s="77">
        <f t="shared" si="78"/>
      </c>
      <c r="Q26" s="78">
        <f t="shared" si="66"/>
      </c>
      <c r="R26" s="79">
        <f t="shared" si="38"/>
      </c>
      <c r="S26" s="78">
        <f t="shared" si="20"/>
      </c>
      <c r="T26" s="80">
        <f t="shared" si="84"/>
      </c>
      <c r="U26" s="81" t="s">
        <v>37</v>
      </c>
      <c r="V26" s="82" t="s">
        <v>38</v>
      </c>
      <c r="W26" s="83">
        <v>0</v>
      </c>
      <c r="X26" s="55">
        <v>806</v>
      </c>
      <c r="Y26" s="55">
        <v>252</v>
      </c>
      <c r="Z26" s="55">
        <v>393</v>
      </c>
      <c r="AA26" s="55">
        <v>124</v>
      </c>
      <c r="AB26" s="55">
        <v>5</v>
      </c>
      <c r="AC26" s="75">
        <v>2</v>
      </c>
      <c r="AD26" s="55">
        <v>24</v>
      </c>
    </row>
    <row r="27">
      <c r="A27" s="73"/>
      <c r="B27" s="55" t="s">
        <v>49</v>
      </c>
      <c r="C27" s="55" t="s">
        <v>36</v>
      </c>
      <c r="D27" s="55">
        <f t="shared" si="45"/>
      </c>
      <c r="E27" s="55">
        <v>157.14999999999998</v>
      </c>
      <c r="F27" s="55">
        <v>120.93</v>
      </c>
      <c r="G27" s="75">
        <v>0</v>
      </c>
      <c r="H27" s="75">
        <v>0</v>
      </c>
      <c r="I27" s="76">
        <f t="shared" si="26"/>
      </c>
      <c r="J27" s="77">
        <f t="shared" si="2"/>
      </c>
      <c r="K27" s="78">
        <f t="shared" si="72"/>
      </c>
      <c r="L27" s="77">
        <f t="shared" si="8"/>
      </c>
      <c r="M27" s="77">
        <f t="shared" si="60"/>
      </c>
      <c r="N27" s="78">
        <f t="shared" si="32"/>
      </c>
      <c r="O27" s="77">
        <f t="shared" si="14"/>
      </c>
      <c r="P27" s="77">
        <f t="shared" si="78"/>
      </c>
      <c r="Q27" s="78">
        <f t="shared" si="66"/>
      </c>
      <c r="R27" s="79">
        <f t="shared" si="38"/>
      </c>
      <c r="S27" s="78">
        <f t="shared" si="20"/>
      </c>
      <c r="T27" s="80">
        <f t="shared" si="84"/>
      </c>
      <c r="U27" s="81" t="s">
        <v>37</v>
      </c>
      <c r="V27" s="82" t="s">
        <v>38</v>
      </c>
      <c r="W27" s="83">
        <v>0</v>
      </c>
      <c r="X27" s="55">
        <v>542</v>
      </c>
      <c r="Y27" s="55">
        <v>116</v>
      </c>
      <c r="Z27" s="55">
        <v>174</v>
      </c>
      <c r="AA27" s="55">
        <v>47</v>
      </c>
      <c r="AB27" s="55">
        <v>5</v>
      </c>
      <c r="AC27" s="75">
        <v>0</v>
      </c>
      <c r="AD27" s="75">
        <v>5</v>
      </c>
    </row>
    <row r="28">
      <c r="A28" s="73"/>
      <c r="B28" s="84" t="s">
        <v>42</v>
      </c>
      <c r="C28" s="84"/>
      <c r="D28" s="84">
        <f>SUM(D24:D27)</f>
      </c>
      <c r="E28" s="84">
        <f>SUM(E24:E27)</f>
      </c>
      <c r="F28" s="84">
        <f>SUM(F24:F27)</f>
      </c>
      <c r="G28" s="84">
        <f>SUM(G24:G27)</f>
      </c>
      <c r="H28" s="84">
        <f>SUM(H24:H27)</f>
      </c>
      <c r="I28" s="85">
        <f t="shared" si="26"/>
      </c>
      <c r="J28" s="86">
        <f t="shared" si="2"/>
      </c>
      <c r="K28" s="87">
        <f t="shared" si="72"/>
      </c>
      <c r="L28" s="86">
        <f t="shared" si="8"/>
      </c>
      <c r="M28" s="86">
        <f t="shared" si="60"/>
      </c>
      <c r="N28" s="87">
        <f t="shared" si="32"/>
      </c>
      <c r="O28" s="86">
        <f t="shared" si="14"/>
      </c>
      <c r="P28" s="86">
        <f t="shared" si="78"/>
      </c>
      <c r="Q28" s="87">
        <f t="shared" si="66"/>
      </c>
      <c r="R28" s="88">
        <f t="shared" si="38"/>
      </c>
      <c r="S28" s="87">
        <f t="shared" si="20"/>
      </c>
      <c r="T28" s="89">
        <f t="shared" si="84"/>
      </c>
      <c r="U28" s="89"/>
      <c r="V28" s="89"/>
      <c r="W28" s="90">
        <f>SUM(W24:W27)</f>
      </c>
      <c r="X28" s="91">
        <f>SUM(X24:X27)</f>
      </c>
      <c r="Y28" s="91">
        <f>SUM(Y24:Y27)</f>
      </c>
      <c r="Z28" s="91">
        <f>SUM(Z24:Z27)</f>
      </c>
      <c r="AA28" s="91">
        <f>SUM(AA24:AA27)</f>
      </c>
      <c r="AB28" s="91">
        <f>SUM(AB24:AB27)</f>
      </c>
      <c r="AC28" s="91">
        <f>SUM(AC24:AC27)</f>
      </c>
      <c r="AD28" s="91">
        <f>SUM(AD24:AD27)</f>
      </c>
    </row>
    <row r="29">
      <c r="A29" s="73"/>
      <c r="B29" s="55" t="s">
        <v>35</v>
      </c>
      <c r="C29" s="75" t="s">
        <v>46</v>
      </c>
      <c r="D29" s="55">
        <f t="shared" ref="D29:D32" si="46">E29+F29</f>
      </c>
      <c r="E29" s="55">
        <v>97.73</v>
      </c>
      <c r="F29" s="55">
        <v>61.91</v>
      </c>
      <c r="G29" s="75">
        <v>1</v>
      </c>
      <c r="H29" s="75">
        <v>294.36</v>
      </c>
      <c r="I29" s="76">
        <f t="shared" si="26"/>
      </c>
      <c r="J29" s="77">
        <f t="shared" si="2"/>
      </c>
      <c r="K29" s="78">
        <f t="shared" si="72"/>
      </c>
      <c r="L29" s="77">
        <f t="shared" si="8"/>
      </c>
      <c r="M29" s="77">
        <f t="shared" si="60"/>
      </c>
      <c r="N29" s="78">
        <f t="shared" si="32"/>
      </c>
      <c r="O29" s="77">
        <f t="shared" si="14"/>
      </c>
      <c r="P29" s="77">
        <f t="shared" si="78"/>
      </c>
      <c r="Q29" s="78">
        <f t="shared" si="66"/>
      </c>
      <c r="R29" s="79">
        <f t="shared" si="38"/>
      </c>
      <c r="S29" s="78">
        <f t="shared" si="20"/>
      </c>
      <c r="T29" s="80">
        <f t="shared" si="84"/>
      </c>
      <c r="U29" s="81" t="s">
        <v>37</v>
      </c>
      <c r="V29" s="82" t="s">
        <v>38</v>
      </c>
      <c r="W29" s="83">
        <v>0</v>
      </c>
      <c r="X29" s="55">
        <v>542</v>
      </c>
      <c r="Y29" s="55">
        <v>116</v>
      </c>
      <c r="Z29" s="55">
        <v>174</v>
      </c>
      <c r="AA29" s="55">
        <v>47</v>
      </c>
      <c r="AB29" s="55">
        <v>5</v>
      </c>
      <c r="AC29" s="75">
        <v>1</v>
      </c>
      <c r="AD29" s="55">
        <v>10</v>
      </c>
    </row>
    <row r="30">
      <c r="A30" s="73"/>
      <c r="B30" s="55" t="s">
        <v>39</v>
      </c>
      <c r="C30" s="75" t="s">
        <v>46</v>
      </c>
      <c r="D30" s="55">
        <f t="shared" si="46"/>
      </c>
      <c r="E30" s="55">
        <v>139.52</v>
      </c>
      <c r="F30" s="55">
        <v>45.48</v>
      </c>
      <c r="G30" s="75">
        <v>0</v>
      </c>
      <c r="H30" s="75">
        <v>0</v>
      </c>
      <c r="I30" s="76">
        <f t="shared" si="26"/>
      </c>
      <c r="J30" s="77">
        <f t="shared" si="2"/>
      </c>
      <c r="K30" s="78">
        <f t="shared" si="72"/>
      </c>
      <c r="L30" s="77">
        <f t="shared" si="8"/>
      </c>
      <c r="M30" s="77">
        <f t="shared" si="60"/>
      </c>
      <c r="N30" s="78">
        <f t="shared" si="32"/>
      </c>
      <c r="O30" s="77">
        <f t="shared" si="14"/>
      </c>
      <c r="P30" s="77">
        <f t="shared" si="78"/>
      </c>
      <c r="Q30" s="78">
        <f t="shared" si="66"/>
      </c>
      <c r="R30" s="79">
        <f t="shared" si="38"/>
      </c>
      <c r="S30" s="78">
        <f t="shared" si="20"/>
      </c>
      <c r="T30" s="80">
        <f t="shared" si="84"/>
      </c>
      <c r="U30" s="81" t="s">
        <v>37</v>
      </c>
      <c r="V30" s="82" t="s">
        <v>38</v>
      </c>
      <c r="W30" s="83">
        <v>1</v>
      </c>
      <c r="X30" s="55">
        <v>661</v>
      </c>
      <c r="Y30" s="55">
        <v>108</v>
      </c>
      <c r="Z30" s="55">
        <v>171</v>
      </c>
      <c r="AA30" s="55">
        <v>24</v>
      </c>
      <c r="AB30" s="55">
        <v>7</v>
      </c>
      <c r="AC30" s="75">
        <v>3</v>
      </c>
      <c r="AD30" s="55">
        <v>8</v>
      </c>
    </row>
    <row r="31">
      <c r="A31" s="73"/>
      <c r="B31" s="55" t="s">
        <v>40</v>
      </c>
      <c r="C31" s="75" t="s">
        <v>46</v>
      </c>
      <c r="D31" s="55">
        <f t="shared" si="46"/>
      </c>
      <c r="E31" s="55">
        <v>278.46</v>
      </c>
      <c r="F31" s="55">
        <v>131.68</v>
      </c>
      <c r="G31" s="75">
        <v>2</v>
      </c>
      <c r="H31" s="55">
        <v>949.44</v>
      </c>
      <c r="I31" s="76">
        <f t="shared" si="26"/>
      </c>
      <c r="J31" s="77">
        <f t="shared" si="2"/>
      </c>
      <c r="K31" s="78">
        <f t="shared" si="72"/>
      </c>
      <c r="L31" s="77">
        <f t="shared" si="8"/>
      </c>
      <c r="M31" s="77">
        <f t="shared" si="60"/>
      </c>
      <c r="N31" s="78">
        <f t="shared" si="32"/>
      </c>
      <c r="O31" s="77">
        <f t="shared" si="14"/>
      </c>
      <c r="P31" s="77">
        <f t="shared" si="78"/>
      </c>
      <c r="Q31" s="78">
        <f t="shared" si="66"/>
      </c>
      <c r="R31" s="79">
        <f t="shared" si="38"/>
      </c>
      <c r="S31" s="78">
        <f t="shared" si="20"/>
      </c>
      <c r="T31" s="80">
        <f t="shared" si="84"/>
      </c>
      <c r="U31" s="81" t="s">
        <v>37</v>
      </c>
      <c r="V31" s="82" t="s">
        <v>38</v>
      </c>
      <c r="W31" s="83">
        <v>1</v>
      </c>
      <c r="X31" s="55">
        <v>1025</v>
      </c>
      <c r="Y31" s="55">
        <v>154</v>
      </c>
      <c r="Z31" s="55">
        <v>269</v>
      </c>
      <c r="AA31" s="55">
        <v>67</v>
      </c>
      <c r="AB31" s="55">
        <v>7</v>
      </c>
      <c r="AC31" s="75">
        <v>5</v>
      </c>
      <c r="AD31" s="55">
        <v>5</v>
      </c>
    </row>
    <row r="32">
      <c r="A32" s="73"/>
      <c r="B32" s="55" t="s">
        <v>41</v>
      </c>
      <c r="C32" s="75" t="s">
        <v>46</v>
      </c>
      <c r="D32" s="55">
        <f t="shared" si="46"/>
      </c>
      <c r="E32" s="55">
        <v>295.33</v>
      </c>
      <c r="F32" s="55">
        <v>39.52</v>
      </c>
      <c r="G32" s="75">
        <v>0</v>
      </c>
      <c r="H32" s="75">
        <v>0</v>
      </c>
      <c r="I32" s="76">
        <f t="shared" si="26"/>
      </c>
      <c r="J32" s="77">
        <f t="shared" si="2"/>
      </c>
      <c r="K32" s="78">
        <f t="shared" si="72"/>
      </c>
      <c r="L32" s="77">
        <f t="shared" si="8"/>
      </c>
      <c r="M32" s="77">
        <f t="shared" si="60"/>
      </c>
      <c r="N32" s="78">
        <f t="shared" si="32"/>
      </c>
      <c r="O32" s="77">
        <f t="shared" si="14"/>
      </c>
      <c r="P32" s="77">
        <f t="shared" si="78"/>
      </c>
      <c r="Q32" s="78">
        <f t="shared" si="66"/>
      </c>
      <c r="R32" s="79">
        <f t="shared" si="38"/>
      </c>
      <c r="S32" s="78">
        <f t="shared" si="20"/>
      </c>
      <c r="T32" s="80">
        <f t="shared" si="84"/>
      </c>
      <c r="U32" s="81" t="s">
        <v>37</v>
      </c>
      <c r="V32" s="82" t="s">
        <v>38</v>
      </c>
      <c r="W32" s="83">
        <v>0</v>
      </c>
      <c r="X32" s="55">
        <v>800</v>
      </c>
      <c r="Y32" s="55">
        <v>97</v>
      </c>
      <c r="Z32" s="55">
        <v>153</v>
      </c>
      <c r="AA32" s="55">
        <v>37</v>
      </c>
      <c r="AB32" s="55">
        <v>3</v>
      </c>
      <c r="AC32" s="75">
        <v>1</v>
      </c>
      <c r="AD32" s="75">
        <v>1</v>
      </c>
    </row>
    <row r="33">
      <c r="A33" s="73"/>
      <c r="B33" s="84" t="s">
        <v>42</v>
      </c>
      <c r="C33" s="84"/>
      <c r="D33" s="84">
        <f>SUM(D29:D32)</f>
      </c>
      <c r="E33" s="84">
        <f>SUM(E29:E32)</f>
      </c>
      <c r="F33" s="84">
        <f>SUM(F29:F32)</f>
      </c>
      <c r="G33" s="84">
        <f>SUM(G29:G32)</f>
      </c>
      <c r="H33" s="84">
        <f>SUM(H29:H32)</f>
      </c>
      <c r="I33" s="85">
        <f t="shared" si="26"/>
      </c>
      <c r="J33" s="86">
        <f t="shared" si="2"/>
      </c>
      <c r="K33" s="87">
        <f t="shared" si="72"/>
      </c>
      <c r="L33" s="86">
        <f t="shared" si="8"/>
      </c>
      <c r="M33" s="86">
        <f t="shared" si="60"/>
      </c>
      <c r="N33" s="87">
        <f t="shared" si="32"/>
      </c>
      <c r="O33" s="86">
        <f t="shared" si="14"/>
      </c>
      <c r="P33" s="86">
        <f t="shared" si="78"/>
      </c>
      <c r="Q33" s="87">
        <f t="shared" si="66"/>
      </c>
      <c r="R33" s="88">
        <f t="shared" si="38"/>
      </c>
      <c r="S33" s="87">
        <f t="shared" si="20"/>
      </c>
      <c r="T33" s="89">
        <f t="shared" si="84"/>
      </c>
      <c r="U33" s="89"/>
      <c r="V33" s="89"/>
      <c r="W33" s="90">
        <f>SUM(W29:W32)</f>
      </c>
      <c r="X33" s="91">
        <f>SUM(X29:X32)</f>
      </c>
      <c r="Y33" s="91">
        <f>SUM(Y29:Y32)</f>
      </c>
      <c r="Z33" s="91">
        <f>SUM(Z29:Z32)</f>
      </c>
      <c r="AA33" s="91">
        <f>SUM(AA29:AA32)</f>
      </c>
      <c r="AB33" s="91">
        <f>SUM(AB29:AB32)</f>
      </c>
      <c r="AC33" s="91">
        <f>SUM(AC29:AC32)</f>
      </c>
      <c r="AD33" s="91">
        <f>SUM(AD29:AD32)</f>
      </c>
    </row>
    <row r="34">
      <c r="A34" s="73"/>
      <c r="B34" s="92" t="s">
        <v>43</v>
      </c>
      <c r="C34" s="92"/>
      <c r="D34" s="93">
        <f>D28+D33</f>
      </c>
      <c r="E34" s="93">
        <f>E28+E33</f>
      </c>
      <c r="F34" s="93">
        <f>F28+F33</f>
      </c>
      <c r="G34" s="93">
        <f>G28+G33</f>
      </c>
      <c r="H34" s="93">
        <f>H28+H33</f>
      </c>
      <c r="I34" s="93">
        <f t="shared" si="26"/>
      </c>
      <c r="J34" s="94">
        <f t="shared" si="2"/>
      </c>
      <c r="K34" s="93">
        <f t="shared" si="72"/>
      </c>
      <c r="L34" s="94">
        <f t="shared" si="8"/>
      </c>
      <c r="M34" s="94">
        <f t="shared" si="60"/>
      </c>
      <c r="N34" s="93">
        <f t="shared" si="32"/>
      </c>
      <c r="O34" s="94">
        <f t="shared" si="14"/>
      </c>
      <c r="P34" s="94">
        <f t="shared" si="78"/>
      </c>
      <c r="Q34" s="93">
        <f t="shared" si="66"/>
      </c>
      <c r="R34" s="95">
        <f t="shared" si="38"/>
      </c>
      <c r="S34" s="93">
        <f t="shared" si="20"/>
      </c>
      <c r="T34" s="96">
        <f t="shared" si="84"/>
      </c>
      <c r="U34" s="96"/>
      <c r="V34" s="96"/>
      <c r="W34" s="97">
        <f>W28+W33</f>
      </c>
      <c r="X34" s="97">
        <f>X28+X33</f>
      </c>
      <c r="Y34" s="97">
        <f>Y28+Y33</f>
      </c>
      <c r="Z34" s="97">
        <f>Z28+Z33</f>
      </c>
      <c r="AA34" s="97">
        <f>AA28+AA33</f>
      </c>
      <c r="AB34" s="97">
        <f>AB28+AB33</f>
      </c>
      <c r="AC34" s="97">
        <f>AC28+AC33</f>
      </c>
      <c r="AD34" s="97">
        <f>AD28+AD33</f>
      </c>
    </row>
    <row r="35">
      <c r="A35" s="58" t="s">
        <v>1</v>
      </c>
      <c r="B35" s="58"/>
      <c r="C35" s="58"/>
      <c r="D35" s="60" t="s">
        <v>2</v>
      </c>
      <c r="E35" s="60"/>
      <c r="F35" s="60"/>
      <c r="G35" s="60"/>
      <c r="H35" s="60"/>
      <c r="I35" s="60"/>
      <c r="J35" s="61" t="s">
        <v>3</v>
      </c>
      <c r="K35" s="61"/>
      <c r="L35" s="61"/>
      <c r="M35" s="61"/>
      <c r="N35" s="61"/>
      <c r="O35" s="61"/>
      <c r="P35" s="61"/>
      <c r="Q35" s="61"/>
      <c r="R35" s="61"/>
      <c r="S35" s="61"/>
      <c r="T35" s="62"/>
      <c r="U35" s="62"/>
      <c r="V35" s="62"/>
      <c r="W35" s="63"/>
      <c r="X35" s="63"/>
      <c r="Y35" s="63"/>
      <c r="Z35" s="63"/>
      <c r="AA35" s="63"/>
      <c r="AB35" s="63"/>
      <c r="AC35" s="63"/>
      <c r="AD35" s="64" t="s">
        <v>4</v>
      </c>
    </row>
    <row r="36">
      <c r="A36" s="58" t="s">
        <v>5</v>
      </c>
      <c r="B36" s="65" t="s">
        <v>6</v>
      </c>
      <c r="C36" s="58" t="s">
        <v>7</v>
      </c>
      <c r="D36" s="66" t="s">
        <v>8</v>
      </c>
      <c r="E36" s="67" t="s">
        <v>9</v>
      </c>
      <c r="F36" s="67" t="s">
        <v>10</v>
      </c>
      <c r="G36" s="68" t="s">
        <v>11</v>
      </c>
      <c r="H36" s="60" t="s">
        <v>12</v>
      </c>
      <c r="I36" s="67" t="s">
        <v>13</v>
      </c>
      <c r="J36" s="61" t="s">
        <v>14</v>
      </c>
      <c r="K36" s="61" t="s">
        <v>15</v>
      </c>
      <c r="L36" s="69" t="s">
        <v>16</v>
      </c>
      <c r="M36" s="69" t="s">
        <v>17</v>
      </c>
      <c r="N36" s="61" t="s">
        <v>18</v>
      </c>
      <c r="O36" s="69" t="s">
        <v>19</v>
      </c>
      <c r="P36" s="69" t="s">
        <v>20</v>
      </c>
      <c r="Q36" s="61" t="s">
        <v>21</v>
      </c>
      <c r="R36" s="69" t="s">
        <v>22</v>
      </c>
      <c r="S36" s="61" t="s">
        <v>23</v>
      </c>
      <c r="T36" s="70" t="s">
        <v>24</v>
      </c>
      <c r="U36" s="70" t="s">
        <v>25</v>
      </c>
      <c r="V36" s="70" t="s">
        <v>26</v>
      </c>
      <c r="W36" s="71" t="s">
        <v>27</v>
      </c>
      <c r="X36" s="72" t="s">
        <v>28</v>
      </c>
      <c r="Y36" s="72" t="s">
        <v>29</v>
      </c>
      <c r="Z36" s="72" t="s">
        <v>30</v>
      </c>
      <c r="AA36" s="72" t="s">
        <v>31</v>
      </c>
      <c r="AB36" s="72" t="s">
        <v>32</v>
      </c>
      <c r="AC36" s="72" t="s">
        <v>33</v>
      </c>
      <c r="AD36" s="64"/>
    </row>
    <row r="37">
      <c r="A37" s="73" t="s">
        <v>51</v>
      </c>
      <c r="B37" s="14" t="s">
        <v>52</v>
      </c>
      <c r="C37" s="74" t="s">
        <v>36</v>
      </c>
      <c r="D37" s="55">
        <f t="shared" ref="D37:D40" si="47">E37+F37</f>
      </c>
      <c r="E37" s="55">
        <v>345.13000000000005</v>
      </c>
      <c r="F37" s="55">
        <v>121.55</v>
      </c>
      <c r="G37" s="75">
        <v>0</v>
      </c>
      <c r="H37" s="75">
        <v>0</v>
      </c>
      <c r="I37" s="76">
        <f t="shared" ref="I37:I52" si="27">H37/D37</f>
      </c>
      <c r="J37" s="77">
        <f t="shared" ref="J37:J52" si="3">Y37/X37</f>
      </c>
      <c r="K37" s="78">
        <f t="shared" ref="K37:K52" si="73">D37/Z37</f>
      </c>
      <c r="L37" s="77">
        <f t="shared" ref="L37:L52" si="9">AA37/Z37</f>
      </c>
      <c r="M37" s="77">
        <f t="shared" ref="M37:M52" si="61">AB37/Z37</f>
      </c>
      <c r="N37" s="78">
        <f t="shared" ref="N37:N52" si="33">D37/AB37</f>
      </c>
      <c r="O37" s="77">
        <f t="shared" ref="O37:O52" si="15">AC37/AB37</f>
      </c>
      <c r="P37" s="77">
        <f t="shared" ref="P37:P52" si="79">G37/AC37</f>
      </c>
      <c r="Q37" s="78">
        <f t="shared" ref="Q37:Q52" si="67">D37/G37</f>
      </c>
      <c r="R37" s="79">
        <f t="shared" ref="R37:R52" si="39">H37/G37</f>
      </c>
      <c r="S37" s="78">
        <f t="shared" ref="S37:S52" si="21">D37/W37</f>
      </c>
      <c r="T37" s="80">
        <f t="shared" ref="T37:T52" si="85">AD37*1000/D37</f>
      </c>
      <c r="U37" s="81" t="s">
        <v>53</v>
      </c>
      <c r="V37" s="82" t="s">
        <v>54</v>
      </c>
      <c r="W37" s="55">
        <v>0</v>
      </c>
      <c r="X37" s="55">
        <v>721</v>
      </c>
      <c r="Y37" s="55">
        <v>139</v>
      </c>
      <c r="Z37" s="55">
        <v>174</v>
      </c>
      <c r="AA37" s="55">
        <v>50</v>
      </c>
      <c r="AB37" s="55">
        <v>9</v>
      </c>
      <c r="AC37" s="75">
        <v>3</v>
      </c>
      <c r="AD37" s="75">
        <v>5</v>
      </c>
    </row>
    <row r="38">
      <c r="A38" s="73"/>
      <c r="B38" s="14" t="s">
        <v>55</v>
      </c>
      <c r="C38" s="55" t="s">
        <v>36</v>
      </c>
      <c r="D38" s="55">
        <f t="shared" si="47"/>
      </c>
      <c r="E38" s="55">
        <v>1449.8400000000001</v>
      </c>
      <c r="F38" s="55">
        <v>188.03</v>
      </c>
      <c r="G38" s="75">
        <v>2</v>
      </c>
      <c r="H38" s="75">
        <v>776.28</v>
      </c>
      <c r="I38" s="76">
        <f t="shared" si="27"/>
      </c>
      <c r="J38" s="77">
        <f t="shared" si="3"/>
      </c>
      <c r="K38" s="78">
        <f t="shared" si="73"/>
      </c>
      <c r="L38" s="77">
        <f t="shared" si="9"/>
      </c>
      <c r="M38" s="77">
        <f t="shared" si="61"/>
      </c>
      <c r="N38" s="78">
        <f t="shared" si="33"/>
      </c>
      <c r="O38" s="77">
        <f t="shared" si="15"/>
      </c>
      <c r="P38" s="77">
        <f t="shared" si="79"/>
      </c>
      <c r="Q38" s="78">
        <f t="shared" si="67"/>
      </c>
      <c r="R38" s="79">
        <f t="shared" si="39"/>
      </c>
      <c r="S38" s="78">
        <f t="shared" si="21"/>
      </c>
      <c r="T38" s="80">
        <f t="shared" si="85"/>
      </c>
      <c r="U38" s="81" t="s">
        <v>53</v>
      </c>
      <c r="V38" s="82" t="s">
        <v>54</v>
      </c>
      <c r="W38" s="83">
        <v>2</v>
      </c>
      <c r="X38" s="55">
        <v>3081</v>
      </c>
      <c r="Y38" s="55">
        <v>435</v>
      </c>
      <c r="Z38" s="55">
        <v>604</v>
      </c>
      <c r="AA38" s="55">
        <v>155</v>
      </c>
      <c r="AB38" s="55">
        <v>7</v>
      </c>
      <c r="AC38" s="75">
        <v>5</v>
      </c>
      <c r="AD38" s="75">
        <v>21</v>
      </c>
    </row>
    <row r="39">
      <c r="A39" s="73"/>
      <c r="B39" s="14" t="s">
        <v>56</v>
      </c>
      <c r="C39" s="55" t="s">
        <v>36</v>
      </c>
      <c r="D39" s="55">
        <f t="shared" si="47"/>
      </c>
      <c r="E39" s="55">
        <v>2137.5699999999997</v>
      </c>
      <c r="F39" s="55">
        <v>547.56</v>
      </c>
      <c r="G39" s="75">
        <v>2</v>
      </c>
      <c r="H39" s="75">
        <v>857.76</v>
      </c>
      <c r="I39" s="76">
        <f t="shared" si="27"/>
      </c>
      <c r="J39" s="77">
        <f t="shared" si="3"/>
      </c>
      <c r="K39" s="78">
        <f t="shared" si="73"/>
      </c>
      <c r="L39" s="77">
        <f t="shared" si="9"/>
      </c>
      <c r="M39" s="77">
        <f t="shared" si="61"/>
      </c>
      <c r="N39" s="78">
        <f t="shared" si="33"/>
      </c>
      <c r="O39" s="77">
        <f t="shared" si="15"/>
      </c>
      <c r="P39" s="77">
        <f t="shared" si="79"/>
      </c>
      <c r="Q39" s="78">
        <f t="shared" si="67"/>
      </c>
      <c r="R39" s="79">
        <f t="shared" si="39"/>
      </c>
      <c r="S39" s="78">
        <f t="shared" si="21"/>
      </c>
      <c r="T39" s="80">
        <f t="shared" si="85"/>
      </c>
      <c r="U39" s="81" t="s">
        <v>53</v>
      </c>
      <c r="V39" s="82" t="s">
        <v>54</v>
      </c>
      <c r="W39" s="83">
        <v>2</v>
      </c>
      <c r="X39" s="55">
        <v>4069</v>
      </c>
      <c r="Y39" s="55">
        <v>710</v>
      </c>
      <c r="Z39" s="55">
        <v>1067</v>
      </c>
      <c r="AA39" s="55">
        <v>376</v>
      </c>
      <c r="AB39" s="55">
        <v>5</v>
      </c>
      <c r="AC39" s="75">
        <v>7</v>
      </c>
      <c r="AD39" s="75">
        <v>38</v>
      </c>
    </row>
    <row r="40">
      <c r="A40" s="73"/>
      <c r="B40" s="14" t="s">
        <v>57</v>
      </c>
      <c r="C40" s="55" t="s">
        <v>36</v>
      </c>
      <c r="D40" s="55">
        <f t="shared" si="47"/>
      </c>
      <c r="E40" s="55">
        <v>2285.23</v>
      </c>
      <c r="F40" s="75">
        <v>640.84</v>
      </c>
      <c r="G40" s="75">
        <v>2</v>
      </c>
      <c r="H40" s="75">
        <v>2000.8799999999997</v>
      </c>
      <c r="I40" s="76">
        <f t="shared" si="27"/>
      </c>
      <c r="J40" s="77">
        <f t="shared" si="3"/>
      </c>
      <c r="K40" s="78">
        <f t="shared" si="73"/>
      </c>
      <c r="L40" s="77">
        <f t="shared" si="9"/>
      </c>
      <c r="M40" s="77">
        <f t="shared" si="61"/>
      </c>
      <c r="N40" s="78">
        <f t="shared" si="33"/>
      </c>
      <c r="O40" s="77">
        <f t="shared" si="15"/>
      </c>
      <c r="P40" s="77">
        <f t="shared" si="79"/>
      </c>
      <c r="Q40" s="78">
        <f t="shared" si="67"/>
      </c>
      <c r="R40" s="79">
        <f t="shared" si="39"/>
      </c>
      <c r="S40" s="78">
        <f t="shared" si="21"/>
      </c>
      <c r="T40" s="80">
        <f t="shared" si="85"/>
      </c>
      <c r="U40" s="81" t="s">
        <v>53</v>
      </c>
      <c r="V40" s="82" t="s">
        <v>54</v>
      </c>
      <c r="W40" s="83">
        <v>2</v>
      </c>
      <c r="X40" s="55">
        <v>5361</v>
      </c>
      <c r="Y40" s="55">
        <v>965</v>
      </c>
      <c r="Z40" s="55">
        <v>1371</v>
      </c>
      <c r="AA40" s="55">
        <v>424</v>
      </c>
      <c r="AB40" s="55">
        <v>9</v>
      </c>
      <c r="AC40" s="75">
        <v>5</v>
      </c>
      <c r="AD40" s="75">
        <v>46</v>
      </c>
    </row>
    <row r="41">
      <c r="A41" s="73"/>
      <c r="B41" s="84" t="s">
        <v>42</v>
      </c>
      <c r="C41" s="84"/>
      <c r="D41" s="84">
        <f>SUM(D37:D40)</f>
      </c>
      <c r="E41" s="84">
        <f>SUM(E37:E40)</f>
      </c>
      <c r="F41" s="84">
        <f>SUM(F37:F40)</f>
      </c>
      <c r="G41" s="84">
        <f>SUM(G37:G40)</f>
      </c>
      <c r="H41" s="84">
        <f>SUM(H37:H40)</f>
      </c>
      <c r="I41" s="85">
        <f t="shared" si="27"/>
      </c>
      <c r="J41" s="86">
        <f t="shared" si="3"/>
      </c>
      <c r="K41" s="87">
        <f t="shared" si="73"/>
      </c>
      <c r="L41" s="86">
        <f t="shared" si="9"/>
      </c>
      <c r="M41" s="86">
        <f t="shared" si="61"/>
      </c>
      <c r="N41" s="87">
        <f t="shared" si="33"/>
      </c>
      <c r="O41" s="86">
        <f t="shared" si="15"/>
      </c>
      <c r="P41" s="86">
        <f t="shared" si="79"/>
      </c>
      <c r="Q41" s="87">
        <f t="shared" si="67"/>
      </c>
      <c r="R41" s="88">
        <f t="shared" si="39"/>
      </c>
      <c r="S41" s="87">
        <f t="shared" si="21"/>
      </c>
      <c r="T41" s="89">
        <f t="shared" si="85"/>
      </c>
      <c r="U41" s="89"/>
      <c r="V41" s="89"/>
      <c r="W41" s="90">
        <f>SUM(W37:W40)</f>
      </c>
      <c r="X41" s="91">
        <f>SUM(X37:X40)</f>
      </c>
      <c r="Y41" s="91">
        <f>SUM(Y37:Y40)</f>
      </c>
      <c r="Z41" s="91">
        <f>SUM(Z37:Z40)</f>
      </c>
      <c r="AA41" s="91">
        <f>SUM(AA37:AA40)</f>
      </c>
      <c r="AB41" s="91">
        <f>SUM(AB37:AB40)</f>
      </c>
      <c r="AC41" s="91">
        <f>SUM(AC37:AC40)</f>
      </c>
      <c r="AD41" s="91">
        <f>SUM(AD37:AD40)</f>
      </c>
    </row>
    <row customHeight="true" ht="18.452380952380953" r="42">
      <c r="A42" s="73"/>
      <c r="B42" s="14" t="s">
        <v>45</v>
      </c>
      <c r="C42" s="74" t="s">
        <v>46</v>
      </c>
      <c r="D42" s="55">
        <f t="shared" ref="D42:D45" si="48">E42+F42</f>
      </c>
      <c r="E42" s="55">
        <v>2695.87</v>
      </c>
      <c r="F42" s="75">
        <v>1266.92</v>
      </c>
      <c r="G42" s="75">
        <v>4</v>
      </c>
      <c r="H42" s="75">
        <v>2361.600000000001</v>
      </c>
      <c r="I42" s="76">
        <f t="shared" si="27"/>
      </c>
      <c r="J42" s="77">
        <f t="shared" si="3"/>
      </c>
      <c r="K42" s="78">
        <f t="shared" si="73"/>
      </c>
      <c r="L42" s="77">
        <f t="shared" si="9"/>
      </c>
      <c r="M42" s="77">
        <f t="shared" si="61"/>
      </c>
      <c r="N42" s="78">
        <f t="shared" si="33"/>
      </c>
      <c r="O42" s="77">
        <f t="shared" si="15"/>
      </c>
      <c r="P42" s="77">
        <f t="shared" si="79"/>
      </c>
      <c r="Q42" s="78">
        <f t="shared" si="67"/>
      </c>
      <c r="R42" s="79">
        <f t="shared" si="39"/>
      </c>
      <c r="S42" s="78">
        <f t="shared" si="21"/>
      </c>
      <c r="T42" s="80">
        <f t="shared" si="85"/>
      </c>
      <c r="U42" s="81" t="s">
        <v>53</v>
      </c>
      <c r="V42" s="82" t="s">
        <v>54</v>
      </c>
      <c r="W42" s="55">
        <v>4</v>
      </c>
      <c r="X42" s="55">
        <v>6097</v>
      </c>
      <c r="Y42" s="55">
        <v>1322</v>
      </c>
      <c r="Z42" s="55">
        <v>1951</v>
      </c>
      <c r="AA42" s="55">
        <v>672</v>
      </c>
      <c r="AB42" s="55">
        <v>8</v>
      </c>
      <c r="AC42" s="75">
        <v>12</v>
      </c>
      <c r="AD42" s="75">
        <v>52</v>
      </c>
    </row>
    <row customHeight="true" ht="18.452380952380953" r="43">
      <c r="A43" s="73"/>
      <c r="B43" s="98" t="s">
        <v>47</v>
      </c>
      <c r="C43" s="74" t="s">
        <v>46</v>
      </c>
      <c r="D43" s="55">
        <f t="shared" si="48"/>
      </c>
      <c r="E43" s="55">
        <v>4188.47</v>
      </c>
      <c r="F43" s="55">
        <v>1839.8</v>
      </c>
      <c r="G43" s="75">
        <v>3</v>
      </c>
      <c r="H43" s="75">
        <v>1853.6399999999994</v>
      </c>
      <c r="I43" s="76">
        <f t="shared" si="27"/>
      </c>
      <c r="J43" s="77">
        <f t="shared" si="3"/>
      </c>
      <c r="K43" s="78">
        <f t="shared" si="73"/>
      </c>
      <c r="L43" s="77">
        <f t="shared" si="9"/>
      </c>
      <c r="M43" s="77">
        <f t="shared" si="61"/>
      </c>
      <c r="N43" s="78">
        <f t="shared" si="33"/>
      </c>
      <c r="O43" s="77">
        <f t="shared" si="15"/>
      </c>
      <c r="P43" s="77">
        <f t="shared" si="79"/>
      </c>
      <c r="Q43" s="78">
        <f t="shared" si="67"/>
      </c>
      <c r="R43" s="79">
        <f t="shared" si="39"/>
      </c>
      <c r="S43" s="78">
        <f t="shared" si="21"/>
      </c>
      <c r="T43" s="80">
        <f t="shared" si="85"/>
      </c>
      <c r="U43" s="81" t="s">
        <v>53</v>
      </c>
      <c r="V43" s="82" t="s">
        <v>54</v>
      </c>
      <c r="W43" s="83">
        <v>3</v>
      </c>
      <c r="X43" s="55">
        <v>12727</v>
      </c>
      <c r="Y43" s="55">
        <v>1719</v>
      </c>
      <c r="Z43" s="55">
        <v>2709</v>
      </c>
      <c r="AA43" s="55">
        <v>881</v>
      </c>
      <c r="AB43" s="55">
        <v>12</v>
      </c>
      <c r="AC43" s="75">
        <v>8</v>
      </c>
      <c r="AD43" s="75">
        <v>75</v>
      </c>
    </row>
    <row customHeight="true" ht="18.452380952380953" r="44">
      <c r="A44" s="73"/>
      <c r="B44" s="14" t="s">
        <v>48</v>
      </c>
      <c r="C44" s="74" t="s">
        <v>46</v>
      </c>
      <c r="D44" s="55">
        <f t="shared" si="48"/>
      </c>
      <c r="E44" s="55">
        <v>3181.81</v>
      </c>
      <c r="F44" s="75">
        <v>2077.21</v>
      </c>
      <c r="G44" s="75">
        <v>3</v>
      </c>
      <c r="H44" s="75">
        <v>1558.4400000000005</v>
      </c>
      <c r="I44" s="76">
        <f t="shared" si="27"/>
      </c>
      <c r="J44" s="77">
        <f t="shared" si="3"/>
      </c>
      <c r="K44" s="78">
        <f t="shared" si="73"/>
      </c>
      <c r="L44" s="77">
        <f t="shared" si="9"/>
      </c>
      <c r="M44" s="77">
        <f t="shared" si="61"/>
      </c>
      <c r="N44" s="78">
        <f t="shared" si="33"/>
      </c>
      <c r="O44" s="77">
        <f t="shared" si="15"/>
      </c>
      <c r="P44" s="77">
        <f t="shared" si="79"/>
      </c>
      <c r="Q44" s="78">
        <f t="shared" si="67"/>
      </c>
      <c r="R44" s="79">
        <f t="shared" si="39"/>
      </c>
      <c r="S44" s="78">
        <f t="shared" si="21"/>
      </c>
      <c r="T44" s="80">
        <f t="shared" si="85"/>
      </c>
      <c r="U44" s="81" t="s">
        <v>37</v>
      </c>
      <c r="V44" s="82" t="s">
        <v>54</v>
      </c>
      <c r="W44" s="83">
        <v>3</v>
      </c>
      <c r="X44" s="55">
        <v>9718</v>
      </c>
      <c r="Y44" s="55">
        <v>1958</v>
      </c>
      <c r="Z44" s="55">
        <v>3198</v>
      </c>
      <c r="AA44" s="55">
        <v>1053</v>
      </c>
      <c r="AB44" s="55">
        <v>14</v>
      </c>
      <c r="AC44" s="75">
        <v>11</v>
      </c>
      <c r="AD44" s="75">
        <v>81</v>
      </c>
    </row>
    <row customHeight="true" ht="18.452380952380953" r="45">
      <c r="A45" s="73"/>
      <c r="B45" s="14" t="s">
        <v>49</v>
      </c>
      <c r="C45" s="74" t="s">
        <v>46</v>
      </c>
      <c r="D45" s="55">
        <f t="shared" si="48"/>
      </c>
      <c r="E45" s="55">
        <v>1573.48</v>
      </c>
      <c r="F45" s="55">
        <v>1873.22</v>
      </c>
      <c r="G45" s="75">
        <v>3</v>
      </c>
      <c r="H45" s="75">
        <v>2910.119999999999</v>
      </c>
      <c r="I45" s="76">
        <f t="shared" si="27"/>
      </c>
      <c r="J45" s="77">
        <f t="shared" si="3"/>
      </c>
      <c r="K45" s="78">
        <f t="shared" si="73"/>
      </c>
      <c r="L45" s="77">
        <f t="shared" si="9"/>
      </c>
      <c r="M45" s="77">
        <f t="shared" si="61"/>
      </c>
      <c r="N45" s="78">
        <f t="shared" si="33"/>
      </c>
      <c r="O45" s="77">
        <f t="shared" si="15"/>
      </c>
      <c r="P45" s="77">
        <f t="shared" si="79"/>
      </c>
      <c r="Q45" s="78">
        <f t="shared" si="67"/>
      </c>
      <c r="R45" s="79">
        <f t="shared" si="39"/>
      </c>
      <c r="S45" s="78">
        <f t="shared" si="21"/>
      </c>
      <c r="T45" s="80">
        <f t="shared" si="85"/>
      </c>
      <c r="U45" s="81" t="s">
        <v>37</v>
      </c>
      <c r="V45" s="82" t="s">
        <v>54</v>
      </c>
      <c r="W45" s="83">
        <v>1</v>
      </c>
      <c r="X45" s="55">
        <v>6130</v>
      </c>
      <c r="Y45" s="55">
        <v>1504</v>
      </c>
      <c r="Z45" s="55">
        <v>2405</v>
      </c>
      <c r="AA45" s="55">
        <v>732</v>
      </c>
      <c r="AB45" s="55">
        <v>6</v>
      </c>
      <c r="AC45" s="75">
        <v>3</v>
      </c>
      <c r="AD45" s="75">
        <v>76</v>
      </c>
    </row>
    <row customHeight="true" ht="18.452380952380953" r="46">
      <c r="A46" s="73"/>
      <c r="B46" s="84" t="s">
        <v>42</v>
      </c>
      <c r="C46" s="84"/>
      <c r="D46" s="84">
        <f>SUM(D42:D45)</f>
      </c>
      <c r="E46" s="84">
        <f>SUM(E42:E45)</f>
      </c>
      <c r="F46" s="84">
        <f>SUM(F42:F45)</f>
      </c>
      <c r="G46" s="84">
        <f>SUM(G42:G45)</f>
      </c>
      <c r="H46" s="84">
        <f>SUM(H42:H45)</f>
      </c>
      <c r="I46" s="85">
        <f t="shared" si="27"/>
      </c>
      <c r="J46" s="86">
        <f t="shared" si="3"/>
      </c>
      <c r="K46" s="87">
        <f t="shared" si="73"/>
      </c>
      <c r="L46" s="86">
        <f t="shared" si="9"/>
      </c>
      <c r="M46" s="86">
        <f t="shared" si="61"/>
      </c>
      <c r="N46" s="87">
        <f t="shared" si="33"/>
      </c>
      <c r="O46" s="86">
        <f t="shared" si="15"/>
      </c>
      <c r="P46" s="86">
        <f t="shared" si="79"/>
      </c>
      <c r="Q46" s="87">
        <f t="shared" si="67"/>
      </c>
      <c r="R46" s="88">
        <f t="shared" si="39"/>
      </c>
      <c r="S46" s="87">
        <f t="shared" si="21"/>
      </c>
      <c r="T46" s="89">
        <f t="shared" si="85"/>
      </c>
      <c r="U46" s="89"/>
      <c r="V46" s="89"/>
      <c r="W46" s="90">
        <f>SUM(W42:W45)</f>
      </c>
      <c r="X46" s="91">
        <f>SUM(X42:X45)</f>
      </c>
      <c r="Y46" s="91">
        <f>SUM(Y42:Y45)</f>
      </c>
      <c r="Z46" s="91">
        <f>SUM(Z42:Z45)</f>
      </c>
      <c r="AA46" s="91">
        <f>SUM(AA42:AA45)</f>
      </c>
      <c r="AB46" s="91">
        <f>SUM(AB42:AB45)</f>
      </c>
      <c r="AC46" s="91">
        <f>SUM(AC42:AC45)</f>
      </c>
      <c r="AD46" s="91">
        <f>SUM(AD42:AD45)</f>
      </c>
    </row>
    <row r="47">
      <c r="A47" s="73"/>
      <c r="B47" s="14" t="s">
        <v>35</v>
      </c>
      <c r="C47" s="75" t="s">
        <v>58</v>
      </c>
      <c r="D47" s="55">
        <f t="shared" ref="D47:D50" si="49">E47+F47</f>
      </c>
      <c r="E47" s="55">
        <v>987.61</v>
      </c>
      <c r="F47" s="55">
        <v>2556.71</v>
      </c>
      <c r="G47" s="75">
        <v>5</v>
      </c>
      <c r="H47" s="75">
        <v>4286.039999999999</v>
      </c>
      <c r="I47" s="76">
        <f t="shared" si="27"/>
      </c>
      <c r="J47" s="77">
        <f t="shared" si="3"/>
      </c>
      <c r="K47" s="78">
        <f t="shared" si="73"/>
      </c>
      <c r="L47" s="77">
        <f t="shared" si="9"/>
      </c>
      <c r="M47" s="77">
        <f t="shared" si="61"/>
      </c>
      <c r="N47" s="78">
        <f t="shared" si="33"/>
      </c>
      <c r="O47" s="77">
        <f t="shared" si="15"/>
      </c>
      <c r="P47" s="77">
        <f t="shared" si="79"/>
      </c>
      <c r="Q47" s="78">
        <f t="shared" si="67"/>
      </c>
      <c r="R47" s="79">
        <f t="shared" si="39"/>
      </c>
      <c r="S47" s="78">
        <f t="shared" si="21"/>
      </c>
      <c r="T47" s="80">
        <f t="shared" si="85"/>
      </c>
      <c r="U47" s="81" t="s">
        <v>37</v>
      </c>
      <c r="V47" s="82" t="s">
        <v>54</v>
      </c>
      <c r="W47" s="83">
        <v>3</v>
      </c>
      <c r="X47" s="55">
        <v>7095</v>
      </c>
      <c r="Y47" s="55">
        <v>2062</v>
      </c>
      <c r="Z47" s="55">
        <v>3390</v>
      </c>
      <c r="AA47" s="55">
        <v>1098</v>
      </c>
      <c r="AB47" s="55">
        <v>4</v>
      </c>
      <c r="AC47" s="75">
        <v>12</v>
      </c>
      <c r="AD47" s="75">
        <v>83</v>
      </c>
    </row>
    <row r="48">
      <c r="A48" s="73"/>
      <c r="B48" s="29" t="s">
        <v>39</v>
      </c>
      <c r="C48" s="75" t="s">
        <v>58</v>
      </c>
      <c r="D48" s="55">
        <f t="shared" si="49"/>
      </c>
      <c r="E48" s="55">
        <v>721.0699999999999</v>
      </c>
      <c r="F48" s="55">
        <v>2513.54</v>
      </c>
      <c r="G48" s="75">
        <v>5</v>
      </c>
      <c r="H48" s="75">
        <v>4027.079999999998</v>
      </c>
      <c r="I48" s="76">
        <f t="shared" si="27"/>
      </c>
      <c r="J48" s="77">
        <f t="shared" si="3"/>
      </c>
      <c r="K48" s="78">
        <f t="shared" si="73"/>
      </c>
      <c r="L48" s="77">
        <f t="shared" si="9"/>
      </c>
      <c r="M48" s="77">
        <f t="shared" si="61"/>
      </c>
      <c r="N48" s="78">
        <f t="shared" si="33"/>
      </c>
      <c r="O48" s="77">
        <f t="shared" si="15"/>
      </c>
      <c r="P48" s="77">
        <f t="shared" si="79"/>
      </c>
      <c r="Q48" s="78">
        <f t="shared" si="67"/>
      </c>
      <c r="R48" s="79">
        <f t="shared" si="39"/>
      </c>
      <c r="S48" s="78">
        <f t="shared" si="21"/>
      </c>
      <c r="T48" s="80">
        <f t="shared" si="85"/>
      </c>
      <c r="U48" s="81" t="s">
        <v>37</v>
      </c>
      <c r="V48" s="82" t="s">
        <v>54</v>
      </c>
      <c r="W48" s="83">
        <v>4</v>
      </c>
      <c r="X48" s="55">
        <v>5580</v>
      </c>
      <c r="Y48" s="55">
        <v>1729</v>
      </c>
      <c r="Z48" s="55">
        <v>2868</v>
      </c>
      <c r="AA48" s="55">
        <v>903</v>
      </c>
      <c r="AB48" s="55">
        <v>5</v>
      </c>
      <c r="AC48" s="75">
        <v>15</v>
      </c>
      <c r="AD48" s="75">
        <v>96</v>
      </c>
    </row>
    <row r="49">
      <c r="A49" s="73"/>
      <c r="B49" s="29" t="s">
        <v>40</v>
      </c>
      <c r="C49" s="75" t="s">
        <v>58</v>
      </c>
      <c r="D49" s="55">
        <f t="shared" si="49"/>
      </c>
      <c r="E49" s="55">
        <v>1263.05</v>
      </c>
      <c r="F49" s="55">
        <v>1737.22</v>
      </c>
      <c r="G49" s="75">
        <v>3</v>
      </c>
      <c r="H49" s="55">
        <v>1862.760000000002</v>
      </c>
      <c r="I49" s="76">
        <f t="shared" si="27"/>
      </c>
      <c r="J49" s="77">
        <f t="shared" si="3"/>
      </c>
      <c r="K49" s="78">
        <f t="shared" si="73"/>
      </c>
      <c r="L49" s="77">
        <f t="shared" si="9"/>
      </c>
      <c r="M49" s="77">
        <f t="shared" si="61"/>
      </c>
      <c r="N49" s="78">
        <f t="shared" si="33"/>
      </c>
      <c r="O49" s="77">
        <f t="shared" si="15"/>
      </c>
      <c r="P49" s="77">
        <f t="shared" si="79"/>
      </c>
      <c r="Q49" s="78">
        <f t="shared" si="67"/>
      </c>
      <c r="R49" s="79">
        <f t="shared" si="39"/>
      </c>
      <c r="S49" s="78">
        <f t="shared" si="21"/>
      </c>
      <c r="T49" s="80">
        <f t="shared" si="85"/>
      </c>
      <c r="U49" s="81" t="s">
        <v>37</v>
      </c>
      <c r="V49" s="82" t="s">
        <v>54</v>
      </c>
      <c r="W49" s="83">
        <v>2</v>
      </c>
      <c r="X49" s="55">
        <v>6029</v>
      </c>
      <c r="Y49" s="55">
        <v>1414</v>
      </c>
      <c r="Z49" s="55">
        <v>2402</v>
      </c>
      <c r="AA49" s="55">
        <v>736</v>
      </c>
      <c r="AB49" s="55">
        <v>4</v>
      </c>
      <c r="AC49" s="75">
        <v>9</v>
      </c>
      <c r="AD49" s="75">
        <v>56</v>
      </c>
    </row>
    <row r="50">
      <c r="A50" s="73"/>
      <c r="B50" s="14" t="s">
        <v>41</v>
      </c>
      <c r="C50" s="75" t="s">
        <v>58</v>
      </c>
      <c r="D50" s="55">
        <f t="shared" si="49"/>
      </c>
      <c r="E50" s="55">
        <v>649.04</v>
      </c>
      <c r="F50" s="55">
        <v>1330.14</v>
      </c>
      <c r="G50" s="75">
        <v>2</v>
      </c>
      <c r="H50" s="75">
        <v>1154.1599999999962</v>
      </c>
      <c r="I50" s="76">
        <f t="shared" si="27"/>
      </c>
      <c r="J50" s="77">
        <f t="shared" si="3"/>
      </c>
      <c r="K50" s="78">
        <f t="shared" si="73"/>
      </c>
      <c r="L50" s="77">
        <f t="shared" si="9"/>
      </c>
      <c r="M50" s="77">
        <f t="shared" si="61"/>
      </c>
      <c r="N50" s="78">
        <f t="shared" si="33"/>
      </c>
      <c r="O50" s="77">
        <f t="shared" si="15"/>
      </c>
      <c r="P50" s="77">
        <f t="shared" si="79"/>
      </c>
      <c r="Q50" s="78">
        <f t="shared" si="67"/>
      </c>
      <c r="R50" s="79">
        <f t="shared" si="39"/>
      </c>
      <c r="S50" s="78">
        <f t="shared" si="21"/>
      </c>
      <c r="T50" s="80">
        <f t="shared" si="85"/>
      </c>
      <c r="U50" s="81" t="s">
        <v>37</v>
      </c>
      <c r="V50" s="82" t="s">
        <v>54</v>
      </c>
      <c r="W50" s="83">
        <v>2</v>
      </c>
      <c r="X50" s="55">
        <v>4425</v>
      </c>
      <c r="Y50" s="55">
        <v>983</v>
      </c>
      <c r="Z50" s="55">
        <v>1783</v>
      </c>
      <c r="AA50" s="55">
        <v>534</v>
      </c>
      <c r="AB50" s="55">
        <v>8</v>
      </c>
      <c r="AC50" s="75">
        <v>4</v>
      </c>
      <c r="AD50" s="75">
        <v>40</v>
      </c>
    </row>
    <row r="51">
      <c r="A51" s="73"/>
      <c r="B51" s="84" t="s">
        <v>42</v>
      </c>
      <c r="C51" s="84"/>
      <c r="D51" s="84">
        <f>SUM(D47:D50)</f>
      </c>
      <c r="E51" s="84">
        <f>SUM(E47:E50)</f>
      </c>
      <c r="F51" s="84">
        <f>SUM(F47:F50)</f>
      </c>
      <c r="G51" s="84">
        <f>SUM(G47:G50)</f>
      </c>
      <c r="H51" s="84">
        <f>SUM(H47:H50)</f>
      </c>
      <c r="I51" s="85">
        <f t="shared" si="27"/>
      </c>
      <c r="J51" s="86">
        <f t="shared" si="3"/>
      </c>
      <c r="K51" s="87">
        <f t="shared" si="73"/>
      </c>
      <c r="L51" s="86">
        <f t="shared" si="9"/>
      </c>
      <c r="M51" s="86">
        <f t="shared" si="61"/>
      </c>
      <c r="N51" s="87">
        <f t="shared" si="33"/>
      </c>
      <c r="O51" s="86">
        <f t="shared" si="15"/>
      </c>
      <c r="P51" s="86">
        <f t="shared" si="79"/>
      </c>
      <c r="Q51" s="87">
        <f t="shared" si="67"/>
      </c>
      <c r="R51" s="88">
        <f t="shared" si="39"/>
      </c>
      <c r="S51" s="87">
        <f t="shared" si="21"/>
      </c>
      <c r="T51" s="89">
        <f t="shared" si="85"/>
      </c>
      <c r="U51" s="89"/>
      <c r="V51" s="89"/>
      <c r="W51" s="90">
        <f>SUM(W47:W50)</f>
      </c>
      <c r="X51" s="91">
        <f>SUM(X47:X50)</f>
      </c>
      <c r="Y51" s="91">
        <f>SUM(Y47:Y50)</f>
      </c>
      <c r="Z51" s="91">
        <f>SUM(Z47:Z50)</f>
      </c>
      <c r="AA51" s="91">
        <f>SUM(AA47:AA50)</f>
      </c>
      <c r="AB51" s="91">
        <f>SUM(AB47:AB50)</f>
      </c>
      <c r="AC51" s="91">
        <f>SUM(AC47:AC50)</f>
      </c>
      <c r="AD51" s="91">
        <f>SUM(AD47:AD50)</f>
      </c>
    </row>
    <row r="52">
      <c r="A52" s="73"/>
      <c r="B52" s="92" t="s">
        <v>43</v>
      </c>
      <c r="C52" s="92"/>
      <c r="D52" s="93">
        <f>D41+D51+D46</f>
      </c>
      <c r="E52" s="93">
        <f>E41+E51+E46</f>
      </c>
      <c r="F52" s="93">
        <f>F41+F51+F46</f>
      </c>
      <c r="G52" s="93">
        <f>G41+G51+G46</f>
      </c>
      <c r="H52" s="93">
        <f>H41+H51+H46</f>
      </c>
      <c r="I52" s="93">
        <f t="shared" si="27"/>
      </c>
      <c r="J52" s="94">
        <f t="shared" si="3"/>
      </c>
      <c r="K52" s="93">
        <f t="shared" si="73"/>
      </c>
      <c r="L52" s="94">
        <f t="shared" si="9"/>
      </c>
      <c r="M52" s="94">
        <f t="shared" si="61"/>
      </c>
      <c r="N52" s="93">
        <f t="shared" si="33"/>
      </c>
      <c r="O52" s="94">
        <f t="shared" si="15"/>
      </c>
      <c r="P52" s="94">
        <f t="shared" si="79"/>
      </c>
      <c r="Q52" s="93">
        <f t="shared" si="67"/>
      </c>
      <c r="R52" s="95">
        <f t="shared" si="39"/>
      </c>
      <c r="S52" s="93">
        <f t="shared" si="21"/>
      </c>
      <c r="T52" s="96">
        <f t="shared" si="85"/>
      </c>
      <c r="U52" s="96"/>
      <c r="V52" s="96"/>
      <c r="W52" s="97">
        <f>W41+W51+W46</f>
      </c>
      <c r="X52" s="97">
        <f>X41+X51+X46</f>
      </c>
      <c r="Y52" s="97">
        <f>Y41+Y51+Y46</f>
      </c>
      <c r="Z52" s="97">
        <f>Z41+Z51+Z46</f>
      </c>
      <c r="AA52" s="97">
        <f>AA41+AA51+AA46</f>
      </c>
      <c r="AB52" s="97">
        <f>AB41+AB51+AB46</f>
      </c>
      <c r="AC52" s="97">
        <f>AC41+AC51+AC46</f>
      </c>
      <c r="AD52" s="97">
        <f>AD41+AD51+AD46</f>
      </c>
    </row>
    <row r="53">
      <c r="A53" s="58" t="s">
        <v>1</v>
      </c>
      <c r="B53" s="58"/>
      <c r="C53" s="58"/>
      <c r="D53" s="60" t="s">
        <v>2</v>
      </c>
      <c r="E53" s="60"/>
      <c r="F53" s="60"/>
      <c r="G53" s="60"/>
      <c r="H53" s="60"/>
      <c r="I53" s="60"/>
      <c r="J53" s="61" t="s">
        <v>3</v>
      </c>
      <c r="K53" s="61"/>
      <c r="L53" s="61"/>
      <c r="M53" s="61"/>
      <c r="N53" s="61"/>
      <c r="O53" s="61"/>
      <c r="P53" s="61"/>
      <c r="Q53" s="61"/>
      <c r="R53" s="61"/>
      <c r="S53" s="61"/>
      <c r="T53" s="62"/>
      <c r="U53" s="62"/>
      <c r="V53" s="62"/>
      <c r="W53" s="63"/>
      <c r="X53" s="63"/>
      <c r="Y53" s="63"/>
      <c r="Z53" s="63"/>
      <c r="AA53" s="63"/>
      <c r="AB53" s="63"/>
      <c r="AC53" s="63"/>
      <c r="AD53" s="64" t="s">
        <v>4</v>
      </c>
    </row>
    <row r="54">
      <c r="A54" s="58" t="s">
        <v>5</v>
      </c>
      <c r="B54" s="65" t="s">
        <v>6</v>
      </c>
      <c r="C54" s="58" t="s">
        <v>7</v>
      </c>
      <c r="D54" s="66" t="s">
        <v>8</v>
      </c>
      <c r="E54" s="67" t="s">
        <v>9</v>
      </c>
      <c r="F54" s="67" t="s">
        <v>10</v>
      </c>
      <c r="G54" s="68" t="s">
        <v>11</v>
      </c>
      <c r="H54" s="60" t="s">
        <v>12</v>
      </c>
      <c r="I54" s="67" t="s">
        <v>13</v>
      </c>
      <c r="J54" s="61" t="s">
        <v>14</v>
      </c>
      <c r="K54" s="61" t="s">
        <v>15</v>
      </c>
      <c r="L54" s="69" t="s">
        <v>16</v>
      </c>
      <c r="M54" s="69" t="s">
        <v>17</v>
      </c>
      <c r="N54" s="61" t="s">
        <v>18</v>
      </c>
      <c r="O54" s="69" t="s">
        <v>19</v>
      </c>
      <c r="P54" s="69" t="s">
        <v>20</v>
      </c>
      <c r="Q54" s="61" t="s">
        <v>21</v>
      </c>
      <c r="R54" s="69" t="s">
        <v>22</v>
      </c>
      <c r="S54" s="61" t="s">
        <v>23</v>
      </c>
      <c r="T54" s="70" t="s">
        <v>24</v>
      </c>
      <c r="U54" s="70" t="s">
        <v>25</v>
      </c>
      <c r="V54" s="70" t="s">
        <v>26</v>
      </c>
      <c r="W54" s="71" t="s">
        <v>27</v>
      </c>
      <c r="X54" s="72" t="s">
        <v>28</v>
      </c>
      <c r="Y54" s="72" t="s">
        <v>29</v>
      </c>
      <c r="Z54" s="72" t="s">
        <v>30</v>
      </c>
      <c r="AA54" s="72" t="s">
        <v>31</v>
      </c>
      <c r="AB54" s="72" t="s">
        <v>32</v>
      </c>
      <c r="AC54" s="72" t="s">
        <v>33</v>
      </c>
      <c r="AD54" s="64"/>
    </row>
    <row customHeight="true" ht="18.452380952380953" r="55">
      <c r="A55" s="73" t="s">
        <v>59</v>
      </c>
      <c r="B55" s="99" t="s">
        <v>60</v>
      </c>
      <c r="C55" s="74" t="s">
        <v>36</v>
      </c>
      <c r="D55" s="55">
        <f t="shared" ref="D55:D58" si="50">E55+F55</f>
      </c>
      <c r="E55" s="55">
        <v>1462.42</v>
      </c>
      <c r="F55" s="55">
        <v>2101.84</v>
      </c>
      <c r="G55" s="75">
        <v>3</v>
      </c>
      <c r="H55" s="75">
        <v>1438.44</v>
      </c>
      <c r="I55" s="76">
        <f t="shared" ref="I55:I75" si="28">H55/D55</f>
      </c>
      <c r="J55" s="77">
        <f t="shared" ref="J55:J75" si="4">Y55/X55</f>
      </c>
      <c r="K55" s="78">
        <f t="shared" ref="K55:K75" si="74">D55/Z55</f>
      </c>
      <c r="L55" s="77">
        <f t="shared" ref="L55:L75" si="10">AA55/Z55</f>
      </c>
      <c r="M55" s="77">
        <f t="shared" ref="M55:M75" si="62">AB55/Z55</f>
      </c>
      <c r="N55" s="78">
        <f t="shared" ref="N55:N75" si="34">D55/AB55</f>
      </c>
      <c r="O55" s="77">
        <f t="shared" ref="O55:O75" si="16">AC55/AB55</f>
      </c>
      <c r="P55" s="77">
        <f t="shared" ref="P55:P75" si="80">G55/AC55</f>
      </c>
      <c r="Q55" s="78">
        <f t="shared" ref="Q55:Q75" si="68">D55/G55</f>
      </c>
      <c r="R55" s="79">
        <f t="shared" ref="R55:R75" si="40">H55/G55</f>
      </c>
      <c r="S55" s="78">
        <f t="shared" ref="S55:S75" si="22">D55/W55</f>
      </c>
      <c r="T55" s="80">
        <f t="shared" ref="T55:T75" si="86">AD55*1000/D55</f>
      </c>
      <c r="U55" s="81" t="s">
        <v>53</v>
      </c>
      <c r="V55" s="82" t="s">
        <v>61</v>
      </c>
      <c r="W55" s="55">
        <v>3</v>
      </c>
      <c r="X55" s="55">
        <v>5835</v>
      </c>
      <c r="Y55" s="55">
        <v>1740</v>
      </c>
      <c r="Z55" s="55">
        <v>2589</v>
      </c>
      <c r="AA55" s="55">
        <v>905</v>
      </c>
      <c r="AB55" s="55">
        <v>6</v>
      </c>
      <c r="AC55" s="75">
        <v>21</v>
      </c>
      <c r="AD55" s="75">
        <v>98</v>
      </c>
    </row>
    <row customHeight="true" ht="18.452380952380953" r="56">
      <c r="A56" s="73"/>
      <c r="B56" s="99" t="s">
        <v>62</v>
      </c>
      <c r="C56" s="55" t="s">
        <v>36</v>
      </c>
      <c r="D56" s="55">
        <f t="shared" si="50"/>
      </c>
      <c r="E56" s="55">
        <v>1918.8100000000002</v>
      </c>
      <c r="F56" s="55">
        <v>2975.38</v>
      </c>
      <c r="G56" s="75">
        <v>6</v>
      </c>
      <c r="H56" s="75">
        <v>2991.72</v>
      </c>
      <c r="I56" s="76">
        <f t="shared" si="28"/>
      </c>
      <c r="J56" s="77">
        <f t="shared" si="4"/>
      </c>
      <c r="K56" s="78">
        <f t="shared" si="74"/>
      </c>
      <c r="L56" s="77">
        <f t="shared" si="10"/>
      </c>
      <c r="M56" s="77">
        <f t="shared" si="62"/>
      </c>
      <c r="N56" s="78">
        <f t="shared" si="34"/>
      </c>
      <c r="O56" s="77">
        <f t="shared" si="16"/>
      </c>
      <c r="P56" s="77">
        <f t="shared" si="80"/>
      </c>
      <c r="Q56" s="78">
        <f t="shared" si="68"/>
      </c>
      <c r="R56" s="79">
        <f t="shared" si="40"/>
      </c>
      <c r="S56" s="78">
        <f t="shared" si="22"/>
      </c>
      <c r="T56" s="80">
        <f t="shared" si="86"/>
      </c>
      <c r="U56" s="81" t="s">
        <v>53</v>
      </c>
      <c r="V56" s="82" t="s">
        <v>61</v>
      </c>
      <c r="W56" s="83">
        <v>6</v>
      </c>
      <c r="X56" s="55">
        <v>7616</v>
      </c>
      <c r="Y56" s="55">
        <v>2373</v>
      </c>
      <c r="Z56" s="55">
        <v>3664</v>
      </c>
      <c r="AA56" s="55">
        <v>1382</v>
      </c>
      <c r="AB56" s="55">
        <v>6</v>
      </c>
      <c r="AC56" s="75">
        <v>19</v>
      </c>
      <c r="AD56" s="75">
        <v>66</v>
      </c>
    </row>
    <row customHeight="true" ht="18.452380952380953" r="57">
      <c r="A57" s="73"/>
      <c r="B57" s="99" t="s">
        <v>63</v>
      </c>
      <c r="C57" s="55" t="s">
        <v>36</v>
      </c>
      <c r="D57" s="55">
        <f t="shared" si="50"/>
      </c>
      <c r="E57" s="55">
        <v>2386.37</v>
      </c>
      <c r="F57" s="55">
        <v>75.73</v>
      </c>
      <c r="G57" s="75">
        <v>2</v>
      </c>
      <c r="H57" s="75">
        <v>788.2799999999997</v>
      </c>
      <c r="I57" s="76">
        <f t="shared" si="28"/>
      </c>
      <c r="J57" s="77">
        <f t="shared" si="4"/>
      </c>
      <c r="K57" s="78">
        <f t="shared" si="74"/>
      </c>
      <c r="L57" s="77">
        <f t="shared" si="10"/>
      </c>
      <c r="M57" s="77">
        <f t="shared" si="62"/>
      </c>
      <c r="N57" s="78">
        <f t="shared" si="34"/>
      </c>
      <c r="O57" s="77">
        <f t="shared" si="16"/>
      </c>
      <c r="P57" s="77">
        <f t="shared" si="80"/>
      </c>
      <c r="Q57" s="78">
        <f t="shared" si="68"/>
      </c>
      <c r="R57" s="79">
        <f t="shared" si="40"/>
      </c>
      <c r="S57" s="78">
        <f t="shared" si="22"/>
      </c>
      <c r="T57" s="80">
        <f t="shared" si="86"/>
      </c>
      <c r="U57" s="81" t="s">
        <v>53</v>
      </c>
      <c r="V57" s="82" t="s">
        <v>61</v>
      </c>
      <c r="W57" s="83">
        <v>2</v>
      </c>
      <c r="X57" s="55">
        <v>4258</v>
      </c>
      <c r="Y57" s="55">
        <v>451</v>
      </c>
      <c r="Z57" s="55">
        <v>636</v>
      </c>
      <c r="AA57" s="55">
        <v>203</v>
      </c>
      <c r="AB57" s="55">
        <v>6</v>
      </c>
      <c r="AC57" s="75">
        <v>4</v>
      </c>
      <c r="AD57" s="75">
        <v>23</v>
      </c>
    </row>
    <row customHeight="true" ht="18.452380952380953" r="58">
      <c r="A58" s="73"/>
      <c r="B58" s="99" t="s">
        <v>64</v>
      </c>
      <c r="C58" s="55" t="s">
        <v>36</v>
      </c>
      <c r="D58" s="55">
        <f t="shared" si="50"/>
      </c>
      <c r="E58" s="55">
        <v>1828.12</v>
      </c>
      <c r="F58" s="75">
        <v>65.99</v>
      </c>
      <c r="G58" s="75">
        <v>0</v>
      </c>
      <c r="H58" s="75">
        <v>0</v>
      </c>
      <c r="I58" s="76">
        <f t="shared" si="28"/>
      </c>
      <c r="J58" s="77">
        <f t="shared" si="4"/>
      </c>
      <c r="K58" s="78">
        <f t="shared" si="74"/>
      </c>
      <c r="L58" s="77">
        <f t="shared" si="10"/>
      </c>
      <c r="M58" s="77">
        <f t="shared" si="62"/>
      </c>
      <c r="N58" s="78">
        <f t="shared" si="34"/>
      </c>
      <c r="O58" s="77">
        <f t="shared" si="16"/>
      </c>
      <c r="P58" s="77">
        <f t="shared" si="80"/>
      </c>
      <c r="Q58" s="78">
        <f t="shared" si="68"/>
      </c>
      <c r="R58" s="79">
        <f t="shared" si="40"/>
      </c>
      <c r="S58" s="78">
        <f t="shared" si="22"/>
      </c>
      <c r="T58" s="80">
        <f t="shared" si="86"/>
      </c>
      <c r="U58" s="81" t="s">
        <v>53</v>
      </c>
      <c r="V58" s="82" t="s">
        <v>61</v>
      </c>
      <c r="W58" s="83">
        <v>0</v>
      </c>
      <c r="X58" s="55">
        <v>3089</v>
      </c>
      <c r="Y58" s="55">
        <v>426</v>
      </c>
      <c r="Z58" s="55">
        <v>633</v>
      </c>
      <c r="AA58" s="55">
        <v>223</v>
      </c>
      <c r="AB58" s="55">
        <v>11</v>
      </c>
      <c r="AC58" s="75">
        <v>3</v>
      </c>
      <c r="AD58" s="75">
        <v>17</v>
      </c>
    </row>
    <row customHeight="true" ht="18.452380952380953" r="59">
      <c r="A59" s="73"/>
      <c r="B59" s="84" t="s">
        <v>42</v>
      </c>
      <c r="C59" s="84"/>
      <c r="D59" s="84">
        <f>SUM(D55:D58)</f>
      </c>
      <c r="E59" s="84">
        <f>SUM(E55:E58)</f>
      </c>
      <c r="F59" s="84">
        <f>SUM(F55:F58)</f>
      </c>
      <c r="G59" s="84">
        <f>SUM(G55:G58)</f>
      </c>
      <c r="H59" s="84">
        <f>SUM(H55:H58)</f>
      </c>
      <c r="I59" s="85">
        <f t="shared" si="28"/>
      </c>
      <c r="J59" s="86">
        <f t="shared" si="4"/>
      </c>
      <c r="K59" s="87">
        <f t="shared" si="74"/>
      </c>
      <c r="L59" s="86">
        <f t="shared" si="10"/>
      </c>
      <c r="M59" s="86">
        <f t="shared" si="62"/>
      </c>
      <c r="N59" s="87">
        <f t="shared" si="34"/>
      </c>
      <c r="O59" s="86">
        <f t="shared" si="16"/>
      </c>
      <c r="P59" s="86">
        <f t="shared" si="80"/>
      </c>
      <c r="Q59" s="87">
        <f t="shared" si="68"/>
      </c>
      <c r="R59" s="88">
        <f t="shared" si="40"/>
      </c>
      <c r="S59" s="87">
        <f t="shared" si="22"/>
      </c>
      <c r="T59" s="89">
        <f t="shared" si="86"/>
      </c>
      <c r="U59" s="89"/>
      <c r="V59" s="89"/>
      <c r="W59" s="90">
        <f>SUM(W55:W58)</f>
      </c>
      <c r="X59" s="91">
        <f>SUM(X55:X58)</f>
      </c>
      <c r="Y59" s="91">
        <f>SUM(Y55:Y58)</f>
      </c>
      <c r="Z59" s="91">
        <f>SUM(Z55:Z58)</f>
      </c>
      <c r="AA59" s="91">
        <f>SUM(AA55:AA58)</f>
      </c>
      <c r="AB59" s="91">
        <f>SUM(AB55:AB58)</f>
      </c>
      <c r="AC59" s="91">
        <f>SUM(AC55:AC58)</f>
      </c>
      <c r="AD59" s="91">
        <f>SUM(AD55:AD58)</f>
      </c>
    </row>
    <row r="60">
      <c r="A60" s="73"/>
      <c r="B60" s="14" t="s">
        <v>52</v>
      </c>
      <c r="C60" s="74" t="s">
        <v>65</v>
      </c>
      <c r="D60" s="55">
        <f t="shared" ref="D60:D63" si="51">E60+F60</f>
      </c>
      <c r="E60" s="55">
        <v>983.7700000000001</v>
      </c>
      <c r="F60" s="75">
        <v>652.78</v>
      </c>
      <c r="G60" s="75">
        <v>0</v>
      </c>
      <c r="H60" s="75">
        <v>0</v>
      </c>
      <c r="I60" s="76">
        <f t="shared" si="28"/>
      </c>
      <c r="J60" s="77">
        <f t="shared" si="4"/>
      </c>
      <c r="K60" s="78">
        <f t="shared" si="74"/>
      </c>
      <c r="L60" s="77">
        <f t="shared" si="10"/>
      </c>
      <c r="M60" s="77">
        <f t="shared" si="62"/>
      </c>
      <c r="N60" s="78">
        <f t="shared" si="34"/>
      </c>
      <c r="O60" s="77">
        <f t="shared" si="16"/>
      </c>
      <c r="P60" s="77">
        <f t="shared" si="80"/>
      </c>
      <c r="Q60" s="78">
        <f t="shared" si="68"/>
      </c>
      <c r="R60" s="79">
        <f t="shared" si="40"/>
      </c>
      <c r="S60" s="78">
        <f t="shared" si="22"/>
      </c>
      <c r="T60" s="80">
        <f t="shared" si="86"/>
      </c>
      <c r="U60" s="81" t="s">
        <v>53</v>
      </c>
      <c r="V60" s="82" t="s">
        <v>54</v>
      </c>
      <c r="W60" s="55">
        <v>0</v>
      </c>
      <c r="X60" s="55">
        <v>3335</v>
      </c>
      <c r="Y60" s="55">
        <v>891</v>
      </c>
      <c r="Z60" s="55">
        <v>1320</v>
      </c>
      <c r="AA60" s="55">
        <v>404</v>
      </c>
      <c r="AB60" s="55">
        <v>5</v>
      </c>
      <c r="AC60" s="75">
        <v>1</v>
      </c>
      <c r="AD60" s="75">
        <v>10</v>
      </c>
    </row>
    <row r="61">
      <c r="A61" s="73"/>
      <c r="B61" s="14" t="s">
        <v>55</v>
      </c>
      <c r="C61" s="74" t="s">
        <v>65</v>
      </c>
      <c r="D61" s="55">
        <f t="shared" si="51"/>
      </c>
      <c r="E61" s="75">
        <v>641.33</v>
      </c>
      <c r="F61" s="55">
        <v>3102.19</v>
      </c>
      <c r="G61" s="75">
        <v>3</v>
      </c>
      <c r="H61" s="75">
        <v>2883.840000000001</v>
      </c>
      <c r="I61" s="76">
        <f t="shared" si="28"/>
      </c>
      <c r="J61" s="77">
        <f t="shared" si="4"/>
      </c>
      <c r="K61" s="78">
        <f t="shared" si="74"/>
      </c>
      <c r="L61" s="77">
        <f t="shared" si="10"/>
      </c>
      <c r="M61" s="77">
        <f t="shared" si="62"/>
      </c>
      <c r="N61" s="78">
        <f t="shared" si="34"/>
      </c>
      <c r="O61" s="77">
        <f t="shared" si="16"/>
      </c>
      <c r="P61" s="77">
        <f t="shared" si="80"/>
      </c>
      <c r="Q61" s="78">
        <f t="shared" si="68"/>
      </c>
      <c r="R61" s="79">
        <f t="shared" si="40"/>
      </c>
      <c r="S61" s="78">
        <f t="shared" si="22"/>
      </c>
      <c r="T61" s="80">
        <f t="shared" si="86"/>
      </c>
      <c r="U61" s="81" t="s">
        <v>53</v>
      </c>
      <c r="V61" s="82" t="s">
        <v>54</v>
      </c>
      <c r="W61" s="83">
        <v>3</v>
      </c>
      <c r="X61" s="55">
        <v>6315</v>
      </c>
      <c r="Y61" s="55">
        <v>2487</v>
      </c>
      <c r="Z61" s="55">
        <v>3672</v>
      </c>
      <c r="AA61" s="55">
        <v>1278</v>
      </c>
      <c r="AB61" s="55">
        <v>5</v>
      </c>
      <c r="AC61" s="75">
        <v>10</v>
      </c>
      <c r="AD61" s="75">
        <v>98</v>
      </c>
    </row>
    <row r="62">
      <c r="A62" s="73"/>
      <c r="B62" s="14" t="s">
        <v>56</v>
      </c>
      <c r="C62" s="74" t="s">
        <v>65</v>
      </c>
      <c r="D62" s="55">
        <f t="shared" si="51"/>
      </c>
      <c r="E62" s="55">
        <v>1152.6599999999999</v>
      </c>
      <c r="F62" s="55">
        <v>2861.71</v>
      </c>
      <c r="G62" s="75">
        <v>3</v>
      </c>
      <c r="H62" s="75">
        <v>2214.4799999999996</v>
      </c>
      <c r="I62" s="76">
        <f t="shared" si="28"/>
      </c>
      <c r="J62" s="77">
        <f t="shared" si="4"/>
      </c>
      <c r="K62" s="78">
        <f t="shared" si="74"/>
      </c>
      <c r="L62" s="77">
        <f t="shared" si="10"/>
      </c>
      <c r="M62" s="77">
        <f t="shared" si="62"/>
      </c>
      <c r="N62" s="78">
        <f t="shared" si="34"/>
      </c>
      <c r="O62" s="77">
        <f t="shared" si="16"/>
      </c>
      <c r="P62" s="77">
        <f t="shared" si="80"/>
      </c>
      <c r="Q62" s="78">
        <f t="shared" si="68"/>
      </c>
      <c r="R62" s="79">
        <f t="shared" si="40"/>
      </c>
      <c r="S62" s="78">
        <f t="shared" si="22"/>
      </c>
      <c r="T62" s="80">
        <f t="shared" si="86"/>
      </c>
      <c r="U62" s="81" t="s">
        <v>53</v>
      </c>
      <c r="V62" s="82" t="s">
        <v>54</v>
      </c>
      <c r="W62" s="83">
        <v>4</v>
      </c>
      <c r="X62" s="55">
        <v>6968</v>
      </c>
      <c r="Y62" s="55">
        <v>2265</v>
      </c>
      <c r="Z62" s="55">
        <v>3439</v>
      </c>
      <c r="AA62" s="55">
        <v>1219</v>
      </c>
      <c r="AB62" s="75">
        <v>3</v>
      </c>
      <c r="AC62" s="75">
        <v>8</v>
      </c>
      <c r="AD62" s="75">
        <v>85</v>
      </c>
    </row>
    <row r="63">
      <c r="A63" s="73"/>
      <c r="B63" s="14" t="s">
        <v>57</v>
      </c>
      <c r="C63" s="74" t="s">
        <v>65</v>
      </c>
      <c r="D63" s="55">
        <f t="shared" si="51"/>
      </c>
      <c r="E63" s="55">
        <v>1425.24</v>
      </c>
      <c r="F63" s="75">
        <v>3838.56</v>
      </c>
      <c r="G63" s="75">
        <v>5</v>
      </c>
      <c r="H63" s="75">
        <v>3157.92</v>
      </c>
      <c r="I63" s="76">
        <f t="shared" si="28"/>
      </c>
      <c r="J63" s="77">
        <f t="shared" si="4"/>
      </c>
      <c r="K63" s="78">
        <f t="shared" si="74"/>
      </c>
      <c r="L63" s="77">
        <f t="shared" si="10"/>
      </c>
      <c r="M63" s="77">
        <f t="shared" si="62"/>
      </c>
      <c r="N63" s="78">
        <f t="shared" si="34"/>
      </c>
      <c r="O63" s="77">
        <f t="shared" si="16"/>
      </c>
      <c r="P63" s="77">
        <f t="shared" si="80"/>
      </c>
      <c r="Q63" s="78">
        <f t="shared" si="68"/>
      </c>
      <c r="R63" s="79">
        <f t="shared" si="40"/>
      </c>
      <c r="S63" s="78">
        <f t="shared" si="22"/>
      </c>
      <c r="T63" s="80">
        <f t="shared" si="86"/>
      </c>
      <c r="U63" s="81" t="s">
        <v>53</v>
      </c>
      <c r="V63" s="82" t="s">
        <v>54</v>
      </c>
      <c r="W63" s="83">
        <v>4</v>
      </c>
      <c r="X63" s="55">
        <v>9283</v>
      </c>
      <c r="Y63" s="55">
        <v>3101</v>
      </c>
      <c r="Z63" s="55">
        <v>4674</v>
      </c>
      <c r="AA63" s="55">
        <v>1664</v>
      </c>
      <c r="AB63" s="55">
        <v>4</v>
      </c>
      <c r="AC63" s="75">
        <v>11</v>
      </c>
      <c r="AD63" s="75">
        <v>95</v>
      </c>
    </row>
    <row r="64">
      <c r="A64" s="73"/>
      <c r="B64" s="84" t="s">
        <v>42</v>
      </c>
      <c r="C64" s="84"/>
      <c r="D64" s="84">
        <f>SUM(D60:D63)</f>
      </c>
      <c r="E64" s="84">
        <f>SUM(E60:E63)</f>
      </c>
      <c r="F64" s="84">
        <f>SUM(F60:F63)</f>
      </c>
      <c r="G64" s="84">
        <f>SUM(G60:G63)</f>
      </c>
      <c r="H64" s="84">
        <f>SUM(H60:H63)</f>
      </c>
      <c r="I64" s="85">
        <f t="shared" si="28"/>
      </c>
      <c r="J64" s="86">
        <f t="shared" si="4"/>
      </c>
      <c r="K64" s="87">
        <f t="shared" si="74"/>
      </c>
      <c r="L64" s="86">
        <f t="shared" si="10"/>
      </c>
      <c r="M64" s="86">
        <f t="shared" si="62"/>
      </c>
      <c r="N64" s="87">
        <f t="shared" si="34"/>
      </c>
      <c r="O64" s="86">
        <f t="shared" si="16"/>
      </c>
      <c r="P64" s="86">
        <f t="shared" si="80"/>
      </c>
      <c r="Q64" s="87">
        <f t="shared" si="68"/>
      </c>
      <c r="R64" s="88">
        <f t="shared" si="40"/>
      </c>
      <c r="S64" s="87">
        <f t="shared" si="22"/>
      </c>
      <c r="T64" s="89">
        <f t="shared" si="86"/>
      </c>
      <c r="U64" s="89"/>
      <c r="V64" s="89"/>
      <c r="W64" s="90">
        <f>SUM(W60:W63)</f>
      </c>
      <c r="X64" s="91">
        <f>SUM(X60:X63)</f>
      </c>
      <c r="Y64" s="91">
        <f>SUM(Y60:Y63)</f>
      </c>
      <c r="Z64" s="91">
        <f>SUM(Z60:Z63)</f>
      </c>
      <c r="AA64" s="91">
        <f>SUM(AA60:AA63)</f>
      </c>
      <c r="AB64" s="91">
        <f>SUM(AB60:AB63)</f>
      </c>
      <c r="AC64" s="91">
        <f>SUM(AC60:AC63)</f>
      </c>
      <c r="AD64" s="91">
        <f>SUM(AD60:AD63)</f>
      </c>
    </row>
    <row r="65">
      <c r="A65" s="73"/>
      <c r="B65" s="14" t="s">
        <v>45</v>
      </c>
      <c r="C65" s="74" t="s">
        <v>46</v>
      </c>
      <c r="D65" s="55">
        <f t="shared" ref="D65:D68" si="52">E65+F65</f>
      </c>
      <c r="E65" s="55">
        <v>1020.42</v>
      </c>
      <c r="F65" s="75">
        <v>2547.52</v>
      </c>
      <c r="G65" s="75">
        <v>4</v>
      </c>
      <c r="H65" s="75">
        <v>3094.7999999999993</v>
      </c>
      <c r="I65" s="76">
        <f t="shared" si="28"/>
      </c>
      <c r="J65" s="77">
        <f t="shared" si="4"/>
      </c>
      <c r="K65" s="78">
        <f t="shared" si="74"/>
      </c>
      <c r="L65" s="77">
        <f t="shared" si="10"/>
      </c>
      <c r="M65" s="77">
        <f t="shared" si="62"/>
      </c>
      <c r="N65" s="78">
        <f t="shared" si="34"/>
      </c>
      <c r="O65" s="77">
        <f t="shared" si="16"/>
      </c>
      <c r="P65" s="77">
        <f t="shared" si="80"/>
      </c>
      <c r="Q65" s="78">
        <f t="shared" si="68"/>
      </c>
      <c r="R65" s="79">
        <f t="shared" si="40"/>
      </c>
      <c r="S65" s="78">
        <f t="shared" si="22"/>
      </c>
      <c r="T65" s="80">
        <f t="shared" si="86"/>
      </c>
      <c r="U65" s="81" t="s">
        <v>53</v>
      </c>
      <c r="V65" s="82" t="s">
        <v>54</v>
      </c>
      <c r="W65" s="55">
        <v>4</v>
      </c>
      <c r="X65" s="55">
        <v>6824</v>
      </c>
      <c r="Y65" s="55">
        <v>2173</v>
      </c>
      <c r="Z65" s="55">
        <v>3336</v>
      </c>
      <c r="AA65" s="55">
        <v>1206</v>
      </c>
      <c r="AB65" s="55">
        <v>6</v>
      </c>
      <c r="AC65" s="75">
        <v>10</v>
      </c>
      <c r="AD65" s="75">
        <v>59</v>
      </c>
    </row>
    <row r="66">
      <c r="A66" s="73"/>
      <c r="B66" s="98" t="s">
        <v>47</v>
      </c>
      <c r="C66" s="74" t="s">
        <v>46</v>
      </c>
      <c r="D66" s="55">
        <f t="shared" si="52"/>
      </c>
      <c r="E66" s="55">
        <v>1243.3799999999999</v>
      </c>
      <c r="F66" s="55">
        <v>2515.22</v>
      </c>
      <c r="G66" s="75">
        <v>5</v>
      </c>
      <c r="H66" s="75">
        <v>5156.880000000001</v>
      </c>
      <c r="I66" s="76">
        <f t="shared" si="28"/>
      </c>
      <c r="J66" s="77">
        <f t="shared" si="4"/>
      </c>
      <c r="K66" s="78">
        <f t="shared" si="74"/>
      </c>
      <c r="L66" s="77">
        <f t="shared" si="10"/>
      </c>
      <c r="M66" s="77">
        <f t="shared" si="62"/>
      </c>
      <c r="N66" s="78">
        <f t="shared" si="34"/>
      </c>
      <c r="O66" s="77">
        <f t="shared" si="16"/>
      </c>
      <c r="P66" s="77">
        <f t="shared" si="80"/>
      </c>
      <c r="Q66" s="78">
        <f t="shared" si="68"/>
      </c>
      <c r="R66" s="79">
        <f t="shared" si="40"/>
      </c>
      <c r="S66" s="78">
        <f t="shared" si="22"/>
      </c>
      <c r="T66" s="80">
        <f t="shared" si="86"/>
      </c>
      <c r="U66" s="81" t="s">
        <v>53</v>
      </c>
      <c r="V66" s="82" t="s">
        <v>54</v>
      </c>
      <c r="W66" s="83">
        <v>5</v>
      </c>
      <c r="X66" s="55">
        <v>7238</v>
      </c>
      <c r="Y66" s="55">
        <v>2221</v>
      </c>
      <c r="Z66" s="55">
        <v>3331</v>
      </c>
      <c r="AA66" s="55">
        <v>1097</v>
      </c>
      <c r="AB66" s="55">
        <v>5</v>
      </c>
      <c r="AC66" s="75">
        <v>6</v>
      </c>
      <c r="AD66" s="75">
        <v>85</v>
      </c>
    </row>
    <row r="67">
      <c r="A67" s="73"/>
      <c r="B67" s="14" t="s">
        <v>48</v>
      </c>
      <c r="C67" s="74" t="s">
        <v>46</v>
      </c>
      <c r="D67" s="55">
        <f t="shared" si="52"/>
      </c>
      <c r="E67" s="55">
        <v>1198.58</v>
      </c>
      <c r="F67" s="75">
        <v>2820.41</v>
      </c>
      <c r="G67" s="75">
        <v>0</v>
      </c>
      <c r="H67" s="75">
        <v>0</v>
      </c>
      <c r="I67" s="76">
        <f t="shared" si="28"/>
      </c>
      <c r="J67" s="77">
        <f t="shared" si="4"/>
      </c>
      <c r="K67" s="78">
        <f t="shared" si="74"/>
      </c>
      <c r="L67" s="77">
        <f t="shared" si="10"/>
      </c>
      <c r="M67" s="77">
        <f t="shared" si="62"/>
      </c>
      <c r="N67" s="78">
        <f t="shared" si="34"/>
      </c>
      <c r="O67" s="77">
        <f t="shared" si="16"/>
      </c>
      <c r="P67" s="77">
        <f t="shared" si="80"/>
      </c>
      <c r="Q67" s="78">
        <f t="shared" si="68"/>
      </c>
      <c r="R67" s="79">
        <f t="shared" si="40"/>
      </c>
      <c r="S67" s="78">
        <f t="shared" si="22"/>
      </c>
      <c r="T67" s="80">
        <f t="shared" si="86"/>
      </c>
      <c r="U67" s="81" t="s">
        <v>37</v>
      </c>
      <c r="V67" s="82" t="s">
        <v>54</v>
      </c>
      <c r="W67" s="83">
        <v>0</v>
      </c>
      <c r="X67" s="55">
        <v>6569</v>
      </c>
      <c r="Y67" s="55">
        <v>2132</v>
      </c>
      <c r="Z67" s="55">
        <v>3289</v>
      </c>
      <c r="AA67" s="55">
        <v>1173</v>
      </c>
      <c r="AB67" s="55">
        <v>5</v>
      </c>
      <c r="AC67" s="75">
        <v>5</v>
      </c>
      <c r="AD67" s="75">
        <v>73</v>
      </c>
    </row>
    <row r="68">
      <c r="A68" s="73"/>
      <c r="B68" s="14" t="s">
        <v>49</v>
      </c>
      <c r="C68" s="74" t="s">
        <v>46</v>
      </c>
      <c r="D68" s="55">
        <f t="shared" si="52"/>
      </c>
      <c r="E68" s="55">
        <v>727.33</v>
      </c>
      <c r="F68" s="55">
        <v>2299.94</v>
      </c>
      <c r="G68" s="75">
        <v>2</v>
      </c>
      <c r="H68" s="75">
        <v>1428.2400000000016</v>
      </c>
      <c r="I68" s="76">
        <f t="shared" si="28"/>
      </c>
      <c r="J68" s="77">
        <f t="shared" si="4"/>
      </c>
      <c r="K68" s="78">
        <f t="shared" si="74"/>
      </c>
      <c r="L68" s="77">
        <f t="shared" si="10"/>
      </c>
      <c r="M68" s="77">
        <f t="shared" si="62"/>
      </c>
      <c r="N68" s="78">
        <f t="shared" si="34"/>
      </c>
      <c r="O68" s="77">
        <f t="shared" si="16"/>
      </c>
      <c r="P68" s="77">
        <f t="shared" si="80"/>
      </c>
      <c r="Q68" s="78">
        <f t="shared" si="68"/>
      </c>
      <c r="R68" s="79">
        <f t="shared" si="40"/>
      </c>
      <c r="S68" s="78">
        <f t="shared" si="22"/>
      </c>
      <c r="T68" s="80">
        <f t="shared" si="86"/>
      </c>
      <c r="U68" s="81" t="s">
        <v>37</v>
      </c>
      <c r="V68" s="82" t="s">
        <v>54</v>
      </c>
      <c r="W68" s="83">
        <v>2</v>
      </c>
      <c r="X68" s="55">
        <v>5692</v>
      </c>
      <c r="Y68" s="55">
        <v>1910</v>
      </c>
      <c r="Z68" s="55">
        <v>2922</v>
      </c>
      <c r="AA68" s="55">
        <v>972</v>
      </c>
      <c r="AB68" s="55">
        <v>5</v>
      </c>
      <c r="AC68" s="75">
        <v>7</v>
      </c>
      <c r="AD68" s="75">
        <v>61</v>
      </c>
    </row>
    <row r="69">
      <c r="A69" s="73"/>
      <c r="B69" s="84" t="s">
        <v>42</v>
      </c>
      <c r="C69" s="84"/>
      <c r="D69" s="84">
        <f>SUM(D65:D68)</f>
      </c>
      <c r="E69" s="84">
        <f>SUM(E65:E68)</f>
      </c>
      <c r="F69" s="84">
        <f>SUM(F65:F68)</f>
      </c>
      <c r="G69" s="84">
        <f>SUM(G65:G68)</f>
      </c>
      <c r="H69" s="84">
        <f>SUM(H65:H68)</f>
      </c>
      <c r="I69" s="85">
        <f t="shared" si="28"/>
      </c>
      <c r="J69" s="86">
        <f t="shared" si="4"/>
      </c>
      <c r="K69" s="87">
        <f t="shared" si="74"/>
      </c>
      <c r="L69" s="86">
        <f t="shared" si="10"/>
      </c>
      <c r="M69" s="86">
        <f t="shared" si="62"/>
      </c>
      <c r="N69" s="87">
        <f t="shared" si="34"/>
      </c>
      <c r="O69" s="86">
        <f t="shared" si="16"/>
      </c>
      <c r="P69" s="86">
        <f t="shared" si="80"/>
      </c>
      <c r="Q69" s="87">
        <f t="shared" si="68"/>
      </c>
      <c r="R69" s="88">
        <f t="shared" si="40"/>
      </c>
      <c r="S69" s="87">
        <f t="shared" si="22"/>
      </c>
      <c r="T69" s="89">
        <f t="shared" si="86"/>
      </c>
      <c r="U69" s="89"/>
      <c r="V69" s="89"/>
      <c r="W69" s="90">
        <f>SUM(W65:W68)</f>
      </c>
      <c r="X69" s="91">
        <f>SUM(X65:X68)</f>
      </c>
      <c r="Y69" s="91">
        <f>SUM(Y65:Y68)</f>
      </c>
      <c r="Z69" s="91">
        <f>SUM(Z65:Z68)</f>
      </c>
      <c r="AA69" s="91">
        <f>SUM(AA65:AA68)</f>
      </c>
      <c r="AB69" s="91">
        <f>SUM(AB65:AB68)</f>
      </c>
      <c r="AC69" s="91">
        <f>SUM(AC65:AC68)</f>
      </c>
      <c r="AD69" s="91">
        <f>SUM(AD65:AD68)</f>
      </c>
    </row>
    <row r="70">
      <c r="A70" s="73"/>
      <c r="B70" s="14" t="s">
        <v>35</v>
      </c>
      <c r="C70" s="75" t="s">
        <v>58</v>
      </c>
      <c r="D70" s="55">
        <f t="shared" ref="D70:D73" si="53">E70+F70</f>
      </c>
      <c r="E70" s="55">
        <v>735.73</v>
      </c>
      <c r="F70" s="55">
        <v>2806.14</v>
      </c>
      <c r="G70" s="75">
        <v>4</v>
      </c>
      <c r="H70" s="75">
        <v>2194.3199999999997</v>
      </c>
      <c r="I70" s="76">
        <f t="shared" si="28"/>
      </c>
      <c r="J70" s="77">
        <f t="shared" si="4"/>
      </c>
      <c r="K70" s="78">
        <f t="shared" si="74"/>
      </c>
      <c r="L70" s="77">
        <f t="shared" si="10"/>
      </c>
      <c r="M70" s="77">
        <f t="shared" si="62"/>
      </c>
      <c r="N70" s="78">
        <f t="shared" si="34"/>
      </c>
      <c r="O70" s="77">
        <f t="shared" si="16"/>
      </c>
      <c r="P70" s="77">
        <f t="shared" si="80"/>
      </c>
      <c r="Q70" s="78">
        <f t="shared" si="68"/>
      </c>
      <c r="R70" s="79">
        <f t="shared" si="40"/>
      </c>
      <c r="S70" s="78">
        <f t="shared" si="22"/>
      </c>
      <c r="T70" s="80">
        <f t="shared" si="86"/>
      </c>
      <c r="U70" s="81" t="s">
        <v>37</v>
      </c>
      <c r="V70" s="82" t="s">
        <v>54</v>
      </c>
      <c r="W70" s="83">
        <v>3</v>
      </c>
      <c r="X70" s="55">
        <v>6821</v>
      </c>
      <c r="Y70" s="55">
        <v>2359</v>
      </c>
      <c r="Z70" s="55">
        <v>3626</v>
      </c>
      <c r="AA70" s="55">
        <v>1257</v>
      </c>
      <c r="AB70" s="55">
        <v>4</v>
      </c>
      <c r="AC70" s="75">
        <v>9</v>
      </c>
      <c r="AD70" s="75">
        <v>92</v>
      </c>
    </row>
    <row r="71">
      <c r="A71" s="73"/>
      <c r="B71" s="29" t="s">
        <v>39</v>
      </c>
      <c r="C71" s="75" t="s">
        <v>58</v>
      </c>
      <c r="D71" s="55">
        <f t="shared" si="53"/>
      </c>
      <c r="E71" s="55">
        <v>1154.58</v>
      </c>
      <c r="F71" s="55">
        <v>2546.26</v>
      </c>
      <c r="G71" s="75">
        <v>6</v>
      </c>
      <c r="H71" s="75">
        <v>5248.040000000001</v>
      </c>
      <c r="I71" s="76">
        <f t="shared" si="28"/>
      </c>
      <c r="J71" s="77">
        <f t="shared" si="4"/>
      </c>
      <c r="K71" s="78">
        <f t="shared" si="74"/>
      </c>
      <c r="L71" s="77">
        <f t="shared" si="10"/>
      </c>
      <c r="M71" s="77">
        <f t="shared" si="62"/>
      </c>
      <c r="N71" s="78">
        <f t="shared" si="34"/>
      </c>
      <c r="O71" s="77">
        <f t="shared" si="16"/>
      </c>
      <c r="P71" s="77">
        <f t="shared" si="80"/>
      </c>
      <c r="Q71" s="78">
        <f t="shared" si="68"/>
      </c>
      <c r="R71" s="79">
        <f t="shared" si="40"/>
      </c>
      <c r="S71" s="78">
        <f t="shared" si="22"/>
      </c>
      <c r="T71" s="80">
        <f t="shared" si="86"/>
      </c>
      <c r="U71" s="81" t="s">
        <v>37</v>
      </c>
      <c r="V71" s="82" t="s">
        <v>54</v>
      </c>
      <c r="W71" s="83">
        <v>6</v>
      </c>
      <c r="X71" s="55">
        <v>7621</v>
      </c>
      <c r="Y71" s="55">
        <v>2499</v>
      </c>
      <c r="Z71" s="55">
        <v>3658</v>
      </c>
      <c r="AA71" s="55">
        <v>1209</v>
      </c>
      <c r="AB71" s="55">
        <v>3</v>
      </c>
      <c r="AC71" s="75">
        <v>10</v>
      </c>
      <c r="AD71" s="75">
        <v>85</v>
      </c>
    </row>
    <row r="72">
      <c r="A72" s="73"/>
      <c r="B72" s="29" t="s">
        <v>40</v>
      </c>
      <c r="C72" s="75" t="s">
        <v>58</v>
      </c>
      <c r="D72" s="55">
        <f t="shared" si="53"/>
      </c>
      <c r="E72" s="55">
        <v>1290.31</v>
      </c>
      <c r="F72" s="55">
        <v>2654.96</v>
      </c>
      <c r="G72" s="75">
        <v>6</v>
      </c>
      <c r="H72" s="55">
        <v>3777.9599999999955</v>
      </c>
      <c r="I72" s="76">
        <f t="shared" si="28"/>
      </c>
      <c r="J72" s="77">
        <f t="shared" si="4"/>
      </c>
      <c r="K72" s="78">
        <f t="shared" si="74"/>
      </c>
      <c r="L72" s="77">
        <f t="shared" si="10"/>
      </c>
      <c r="M72" s="77">
        <f t="shared" si="62"/>
      </c>
      <c r="N72" s="78">
        <f t="shared" si="34"/>
      </c>
      <c r="O72" s="77">
        <f t="shared" si="16"/>
      </c>
      <c r="P72" s="77">
        <f t="shared" si="80"/>
      </c>
      <c r="Q72" s="78">
        <f t="shared" si="68"/>
      </c>
      <c r="R72" s="79">
        <f t="shared" si="40"/>
      </c>
      <c r="S72" s="78">
        <f t="shared" si="22"/>
      </c>
      <c r="T72" s="80">
        <f t="shared" si="86"/>
      </c>
      <c r="U72" s="81" t="s">
        <v>37</v>
      </c>
      <c r="V72" s="82" t="s">
        <v>54</v>
      </c>
      <c r="W72" s="83">
        <v>5</v>
      </c>
      <c r="X72" s="55">
        <v>7377</v>
      </c>
      <c r="Y72" s="55">
        <v>2038</v>
      </c>
      <c r="Z72" s="55">
        <v>3307</v>
      </c>
      <c r="AA72" s="55">
        <v>1068</v>
      </c>
      <c r="AB72" s="55">
        <v>5</v>
      </c>
      <c r="AC72" s="75">
        <v>16</v>
      </c>
      <c r="AD72" s="75">
        <v>83</v>
      </c>
    </row>
    <row r="73">
      <c r="A73" s="73"/>
      <c r="B73" s="14" t="s">
        <v>41</v>
      </c>
      <c r="C73" s="75" t="s">
        <v>58</v>
      </c>
      <c r="D73" s="55">
        <f t="shared" si="53"/>
      </c>
      <c r="E73" s="55">
        <v>835.02</v>
      </c>
      <c r="F73" s="55">
        <v>1458.57</v>
      </c>
      <c r="G73" s="75">
        <v>3</v>
      </c>
      <c r="H73" s="75">
        <v>2489.6400000000067</v>
      </c>
      <c r="I73" s="76">
        <f t="shared" si="28"/>
      </c>
      <c r="J73" s="77">
        <f t="shared" si="4"/>
      </c>
      <c r="K73" s="78">
        <f t="shared" si="74"/>
      </c>
      <c r="L73" s="77">
        <f t="shared" si="10"/>
      </c>
      <c r="M73" s="77">
        <f t="shared" si="62"/>
      </c>
      <c r="N73" s="78">
        <f t="shared" si="34"/>
      </c>
      <c r="O73" s="77">
        <f t="shared" si="16"/>
      </c>
      <c r="P73" s="77">
        <f t="shared" si="80"/>
      </c>
      <c r="Q73" s="78">
        <f t="shared" si="68"/>
      </c>
      <c r="R73" s="79">
        <f t="shared" si="40"/>
      </c>
      <c r="S73" s="78">
        <f t="shared" si="22"/>
      </c>
      <c r="T73" s="80">
        <f t="shared" si="86"/>
      </c>
      <c r="U73" s="81" t="s">
        <v>37</v>
      </c>
      <c r="V73" s="82" t="s">
        <v>54</v>
      </c>
      <c r="W73" s="83">
        <v>2</v>
      </c>
      <c r="X73" s="55">
        <v>5367</v>
      </c>
      <c r="Y73" s="55">
        <v>1379</v>
      </c>
      <c r="Z73" s="55">
        <v>2092</v>
      </c>
      <c r="AA73" s="55">
        <v>657</v>
      </c>
      <c r="AB73" s="55">
        <v>1</v>
      </c>
      <c r="AC73" s="75">
        <v>5</v>
      </c>
      <c r="AD73" s="75">
        <v>55</v>
      </c>
    </row>
    <row r="74">
      <c r="A74" s="73"/>
      <c r="B74" s="84" t="s">
        <v>42</v>
      </c>
      <c r="C74" s="84"/>
      <c r="D74" s="84">
        <f>SUM(D70:D73)</f>
      </c>
      <c r="E74" s="84">
        <f>SUM(E70:E73)</f>
      </c>
      <c r="F74" s="84">
        <f>SUM(F70:F73)</f>
      </c>
      <c r="G74" s="84">
        <f>SUM(G70:G73)</f>
      </c>
      <c r="H74" s="84">
        <f>SUM(H70:H73)</f>
      </c>
      <c r="I74" s="85">
        <f t="shared" si="28"/>
      </c>
      <c r="J74" s="86">
        <f t="shared" si="4"/>
      </c>
      <c r="K74" s="87">
        <f t="shared" si="74"/>
      </c>
      <c r="L74" s="86">
        <f t="shared" si="10"/>
      </c>
      <c r="M74" s="86">
        <f t="shared" si="62"/>
      </c>
      <c r="N74" s="87">
        <f t="shared" si="34"/>
      </c>
      <c r="O74" s="86">
        <f t="shared" si="16"/>
      </c>
      <c r="P74" s="86">
        <f t="shared" si="80"/>
      </c>
      <c r="Q74" s="87">
        <f t="shared" si="68"/>
      </c>
      <c r="R74" s="88">
        <f t="shared" si="40"/>
      </c>
      <c r="S74" s="87">
        <f t="shared" si="22"/>
      </c>
      <c r="T74" s="89">
        <f t="shared" si="86"/>
      </c>
      <c r="U74" s="89"/>
      <c r="V74" s="89"/>
      <c r="W74" s="90">
        <f>SUM(W70:W73)</f>
      </c>
      <c r="X74" s="91">
        <f>SUM(X70:X73)</f>
      </c>
      <c r="Y74" s="91">
        <f>SUM(Y70:Y73)</f>
      </c>
      <c r="Z74" s="91">
        <f>SUM(Z70:Z73)</f>
      </c>
      <c r="AA74" s="91">
        <f>SUM(AA70:AA73)</f>
      </c>
      <c r="AB74" s="91">
        <f>SUM(AB70:AB73)</f>
      </c>
      <c r="AC74" s="91">
        <f>SUM(AC70:AC73)</f>
      </c>
      <c r="AD74" s="91">
        <f>SUM(AD70:AD73)</f>
      </c>
    </row>
    <row r="75">
      <c r="A75" s="73"/>
      <c r="B75" s="92" t="s">
        <v>43</v>
      </c>
      <c r="C75" s="92"/>
      <c r="D75" s="93">
        <f>D64+D74+D69+D59</f>
      </c>
      <c r="E75" s="93">
        <f>E64+E74+E69+E59</f>
      </c>
      <c r="F75" s="93">
        <f>F64+F74+F69+F59</f>
      </c>
      <c r="G75" s="93">
        <f>G64+G74+G69+G59</f>
      </c>
      <c r="H75" s="93">
        <f>H64+H74+H69+H59</f>
      </c>
      <c r="I75" s="93">
        <f t="shared" si="28"/>
      </c>
      <c r="J75" s="94">
        <f t="shared" si="4"/>
      </c>
      <c r="K75" s="93">
        <f t="shared" si="74"/>
      </c>
      <c r="L75" s="94">
        <f t="shared" si="10"/>
      </c>
      <c r="M75" s="94">
        <f t="shared" si="62"/>
      </c>
      <c r="N75" s="93">
        <f t="shared" si="34"/>
      </c>
      <c r="O75" s="94">
        <f t="shared" si="16"/>
      </c>
      <c r="P75" s="94">
        <f t="shared" si="80"/>
      </c>
      <c r="Q75" s="93">
        <f t="shared" si="68"/>
      </c>
      <c r="R75" s="95">
        <f t="shared" si="40"/>
      </c>
      <c r="S75" s="93">
        <f t="shared" si="22"/>
      </c>
      <c r="T75" s="96">
        <f t="shared" si="86"/>
      </c>
      <c r="U75" s="96"/>
      <c r="V75" s="96"/>
      <c r="W75" s="97">
        <f>W64+W74+W69+W59</f>
      </c>
      <c r="X75" s="97">
        <f>X64+X74+X69+X59</f>
      </c>
      <c r="Y75" s="97">
        <f>Y64+Y74+Y69+Y59</f>
      </c>
      <c r="Z75" s="97">
        <f>Z64+Z74+Z69+Z59</f>
      </c>
      <c r="AA75" s="97">
        <f>AA64+AA74+AA69+AA59</f>
      </c>
      <c r="AB75" s="97">
        <f>AB64+AB74+AB69+AB59</f>
      </c>
      <c r="AC75" s="97">
        <f>AC64+AC74+AC69+AC59</f>
      </c>
      <c r="AD75" s="97">
        <f>AD64+AD74+AD69+AD59</f>
      </c>
    </row>
    <row r="76">
      <c r="A76" s="58" t="s">
        <v>1</v>
      </c>
      <c r="B76" s="58"/>
      <c r="C76" s="58"/>
      <c r="D76" s="60" t="s">
        <v>2</v>
      </c>
      <c r="E76" s="60"/>
      <c r="F76" s="60"/>
      <c r="G76" s="60"/>
      <c r="H76" s="60"/>
      <c r="I76" s="60"/>
      <c r="J76" s="61" t="s">
        <v>3</v>
      </c>
      <c r="K76" s="61"/>
      <c r="L76" s="61"/>
      <c r="M76" s="61"/>
      <c r="N76" s="61"/>
      <c r="O76" s="61"/>
      <c r="P76" s="61"/>
      <c r="Q76" s="61"/>
      <c r="R76" s="61"/>
      <c r="S76" s="61"/>
      <c r="T76" s="62"/>
      <c r="U76" s="62"/>
      <c r="V76" s="62"/>
      <c r="W76" s="63"/>
      <c r="X76" s="63"/>
      <c r="Y76" s="63"/>
      <c r="Z76" s="63"/>
      <c r="AA76" s="63"/>
      <c r="AB76" s="63"/>
      <c r="AC76" s="63"/>
      <c r="AD76" s="64" t="s">
        <v>4</v>
      </c>
    </row>
    <row r="77">
      <c r="A77" s="58" t="s">
        <v>5</v>
      </c>
      <c r="B77" s="65" t="s">
        <v>6</v>
      </c>
      <c r="C77" s="58" t="s">
        <v>7</v>
      </c>
      <c r="D77" s="66" t="s">
        <v>8</v>
      </c>
      <c r="E77" s="67" t="s">
        <v>9</v>
      </c>
      <c r="F77" s="67" t="s">
        <v>10</v>
      </c>
      <c r="G77" s="68" t="s">
        <v>11</v>
      </c>
      <c r="H77" s="60" t="s">
        <v>12</v>
      </c>
      <c r="I77" s="67" t="s">
        <v>13</v>
      </c>
      <c r="J77" s="61" t="s">
        <v>14</v>
      </c>
      <c r="K77" s="61" t="s">
        <v>15</v>
      </c>
      <c r="L77" s="69" t="s">
        <v>16</v>
      </c>
      <c r="M77" s="100" t="s">
        <v>66</v>
      </c>
      <c r="N77" s="61" t="s">
        <v>18</v>
      </c>
      <c r="O77" s="69" t="s">
        <v>19</v>
      </c>
      <c r="P77" s="69" t="s">
        <v>20</v>
      </c>
      <c r="Q77" s="61" t="s">
        <v>21</v>
      </c>
      <c r="R77" s="69" t="s">
        <v>22</v>
      </c>
      <c r="S77" s="61" t="s">
        <v>23</v>
      </c>
      <c r="T77" s="70" t="s">
        <v>24</v>
      </c>
      <c r="U77" s="70" t="s">
        <v>25</v>
      </c>
      <c r="V77" s="70" t="s">
        <v>26</v>
      </c>
      <c r="W77" s="71" t="s">
        <v>27</v>
      </c>
      <c r="X77" s="72" t="s">
        <v>28</v>
      </c>
      <c r="Y77" s="72" t="s">
        <v>29</v>
      </c>
      <c r="Z77" s="72" t="s">
        <v>30</v>
      </c>
      <c r="AA77" s="72" t="s">
        <v>31</v>
      </c>
      <c r="AB77" s="72" t="s">
        <v>32</v>
      </c>
      <c r="AC77" s="72" t="s">
        <v>33</v>
      </c>
      <c r="AD77" s="64"/>
    </row>
    <row r="78">
      <c r="A78" s="73" t="s">
        <v>67</v>
      </c>
      <c r="B78" s="99" t="s">
        <v>60</v>
      </c>
      <c r="C78" s="74" t="s">
        <v>36</v>
      </c>
      <c r="D78" s="55">
        <f t="shared" ref="D78:D81" si="54">E78+F78</f>
      </c>
      <c r="E78" s="55">
        <v>1721.22</v>
      </c>
      <c r="F78" s="55">
        <v>2111.88</v>
      </c>
      <c r="G78" s="75">
        <v>1</v>
      </c>
      <c r="H78" s="75">
        <v>857.76</v>
      </c>
      <c r="I78" s="76">
        <f t="shared" ref="I78:I98" si="29">H78/D78</f>
      </c>
      <c r="J78" s="77">
        <f t="shared" ref="J78:J98" si="5">Y78/X78</f>
      </c>
      <c r="K78" s="78">
        <f t="shared" ref="K78:K98" si="75">D78/Z78</f>
      </c>
      <c r="L78" s="77">
        <f t="shared" ref="L78:L98" si="11">AA78/Z78</f>
      </c>
      <c r="M78" s="77">
        <f t="shared" ref="M78:M98" si="63">AB78/Z78</f>
      </c>
      <c r="N78" s="78">
        <f t="shared" ref="N78:N98" si="35">D78/AB78</f>
      </c>
      <c r="O78" s="77">
        <f t="shared" ref="O78:O98" si="17">AC78/AB78</f>
      </c>
      <c r="P78" s="77">
        <f t="shared" ref="P78:P98" si="81">G78/AC78</f>
      </c>
      <c r="Q78" s="78">
        <f t="shared" ref="Q78:Q98" si="69">D78/G78</f>
      </c>
      <c r="R78" s="79">
        <f t="shared" ref="R78:R98" si="41">H78/G78</f>
      </c>
      <c r="S78" s="78">
        <f t="shared" ref="S78:S98" si="23">D78/W78</f>
      </c>
      <c r="T78" s="80">
        <f t="shared" ref="T78:T98" si="87">AD78*1000/D78</f>
      </c>
      <c r="U78" s="81" t="s">
        <v>53</v>
      </c>
      <c r="V78" s="82" t="s">
        <v>61</v>
      </c>
      <c r="W78" s="55">
        <v>1</v>
      </c>
      <c r="X78" s="55">
        <v>6629</v>
      </c>
      <c r="Y78" s="55">
        <v>1850</v>
      </c>
      <c r="Z78" s="55">
        <v>2611</v>
      </c>
      <c r="AA78" s="55">
        <v>986</v>
      </c>
      <c r="AB78" s="55">
        <v>4</v>
      </c>
      <c r="AC78" s="75">
        <v>6</v>
      </c>
      <c r="AD78" s="75">
        <v>79</v>
      </c>
    </row>
    <row r="79">
      <c r="A79" s="73"/>
      <c r="B79" s="99" t="s">
        <v>62</v>
      </c>
      <c r="C79" s="55" t="s">
        <v>36</v>
      </c>
      <c r="D79" s="55">
        <f t="shared" si="54"/>
      </c>
      <c r="E79" s="55">
        <v>2698.18</v>
      </c>
      <c r="F79" s="55">
        <v>1817.96</v>
      </c>
      <c r="G79" s="75">
        <v>4</v>
      </c>
      <c r="H79" s="75">
        <v>6092.519999999999</v>
      </c>
      <c r="I79" s="76">
        <f t="shared" si="29"/>
      </c>
      <c r="J79" s="77">
        <f t="shared" si="5"/>
      </c>
      <c r="K79" s="78">
        <f t="shared" si="75"/>
      </c>
      <c r="L79" s="77">
        <f t="shared" si="11"/>
      </c>
      <c r="M79" s="77">
        <f t="shared" si="63"/>
      </c>
      <c r="N79" s="78">
        <f t="shared" si="35"/>
      </c>
      <c r="O79" s="77">
        <f t="shared" si="17"/>
      </c>
      <c r="P79" s="77">
        <f t="shared" si="81"/>
      </c>
      <c r="Q79" s="78">
        <f t="shared" si="69"/>
      </c>
      <c r="R79" s="79">
        <f t="shared" si="41"/>
      </c>
      <c r="S79" s="78">
        <f t="shared" si="23"/>
      </c>
      <c r="T79" s="80">
        <f t="shared" si="87"/>
      </c>
      <c r="U79" s="81" t="s">
        <v>53</v>
      </c>
      <c r="V79" s="82" t="s">
        <v>61</v>
      </c>
      <c r="W79" s="83">
        <v>4</v>
      </c>
      <c r="X79" s="55">
        <v>7442</v>
      </c>
      <c r="Y79" s="55">
        <v>2000</v>
      </c>
      <c r="Z79" s="55">
        <v>2922</v>
      </c>
      <c r="AA79" s="55">
        <v>1114</v>
      </c>
      <c r="AB79" s="55">
        <v>6</v>
      </c>
      <c r="AC79" s="75">
        <v>10</v>
      </c>
      <c r="AD79" s="75">
        <v>68</v>
      </c>
    </row>
    <row r="80">
      <c r="A80" s="73"/>
      <c r="B80" s="99" t="s">
        <v>63</v>
      </c>
      <c r="C80" s="55" t="s">
        <v>36</v>
      </c>
      <c r="D80" s="55">
        <f t="shared" si="54"/>
      </c>
      <c r="E80" s="55">
        <v>2200.5</v>
      </c>
      <c r="F80" s="55">
        <v>1160.7</v>
      </c>
      <c r="G80" s="75">
        <v>1</v>
      </c>
      <c r="H80" s="75">
        <v>285.2400000000016</v>
      </c>
      <c r="I80" s="76">
        <f t="shared" si="29"/>
      </c>
      <c r="J80" s="77">
        <f t="shared" si="5"/>
      </c>
      <c r="K80" s="78">
        <f t="shared" si="75"/>
      </c>
      <c r="L80" s="77">
        <f t="shared" si="11"/>
      </c>
      <c r="M80" s="77">
        <f t="shared" si="63"/>
      </c>
      <c r="N80" s="78">
        <f t="shared" si="35"/>
      </c>
      <c r="O80" s="77">
        <f t="shared" si="17"/>
      </c>
      <c r="P80" s="77">
        <f t="shared" si="81"/>
      </c>
      <c r="Q80" s="78">
        <f t="shared" si="69"/>
      </c>
      <c r="R80" s="79">
        <f t="shared" si="41"/>
      </c>
      <c r="S80" s="78">
        <f t="shared" si="23"/>
      </c>
      <c r="T80" s="80">
        <f t="shared" si="87"/>
      </c>
      <c r="U80" s="81" t="s">
        <v>53</v>
      </c>
      <c r="V80" s="82" t="s">
        <v>61</v>
      </c>
      <c r="W80" s="83">
        <v>1</v>
      </c>
      <c r="X80" s="55">
        <v>5694</v>
      </c>
      <c r="Y80" s="55">
        <v>1506</v>
      </c>
      <c r="Z80" s="55">
        <v>2206</v>
      </c>
      <c r="AA80" s="55">
        <v>851</v>
      </c>
      <c r="AB80" s="55">
        <v>7</v>
      </c>
      <c r="AC80" s="75">
        <v>6</v>
      </c>
      <c r="AD80" s="75">
        <v>40</v>
      </c>
    </row>
    <row r="81">
      <c r="A81" s="73"/>
      <c r="B81" s="99" t="s">
        <v>64</v>
      </c>
      <c r="C81" s="55" t="s">
        <v>36</v>
      </c>
      <c r="D81" s="55">
        <f t="shared" si="54"/>
      </c>
      <c r="E81" s="55">
        <v>1261.63</v>
      </c>
      <c r="F81" s="75">
        <v>1020.55</v>
      </c>
      <c r="G81" s="75">
        <v>3</v>
      </c>
      <c r="H81" s="75">
        <v>2228.6399999999994</v>
      </c>
      <c r="I81" s="76">
        <f t="shared" si="29"/>
      </c>
      <c r="J81" s="77">
        <f t="shared" si="5"/>
      </c>
      <c r="K81" s="78">
        <f t="shared" si="75"/>
      </c>
      <c r="L81" s="77">
        <f t="shared" si="11"/>
      </c>
      <c r="M81" s="77">
        <f t="shared" si="63"/>
      </c>
      <c r="N81" s="78">
        <f t="shared" si="35"/>
      </c>
      <c r="O81" s="77">
        <f t="shared" si="17"/>
      </c>
      <c r="P81" s="77">
        <f t="shared" si="81"/>
      </c>
      <c r="Q81" s="78">
        <f t="shared" si="69"/>
      </c>
      <c r="R81" s="79">
        <f t="shared" si="41"/>
      </c>
      <c r="S81" s="78">
        <f t="shared" si="23"/>
      </c>
      <c r="T81" s="80">
        <f t="shared" si="87"/>
      </c>
      <c r="U81" s="81" t="s">
        <v>53</v>
      </c>
      <c r="V81" s="82" t="s">
        <v>61</v>
      </c>
      <c r="W81" s="83">
        <v>3</v>
      </c>
      <c r="X81" s="55">
        <v>4060</v>
      </c>
      <c r="Y81" s="55">
        <v>913</v>
      </c>
      <c r="Z81" s="55">
        <v>1518</v>
      </c>
      <c r="AA81" s="55">
        <v>544</v>
      </c>
      <c r="AB81" s="55">
        <v>2</v>
      </c>
      <c r="AC81" s="75">
        <v>8</v>
      </c>
      <c r="AD81" s="75">
        <v>38</v>
      </c>
    </row>
    <row r="82">
      <c r="A82" s="73"/>
      <c r="B82" s="84" t="s">
        <v>42</v>
      </c>
      <c r="C82" s="84"/>
      <c r="D82" s="84">
        <f>SUM(D78:D81)</f>
      </c>
      <c r="E82" s="84">
        <f>SUM(E78:E81)</f>
      </c>
      <c r="F82" s="84">
        <f>SUM(F78:F81)</f>
      </c>
      <c r="G82" s="84">
        <f>SUM(G78:G81)</f>
      </c>
      <c r="H82" s="84">
        <f>SUM(H78:H81)</f>
      </c>
      <c r="I82" s="85">
        <f t="shared" si="29"/>
      </c>
      <c r="J82" s="86">
        <f t="shared" si="5"/>
      </c>
      <c r="K82" s="87">
        <f t="shared" si="75"/>
      </c>
      <c r="L82" s="86">
        <f t="shared" si="11"/>
      </c>
      <c r="M82" s="86">
        <f t="shared" si="63"/>
      </c>
      <c r="N82" s="87">
        <f t="shared" si="35"/>
      </c>
      <c r="O82" s="86">
        <f t="shared" si="17"/>
      </c>
      <c r="P82" s="86">
        <f t="shared" si="81"/>
      </c>
      <c r="Q82" s="87">
        <f t="shared" si="69"/>
      </c>
      <c r="R82" s="88">
        <f t="shared" si="41"/>
      </c>
      <c r="S82" s="87">
        <f t="shared" si="23"/>
      </c>
      <c r="T82" s="89">
        <f t="shared" si="87"/>
      </c>
      <c r="U82" s="89"/>
      <c r="V82" s="89"/>
      <c r="W82" s="90">
        <f>SUM(W78:W81)</f>
      </c>
      <c r="X82" s="91">
        <f>SUM(X78:X81)</f>
      </c>
      <c r="Y82" s="91">
        <f>SUM(Y78:Y81)</f>
      </c>
      <c r="Z82" s="91">
        <f>SUM(Z78:Z81)</f>
      </c>
      <c r="AA82" s="91">
        <f>SUM(AA78:AA81)</f>
      </c>
      <c r="AB82" s="91">
        <f>SUM(AB78:AB81)</f>
      </c>
      <c r="AC82" s="91">
        <f>SUM(AC78:AC81)</f>
      </c>
      <c r="AD82" s="91">
        <f>SUM(AD78:AD81)</f>
      </c>
    </row>
    <row r="83">
      <c r="A83" s="73"/>
      <c r="B83" s="14" t="s">
        <v>52</v>
      </c>
      <c r="C83" s="74" t="s">
        <v>68</v>
      </c>
      <c r="D83" s="55">
        <f t="shared" ref="D83:D86" si="55">E83+F83</f>
      </c>
      <c r="E83" s="55">
        <v>1668.83</v>
      </c>
      <c r="F83" s="75">
        <v>1358.75</v>
      </c>
      <c r="G83" s="75">
        <v>1</v>
      </c>
      <c r="H83" s="75">
        <v>577.5599999999995</v>
      </c>
      <c r="I83" s="76">
        <f t="shared" si="29"/>
      </c>
      <c r="J83" s="77">
        <f t="shared" si="5"/>
      </c>
      <c r="K83" s="78">
        <f t="shared" si="75"/>
      </c>
      <c r="L83" s="77">
        <f t="shared" si="11"/>
      </c>
      <c r="M83" s="77">
        <f t="shared" si="63"/>
      </c>
      <c r="N83" s="78">
        <f t="shared" si="35"/>
      </c>
      <c r="O83" s="77">
        <f t="shared" si="17"/>
      </c>
      <c r="P83" s="77">
        <f t="shared" si="81"/>
      </c>
      <c r="Q83" s="78">
        <f t="shared" si="69"/>
      </c>
      <c r="R83" s="79">
        <f t="shared" si="41"/>
      </c>
      <c r="S83" s="78">
        <f t="shared" si="23"/>
      </c>
      <c r="T83" s="80">
        <f t="shared" si="87"/>
      </c>
      <c r="U83" s="81" t="s">
        <v>53</v>
      </c>
      <c r="V83" s="82" t="s">
        <v>61</v>
      </c>
      <c r="W83" s="55">
        <v>1</v>
      </c>
      <c r="X83" s="55">
        <v>5771</v>
      </c>
      <c r="Y83" s="55">
        <v>1333</v>
      </c>
      <c r="Z83" s="55">
        <v>2121</v>
      </c>
      <c r="AA83" s="55">
        <v>779</v>
      </c>
      <c r="AB83" s="55">
        <v>5</v>
      </c>
      <c r="AC83" s="75">
        <v>3</v>
      </c>
      <c r="AD83" s="75">
        <v>39</v>
      </c>
    </row>
    <row r="84">
      <c r="A84" s="73"/>
      <c r="B84" s="14" t="s">
        <v>55</v>
      </c>
      <c r="C84" s="74" t="s">
        <v>68</v>
      </c>
      <c r="D84" s="55">
        <f t="shared" si="55"/>
      </c>
      <c r="E84" s="75">
        <v>1060.45</v>
      </c>
      <c r="F84" s="55">
        <v>2349.26</v>
      </c>
      <c r="G84" s="75">
        <v>4</v>
      </c>
      <c r="H84" s="75">
        <v>4846.560000000001</v>
      </c>
      <c r="I84" s="76">
        <f t="shared" si="29"/>
      </c>
      <c r="J84" s="77">
        <f t="shared" si="5"/>
      </c>
      <c r="K84" s="78">
        <f t="shared" si="75"/>
      </c>
      <c r="L84" s="77">
        <f t="shared" si="11"/>
      </c>
      <c r="M84" s="77">
        <f t="shared" si="63"/>
      </c>
      <c r="N84" s="78">
        <f t="shared" si="35"/>
      </c>
      <c r="O84" s="77">
        <f t="shared" si="17"/>
      </c>
      <c r="P84" s="77">
        <f t="shared" si="81"/>
      </c>
      <c r="Q84" s="78">
        <f t="shared" si="69"/>
      </c>
      <c r="R84" s="79">
        <f t="shared" si="41"/>
      </c>
      <c r="S84" s="78">
        <f t="shared" si="23"/>
      </c>
      <c r="T84" s="80">
        <f t="shared" si="87"/>
      </c>
      <c r="U84" s="81" t="s">
        <v>53</v>
      </c>
      <c r="V84" s="82" t="s">
        <v>61</v>
      </c>
      <c r="W84" s="83">
        <v>4</v>
      </c>
      <c r="X84" s="55">
        <v>5909</v>
      </c>
      <c r="Y84" s="55">
        <v>1835</v>
      </c>
      <c r="Z84" s="55">
        <v>2927</v>
      </c>
      <c r="AA84" s="55">
        <v>1065</v>
      </c>
      <c r="AB84" s="55">
        <v>5</v>
      </c>
      <c r="AC84" s="75">
        <v>16</v>
      </c>
      <c r="AD84" s="75">
        <v>82</v>
      </c>
    </row>
    <row r="85">
      <c r="A85" s="73"/>
      <c r="B85" s="14" t="s">
        <v>56</v>
      </c>
      <c r="C85" s="74" t="s">
        <v>68</v>
      </c>
      <c r="D85" s="55">
        <f t="shared" si="55"/>
      </c>
      <c r="E85" s="55">
        <v>944.3199999999999</v>
      </c>
      <c r="F85" s="55">
        <v>3708.72</v>
      </c>
      <c r="G85" s="75">
        <v>3</v>
      </c>
      <c r="H85" s="75">
        <v>1595.7600000000002</v>
      </c>
      <c r="I85" s="76">
        <f t="shared" si="29"/>
      </c>
      <c r="J85" s="77">
        <f t="shared" si="5"/>
      </c>
      <c r="K85" s="78">
        <f t="shared" si="75"/>
      </c>
      <c r="L85" s="77">
        <f t="shared" si="11"/>
      </c>
      <c r="M85" s="77">
        <f t="shared" si="63"/>
      </c>
      <c r="N85" s="78">
        <f t="shared" si="35"/>
      </c>
      <c r="O85" s="77">
        <f t="shared" si="17"/>
      </c>
      <c r="P85" s="77">
        <f t="shared" si="81"/>
      </c>
      <c r="Q85" s="78">
        <f t="shared" si="69"/>
      </c>
      <c r="R85" s="79">
        <f t="shared" si="41"/>
      </c>
      <c r="S85" s="78">
        <f t="shared" si="23"/>
      </c>
      <c r="T85" s="80">
        <f t="shared" si="87"/>
      </c>
      <c r="U85" s="81" t="s">
        <v>53</v>
      </c>
      <c r="V85" s="82" t="s">
        <v>61</v>
      </c>
      <c r="W85" s="83">
        <v>3</v>
      </c>
      <c r="X85" s="55">
        <v>8160</v>
      </c>
      <c r="Y85" s="55">
        <v>3084</v>
      </c>
      <c r="Z85" s="55">
        <v>4737</v>
      </c>
      <c r="AA85" s="55">
        <v>1824</v>
      </c>
      <c r="AB85" s="75">
        <v>4</v>
      </c>
      <c r="AC85" s="75">
        <v>12</v>
      </c>
      <c r="AD85" s="75">
        <v>95</v>
      </c>
    </row>
    <row r="86">
      <c r="A86" s="73"/>
      <c r="B86" s="14" t="s">
        <v>57</v>
      </c>
      <c r="C86" s="74" t="s">
        <v>68</v>
      </c>
      <c r="D86" s="55">
        <f t="shared" si="55"/>
      </c>
      <c r="E86" s="55"/>
      <c r="F86" s="75"/>
      <c r="G86" s="75"/>
      <c r="H86" s="75"/>
      <c r="I86" s="76">
        <f t="shared" si="29"/>
      </c>
      <c r="J86" s="77">
        <f t="shared" si="5"/>
      </c>
      <c r="K86" s="78">
        <f t="shared" si="75"/>
      </c>
      <c r="L86" s="77">
        <f t="shared" si="11"/>
      </c>
      <c r="M86" s="77">
        <f t="shared" si="63"/>
      </c>
      <c r="N86" s="78">
        <f t="shared" si="35"/>
      </c>
      <c r="O86" s="77">
        <f t="shared" si="17"/>
      </c>
      <c r="P86" s="77">
        <f t="shared" si="81"/>
      </c>
      <c r="Q86" s="78">
        <f t="shared" si="69"/>
      </c>
      <c r="R86" s="79">
        <f t="shared" si="41"/>
      </c>
      <c r="S86" s="78">
        <f t="shared" si="23"/>
      </c>
      <c r="T86" s="80">
        <f t="shared" si="87"/>
      </c>
      <c r="U86" s="81" t="s">
        <v>53</v>
      </c>
      <c r="V86" s="82" t="s">
        <v>61</v>
      </c>
      <c r="W86" s="83"/>
      <c r="X86" s="55"/>
      <c r="Y86" s="55"/>
      <c r="Z86" s="55"/>
      <c r="AA86" s="55"/>
      <c r="AB86" s="55"/>
      <c r="AC86" s="75"/>
      <c r="AD86" s="75"/>
    </row>
    <row r="87">
      <c r="A87" s="73"/>
      <c r="B87" s="84" t="s">
        <v>42</v>
      </c>
      <c r="C87" s="84"/>
      <c r="D87" s="84">
        <f>SUM(D83:D86)</f>
      </c>
      <c r="E87" s="84">
        <f>SUM(E83:E86)</f>
      </c>
      <c r="F87" s="84">
        <f>SUM(F83:F86)</f>
      </c>
      <c r="G87" s="84">
        <f>SUM(G83:G86)</f>
      </c>
      <c r="H87" s="84">
        <f>SUM(H83:H86)</f>
      </c>
      <c r="I87" s="85">
        <f t="shared" si="29"/>
      </c>
      <c r="J87" s="86">
        <f t="shared" si="5"/>
      </c>
      <c r="K87" s="87">
        <f t="shared" si="75"/>
      </c>
      <c r="L87" s="86">
        <f t="shared" si="11"/>
      </c>
      <c r="M87" s="86">
        <f t="shared" si="63"/>
      </c>
      <c r="N87" s="87">
        <f t="shared" si="35"/>
      </c>
      <c r="O87" s="86">
        <f t="shared" si="17"/>
      </c>
      <c r="P87" s="86">
        <f t="shared" si="81"/>
      </c>
      <c r="Q87" s="87">
        <f t="shared" si="69"/>
      </c>
      <c r="R87" s="88">
        <f t="shared" si="41"/>
      </c>
      <c r="S87" s="87">
        <f t="shared" si="23"/>
      </c>
      <c r="T87" s="89">
        <f t="shared" si="87"/>
      </c>
      <c r="U87" s="89"/>
      <c r="V87" s="89"/>
      <c r="W87" s="90">
        <f>SUM(W83:W86)</f>
      </c>
      <c r="X87" s="91">
        <f>SUM(X83:X86)</f>
      </c>
      <c r="Y87" s="91">
        <f>SUM(Y83:Y86)</f>
      </c>
      <c r="Z87" s="91">
        <f>SUM(Z83:Z86)</f>
      </c>
      <c r="AA87" s="91">
        <f>SUM(AA83:AA86)</f>
      </c>
      <c r="AB87" s="91">
        <f>SUM(AB83:AB86)</f>
      </c>
      <c r="AC87" s="91">
        <f>SUM(AC83:AC86)</f>
      </c>
      <c r="AD87" s="91">
        <f>SUM(AD83:AD86)</f>
      </c>
    </row>
    <row r="88">
      <c r="A88" s="73"/>
      <c r="B88" s="14" t="s">
        <v>45</v>
      </c>
      <c r="C88" s="74" t="s">
        <v>46</v>
      </c>
      <c r="D88" s="55">
        <f t="shared" ref="D88:D91" si="56">E88+F88</f>
      </c>
      <c r="E88" s="55"/>
      <c r="F88" s="75"/>
      <c r="G88" s="75"/>
      <c r="H88" s="75"/>
      <c r="I88" s="76">
        <f t="shared" si="29"/>
      </c>
      <c r="J88" s="77">
        <f t="shared" si="5"/>
      </c>
      <c r="K88" s="78">
        <f t="shared" si="75"/>
      </c>
      <c r="L88" s="77">
        <f t="shared" si="11"/>
      </c>
      <c r="M88" s="77">
        <f t="shared" si="63"/>
      </c>
      <c r="N88" s="78">
        <f t="shared" si="35"/>
      </c>
      <c r="O88" s="77">
        <f t="shared" si="17"/>
      </c>
      <c r="P88" s="77">
        <f t="shared" si="81"/>
      </c>
      <c r="Q88" s="78">
        <f t="shared" si="69"/>
      </c>
      <c r="R88" s="79">
        <f t="shared" si="41"/>
      </c>
      <c r="S88" s="78">
        <f t="shared" si="23"/>
      </c>
      <c r="T88" s="80">
        <f t="shared" si="87"/>
      </c>
      <c r="U88" s="81" t="s">
        <v>37</v>
      </c>
      <c r="V88" s="82" t="s">
        <v>38</v>
      </c>
      <c r="W88" s="55"/>
      <c r="X88" s="55"/>
      <c r="Y88" s="55"/>
      <c r="Z88" s="55"/>
      <c r="AA88" s="55"/>
      <c r="AB88" s="55"/>
      <c r="AC88" s="75"/>
      <c r="AD88" s="75"/>
    </row>
    <row r="89">
      <c r="A89" s="73"/>
      <c r="B89" s="98" t="s">
        <v>47</v>
      </c>
      <c r="C89" s="74" t="s">
        <v>46</v>
      </c>
      <c r="D89" s="55">
        <f t="shared" si="56"/>
      </c>
      <c r="E89" s="55"/>
      <c r="F89" s="55"/>
      <c r="G89" s="75"/>
      <c r="H89" s="75"/>
      <c r="I89" s="76">
        <f t="shared" si="29"/>
      </c>
      <c r="J89" s="77">
        <f t="shared" si="5"/>
      </c>
      <c r="K89" s="78">
        <f t="shared" si="75"/>
      </c>
      <c r="L89" s="77">
        <f t="shared" si="11"/>
      </c>
      <c r="M89" s="77">
        <f t="shared" si="63"/>
      </c>
      <c r="N89" s="78">
        <f t="shared" si="35"/>
      </c>
      <c r="O89" s="77">
        <f t="shared" si="17"/>
      </c>
      <c r="P89" s="77">
        <f t="shared" si="81"/>
      </c>
      <c r="Q89" s="78">
        <f t="shared" si="69"/>
      </c>
      <c r="R89" s="79">
        <f t="shared" si="41"/>
      </c>
      <c r="S89" s="78">
        <f t="shared" si="23"/>
      </c>
      <c r="T89" s="80">
        <f t="shared" si="87"/>
      </c>
      <c r="U89" s="81" t="s">
        <v>37</v>
      </c>
      <c r="V89" s="82" t="s">
        <v>38</v>
      </c>
      <c r="W89" s="83"/>
      <c r="X89" s="55"/>
      <c r="Y89" s="55"/>
      <c r="Z89" s="55"/>
      <c r="AA89" s="55"/>
      <c r="AB89" s="55"/>
      <c r="AC89" s="75"/>
      <c r="AD89" s="75"/>
    </row>
    <row r="90">
      <c r="A90" s="73"/>
      <c r="B90" s="14" t="s">
        <v>48</v>
      </c>
      <c r="C90" s="74" t="s">
        <v>46</v>
      </c>
      <c r="D90" s="55">
        <f t="shared" si="56"/>
      </c>
      <c r="E90" s="55"/>
      <c r="F90" s="75"/>
      <c r="G90" s="75"/>
      <c r="H90" s="75"/>
      <c r="I90" s="76">
        <f t="shared" si="29"/>
      </c>
      <c r="J90" s="77">
        <f t="shared" si="5"/>
      </c>
      <c r="K90" s="78">
        <f t="shared" si="75"/>
      </c>
      <c r="L90" s="77">
        <f t="shared" si="11"/>
      </c>
      <c r="M90" s="77">
        <f t="shared" si="63"/>
      </c>
      <c r="N90" s="78">
        <f t="shared" si="35"/>
      </c>
      <c r="O90" s="77">
        <f t="shared" si="17"/>
      </c>
      <c r="P90" s="77">
        <f t="shared" si="81"/>
      </c>
      <c r="Q90" s="78">
        <f t="shared" si="69"/>
      </c>
      <c r="R90" s="79">
        <f t="shared" si="41"/>
      </c>
      <c r="S90" s="78">
        <f t="shared" si="23"/>
      </c>
      <c r="T90" s="80">
        <f t="shared" si="87"/>
      </c>
      <c r="U90" s="81" t="s">
        <v>37</v>
      </c>
      <c r="V90" s="82" t="s">
        <v>38</v>
      </c>
      <c r="W90" s="83"/>
      <c r="X90" s="55"/>
      <c r="Y90" s="55"/>
      <c r="Z90" s="55"/>
      <c r="AA90" s="55"/>
      <c r="AB90" s="55"/>
      <c r="AC90" s="75"/>
      <c r="AD90" s="75"/>
    </row>
    <row r="91">
      <c r="A91" s="73"/>
      <c r="B91" s="14" t="s">
        <v>49</v>
      </c>
      <c r="C91" s="74" t="s">
        <v>46</v>
      </c>
      <c r="D91" s="55">
        <f t="shared" si="56"/>
      </c>
      <c r="E91" s="55"/>
      <c r="F91" s="55"/>
      <c r="G91" s="75"/>
      <c r="H91" s="75"/>
      <c r="I91" s="76">
        <f t="shared" si="29"/>
      </c>
      <c r="J91" s="77">
        <f t="shared" si="5"/>
      </c>
      <c r="K91" s="78">
        <f t="shared" si="75"/>
      </c>
      <c r="L91" s="77">
        <f t="shared" si="11"/>
      </c>
      <c r="M91" s="77">
        <f t="shared" si="63"/>
      </c>
      <c r="N91" s="78">
        <f t="shared" si="35"/>
      </c>
      <c r="O91" s="77">
        <f t="shared" si="17"/>
      </c>
      <c r="P91" s="77">
        <f t="shared" si="81"/>
      </c>
      <c r="Q91" s="78">
        <f t="shared" si="69"/>
      </c>
      <c r="R91" s="79">
        <f t="shared" si="41"/>
      </c>
      <c r="S91" s="78">
        <f t="shared" si="23"/>
      </c>
      <c r="T91" s="80">
        <f t="shared" si="87"/>
      </c>
      <c r="U91" s="81" t="s">
        <v>37</v>
      </c>
      <c r="V91" s="82" t="s">
        <v>38</v>
      </c>
      <c r="W91" s="83"/>
      <c r="X91" s="55"/>
      <c r="Y91" s="55"/>
      <c r="Z91" s="55"/>
      <c r="AA91" s="55"/>
      <c r="AB91" s="55"/>
      <c r="AC91" s="75"/>
      <c r="AD91" s="75"/>
    </row>
    <row r="92">
      <c r="A92" s="73"/>
      <c r="B92" s="84" t="s">
        <v>42</v>
      </c>
      <c r="C92" s="84"/>
      <c r="D92" s="84">
        <f>SUM(D88:D91)</f>
      </c>
      <c r="E92" s="84">
        <f>SUM(E88:E91)</f>
      </c>
      <c r="F92" s="84">
        <f>SUM(F88:F91)</f>
      </c>
      <c r="G92" s="84">
        <f>SUM(G88:G91)</f>
      </c>
      <c r="H92" s="84">
        <f>SUM(H88:H91)</f>
      </c>
      <c r="I92" s="85">
        <f t="shared" si="29"/>
      </c>
      <c r="J92" s="86">
        <f t="shared" si="5"/>
      </c>
      <c r="K92" s="87">
        <f t="shared" si="75"/>
      </c>
      <c r="L92" s="86">
        <f t="shared" si="11"/>
      </c>
      <c r="M92" s="86">
        <f t="shared" si="63"/>
      </c>
      <c r="N92" s="87">
        <f t="shared" si="35"/>
      </c>
      <c r="O92" s="86">
        <f t="shared" si="17"/>
      </c>
      <c r="P92" s="86">
        <f t="shared" si="81"/>
      </c>
      <c r="Q92" s="87">
        <f t="shared" si="69"/>
      </c>
      <c r="R92" s="88">
        <f t="shared" si="41"/>
      </c>
      <c r="S92" s="87">
        <f t="shared" si="23"/>
      </c>
      <c r="T92" s="89">
        <f t="shared" si="87"/>
      </c>
      <c r="U92" s="89"/>
      <c r="V92" s="89"/>
      <c r="W92" s="90">
        <f>SUM(W88:W91)</f>
      </c>
      <c r="X92" s="91">
        <f>SUM(X88:X91)</f>
      </c>
      <c r="Y92" s="91">
        <f>SUM(Y88:Y91)</f>
      </c>
      <c r="Z92" s="91">
        <f>SUM(Z88:Z91)</f>
      </c>
      <c r="AA92" s="91">
        <f>SUM(AA88:AA91)</f>
      </c>
      <c r="AB92" s="91">
        <f>SUM(AB88:AB91)</f>
      </c>
      <c r="AC92" s="91">
        <f>SUM(AC88:AC91)</f>
      </c>
      <c r="AD92" s="91">
        <f>SUM(AD88:AD91)</f>
      </c>
    </row>
    <row r="93">
      <c r="A93" s="73"/>
      <c r="B93" s="14" t="s">
        <v>35</v>
      </c>
      <c r="C93" s="75" t="s">
        <v>58</v>
      </c>
      <c r="D93" s="55">
        <f t="shared" ref="D93:D96" si="57">E93+F93</f>
      </c>
      <c r="E93" s="55"/>
      <c r="F93" s="55"/>
      <c r="G93" s="75"/>
      <c r="H93" s="75"/>
      <c r="I93" s="76">
        <f t="shared" si="29"/>
      </c>
      <c r="J93" s="77">
        <f t="shared" si="5"/>
      </c>
      <c r="K93" s="78">
        <f t="shared" si="75"/>
      </c>
      <c r="L93" s="77">
        <f t="shared" si="11"/>
      </c>
      <c r="M93" s="77">
        <f t="shared" si="63"/>
      </c>
      <c r="N93" s="78">
        <f t="shared" si="35"/>
      </c>
      <c r="O93" s="77">
        <f t="shared" si="17"/>
      </c>
      <c r="P93" s="77">
        <f t="shared" si="81"/>
      </c>
      <c r="Q93" s="78">
        <f t="shared" si="69"/>
      </c>
      <c r="R93" s="79">
        <f t="shared" si="41"/>
      </c>
      <c r="S93" s="78">
        <f t="shared" si="23"/>
      </c>
      <c r="T93" s="80">
        <f t="shared" si="87"/>
      </c>
      <c r="U93" s="81" t="s">
        <v>37</v>
      </c>
      <c r="V93" s="82" t="s">
        <v>38</v>
      </c>
      <c r="W93" s="83"/>
      <c r="X93" s="55"/>
      <c r="Y93" s="55"/>
      <c r="Z93" s="55"/>
      <c r="AA93" s="55"/>
      <c r="AB93" s="55"/>
      <c r="AC93" s="75"/>
      <c r="AD93" s="75"/>
    </row>
    <row r="94">
      <c r="A94" s="73"/>
      <c r="B94" s="29" t="s">
        <v>39</v>
      </c>
      <c r="C94" s="75" t="s">
        <v>58</v>
      </c>
      <c r="D94" s="55">
        <f t="shared" si="57"/>
      </c>
      <c r="E94" s="55"/>
      <c r="F94" s="55"/>
      <c r="G94" s="75"/>
      <c r="H94" s="75"/>
      <c r="I94" s="76">
        <f t="shared" si="29"/>
      </c>
      <c r="J94" s="77">
        <f t="shared" si="5"/>
      </c>
      <c r="K94" s="78">
        <f t="shared" si="75"/>
      </c>
      <c r="L94" s="77">
        <f t="shared" si="11"/>
      </c>
      <c r="M94" s="77">
        <f t="shared" si="63"/>
      </c>
      <c r="N94" s="78">
        <f t="shared" si="35"/>
      </c>
      <c r="O94" s="77">
        <f t="shared" si="17"/>
      </c>
      <c r="P94" s="77">
        <f t="shared" si="81"/>
      </c>
      <c r="Q94" s="78">
        <f t="shared" si="69"/>
      </c>
      <c r="R94" s="79">
        <f t="shared" si="41"/>
      </c>
      <c r="S94" s="78">
        <f t="shared" si="23"/>
      </c>
      <c r="T94" s="80">
        <f t="shared" si="87"/>
      </c>
      <c r="U94" s="81" t="s">
        <v>37</v>
      </c>
      <c r="V94" s="82" t="s">
        <v>38</v>
      </c>
      <c r="W94" s="83"/>
      <c r="X94" s="55"/>
      <c r="Y94" s="55"/>
      <c r="Z94" s="55"/>
      <c r="AA94" s="55"/>
      <c r="AB94" s="55"/>
      <c r="AC94" s="75"/>
      <c r="AD94" s="75"/>
    </row>
    <row r="95">
      <c r="A95" s="73"/>
      <c r="B95" s="29" t="s">
        <v>40</v>
      </c>
      <c r="C95" s="75" t="s">
        <v>58</v>
      </c>
      <c r="D95" s="55">
        <f t="shared" si="57"/>
      </c>
      <c r="E95" s="55"/>
      <c r="F95" s="55"/>
      <c r="G95" s="75"/>
      <c r="H95" s="55"/>
      <c r="I95" s="76">
        <f t="shared" si="29"/>
      </c>
      <c r="J95" s="77">
        <f t="shared" si="5"/>
      </c>
      <c r="K95" s="78">
        <f t="shared" si="75"/>
      </c>
      <c r="L95" s="77">
        <f t="shared" si="11"/>
      </c>
      <c r="M95" s="77">
        <f t="shared" si="63"/>
      </c>
      <c r="N95" s="78">
        <f t="shared" si="35"/>
      </c>
      <c r="O95" s="77">
        <f t="shared" si="17"/>
      </c>
      <c r="P95" s="77">
        <f t="shared" si="81"/>
      </c>
      <c r="Q95" s="78">
        <f t="shared" si="69"/>
      </c>
      <c r="R95" s="79">
        <f t="shared" si="41"/>
      </c>
      <c r="S95" s="78">
        <f t="shared" si="23"/>
      </c>
      <c r="T95" s="80">
        <f t="shared" si="87"/>
      </c>
      <c r="U95" s="81" t="s">
        <v>37</v>
      </c>
      <c r="V95" s="82" t="s">
        <v>38</v>
      </c>
      <c r="W95" s="83"/>
      <c r="X95" s="55"/>
      <c r="Y95" s="55"/>
      <c r="Z95" s="55"/>
      <c r="AA95" s="55"/>
      <c r="AB95" s="55"/>
      <c r="AC95" s="75"/>
      <c r="AD95" s="75"/>
    </row>
    <row r="96">
      <c r="A96" s="73"/>
      <c r="B96" s="14" t="s">
        <v>41</v>
      </c>
      <c r="C96" s="75" t="s">
        <v>58</v>
      </c>
      <c r="D96" s="55">
        <f t="shared" si="57"/>
      </c>
      <c r="E96" s="55"/>
      <c r="F96" s="55"/>
      <c r="G96" s="75"/>
      <c r="H96" s="75"/>
      <c r="I96" s="76">
        <f t="shared" si="29"/>
      </c>
      <c r="J96" s="77">
        <f t="shared" si="5"/>
      </c>
      <c r="K96" s="78">
        <f t="shared" si="75"/>
      </c>
      <c r="L96" s="77">
        <f t="shared" si="11"/>
      </c>
      <c r="M96" s="77">
        <f t="shared" si="63"/>
      </c>
      <c r="N96" s="78">
        <f t="shared" si="35"/>
      </c>
      <c r="O96" s="77">
        <f t="shared" si="17"/>
      </c>
      <c r="P96" s="77">
        <f t="shared" si="81"/>
      </c>
      <c r="Q96" s="78">
        <f t="shared" si="69"/>
      </c>
      <c r="R96" s="79">
        <f t="shared" si="41"/>
      </c>
      <c r="S96" s="78">
        <f t="shared" si="23"/>
      </c>
      <c r="T96" s="80">
        <f t="shared" si="87"/>
      </c>
      <c r="U96" s="81" t="s">
        <v>37</v>
      </c>
      <c r="V96" s="82" t="s">
        <v>38</v>
      </c>
      <c r="W96" s="83"/>
      <c r="X96" s="55"/>
      <c r="Y96" s="55"/>
      <c r="Z96" s="55"/>
      <c r="AA96" s="55"/>
      <c r="AB96" s="55"/>
      <c r="AC96" s="75"/>
      <c r="AD96" s="75"/>
    </row>
    <row r="97">
      <c r="A97" s="73"/>
      <c r="B97" s="84" t="s">
        <v>42</v>
      </c>
      <c r="C97" s="84"/>
      <c r="D97" s="84">
        <f>SUM(D93:D96)</f>
      </c>
      <c r="E97" s="84">
        <f>SUM(E93:E96)</f>
      </c>
      <c r="F97" s="84">
        <f>SUM(F93:F96)</f>
      </c>
      <c r="G97" s="84">
        <f>SUM(G93:G96)</f>
      </c>
      <c r="H97" s="84">
        <f>SUM(H93:H96)</f>
      </c>
      <c r="I97" s="85">
        <f t="shared" si="29"/>
      </c>
      <c r="J97" s="86">
        <f t="shared" si="5"/>
      </c>
      <c r="K97" s="87">
        <f t="shared" si="75"/>
      </c>
      <c r="L97" s="86">
        <f t="shared" si="11"/>
      </c>
      <c r="M97" s="86">
        <f t="shared" si="63"/>
      </c>
      <c r="N97" s="87">
        <f t="shared" si="35"/>
      </c>
      <c r="O97" s="86">
        <f t="shared" si="17"/>
      </c>
      <c r="P97" s="86">
        <f t="shared" si="81"/>
      </c>
      <c r="Q97" s="87">
        <f t="shared" si="69"/>
      </c>
      <c r="R97" s="88">
        <f t="shared" si="41"/>
      </c>
      <c r="S97" s="87">
        <f t="shared" si="23"/>
      </c>
      <c r="T97" s="89">
        <f t="shared" si="87"/>
      </c>
      <c r="U97" s="89"/>
      <c r="V97" s="89"/>
      <c r="W97" s="90">
        <f>SUM(W93:W96)</f>
      </c>
      <c r="X97" s="91">
        <f>SUM(X93:X96)</f>
      </c>
      <c r="Y97" s="91">
        <f>SUM(Y93:Y96)</f>
      </c>
      <c r="Z97" s="91">
        <f>SUM(Z93:Z96)</f>
      </c>
      <c r="AA97" s="91">
        <f>SUM(AA93:AA96)</f>
      </c>
      <c r="AB97" s="91">
        <f>SUM(AB93:AB96)</f>
      </c>
      <c r="AC97" s="91">
        <f>SUM(AC93:AC96)</f>
      </c>
      <c r="AD97" s="91">
        <f>SUM(AD93:AD96)</f>
      </c>
    </row>
    <row r="98">
      <c r="A98" s="73"/>
      <c r="B98" s="92" t="s">
        <v>43</v>
      </c>
      <c r="C98" s="92"/>
      <c r="D98" s="93">
        <f>D87+D97+D92+D82</f>
      </c>
      <c r="E98" s="93">
        <f>E87+E97+E92+E82</f>
      </c>
      <c r="F98" s="93">
        <f>F87+F97+F92+F82</f>
      </c>
      <c r="G98" s="93">
        <f>G87+G97+G92+G82</f>
      </c>
      <c r="H98" s="93">
        <f>H87+H97+H92+H82</f>
      </c>
      <c r="I98" s="93">
        <f t="shared" si="29"/>
      </c>
      <c r="J98" s="94">
        <f t="shared" si="5"/>
      </c>
      <c r="K98" s="93">
        <f t="shared" si="75"/>
      </c>
      <c r="L98" s="94">
        <f t="shared" si="11"/>
      </c>
      <c r="M98" s="94">
        <f t="shared" si="63"/>
      </c>
      <c r="N98" s="93">
        <f t="shared" si="35"/>
      </c>
      <c r="O98" s="94">
        <f t="shared" si="17"/>
      </c>
      <c r="P98" s="94">
        <f t="shared" si="81"/>
      </c>
      <c r="Q98" s="93">
        <f t="shared" si="69"/>
      </c>
      <c r="R98" s="95">
        <f t="shared" si="41"/>
      </c>
      <c r="S98" s="93">
        <f t="shared" si="23"/>
      </c>
      <c r="T98" s="96">
        <f t="shared" si="87"/>
      </c>
      <c r="U98" s="96"/>
      <c r="V98" s="96"/>
      <c r="W98" s="97">
        <f>W87+W97+W92+W82</f>
      </c>
      <c r="X98" s="97">
        <f>X87+X97+X92+X82</f>
      </c>
      <c r="Y98" s="97">
        <f>Y87+Y97+Y92+Y82</f>
      </c>
      <c r="Z98" s="97">
        <f>Z87+Z97+Z92+Z82</f>
      </c>
      <c r="AA98" s="97">
        <f>AA87+AA97+AA92+AA82</f>
      </c>
      <c r="AB98" s="97">
        <f>AB87+AB97+AB92+AB82</f>
      </c>
      <c r="AC98" s="97">
        <f>AC87+AC97+AC92+AC82</f>
      </c>
      <c r="AD98" s="97">
        <f>AD87+AD97+AD92+AD82</f>
      </c>
    </row>
    <row r="99">
      <c r="A99" s="101"/>
      <c r="B99" s="101"/>
      <c r="C99" s="101"/>
      <c r="D99" s="101"/>
      <c r="E99" s="102">
        <f>E100+E101</f>
      </c>
      <c r="F99" s="101"/>
      <c r="G99" s="101">
        <f>G100-G98</f>
      </c>
      <c r="H99" s="101">
        <f>H100-H98</f>
      </c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>
        <f>W100-W98</f>
      </c>
      <c r="X99">
        <f>X100-X98</f>
      </c>
      <c r="Y99">
        <f>Y100-Y98</f>
      </c>
      <c r="Z99">
        <f>Z100-Z98</f>
      </c>
      <c r="AA99">
        <f>AA100-AA98</f>
      </c>
      <c r="AB99">
        <f>AB100-AB98</f>
      </c>
      <c r="AC99">
        <f>AC100-AC98</f>
      </c>
      <c r="AD99">
        <f>AD100-AD81-AD87-AD92-AD97</f>
      </c>
    </row>
    <row r="100">
      <c r="D100" s="103">
        <v>1</v>
      </c>
      <c r="E100" s="104">
        <v>131.41</v>
      </c>
      <c r="G100" s="103">
        <v>17</v>
      </c>
      <c r="H100" s="105">
        <v>16484.04</v>
      </c>
      <c r="W100" s="103">
        <v>0</v>
      </c>
      <c r="X100" s="103">
        <v>0</v>
      </c>
      <c r="Y100" s="103">
        <v>0</v>
      </c>
      <c r="Z100" s="103">
        <v>0</v>
      </c>
      <c r="AA100" s="103">
        <v>0</v>
      </c>
      <c r="AB100" s="103">
        <v>0</v>
      </c>
      <c r="AC100" s="103">
        <v>61</v>
      </c>
      <c r="AD100" s="103">
        <v>254</v>
      </c>
    </row>
    <row r="101">
      <c r="D101" s="103">
        <v>2</v>
      </c>
      <c r="E101" s="104">
        <v>812.91</v>
      </c>
    </row>
    <row r="102"/>
    <row r="103">
      <c r="E103" s="106"/>
    </row>
  </sheetData>
  <mergeCells>
    <mergeCell ref="B46:C46"/>
    <mergeCell ref="A37:A52"/>
    <mergeCell ref="B51:C51"/>
    <mergeCell ref="B52:C52"/>
    <mergeCell ref="B41:C41"/>
    <mergeCell ref="AD35:AD36"/>
    <mergeCell ref="T35:V35"/>
    <mergeCell ref="J35:S35"/>
    <mergeCell ref="D35:I35"/>
    <mergeCell ref="A35:C35"/>
    <mergeCell ref="A11:A21"/>
    <mergeCell ref="B21:C21"/>
    <mergeCell ref="B15:C15"/>
    <mergeCell ref="AD9:AD10"/>
    <mergeCell ref="T9:V9"/>
    <mergeCell ref="J9:S9"/>
    <mergeCell ref="D9:I9"/>
    <mergeCell ref="A9:C9"/>
    <mergeCell ref="B8:C8"/>
    <mergeCell ref="B7:C7"/>
    <mergeCell ref="A3:A8"/>
    <mergeCell ref="AD1:AD2"/>
    <mergeCell ref="T1:V1"/>
    <mergeCell ref="J1:S1"/>
    <mergeCell ref="D1:I1"/>
    <mergeCell ref="A1:C1"/>
    <mergeCell ref="B20:C20"/>
    <mergeCell ref="A24:A34"/>
    <mergeCell ref="B34:C34"/>
    <mergeCell ref="B28:C28"/>
    <mergeCell ref="AD22:AD23"/>
    <mergeCell ref="T22:V22"/>
    <mergeCell ref="J22:S22"/>
    <mergeCell ref="D22:I22"/>
    <mergeCell ref="A22:C22"/>
    <mergeCell ref="B33:C33"/>
    <mergeCell ref="AD53:AD54"/>
    <mergeCell ref="T53:V53"/>
    <mergeCell ref="J53:S53"/>
    <mergeCell ref="D53:I53"/>
    <mergeCell ref="A53:C53"/>
    <mergeCell ref="B75:C75"/>
    <mergeCell ref="B74:C74"/>
    <mergeCell ref="B69:C69"/>
    <mergeCell ref="B64:C64"/>
    <mergeCell ref="B59:C59"/>
    <mergeCell ref="A55:A75"/>
    <mergeCell ref="AD76:AD77"/>
    <mergeCell ref="T76:V76"/>
    <mergeCell ref="J76:S76"/>
    <mergeCell ref="D76:I76"/>
    <mergeCell ref="A76:C76"/>
    <mergeCell ref="A78:A98"/>
    <mergeCell ref="B82:C82"/>
    <mergeCell ref="B87:C87"/>
    <mergeCell ref="B92:C92"/>
    <mergeCell ref="B97:C97"/>
    <mergeCell ref="B98:C9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