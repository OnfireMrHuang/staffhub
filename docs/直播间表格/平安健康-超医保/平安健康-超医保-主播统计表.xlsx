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<sst xmlns="http://schemas.openxmlformats.org/spreadsheetml/2006/main" count="52" uniqueCount="52">
  <si>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</si>
  <si>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</si>
  <si>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</si>
  <si>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</si>
  <si>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</si>
  <si>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</si>
  <si>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</si>
  <si>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</si>
  <si>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</si>
  <si>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</si>
  <si>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</si>
  <si>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</si>
  <si>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</si>
  <si>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</si>
  <si>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</si>
  <si>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</si>
  <si>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</si>
  <si>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</si>
  <si>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</si>
  <si>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</si>
  <si>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</si>
  <si>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</si>
  <si>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</si>
  <si>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</si>
  <si>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</si>
  <si>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</si>
  <si>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</si>
  <si>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</si>
  <si>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</si>
  <si>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</si>
  <si>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</si>
  <si>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</si>
  <si>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</si>
  <si>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</si>
  <si>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孙克岚</t>
  </si>
  <si>
    <t xml:space="preserve">20:00-24:00</t>
  </si>
  <si>
    <t xml:space="preserve">李叶叶双</t>
  </si>
  <si>
    <t xml:space="preserve">赖法彬</t>
  </si>
  <si>
    <t xml:space="preserve">陈哲贤</t>
  </si>
  <si>
    <t xml:space="preserve">16:00-20:00</t>
  </si>
  <si>
    <t xml:space="preserve">李叶叶</t>
  </si>
  <si>
    <t xml:space="preserve">16:00-24:00</t>
  </si>
  <si>
    <t xml:space="preserve">12:00-16:00</t>
  </si>
  <si>
    <t xml:space="preserve">曹颖慧双</t>
  </si>
  <si>
    <t xml:space="preserve">张德华</t>
  </si>
  <si>
    <t xml:space="preserve">孙文曜</t>
  </si>
  <si>
    <t xml:space="preserve">12:00-24:00</t>
  </si>
  <si>
    <t xml:space="preserve">08:00-12:00</t>
  </si>
  <si>
    <t xml:space="preserve">李哲双</t>
  </si>
  <si>
    <t xml:space="preserve">陈蕾</t>
  </si>
  <si>
    <t xml:space="preserve">8:00-24:00</t>
  </si>
  <si>
    <t xml:space="preserve">张欣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</si>
</sst>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_ "/>
    <numFmt numFmtId="165" formatCode="yyyy/m/d"/>
    <numFmt numFmtId="166" formatCode="0.00_);[Red]\(0.00\)"/>
    <numFmt numFmtId="167" formatCode="0.00%"/>
    <numFmt numFmtId="168" formatCode="0.00_ "/>
  </numFmts>
  <fonts count="6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A415C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2" numFmtId="0" xfId="0">
      <alignment horizontal="center" vertical="center"/>
    </xf>
    <xf applyAlignment="true" applyBorder="false" applyFill="true" applyFont="true" applyNumberFormat="true" applyProtection="false" borderId="1" fillId="2" fontId="3" numFmtId="166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true" applyFont="true" applyNumberFormat="true" applyProtection="false" borderId="1" fillId="2" fontId="1" numFmtId="168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2" fillId="7" fontId="4" numFmtId="165" xfId="0">
      <alignment horizontal="center" vertical="center"/>
    </xf>
    <xf applyAlignment="true" applyBorder="false" applyFill="true" applyFont="true" applyNumberFormat="false" applyProtection="false" borderId="2" fillId="7" fontId="4" numFmtId="0" xfId="0">
      <alignment horizontal="center" vertical="center"/>
    </xf>
    <xf applyAlignment="true" applyBorder="false" applyFill="true" applyFont="true" applyNumberFormat="false" applyProtection="false" borderId="2" fillId="7" fontId="4" numFmtId="0" xfId="0">
      <alignment horizontal="center" vertical="center"/>
    </xf>
    <xf applyAlignment="true" applyBorder="false" applyFill="true" applyFont="true" applyNumberFormat="true" applyProtection="false" borderId="1" fillId="7" fontId="4" numFmtId="166" xfId="0">
      <alignment horizontal="center" vertical="center"/>
    </xf>
    <xf applyAlignment="true" applyBorder="false" applyFill="true" applyFont="true" applyNumberFormat="false" applyProtection="false" borderId="1" fillId="7" fontId="4" numFmtId="0" xfId="0">
      <alignment horizontal="center" vertical="center"/>
    </xf>
    <xf applyAlignment="true" applyBorder="false" applyFill="true" applyFont="true" applyNumberFormat="true" applyProtection="false" borderId="1" fillId="7" fontId="4" numFmtId="167" xfId="0">
      <alignment horizontal="center" vertical="center"/>
    </xf>
    <xf applyAlignment="true" applyBorder="false" applyFill="true" applyFont="true" applyNumberFormat="true" applyProtection="false" borderId="1" fillId="7" fontId="4" numFmtId="168" xfId="0">
      <alignment horizontal="center" vertical="center"/>
    </xf>
    <xf applyAlignment="true" applyBorder="false" applyFill="true" applyFont="true" applyNumberFormat="false" applyProtection="false" borderId="1" fillId="6" fontId="2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4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>
      <c r="A2" s="5">
        <v>46309</v>
      </c>
      <c r="B2" s="6" t="s">
        <v>34</v>
      </c>
      <c r="C2" s="1" t="s">
        <v>35</v>
      </c>
      <c r="D2" s="6">
        <v>4</v>
      </c>
      <c r="E2" s="7">
        <v>10</v>
      </c>
      <c r="F2" s="8">
        <v>3</v>
      </c>
      <c r="G2" s="9">
        <v>0</v>
      </c>
      <c r="H2" s="9">
        <v>3</v>
      </c>
      <c r="I2" s="7">
        <v>119.95</v>
      </c>
      <c r="J2" s="9">
        <v>0</v>
      </c>
      <c r="K2" s="9">
        <v>0</v>
      </c>
      <c r="L2" s="1">
        <f>I2*12+K2</f>
      </c>
      <c r="M2" s="10">
        <v>1614.31</v>
      </c>
      <c r="N2" s="11">
        <f t="shared" ref="N2:N23" si="11">L2/M2</f>
      </c>
      <c r="O2" s="12">
        <f t="shared" ref="O2:O23" si="12">L2/F2</f>
      </c>
      <c r="P2" s="12">
        <f t="shared" ref="P2:P23" si="8">M2/F2</f>
      </c>
      <c r="Q2" s="9" t="s">
        <v>36</v>
      </c>
      <c r="R2" s="9">
        <v>4</v>
      </c>
      <c r="S2" s="7" t="s">
        <v>37</v>
      </c>
      <c r="T2" s="9">
        <v>4</v>
      </c>
      <c r="U2" s="7">
        <v>16572</v>
      </c>
      <c r="V2" s="7">
        <v>566</v>
      </c>
      <c r="W2" s="7">
        <v>804</v>
      </c>
      <c r="X2" s="7">
        <v>150</v>
      </c>
      <c r="Y2" s="7">
        <v>164</v>
      </c>
      <c r="Z2" s="7">
        <v>14</v>
      </c>
      <c r="AA2" s="7">
        <v>36</v>
      </c>
      <c r="AB2" s="7">
        <v>1</v>
      </c>
      <c r="AC2" s="13">
        <f t="shared" ref="AC2:AC23" si="5">V2/U2</f>
      </c>
      <c r="AD2" s="13">
        <f t="shared" ref="AD2:AD23" si="10">(Z2+AA2+AB2)/W2</f>
      </c>
      <c r="AE2" s="13">
        <f t="shared" ref="AE2:AE23" si="6">X2/W2</f>
      </c>
      <c r="AF2" s="14">
        <f t="shared" ref="AF2:AF23" si="9">AA2/W2</f>
      </c>
      <c r="AG2" s="15">
        <f t="shared" ref="AG2:AG23" si="7">M2/Y2</f>
      </c>
      <c r="AH2" s="16"/>
    </row>
    <row r="3">
      <c r="A3" s="17">
        <v>46309</v>
      </c>
      <c r="B3" s="18"/>
      <c r="C3" s="19" t="s">
        <v>35</v>
      </c>
      <c r="D3" s="18">
        <f>SUM(D2)</f>
      </c>
      <c r="E3" s="18">
        <f>SUM(E2)</f>
      </c>
      <c r="F3" s="18">
        <f>SUM(F2)</f>
      </c>
      <c r="G3" s="18">
        <f>SUM(G2)</f>
      </c>
      <c r="H3" s="18">
        <f>SUM(H2)</f>
      </c>
      <c r="I3" s="18">
        <f>SUM(I2)</f>
      </c>
      <c r="J3" s="18">
        <f>SUM(J2)</f>
      </c>
      <c r="K3" s="18">
        <f>SUM(K2)</f>
      </c>
      <c r="L3" s="18">
        <f>SUM(L2)</f>
      </c>
      <c r="M3" s="18">
        <f>SUM(M2)</f>
      </c>
      <c r="N3" s="20">
        <f t="shared" si="11"/>
      </c>
      <c r="O3" s="20">
        <f t="shared" si="12"/>
      </c>
      <c r="P3" s="20">
        <f t="shared" si="8"/>
      </c>
      <c r="Q3" s="21"/>
      <c r="R3" s="18">
        <f>R2</f>
      </c>
      <c r="S3" s="21"/>
      <c r="T3" s="18">
        <f>T2</f>
      </c>
      <c r="U3" s="18">
        <f>SUM(U2)</f>
      </c>
      <c r="V3" s="18">
        <f>SUM(V2)</f>
      </c>
      <c r="W3" s="18">
        <f>SUM(W2)</f>
      </c>
      <c r="X3" s="18">
        <f>SUM(X2)</f>
      </c>
      <c r="Y3" s="18">
        <f>SUM(Y2)</f>
      </c>
      <c r="Z3" s="18">
        <f>SUM(Z2)</f>
      </c>
      <c r="AA3" s="18">
        <f>SUM(AA2)</f>
      </c>
      <c r="AB3" s="18">
        <f>SUM(AB2)</f>
      </c>
      <c r="AC3" s="22">
        <f t="shared" si="5"/>
      </c>
      <c r="AD3" s="22">
        <f t="shared" si="10"/>
      </c>
      <c r="AE3" s="22">
        <f t="shared" si="6"/>
      </c>
      <c r="AF3" s="22">
        <f t="shared" si="9"/>
      </c>
      <c r="AG3" s="23">
        <f t="shared" si="7"/>
      </c>
      <c r="AH3" s="22">
        <f>F3/Y3</f>
      </c>
    </row>
    <row r="4">
      <c r="A4" s="5">
        <v>46310</v>
      </c>
      <c r="B4" s="6" t="s">
        <v>38</v>
      </c>
      <c r="C4" s="6" t="s">
        <v>39</v>
      </c>
      <c r="D4" s="6">
        <v>4</v>
      </c>
      <c r="E4" s="7">
        <v>6</v>
      </c>
      <c r="F4" s="8">
        <v>2</v>
      </c>
      <c r="G4" s="9">
        <v>1</v>
      </c>
      <c r="H4" s="9">
        <v>2</v>
      </c>
      <c r="I4" s="7">
        <v>125.66</v>
      </c>
      <c r="J4" s="9">
        <v>0</v>
      </c>
      <c r="K4" s="9">
        <v>0</v>
      </c>
      <c r="L4" s="1">
        <f t="shared" ref="L4:L5" si="0">I4*12+K4</f>
      </c>
      <c r="M4" s="10">
        <v>783.37</v>
      </c>
      <c r="N4" s="11">
        <f t="shared" si="11"/>
      </c>
      <c r="O4" s="12">
        <f t="shared" si="12"/>
      </c>
      <c r="P4" s="12">
        <f t="shared" si="8"/>
      </c>
      <c r="Q4" s="9" t="s">
        <v>40</v>
      </c>
      <c r="R4" s="9">
        <v>8</v>
      </c>
      <c r="S4" s="7" t="s">
        <v>37</v>
      </c>
      <c r="T4" s="9">
        <v>8</v>
      </c>
      <c r="U4" s="7">
        <v>3820</v>
      </c>
      <c r="V4" s="7">
        <v>447</v>
      </c>
      <c r="W4" s="7">
        <v>638</v>
      </c>
      <c r="X4" s="7">
        <v>163</v>
      </c>
      <c r="Y4" s="7">
        <v>49</v>
      </c>
      <c r="Z4" s="7">
        <v>10</v>
      </c>
      <c r="AA4" s="7">
        <v>25</v>
      </c>
      <c r="AB4" s="7">
        <v>1</v>
      </c>
      <c r="AC4" s="13">
        <f t="shared" si="5"/>
      </c>
      <c r="AD4" s="13">
        <f t="shared" si="10"/>
      </c>
      <c r="AE4" s="13">
        <f t="shared" si="6"/>
      </c>
      <c r="AF4" s="14">
        <f t="shared" si="9"/>
      </c>
      <c r="AG4" s="15">
        <f t="shared" si="7"/>
      </c>
      <c r="AH4" s="16"/>
    </row>
    <row customHeight="true" ht="16.071428571428573" r="5">
      <c r="A5" s="5">
        <v>46310</v>
      </c>
      <c r="B5" s="6" t="s">
        <v>34</v>
      </c>
      <c r="C5" s="1" t="s">
        <v>35</v>
      </c>
      <c r="D5" s="6">
        <v>4</v>
      </c>
      <c r="E5" s="7">
        <v>13</v>
      </c>
      <c r="F5" s="8">
        <v>5</v>
      </c>
      <c r="G5" s="9">
        <v>2</v>
      </c>
      <c r="H5" s="9">
        <v>5</v>
      </c>
      <c r="I5" s="7">
        <v>325.40999999999997</v>
      </c>
      <c r="J5" s="9">
        <v>0</v>
      </c>
      <c r="K5" s="9">
        <v>0</v>
      </c>
      <c r="L5" s="1">
        <f t="shared" si="0"/>
      </c>
      <c r="M5" s="10">
        <v>1299.19</v>
      </c>
      <c r="N5" s="11">
        <f t="shared" si="11"/>
      </c>
      <c r="O5" s="12">
        <f t="shared" si="12"/>
      </c>
      <c r="P5" s="12">
        <f t="shared" si="8"/>
      </c>
      <c r="Q5" s="9"/>
      <c r="R5" s="9"/>
      <c r="S5" s="7"/>
      <c r="T5" s="9"/>
      <c r="U5" s="7">
        <v>5007</v>
      </c>
      <c r="V5" s="7">
        <v>683</v>
      </c>
      <c r="W5" s="7">
        <v>999</v>
      </c>
      <c r="X5" s="7">
        <v>262</v>
      </c>
      <c r="Y5" s="7">
        <v>34</v>
      </c>
      <c r="Z5" s="7">
        <v>13</v>
      </c>
      <c r="AA5" s="7">
        <v>42</v>
      </c>
      <c r="AB5" s="7">
        <v>0</v>
      </c>
      <c r="AC5" s="13">
        <f t="shared" si="5"/>
      </c>
      <c r="AD5" s="13">
        <f t="shared" si="10"/>
      </c>
      <c r="AE5" s="13">
        <f t="shared" si="6"/>
      </c>
      <c r="AF5" s="14">
        <f t="shared" si="9"/>
      </c>
      <c r="AG5" s="15">
        <f t="shared" si="7"/>
      </c>
      <c r="AH5" s="16"/>
    </row>
    <row r="6">
      <c r="A6" s="17">
        <v>46310</v>
      </c>
      <c r="B6" s="18"/>
      <c r="C6" s="19" t="s">
        <v>41</v>
      </c>
      <c r="D6" s="18">
        <f>SUM(D4+D5)</f>
      </c>
      <c r="E6" s="18">
        <f>SUM(E4+E5)</f>
      </c>
      <c r="F6" s="18">
        <f>SUM(F4+F5)</f>
      </c>
      <c r="G6" s="18">
        <f>SUM(G4+G5)</f>
      </c>
      <c r="H6" s="18">
        <f>SUM(H4+H5)</f>
      </c>
      <c r="I6" s="18">
        <f>SUM(I4+I5)</f>
      </c>
      <c r="J6" s="18">
        <f>SUM(J4+J5)</f>
      </c>
      <c r="K6" s="18">
        <f>SUM(K4+K5)</f>
      </c>
      <c r="L6" s="18">
        <f>SUM(L4+L5)</f>
      </c>
      <c r="M6" s="18">
        <f>SUM(M4+M5)</f>
      </c>
      <c r="N6" s="20">
        <f t="shared" si="11"/>
      </c>
      <c r="O6" s="20">
        <f t="shared" si="12"/>
      </c>
      <c r="P6" s="20">
        <f t="shared" si="8"/>
      </c>
      <c r="Q6" s="21"/>
      <c r="R6" s="18">
        <f>R4+R5</f>
      </c>
      <c r="S6" s="21"/>
      <c r="T6" s="18">
        <f>T4</f>
      </c>
      <c r="U6" s="18">
        <f>SUM(U4+U5)</f>
      </c>
      <c r="V6" s="18">
        <f>SUM(V4+V5)</f>
      </c>
      <c r="W6" s="18">
        <f>SUM(W4+W5)</f>
      </c>
      <c r="X6" s="18">
        <f>SUM(X4+X5)</f>
      </c>
      <c r="Y6" s="18">
        <f>SUM(Y4+Y5)</f>
      </c>
      <c r="Z6" s="18">
        <f>SUM(Z4+Z5)</f>
      </c>
      <c r="AA6" s="18">
        <f>SUM(AA4+AA5)</f>
      </c>
      <c r="AB6" s="18">
        <f>SUM(AB4+AB5)</f>
      </c>
      <c r="AC6" s="22">
        <f t="shared" si="5"/>
      </c>
      <c r="AD6" s="22">
        <f t="shared" si="10"/>
      </c>
      <c r="AE6" s="22">
        <f t="shared" si="6"/>
      </c>
      <c r="AF6" s="22">
        <f t="shared" si="9"/>
      </c>
      <c r="AG6" s="23">
        <f t="shared" si="7"/>
      </c>
      <c r="AH6" s="22">
        <f>F6/Y6</f>
      </c>
    </row>
    <row r="7">
      <c r="A7" s="5">
        <v>46311</v>
      </c>
      <c r="B7" s="6" t="s">
        <v>34</v>
      </c>
      <c r="C7" s="6" t="s">
        <v>39</v>
      </c>
      <c r="D7" s="6">
        <v>4</v>
      </c>
      <c r="E7" s="7">
        <v>7</v>
      </c>
      <c r="F7" s="8">
        <v>1</v>
      </c>
      <c r="G7" s="9">
        <v>1</v>
      </c>
      <c r="H7" s="9">
        <v>1</v>
      </c>
      <c r="I7" s="7">
        <v>48.13</v>
      </c>
      <c r="J7" s="9">
        <v>0</v>
      </c>
      <c r="K7" s="9">
        <v>0</v>
      </c>
      <c r="L7" s="1">
        <f t="shared" ref="L7:L8" si="1">I7*12+K7</f>
      </c>
      <c r="M7" s="24">
        <v>1898.34</v>
      </c>
      <c r="N7" s="11">
        <f t="shared" si="11"/>
      </c>
      <c r="O7" s="12">
        <f t="shared" si="12"/>
      </c>
      <c r="P7" s="12">
        <f t="shared" si="8"/>
      </c>
      <c r="Q7" s="9" t="s">
        <v>36</v>
      </c>
      <c r="R7" s="9">
        <v>8</v>
      </c>
      <c r="S7" s="7" t="s">
        <v>37</v>
      </c>
      <c r="T7" s="9">
        <v>8</v>
      </c>
      <c r="U7" s="7">
        <v>3474</v>
      </c>
      <c r="V7" s="7">
        <v>1074</v>
      </c>
      <c r="W7" s="7">
        <v>1729</v>
      </c>
      <c r="X7" s="7">
        <v>532</v>
      </c>
      <c r="Y7" s="7">
        <v>21</v>
      </c>
      <c r="Z7" s="7">
        <v>21</v>
      </c>
      <c r="AA7" s="7">
        <v>57</v>
      </c>
      <c r="AB7" s="7">
        <v>0</v>
      </c>
      <c r="AC7" s="13">
        <f t="shared" si="5"/>
      </c>
      <c r="AD7" s="13">
        <f t="shared" si="10"/>
      </c>
      <c r="AE7" s="13">
        <f t="shared" si="6"/>
      </c>
      <c r="AF7" s="14">
        <f t="shared" si="9"/>
      </c>
      <c r="AG7" s="15">
        <f t="shared" si="7"/>
      </c>
      <c r="AH7" s="16"/>
    </row>
    <row r="8">
      <c r="A8" s="5">
        <v>46311</v>
      </c>
      <c r="B8" s="6" t="s">
        <v>38</v>
      </c>
      <c r="C8" s="1" t="s">
        <v>35</v>
      </c>
      <c r="D8" s="6">
        <v>4</v>
      </c>
      <c r="E8" s="7">
        <v>10</v>
      </c>
      <c r="F8" s="8">
        <v>3</v>
      </c>
      <c r="G8" s="9">
        <v>2</v>
      </c>
      <c r="H8" s="9">
        <v>3</v>
      </c>
      <c r="I8" s="7">
        <v>103.65</v>
      </c>
      <c r="J8" s="9">
        <v>0</v>
      </c>
      <c r="K8" s="9">
        <v>0</v>
      </c>
      <c r="L8" s="1">
        <f t="shared" si="1"/>
      </c>
      <c r="M8" s="24">
        <v>1089.63</v>
      </c>
      <c r="N8" s="11">
        <f t="shared" si="11"/>
      </c>
      <c r="O8" s="12">
        <f t="shared" si="12"/>
      </c>
      <c r="P8" s="12">
        <f t="shared" si="8"/>
      </c>
      <c r="Q8" s="9"/>
      <c r="R8" s="9"/>
      <c r="S8" s="7"/>
      <c r="T8" s="9"/>
      <c r="U8" s="7">
        <v>3019</v>
      </c>
      <c r="V8" s="7">
        <v>459</v>
      </c>
      <c r="W8" s="7">
        <v>753</v>
      </c>
      <c r="X8" s="7">
        <v>157</v>
      </c>
      <c r="Y8" s="7">
        <v>23</v>
      </c>
      <c r="Z8" s="7">
        <v>3</v>
      </c>
      <c r="AA8" s="7">
        <v>23</v>
      </c>
      <c r="AB8" s="7">
        <v>0</v>
      </c>
      <c r="AC8" s="13">
        <f t="shared" si="5"/>
      </c>
      <c r="AD8" s="13">
        <f t="shared" si="10"/>
      </c>
      <c r="AE8" s="13">
        <f t="shared" si="6"/>
      </c>
      <c r="AF8" s="14">
        <f t="shared" si="9"/>
      </c>
      <c r="AG8" s="15">
        <f t="shared" si="7"/>
      </c>
      <c r="AH8" s="16"/>
    </row>
    <row r="9">
      <c r="A9" s="17">
        <v>46311</v>
      </c>
      <c r="B9" s="18"/>
      <c r="C9" s="19" t="s">
        <v>41</v>
      </c>
      <c r="D9" s="18">
        <f>SUM(D7+D8)</f>
      </c>
      <c r="E9" s="18">
        <f>SUM(E7+E8)</f>
      </c>
      <c r="F9" s="18">
        <f>SUM(F7+F8)</f>
      </c>
      <c r="G9" s="18">
        <f>SUM(G7+G8)</f>
      </c>
      <c r="H9" s="18">
        <f>SUM(H7+H8)</f>
      </c>
      <c r="I9" s="18">
        <f>SUM(I7+I8)</f>
      </c>
      <c r="J9" s="18">
        <f>SUM(J7+J8)</f>
      </c>
      <c r="K9" s="18">
        <f>SUM(K7+K8)</f>
      </c>
      <c r="L9" s="18">
        <f>SUM(L7+L8)</f>
      </c>
      <c r="M9" s="18">
        <f>SUM(M7+M8)</f>
      </c>
      <c r="N9" s="20">
        <f t="shared" si="11"/>
      </c>
      <c r="O9" s="20">
        <f t="shared" si="12"/>
      </c>
      <c r="P9" s="20">
        <f t="shared" si="8"/>
      </c>
      <c r="Q9" s="21"/>
      <c r="R9" s="18">
        <f>R7+R8</f>
      </c>
      <c r="S9" s="21"/>
      <c r="T9" s="18">
        <f>T7</f>
      </c>
      <c r="U9" s="18">
        <f>SUM(U7+U8)</f>
      </c>
      <c r="V9" s="18">
        <f>SUM(V7+V8)</f>
      </c>
      <c r="W9" s="18">
        <f>SUM(W7+W8)</f>
      </c>
      <c r="X9" s="18">
        <f>SUM(X7+X8)</f>
      </c>
      <c r="Y9" s="18">
        <f>SUM(Y7+Y8)</f>
      </c>
      <c r="Z9" s="18">
        <f>SUM(Z7+Z8)</f>
      </c>
      <c r="AA9" s="18">
        <f>SUM(AA7+AA8)</f>
      </c>
      <c r="AB9" s="18">
        <f>SUM(AB7+AB8)</f>
      </c>
      <c r="AC9" s="22">
        <f t="shared" si="5"/>
      </c>
      <c r="AD9" s="22">
        <f t="shared" si="10"/>
      </c>
      <c r="AE9" s="22">
        <f t="shared" si="6"/>
      </c>
      <c r="AF9" s="22">
        <f t="shared" si="9"/>
      </c>
      <c r="AG9" s="23">
        <f t="shared" si="7"/>
      </c>
      <c r="AH9" s="22">
        <f>F9/Y9</f>
      </c>
    </row>
    <row r="10">
      <c r="A10" s="5">
        <v>46312</v>
      </c>
      <c r="B10" s="6" t="s">
        <v>34</v>
      </c>
      <c r="C10" s="6" t="s">
        <v>42</v>
      </c>
      <c r="D10" s="6">
        <v>4</v>
      </c>
      <c r="E10" s="9">
        <v>20</v>
      </c>
      <c r="F10" s="25">
        <v>6</v>
      </c>
      <c r="G10" s="9">
        <v>6</v>
      </c>
      <c r="H10" s="9">
        <v>6</v>
      </c>
      <c r="I10" s="7">
        <v>302.91</v>
      </c>
      <c r="J10" s="9">
        <v>0</v>
      </c>
      <c r="K10" s="9">
        <v>0</v>
      </c>
      <c r="L10" s="1">
        <f t="shared" ref="L10:L12" si="2">I10*12+K10</f>
      </c>
      <c r="M10" s="10">
        <v>7715.75</v>
      </c>
      <c r="N10" s="11">
        <f t="shared" si="11"/>
      </c>
      <c r="O10" s="12">
        <f t="shared" si="12"/>
      </c>
      <c r="P10" s="12">
        <f t="shared" si="8"/>
      </c>
      <c r="Q10" s="9" t="s">
        <v>43</v>
      </c>
      <c r="R10" s="9">
        <v>12</v>
      </c>
      <c r="S10" s="9" t="s">
        <v>44</v>
      </c>
      <c r="T10" s="9">
        <v>6</v>
      </c>
      <c r="U10" s="7">
        <v>13232</v>
      </c>
      <c r="V10" s="7">
        <v>2249</v>
      </c>
      <c r="W10" s="7">
        <v>3216</v>
      </c>
      <c r="X10" s="7">
        <v>1005</v>
      </c>
      <c r="Y10" s="7">
        <v>30</v>
      </c>
      <c r="Z10" s="7">
        <v>42</v>
      </c>
      <c r="AA10" s="7">
        <v>179</v>
      </c>
      <c r="AB10" s="7">
        <v>0</v>
      </c>
      <c r="AC10" s="13">
        <f t="shared" si="5"/>
      </c>
      <c r="AD10" s="13">
        <f t="shared" si="10"/>
      </c>
      <c r="AE10" s="13">
        <f t="shared" si="6"/>
      </c>
      <c r="AF10" s="14">
        <f t="shared" si="9"/>
      </c>
      <c r="AG10" s="15">
        <f t="shared" si="7"/>
      </c>
      <c r="AH10" s="16"/>
    </row>
    <row customHeight="true" ht="16.071428571428573" r="11">
      <c r="A11" s="5">
        <v>46312</v>
      </c>
      <c r="B11" s="6" t="s">
        <v>38</v>
      </c>
      <c r="C11" s="6" t="s">
        <v>39</v>
      </c>
      <c r="D11" s="6">
        <v>4</v>
      </c>
      <c r="E11" s="9">
        <v>34</v>
      </c>
      <c r="F11" s="25">
        <v>13</v>
      </c>
      <c r="G11" s="9">
        <v>11</v>
      </c>
      <c r="H11" s="9">
        <v>13</v>
      </c>
      <c r="I11" s="7">
        <v>723.65</v>
      </c>
      <c r="J11" s="9">
        <v>0</v>
      </c>
      <c r="K11" s="9">
        <v>0</v>
      </c>
      <c r="L11" s="1">
        <f t="shared" si="2"/>
      </c>
      <c r="M11" s="10">
        <v>18696.780000000002</v>
      </c>
      <c r="N11" s="11">
        <f t="shared" si="11"/>
      </c>
      <c r="O11" s="12">
        <f t="shared" si="12"/>
      </c>
      <c r="P11" s="12">
        <f t="shared" si="8"/>
      </c>
      <c r="Q11" s="9"/>
      <c r="R11" s="9"/>
      <c r="S11" s="7" t="s">
        <v>37</v>
      </c>
      <c r="T11" s="9">
        <v>6</v>
      </c>
      <c r="U11" s="7">
        <v>34672</v>
      </c>
      <c r="V11" s="7">
        <v>6503</v>
      </c>
      <c r="W11" s="7">
        <v>10263</v>
      </c>
      <c r="X11" s="7">
        <v>3338</v>
      </c>
      <c r="Y11" s="7">
        <v>40</v>
      </c>
      <c r="Z11" s="7">
        <v>62</v>
      </c>
      <c r="AA11" s="7">
        <v>461</v>
      </c>
      <c r="AB11" s="7">
        <v>5</v>
      </c>
      <c r="AC11" s="13">
        <f t="shared" si="5"/>
      </c>
      <c r="AD11" s="13">
        <f t="shared" si="10"/>
      </c>
      <c r="AE11" s="13">
        <f t="shared" si="6"/>
      </c>
      <c r="AF11" s="14">
        <f t="shared" si="9"/>
      </c>
      <c r="AG11" s="15">
        <f t="shared" si="7"/>
      </c>
      <c r="AH11" s="16"/>
    </row>
    <row r="12">
      <c r="A12" s="5">
        <v>46312</v>
      </c>
      <c r="B12" s="6" t="s">
        <v>45</v>
      </c>
      <c r="C12" s="1" t="s">
        <v>35</v>
      </c>
      <c r="D12" s="6">
        <v>4</v>
      </c>
      <c r="E12" s="9">
        <v>40</v>
      </c>
      <c r="F12" s="25">
        <v>15</v>
      </c>
      <c r="G12" s="9">
        <v>11</v>
      </c>
      <c r="H12" s="9">
        <v>15</v>
      </c>
      <c r="I12" s="7">
        <v>944.1699999999998</v>
      </c>
      <c r="J12" s="9">
        <v>0</v>
      </c>
      <c r="K12" s="9">
        <v>0</v>
      </c>
      <c r="L12" s="1">
        <f t="shared" si="2"/>
      </c>
      <c r="M12" s="10">
        <v>11758.380000000001</v>
      </c>
      <c r="N12" s="11">
        <f t="shared" si="11"/>
      </c>
      <c r="O12" s="12">
        <f t="shared" si="12"/>
      </c>
      <c r="P12" s="12">
        <f t="shared" si="8"/>
      </c>
      <c r="Q12" s="9"/>
      <c r="R12" s="9"/>
      <c r="S12" s="7"/>
      <c r="T12" s="9"/>
      <c r="U12" s="7">
        <v>23129</v>
      </c>
      <c r="V12" s="7">
        <v>6188</v>
      </c>
      <c r="W12" s="7">
        <v>10443</v>
      </c>
      <c r="X12" s="7">
        <v>3271</v>
      </c>
      <c r="Y12" s="7">
        <v>21</v>
      </c>
      <c r="Z12" s="7">
        <v>74</v>
      </c>
      <c r="AA12" s="7">
        <v>594</v>
      </c>
      <c r="AB12" s="7">
        <v>0</v>
      </c>
      <c r="AC12" s="13">
        <f t="shared" si="5"/>
      </c>
      <c r="AD12" s="13">
        <f t="shared" si="10"/>
      </c>
      <c r="AE12" s="13">
        <f t="shared" si="6"/>
      </c>
      <c r="AF12" s="14">
        <f t="shared" si="9"/>
      </c>
      <c r="AG12" s="15">
        <f t="shared" si="7"/>
      </c>
      <c r="AH12" s="16"/>
    </row>
    <row r="13">
      <c r="A13" s="17">
        <v>46312</v>
      </c>
      <c r="B13" s="18"/>
      <c r="C13" s="19" t="s">
        <v>46</v>
      </c>
      <c r="D13" s="18">
        <f>SUM(D10:D12)</f>
      </c>
      <c r="E13" s="18">
        <f>SUM(E10:E12)</f>
      </c>
      <c r="F13" s="18">
        <f>SUM(F10:F12)</f>
      </c>
      <c r="G13" s="18">
        <f>SUM(G10:G12)</f>
      </c>
      <c r="H13" s="18">
        <f>SUM(H10:H12)</f>
      </c>
      <c r="I13" s="18">
        <f>SUM(I10:I12)</f>
      </c>
      <c r="J13" s="18">
        <f>SUM(J10:J12)</f>
      </c>
      <c r="K13" s="18">
        <f>SUM(K10:K12)</f>
      </c>
      <c r="L13" s="18">
        <f>SUM(L10:L12)</f>
      </c>
      <c r="M13" s="18">
        <f>SUM(M10:M12)</f>
      </c>
      <c r="N13" s="20">
        <f t="shared" si="11"/>
      </c>
      <c r="O13" s="20">
        <f t="shared" si="12"/>
      </c>
      <c r="P13" s="20">
        <f t="shared" si="8"/>
      </c>
      <c r="Q13" s="21"/>
      <c r="R13" s="18">
        <f>R10+R12</f>
      </c>
      <c r="S13" s="21"/>
      <c r="T13" s="18">
        <f>T10</f>
      </c>
      <c r="U13" s="18">
        <f>SUM(U10:U12)</f>
      </c>
      <c r="V13" s="18">
        <f>SUM(V10:V12)</f>
      </c>
      <c r="W13" s="18">
        <f>SUM(W10:W12)</f>
      </c>
      <c r="X13" s="18">
        <f>SUM(X10:X12)</f>
      </c>
      <c r="Y13" s="18">
        <f>SUM(Y10:Y12)</f>
      </c>
      <c r="Z13" s="18">
        <f>SUM(Z10:Z12)</f>
      </c>
      <c r="AA13" s="18">
        <f>SUM(AA10:AA12)</f>
      </c>
      <c r="AB13" s="18">
        <f>SUM(AB10:AB12)</f>
      </c>
      <c r="AC13" s="22">
        <f t="shared" si="5"/>
      </c>
      <c r="AD13" s="22">
        <f t="shared" si="10"/>
      </c>
      <c r="AE13" s="22">
        <f t="shared" si="6"/>
      </c>
      <c r="AF13" s="22">
        <f t="shared" si="9"/>
      </c>
      <c r="AG13" s="23">
        <f t="shared" si="7"/>
      </c>
      <c r="AH13" s="22">
        <f>F13/Y13</f>
      </c>
    </row>
    <row r="14">
      <c r="A14" s="5">
        <v>46313</v>
      </c>
      <c r="B14" s="6" t="s">
        <v>34</v>
      </c>
      <c r="C14" s="6" t="s">
        <v>47</v>
      </c>
      <c r="D14" s="6">
        <v>4</v>
      </c>
      <c r="E14" s="9">
        <v>47</v>
      </c>
      <c r="F14" s="25">
        <v>11</v>
      </c>
      <c r="G14" s="9">
        <v>11</v>
      </c>
      <c r="H14" s="9">
        <v>11</v>
      </c>
      <c r="I14" s="7">
        <v>434.87</v>
      </c>
      <c r="J14" s="9">
        <v>0</v>
      </c>
      <c r="K14" s="9">
        <v>0</v>
      </c>
      <c r="L14" s="1">
        <f t="shared" ref="L14:L17" si="3">I14*12+K14</f>
      </c>
      <c r="M14" s="10">
        <v>12814.660000000002</v>
      </c>
      <c r="N14" s="11">
        <f t="shared" si="11"/>
      </c>
      <c r="O14" s="12">
        <f t="shared" si="12"/>
      </c>
      <c r="P14" s="12">
        <f t="shared" si="8"/>
      </c>
      <c r="Q14" s="26" t="s">
        <v>48</v>
      </c>
      <c r="R14" s="26">
        <v>4</v>
      </c>
      <c r="S14" s="9" t="s">
        <v>44</v>
      </c>
      <c r="T14" s="9">
        <v>8</v>
      </c>
      <c r="U14" s="7">
        <v>20798</v>
      </c>
      <c r="V14" s="7">
        <v>4990</v>
      </c>
      <c r="W14" s="7">
        <v>7522</v>
      </c>
      <c r="X14" s="7">
        <v>2713</v>
      </c>
      <c r="Y14" s="7">
        <v>29</v>
      </c>
      <c r="Z14" s="7">
        <v>57</v>
      </c>
      <c r="AA14" s="7">
        <v>356</v>
      </c>
      <c r="AB14" s="7">
        <v>0</v>
      </c>
      <c r="AC14" s="13">
        <f t="shared" si="5"/>
      </c>
      <c r="AD14" s="13">
        <f t="shared" si="10"/>
      </c>
      <c r="AE14" s="13">
        <f t="shared" si="6"/>
      </c>
      <c r="AF14" s="14">
        <f t="shared" si="9"/>
      </c>
      <c r="AG14" s="15">
        <f t="shared" si="7"/>
      </c>
      <c r="AH14" s="16"/>
    </row>
    <row r="15">
      <c r="A15" s="5">
        <v>46313</v>
      </c>
      <c r="B15" s="6" t="s">
        <v>49</v>
      </c>
      <c r="C15" s="6" t="s">
        <v>42</v>
      </c>
      <c r="D15" s="6">
        <v>4</v>
      </c>
      <c r="E15" s="9">
        <v>17</v>
      </c>
      <c r="F15" s="25">
        <v>11</v>
      </c>
      <c r="G15" s="9">
        <v>11</v>
      </c>
      <c r="H15" s="9">
        <v>11</v>
      </c>
      <c r="I15" s="7">
        <v>688.02</v>
      </c>
      <c r="J15" s="9">
        <v>0</v>
      </c>
      <c r="K15" s="9">
        <v>0</v>
      </c>
      <c r="L15" s="1">
        <f t="shared" si="3"/>
      </c>
      <c r="M15" s="10">
        <v>14658.239999999998</v>
      </c>
      <c r="N15" s="11">
        <f t="shared" si="11"/>
      </c>
      <c r="O15" s="12">
        <f t="shared" si="12"/>
      </c>
      <c r="P15" s="12">
        <f t="shared" si="8"/>
      </c>
      <c r="Q15" s="9"/>
      <c r="R15" s="9"/>
      <c r="S15" s="7"/>
      <c r="T15" s="9"/>
      <c r="U15" s="7">
        <v>25901</v>
      </c>
      <c r="V15" s="7">
        <v>8744</v>
      </c>
      <c r="W15" s="7">
        <v>13105</v>
      </c>
      <c r="X15" s="7">
        <v>4565</v>
      </c>
      <c r="Y15" s="7">
        <v>17</v>
      </c>
      <c r="Z15" s="7">
        <v>95</v>
      </c>
      <c r="AA15" s="7">
        <v>624</v>
      </c>
      <c r="AB15" s="7">
        <v>0</v>
      </c>
      <c r="AC15" s="13">
        <f t="shared" si="5"/>
      </c>
      <c r="AD15" s="13">
        <f t="shared" si="10"/>
      </c>
      <c r="AE15" s="13">
        <f t="shared" si="6"/>
      </c>
      <c r="AF15" s="14">
        <f t="shared" si="9"/>
      </c>
      <c r="AG15" s="15">
        <f t="shared" si="7"/>
      </c>
      <c r="AH15" s="16"/>
    </row>
    <row customHeight="true" ht="16.071428571428573" r="16">
      <c r="A16" s="5">
        <v>46313</v>
      </c>
      <c r="B16" s="6" t="s">
        <v>38</v>
      </c>
      <c r="C16" s="6" t="s">
        <v>39</v>
      </c>
      <c r="D16" s="6">
        <v>4</v>
      </c>
      <c r="E16" s="9">
        <v>28</v>
      </c>
      <c r="F16" s="25">
        <v>11</v>
      </c>
      <c r="G16" s="9">
        <v>11</v>
      </c>
      <c r="H16" s="9">
        <v>11</v>
      </c>
      <c r="I16" s="7">
        <v>806.6600000000001</v>
      </c>
      <c r="J16" s="9">
        <v>0</v>
      </c>
      <c r="K16" s="9">
        <v>0</v>
      </c>
      <c r="L16" s="1">
        <f t="shared" si="3"/>
      </c>
      <c r="M16" s="10">
        <v>14372.8</v>
      </c>
      <c r="N16" s="11">
        <f t="shared" si="11"/>
      </c>
      <c r="O16" s="12">
        <f t="shared" si="12"/>
      </c>
      <c r="P16" s="12">
        <f t="shared" si="8"/>
      </c>
      <c r="Q16" s="9" t="s">
        <v>43</v>
      </c>
      <c r="R16" s="9">
        <v>12</v>
      </c>
      <c r="S16" s="7" t="s">
        <v>37</v>
      </c>
      <c r="T16" s="9">
        <v>8</v>
      </c>
      <c r="U16" s="7">
        <v>25769</v>
      </c>
      <c r="V16" s="7">
        <v>8292</v>
      </c>
      <c r="W16" s="7">
        <v>12723</v>
      </c>
      <c r="X16" s="7">
        <v>4428</v>
      </c>
      <c r="Y16" s="7">
        <v>20</v>
      </c>
      <c r="Z16" s="7">
        <v>90</v>
      </c>
      <c r="AA16" s="7">
        <v>629</v>
      </c>
      <c r="AB16" s="7">
        <v>0</v>
      </c>
      <c r="AC16" s="13">
        <f t="shared" si="5"/>
      </c>
      <c r="AD16" s="13">
        <f t="shared" si="10"/>
      </c>
      <c r="AE16" s="13">
        <f t="shared" si="6"/>
      </c>
      <c r="AF16" s="14">
        <f t="shared" si="9"/>
      </c>
      <c r="AG16" s="15">
        <f t="shared" si="7"/>
      </c>
      <c r="AH16" s="16"/>
    </row>
    <row r="17">
      <c r="A17" s="5">
        <v>46313</v>
      </c>
      <c r="B17" s="6" t="s">
        <v>45</v>
      </c>
      <c r="C17" s="1" t="s">
        <v>35</v>
      </c>
      <c r="D17" s="6">
        <v>4</v>
      </c>
      <c r="E17" s="9">
        <v>40</v>
      </c>
      <c r="F17" s="25">
        <v>19</v>
      </c>
      <c r="G17" s="9">
        <v>16</v>
      </c>
      <c r="H17" s="9">
        <v>18</v>
      </c>
      <c r="I17" s="7">
        <v>1113.0800000000002</v>
      </c>
      <c r="J17" s="9">
        <v>1</v>
      </c>
      <c r="K17" s="9">
        <v>353</v>
      </c>
      <c r="L17" s="1">
        <f t="shared" si="3"/>
      </c>
      <c r="M17" s="10">
        <v>13481.57</v>
      </c>
      <c r="N17" s="11">
        <f t="shared" si="11"/>
      </c>
      <c r="O17" s="12">
        <f t="shared" si="12"/>
      </c>
      <c r="P17" s="12">
        <f t="shared" si="8"/>
      </c>
      <c r="Q17" s="9"/>
      <c r="R17" s="9"/>
      <c r="S17" s="7"/>
      <c r="T17" s="9"/>
      <c r="U17" s="7">
        <v>27764</v>
      </c>
      <c r="V17" s="7">
        <v>8420</v>
      </c>
      <c r="W17" s="7">
        <v>12842</v>
      </c>
      <c r="X17" s="7">
        <v>4212</v>
      </c>
      <c r="Y17" s="7">
        <v>14</v>
      </c>
      <c r="Z17" s="7">
        <v>100</v>
      </c>
      <c r="AA17" s="7">
        <v>634</v>
      </c>
      <c r="AB17" s="7">
        <v>0</v>
      </c>
      <c r="AC17" s="13">
        <f t="shared" si="5"/>
      </c>
      <c r="AD17" s="13">
        <f t="shared" si="10"/>
      </c>
      <c r="AE17" s="13">
        <f t="shared" si="6"/>
      </c>
      <c r="AF17" s="14">
        <f t="shared" si="9"/>
      </c>
      <c r="AG17" s="15">
        <f t="shared" si="7"/>
      </c>
      <c r="AH17" s="16"/>
    </row>
    <row r="18">
      <c r="A18" s="17">
        <v>46313</v>
      </c>
      <c r="B18" s="18"/>
      <c r="C18" s="19" t="s">
        <v>50</v>
      </c>
      <c r="D18" s="18">
        <f>SUM(D14:D17)</f>
      </c>
      <c r="E18" s="18">
        <f>SUM(E14:E17)</f>
      </c>
      <c r="F18" s="18">
        <f>SUM(F14:F17)</f>
      </c>
      <c r="G18" s="18">
        <f>SUM(G14:G17)</f>
      </c>
      <c r="H18" s="18">
        <f>SUM(H14:H17)</f>
      </c>
      <c r="I18" s="18">
        <f>SUM(I14:I17)</f>
      </c>
      <c r="J18" s="18">
        <f>SUM(J14:J17)</f>
      </c>
      <c r="K18" s="18">
        <f>SUM(K14:K17)</f>
      </c>
      <c r="L18" s="18">
        <f>SUM(L14:L17)</f>
      </c>
      <c r="M18" s="18">
        <f>SUM(M14:M17)</f>
      </c>
      <c r="N18" s="20">
        <f t="shared" si="11"/>
      </c>
      <c r="O18" s="20">
        <f t="shared" si="12"/>
      </c>
      <c r="P18" s="20">
        <f t="shared" si="8"/>
      </c>
      <c r="Q18" s="21"/>
      <c r="R18" s="18">
        <f>SUM(R14:R17)</f>
      </c>
      <c r="S18" s="21"/>
      <c r="T18" s="18">
        <f>SUM(T14:T17)</f>
      </c>
      <c r="U18" s="18">
        <f>SUM(U14:U17)</f>
      </c>
      <c r="V18" s="18">
        <f>SUM(V14:V17)</f>
      </c>
      <c r="W18" s="18">
        <f>SUM(W14:W17)</f>
      </c>
      <c r="X18" s="18">
        <f>SUM(X14:X17)</f>
      </c>
      <c r="Y18" s="18">
        <f>SUM(Y14:Y17)</f>
      </c>
      <c r="Z18" s="18">
        <f>SUM(Z14:Z17)</f>
      </c>
      <c r="AA18" s="18">
        <f>SUM(AA14:AA17)</f>
      </c>
      <c r="AB18" s="18">
        <f>SUM(AB14:AB17)</f>
      </c>
      <c r="AC18" s="22">
        <f t="shared" si="5"/>
      </c>
      <c r="AD18" s="22">
        <f t="shared" si="10"/>
      </c>
      <c r="AE18" s="22">
        <f t="shared" si="6"/>
      </c>
      <c r="AF18" s="22">
        <f t="shared" si="9"/>
      </c>
      <c r="AG18" s="23">
        <f t="shared" si="7"/>
      </c>
      <c r="AH18" s="22">
        <f>F18/Y18</f>
      </c>
    </row>
    <row r="19">
      <c r="A19" s="5">
        <v>46314</v>
      </c>
      <c r="B19" s="6" t="s">
        <v>34</v>
      </c>
      <c r="C19" s="6" t="s">
        <v>47</v>
      </c>
      <c r="D19" s="6">
        <v>4</v>
      </c>
      <c r="E19" s="27">
        <v>30</v>
      </c>
      <c r="F19" s="28">
        <v>9</v>
      </c>
      <c r="G19" s="27">
        <v>9</v>
      </c>
      <c r="H19" s="27">
        <v>9</v>
      </c>
      <c r="I19" s="7">
        <v>788.6799999999998</v>
      </c>
      <c r="J19" s="27">
        <v>0</v>
      </c>
      <c r="K19" s="27">
        <v>0</v>
      </c>
      <c r="L19" s="1">
        <f t="shared" ref="L19:L22" si="4">I19*12+K19</f>
      </c>
      <c r="M19" s="10">
        <v>13992.619999999999</v>
      </c>
      <c r="N19" s="11">
        <f t="shared" si="11"/>
      </c>
      <c r="O19" s="12">
        <f t="shared" si="12"/>
      </c>
      <c r="P19" s="12">
        <f t="shared" si="8"/>
      </c>
      <c r="Q19" s="26" t="s">
        <v>48</v>
      </c>
      <c r="R19" s="26">
        <v>8</v>
      </c>
      <c r="S19" s="9" t="s">
        <v>44</v>
      </c>
      <c r="T19" s="9">
        <v>8</v>
      </c>
      <c r="U19" s="7">
        <v>24868</v>
      </c>
      <c r="V19" s="7">
        <v>6444</v>
      </c>
      <c r="W19" s="7">
        <v>9641</v>
      </c>
      <c r="X19" s="7">
        <v>3638</v>
      </c>
      <c r="Y19" s="7">
        <v>19</v>
      </c>
      <c r="Z19" s="7">
        <v>53</v>
      </c>
      <c r="AA19" s="7">
        <v>388</v>
      </c>
      <c r="AB19" s="7">
        <v>0</v>
      </c>
      <c r="AC19" s="13">
        <f t="shared" si="5"/>
      </c>
      <c r="AD19" s="13">
        <f t="shared" si="10"/>
      </c>
      <c r="AE19" s="13">
        <f t="shared" si="6"/>
      </c>
      <c r="AF19" s="14">
        <f t="shared" si="9"/>
      </c>
      <c r="AG19" s="15">
        <f t="shared" si="7"/>
      </c>
      <c r="AH19" s="16"/>
    </row>
    <row r="20">
      <c r="A20" s="5">
        <v>46314</v>
      </c>
      <c r="B20" s="6" t="s">
        <v>51</v>
      </c>
      <c r="C20" s="6" t="s">
        <v>42</v>
      </c>
      <c r="D20" s="6">
        <v>4</v>
      </c>
      <c r="E20" s="9"/>
      <c r="F20" s="25"/>
      <c r="G20" s="9"/>
      <c r="H20" s="9"/>
      <c r="I20" s="7"/>
      <c r="J20" s="9"/>
      <c r="K20" s="9"/>
      <c r="L20" s="1">
        <f t="shared" si="4"/>
      </c>
      <c r="M20" s="10"/>
      <c r="N20" s="11">
        <f t="shared" si="11"/>
      </c>
      <c r="O20" s="12">
        <f t="shared" si="12"/>
      </c>
      <c r="P20" s="12">
        <f t="shared" si="8"/>
      </c>
      <c r="Q20" s="9"/>
      <c r="R20" s="9"/>
      <c r="S20" s="7"/>
      <c r="T20" s="9"/>
      <c r="U20" s="7"/>
      <c r="V20" s="7"/>
      <c r="W20" s="7"/>
      <c r="X20" s="7"/>
      <c r="Y20" s="7"/>
      <c r="Z20" s="7"/>
      <c r="AA20" s="7"/>
      <c r="AB20" s="7"/>
      <c r="AC20" s="13">
        <f t="shared" si="5"/>
      </c>
      <c r="AD20" s="13">
        <f t="shared" si="10"/>
      </c>
      <c r="AE20" s="13">
        <f t="shared" si="6"/>
      </c>
      <c r="AF20" s="14">
        <f t="shared" si="9"/>
      </c>
      <c r="AG20" s="15">
        <f t="shared" si="7"/>
      </c>
      <c r="AH20" s="16"/>
    </row>
    <row r="21">
      <c r="A21" s="5">
        <v>46314</v>
      </c>
      <c r="B21" s="6" t="s">
        <v>38</v>
      </c>
      <c r="C21" s="6" t="s">
        <v>39</v>
      </c>
      <c r="D21" s="6">
        <v>4</v>
      </c>
      <c r="E21" s="9"/>
      <c r="F21" s="25"/>
      <c r="G21" s="9"/>
      <c r="H21" s="9"/>
      <c r="I21" s="7"/>
      <c r="J21" s="9"/>
      <c r="K21" s="9"/>
      <c r="L21" s="1">
        <f t="shared" si="4"/>
      </c>
      <c r="M21" s="10"/>
      <c r="N21" s="11">
        <f t="shared" si="11"/>
      </c>
      <c r="O21" s="12">
        <f t="shared" si="12"/>
      </c>
      <c r="P21" s="12">
        <f t="shared" si="8"/>
      </c>
      <c r="Q21" s="9" t="s">
        <v>36</v>
      </c>
      <c r="R21" s="9">
        <v>8</v>
      </c>
      <c r="S21" s="7" t="s">
        <v>37</v>
      </c>
      <c r="T21" s="9">
        <v>8</v>
      </c>
      <c r="U21" s="7"/>
      <c r="V21" s="7"/>
      <c r="W21" s="7"/>
      <c r="X21" s="7"/>
      <c r="Y21" s="7"/>
      <c r="Z21" s="7"/>
      <c r="AA21" s="7"/>
      <c r="AB21" s="7"/>
      <c r="AC21" s="13">
        <f t="shared" si="5"/>
      </c>
      <c r="AD21" s="13">
        <f t="shared" si="10"/>
      </c>
      <c r="AE21" s="13">
        <f t="shared" si="6"/>
      </c>
      <c r="AF21" s="14">
        <f t="shared" si="9"/>
      </c>
      <c r="AG21" s="15">
        <f t="shared" si="7"/>
      </c>
      <c r="AH21" s="16"/>
    </row>
    <row r="22">
      <c r="A22" s="5">
        <v>46314</v>
      </c>
      <c r="B22" s="6" t="s">
        <v>45</v>
      </c>
      <c r="C22" s="1" t="s">
        <v>35</v>
      </c>
      <c r="D22" s="6">
        <v>4</v>
      </c>
      <c r="E22" s="9"/>
      <c r="F22" s="25"/>
      <c r="G22" s="9"/>
      <c r="H22" s="9"/>
      <c r="I22" s="7"/>
      <c r="J22" s="9"/>
      <c r="K22" s="9"/>
      <c r="L22" s="1">
        <f t="shared" si="4"/>
      </c>
      <c r="M22" s="10"/>
      <c r="N22" s="11">
        <f t="shared" si="11"/>
      </c>
      <c r="O22" s="12">
        <f t="shared" si="12"/>
      </c>
      <c r="P22" s="12">
        <f t="shared" si="8"/>
      </c>
      <c r="Q22" s="9"/>
      <c r="R22" s="9"/>
      <c r="S22" s="7"/>
      <c r="T22" s="9"/>
      <c r="U22" s="7"/>
      <c r="V22" s="7"/>
      <c r="W22" s="7"/>
      <c r="X22" s="7"/>
      <c r="Y22" s="7"/>
      <c r="Z22" s="7"/>
      <c r="AA22" s="7"/>
      <c r="AB22" s="7"/>
      <c r="AC22" s="13">
        <f t="shared" si="5"/>
      </c>
      <c r="AD22" s="13">
        <f t="shared" si="10"/>
      </c>
      <c r="AE22" s="13">
        <f t="shared" si="6"/>
      </c>
      <c r="AF22" s="14">
        <f t="shared" si="9"/>
      </c>
      <c r="AG22" s="15">
        <f t="shared" si="7"/>
      </c>
      <c r="AH22" s="16"/>
    </row>
    <row r="23">
      <c r="A23" s="17">
        <v>46314</v>
      </c>
      <c r="B23" s="18"/>
      <c r="C23" s="19" t="s">
        <v>50</v>
      </c>
      <c r="D23" s="18">
        <f>SUM(D19:D22)</f>
      </c>
      <c r="E23" s="18">
        <f>SUM(E19:E22)</f>
      </c>
      <c r="F23" s="18">
        <f>SUM(F19:F22)</f>
      </c>
      <c r="G23" s="18">
        <f>SUM(G19:G22)</f>
      </c>
      <c r="H23" s="18">
        <f>SUM(H19:H22)</f>
      </c>
      <c r="I23" s="18">
        <f>SUM(I19:I22)</f>
      </c>
      <c r="J23" s="18">
        <f>SUM(J19:J22)</f>
      </c>
      <c r="K23" s="18">
        <f>SUM(K19:K22)</f>
      </c>
      <c r="L23" s="18">
        <f>SUM(L19:L22)</f>
      </c>
      <c r="M23" s="18">
        <f>SUM(M19:M22)</f>
      </c>
      <c r="N23" s="20">
        <f t="shared" si="11"/>
      </c>
      <c r="O23" s="20">
        <f t="shared" si="12"/>
      </c>
      <c r="P23" s="20">
        <f t="shared" si="8"/>
      </c>
      <c r="Q23" s="21"/>
      <c r="R23" s="18">
        <f>SUM(R19:R22)</f>
      </c>
      <c r="S23" s="21"/>
      <c r="T23" s="18">
        <f>SUM(T19:T22)</f>
      </c>
      <c r="U23" s="18">
        <f>SUM(U19:U22)</f>
      </c>
      <c r="V23" s="18">
        <f>SUM(V19:V22)</f>
      </c>
      <c r="W23" s="18">
        <f>SUM(W19:W22)</f>
      </c>
      <c r="X23" s="18">
        <f>SUM(X19:X22)</f>
      </c>
      <c r="Y23" s="18">
        <f>SUM(Y19:Y22)</f>
      </c>
      <c r="Z23" s="18">
        <f>SUM(Z19:Z22)</f>
      </c>
      <c r="AA23" s="18">
        <f>SUM(AA19:AA22)</f>
      </c>
      <c r="AB23" s="18">
        <f>SUM(AB19:AB22)</f>
      </c>
      <c r="AC23" s="22">
        <f t="shared" si="5"/>
      </c>
      <c r="AD23" s="22">
        <f t="shared" si="10"/>
      </c>
      <c r="AE23" s="22">
        <f t="shared" si="6"/>
      </c>
      <c r="AF23" s="22">
        <f t="shared" si="9"/>
      </c>
      <c r="AG23" s="23">
        <f t="shared" si="7"/>
      </c>
      <c r="AH23" s="22">
        <f>F23/Y23</f>
      </c>
    </row>
  </sheetData>
  <autoFilter ref="A1:AH1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