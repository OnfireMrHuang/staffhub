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worksheets/sheet4.xml" ContentType="application/vnd.openxmlformats-officedocument.spreadsheetml.worksheet+xml"/>
  <Override PartName="/xl/pivotTables/pivotTable2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  <sheet name="2026.9" sheetId="3" r:id="rId6"/>
    <sheet name="2026.8" sheetId="4" r:id="rId8"/>
    <sheet name="10主播实时" sheetId="5" r:id="rId10"/>
    <sheet name="数据透视表" sheetId="6" r:id="rId11"/>
  </sheets>
  <calcPr calcMode="auto"/>
  <pivotCaches>
    <pivotCache cacheId="1" r:id="rId7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<sst xmlns="http://schemas.openxmlformats.org/spreadsheetml/2006/main" count="242" uniqueCount="242">
  <si>
    <t xml:space="preserve">  </t>
  </si>
  <si>
    <t xml:space="preserve">日期</t>
  </si>
  <si>
    <t xml:space="preserve">主播</t>
  </si>
  <si>
    <t xml:space="preserve">直播时段</t>
  </si>
  <si>
    <t xml:space="preserve">时长</t>
  </si>
  <si>
    <t xml:space="preserve">订单数量</t>
  </si>
  <si>
    <t xml:space="preserve">保单数量</t>
  </si>
  <si>
    <t xml:space="preserve">保险支付数</t>
  </si>
  <si>
    <t xml:space="preserve">月缴保单数</t>
  </si>
  <si>
    <t xml:space="preserve">月缴保费</t>
  </si>
  <si>
    <t xml:space="preserve">年交保单数量</t>
  </si>
  <si>
    <t xml:space="preserve">年缴保费</t>
  </si>
  <si>
    <t xml:space="preserve">全民保单数</t>
  </si>
  <si>
    <t xml:space="preserve">全民保保费</t>
  </si>
  <si>
    <t xml:space="preserve">家庭单数量</t>
  </si>
  <si>
    <t xml:space="preserve">家庭单保费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</si>
  <si>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</si>
  <si>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</si>
  <si>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</si>
  <si>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</si>
  <si>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</si>
  <si>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</t>
  </si>
  <si>
    <t xml:space="preserve">助播时长</t>
  </si>
  <si>
    <t xml:space="preserve">助播2</t>
  </si>
  <si>
    <t xml:space="preserve">投手</t>
  </si>
  <si>
    <t xml:space="preserve">曝光数</t>
  </si>
  <si>
    <t xml:space="preserve">点击数</t>
  </si>
  <si>
    <t xml:space="preserve">直播间观看数</t>
  </si>
  <si>
    <t xml:space="preserve">直播间超过1分钟观看数</t>
  </si>
  <si>
    <t xml:space="preserve">组件点击数</t>
  </si>
  <si>
    <t xml:space="preserve">直播间关注数</t>
  </si>
  <si>
    <t xml:space="preserve">直播间评论数</t>
  </si>
  <si>
    <t xml:space="preserve">直播间分享数</t>
  </si>
  <si>
    <t xml:space="preserve">外层点击率</t>
  </si>
  <si>
    <t xml:space="preserve">互动率</t>
  </si>
  <si>
    <t xml:space="preserve">直播间超过1分钟观看率</t>
  </si>
  <si>
    <t xml:space="preserve">直播间评论率</t>
  </si>
  <si>
    <t xml:space="preserve">组件点击成本</t>
  </si>
  <si>
    <t xml:space="preserve">保单率</t>
  </si>
  <si>
    <t xml:space="preserve">张欣</t>
  </si>
  <si>
    <t xml:space="preserve">08:00-12:00</t>
  </si>
  <si>
    <t xml:space="preserve">朱明双</t>
  </si>
  <si>
    <t xml:space="preserve">孙文曜</t>
  </si>
  <si>
    <t xml:space="preserve">12:00-16:00</t>
  </si>
  <si>
    <t xml:space="preserve">朱明</t>
  </si>
  <si>
    <t xml:space="preserve">陈浏铭</t>
  </si>
  <si>
    <t xml:space="preserve">陈哲贤</t>
  </si>
  <si>
    <t xml:space="preserve">16:00-20:00</t>
  </si>
  <si>
    <t xml:space="preserve">李叶叶</t>
  </si>
  <si>
    <t xml:space="preserve">孙克岚</t>
  </si>
  <si>
    <t xml:space="preserve">20:00-24:00</t>
  </si>
  <si>
    <t xml:space="preserve">08:00-24:00</t>
  </si>
  <si>
    <t xml:space="preserve">王雨欣</t>
  </si>
  <si>
    <t xml:space="preserve">陈蕾</t>
  </si>
  <si>
    <t xml:space="preserve">张晓雨双</t>
  </si>
  <si>
    <t xml:space="preserve">16:00-19:00</t>
  </si>
  <si>
    <t xml:space="preserve">19:00-24:00</t>
  </si>
  <si>
    <t xml:space="preserve">卢佳轩双</t>
  </si>
  <si>
    <t xml:space="preserve">06:00-11:00</t>
  </si>
  <si>
    <t xml:space="preserve">11:00-16:00</t>
  </si>
  <si>
    <t xml:space="preserve">米秋全</t>
  </si>
  <si>
    <t xml:space="preserve">16:00-18:00</t>
  </si>
  <si>
    <t xml:space="preserve">18:00-22:00</t>
  </si>
  <si>
    <t xml:space="preserve">22:00-24:00</t>
  </si>
  <si>
    <t xml:space="preserve">06:00-02:00</t>
  </si>
  <si>
    <t xml:space="preserve">00:00-02:00</t>
  </si>
  <si>
    <t xml:space="preserve">李叶叶晚</t>
  </si>
  <si>
    <t xml:space="preserve">00-02/06-24</t>
  </si>
  <si>
    <t xml:space="preserve">陈思钰早</t>
  </si>
  <si>
    <t xml:space="preserve">06:00-10:00</t>
  </si>
  <si>
    <t xml:space="preserve">10:00-14:00</t>
  </si>
  <si>
    <t xml:space="preserve">14:00-18:00</t>
  </si>
  <si>
    <t xml:space="preserve">11:00-15:00</t>
  </si>
  <si>
    <t xml:space="preserve">李哲早</t>
  </si>
  <si>
    <t xml:space="preserve">15:00-20:00</t>
  </si>
  <si>
    <t xml:space="preserve">20:00-22:00</t>
  </si>
  <si>
    <t xml:space="preserve">14:00-17:00</t>
  </si>
  <si>
    <t xml:space="preserve">李叶叶双</t>
  </si>
  <si>
    <t xml:space="preserve">00-02/06-17</t>
  </si>
  <si>
    <t xml:space="preserve">日期</t>
  </si>
  <si>
    <t xml:space="preserve">主播</t>
  </si>
  <si>
    <t xml:space="preserve">直播时段</t>
  </si>
  <si>
    <t xml:space="preserve">时长</t>
  </si>
  <si>
    <t xml:space="preserve">订单数量</t>
  </si>
  <si>
    <t xml:space="preserve">保单数量</t>
  </si>
  <si>
    <t xml:space="preserve">保险支付数</t>
  </si>
  <si>
    <t xml:space="preserve">月缴保单数</t>
  </si>
  <si>
    <t xml:space="preserve">月缴保费</t>
  </si>
  <si>
    <t xml:space="preserve">年交保单数量</t>
  </si>
  <si>
    <t xml:space="preserve">年缴保费</t>
  </si>
  <si>
    <t xml:space="preserve">全民保单数</t>
  </si>
  <si>
    <t xml:space="preserve">全民保保费</t>
  </si>
  <si>
    <t xml:space="preserve">家庭单数量</t>
  </si>
  <si>
    <t xml:space="preserve">家庭单保费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</si>
  <si>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</si>
  <si>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</si>
  <si>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</si>
  <si>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</si>
  <si>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</si>
  <si>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</t>
  </si>
  <si>
    <t xml:space="preserve">助播时长</t>
  </si>
  <si>
    <t xml:space="preserve">助播2</t>
  </si>
  <si>
    <t xml:space="preserve">投手</t>
  </si>
  <si>
    <t xml:space="preserve">曝光数</t>
  </si>
  <si>
    <t xml:space="preserve">点击数</t>
  </si>
  <si>
    <t xml:space="preserve">直播间观看数</t>
  </si>
  <si>
    <t xml:space="preserve">直播间超过1分钟观看数</t>
  </si>
  <si>
    <t xml:space="preserve">组件点击数</t>
  </si>
  <si>
    <t xml:space="preserve">直播间关注数</t>
  </si>
  <si>
    <t xml:space="preserve">直播间评论数</t>
  </si>
  <si>
    <t xml:space="preserve">直播间分享数</t>
  </si>
  <si>
    <t xml:space="preserve">外层点击率</t>
  </si>
  <si>
    <t xml:space="preserve">互动率</t>
  </si>
  <si>
    <t xml:space="preserve">直播间超过1分钟观看率</t>
  </si>
  <si>
    <t xml:space="preserve">直播间评论率</t>
  </si>
  <si>
    <t xml:space="preserve">组件点击成本</t>
  </si>
  <si>
    <t xml:space="preserve">保单率</t>
  </si>
  <si>
    <t xml:space="preserve">张欣</t>
  </si>
  <si>
    <t xml:space="preserve">08:00-12:00</t>
  </si>
  <si>
    <t xml:space="preserve">朱明双</t>
  </si>
  <si>
    <t xml:space="preserve">陈蕾</t>
  </si>
  <si>
    <t xml:space="preserve">12:00-16:00</t>
  </si>
  <si>
    <t xml:space="preserve">朱明</t>
  </si>
  <si>
    <t xml:space="preserve">陈浏铭</t>
  </si>
  <si>
    <t xml:space="preserve">孙克岚</t>
  </si>
  <si>
    <t xml:space="preserve">16:00-20:00</t>
  </si>
  <si>
    <t xml:space="preserve">王雨欣</t>
  </si>
  <si>
    <t xml:space="preserve">20:00-24:00</t>
  </si>
  <si>
    <t xml:space="preserve">李子健</t>
  </si>
  <si>
    <t xml:space="preserve">08:00-24:00</t>
  </si>
  <si>
    <t xml:space="preserve">李子健双</t>
  </si>
  <si>
    <t xml:space="preserve">王文怡</t>
  </si>
  <si>
    <t xml:space="preserve">陈思钰</t>
  </si>
  <si>
    <t xml:space="preserve">李叶叶</t>
  </si>
  <si>
    <t xml:space="preserve">陈思钰双</t>
  </si>
  <si>
    <t xml:space="preserve">08:00-13:00</t>
  </si>
  <si>
    <t xml:space="preserve">13:00-18:00</t>
  </si>
  <si>
    <t xml:space="preserve">李哲双</t>
  </si>
  <si>
    <t xml:space="preserve">杨紫萱</t>
  </si>
  <si>
    <t xml:space="preserve">18:00-20:00</t>
  </si>
  <si>
    <t xml:space="preserve">孙文曜</t>
  </si>
  <si>
    <t xml:space="preserve">12:00-17:00</t>
  </si>
  <si>
    <t xml:space="preserve">曹颖慧</t>
  </si>
  <si>
    <t xml:space="preserve">17:00-20:00</t>
  </si>
  <si>
    <t xml:space="preserve">12:00-15:00</t>
  </si>
  <si>
    <t xml:space="preserve">曹颖慧双</t>
  </si>
  <si>
    <t xml:space="preserve">15:00-20:00</t>
  </si>
  <si>
    <t xml:space="preserve">16:00-18:00</t>
  </si>
  <si>
    <t xml:space="preserve">李叶叶双</t>
  </si>
  <si>
    <t xml:space="preserve">董柯言双</t>
  </si>
  <si>
    <t xml:space="preserve">20:00-22:00</t>
  </si>
  <si>
    <t xml:space="preserve">08:00-22:00</t>
  </si>
  <si>
    <t xml:space="preserve">13:00-16:00</t>
  </si>
  <si>
    <t xml:space="preserve">赵宁尧</t>
  </si>
  <si>
    <t xml:space="preserve">陈哲贤</t>
  </si>
  <si>
    <t xml:space="preserve">杨博双</t>
  </si>
  <si>
    <t xml:space="preserve">roi</t>
  </si>
  <si>
    <t xml:space="preserve">时耗</t>
  </si>
  <si>
    <t xml:space="preserve">求和项:助播时长</t>
  </si>
  <si>
    <t xml:space="preserve">总计</t>
  </si>
  <si>
    <t xml:space="preserve">日期</t>
  </si>
  <si>
    <t xml:space="preserve">主播</t>
  </si>
  <si>
    <t xml:space="preserve">直播时段</t>
  </si>
  <si>
    <t xml:space="preserve">时长</t>
  </si>
  <si>
    <t xml:space="preserve">订单数量</t>
  </si>
  <si>
    <t xml:space="preserve">保单数量</t>
  </si>
  <si>
    <t xml:space="preserve">保险支付数</t>
  </si>
  <si>
    <t xml:space="preserve">月缴保单数</t>
  </si>
  <si>
    <t xml:space="preserve">月缴保费</t>
  </si>
  <si>
    <t xml:space="preserve">年交保单数量</t>
  </si>
  <si>
    <t xml:space="preserve">年缴保费</t>
  </si>
  <si>
    <t xml:space="preserve">全民保单数</t>
  </si>
  <si>
    <t xml:space="preserve">全民保保费</t>
  </si>
  <si>
    <t xml:space="preserve">家庭单数量</t>
  </si>
  <si>
    <t xml:space="preserve">家庭单保费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</si>
  <si>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</si>
  <si>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</si>
  <si>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</si>
  <si>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</si>
  <si>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</si>
  <si>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</t>
  </si>
  <si>
    <t xml:space="preserve">助播时长</t>
  </si>
  <si>
    <t xml:space="preserve">助播2</t>
  </si>
  <si>
    <t xml:space="preserve">投手</t>
  </si>
  <si>
    <t xml:space="preserve">曝光数</t>
  </si>
  <si>
    <t xml:space="preserve">点击数</t>
  </si>
  <si>
    <t xml:space="preserve">直播间观看数</t>
  </si>
  <si>
    <t xml:space="preserve">直播间超过1分钟观看数</t>
  </si>
  <si>
    <t xml:space="preserve">组件点击数</t>
  </si>
  <si>
    <t xml:space="preserve">直播间关注数</t>
  </si>
  <si>
    <t xml:space="preserve">直播间评论数</t>
  </si>
  <si>
    <t xml:space="preserve">直播间分享数</t>
  </si>
  <si>
    <t xml:space="preserve">外层点击率</t>
  </si>
  <si>
    <t xml:space="preserve">互动率</t>
  </si>
  <si>
    <t xml:space="preserve">直播间超过1分钟观看率</t>
  </si>
  <si>
    <t xml:space="preserve">直播间评论率</t>
  </si>
  <si>
    <t xml:space="preserve">组件点击成本</t>
  </si>
  <si>
    <t xml:space="preserve">保单率</t>
  </si>
  <si>
    <t xml:space="preserve">陈蕾</t>
  </si>
  <si>
    <t xml:space="preserve">17:00-20:00</t>
  </si>
  <si>
    <t xml:space="preserve">李叶叶</t>
  </si>
  <si>
    <t xml:space="preserve">陈浏铭</t>
  </si>
  <si>
    <t xml:space="preserve">赵宁尧</t>
  </si>
  <si>
    <t xml:space="preserve">20:00-24:00</t>
  </si>
  <si>
    <t xml:space="preserve">17:00-24:00</t>
  </si>
  <si>
    <t xml:space="preserve">16:00-20:00</t>
  </si>
  <si>
    <t xml:space="preserve">李叶叶双</t>
  </si>
  <si>
    <t xml:space="preserve">张欣</t>
  </si>
  <si>
    <t xml:space="preserve">16:00-24:00</t>
  </si>
  <si>
    <t xml:space="preserve">孙克岚</t>
  </si>
  <si>
    <t xml:space="preserve">09:00-13:00</t>
  </si>
  <si>
    <t xml:space="preserve">13:00-16:00</t>
  </si>
  <si>
    <t xml:space="preserve">17:00-21:00</t>
  </si>
  <si>
    <t xml:space="preserve">9-16/17-21</t>
  </si>
  <si>
    <t xml:space="preserve">13:00-17:00</t>
  </si>
  <si>
    <t xml:space="preserve">09:00-21:00</t>
  </si>
  <si>
    <t xml:space="preserve">曹颖慧双</t>
  </si>
  <si>
    <t xml:space="preserve">21:00-24:00</t>
  </si>
  <si>
    <t xml:space="preserve">17-24</t>
  </si>
  <si>
    <t xml:space="preserve">卢佳轩双</t>
  </si>
  <si>
    <t xml:space="preserve">王文怡</t>
  </si>
  <si>
    <t xml:space="preserve">09:00-24:00</t>
  </si>
  <si>
    <t xml:space="preserve">卢佳轩</t>
  </si>
  <si>
    <t xml:space="preserve">李哲双</t>
  </si>
  <si>
    <t xml:space="preserve">李哲</t>
  </si>
  <si>
    <t xml:space="preserve">王雨欣</t>
  </si>
  <si>
    <t xml:space="preserve">陈思钰</t>
  </si>
  <si>
    <t xml:space="preserve">陈思钰双</t>
  </si>
  <si>
    <t xml:space="preserve">20:00-23:00</t>
  </si>
  <si>
    <t xml:space="preserve">09:00-23:00</t>
  </si>
  <si>
    <t xml:space="preserve">08:00-11:00</t>
  </si>
  <si>
    <t xml:space="preserve">12:00-16:00</t>
  </si>
  <si>
    <t xml:space="preserve">20:00-22:00</t>
  </si>
  <si>
    <t xml:space="preserve">08:00-22:00</t>
  </si>
  <si>
    <t xml:space="preserve">08:00-12:00</t>
  </si>
  <si>
    <t xml:space="preserve">08:00-24:00</t>
  </si>
  <si>
    <t xml:space="preserve">朱明双</t>
  </si>
  <si>
    <t xml:space="preserve">10月分主播</t>
  </si>
  <si>
    <t xml:space="preserve">roi </t>
  </si>
  <si>
    <t xml:space="preserve">时耗</t>
  </si>
  <si>
    <t xml:space="preserve">roi</t>
  </si>
  <si>
    <t xml:space="preserve">时耗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</si>
</sst>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5">
    <numFmt numFmtId="164" formatCode="#,##0.00_ "/>
    <numFmt numFmtId="165" formatCode="yyyy/m/d"/>
    <numFmt numFmtId="166" formatCode="General"/>
    <numFmt numFmtId="167" formatCode="0.00_);[Red]\(0.00\)"/>
    <numFmt numFmtId="168" formatCode="#,##0"/>
    <numFmt numFmtId="169" formatCode="0.00%"/>
    <numFmt numFmtId="170" formatCode="0.00_ "/>
    <numFmt numFmtId="171" formatCode="#,##0.00_ "/>
    <numFmt numFmtId="172" formatCode="yyyy/m/d"/>
    <numFmt numFmtId="173" formatCode="General"/>
    <numFmt numFmtId="174" formatCode="0.00_);[Red]\(0.00\)"/>
    <numFmt numFmtId="175" formatCode="#,##0"/>
    <numFmt numFmtId="176" formatCode="0.00%"/>
    <numFmt numFmtId="177" formatCode="0.00_ "/>
    <numFmt numFmtId="178" formatCode="#,##0.00"/>
    <numFmt numFmtId="179" formatCode="#,##0.00_ "/>
    <numFmt numFmtId="180" formatCode="yyyy/m/d"/>
    <numFmt numFmtId="181" formatCode="0.00_);[Red]\(0.00\)"/>
    <numFmt numFmtId="182" formatCode="#,##0"/>
    <numFmt numFmtId="183" formatCode="0.00%"/>
    <numFmt numFmtId="184" formatCode="0.00_ "/>
    <numFmt numFmtId="185" formatCode="General"/>
    <numFmt numFmtId="186" formatCode="#,##0.00"/>
    <numFmt numFmtId="187" formatCode="#,##0.00"/>
    <numFmt numFmtId="188" formatCode="0.00_);(0.00)"/>
  </numFmts>
  <fonts count="12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  <font>
      <sz val="10"/>
      <color rgb="FF0A415C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sz val="9"/>
      <color rgb="FF31343B"/>
      <name val="Noto Sans SC"/>
      <family val="2"/>
    </font>
    <font>
      <b val="true"/>
      <sz val="12"/>
      <color rgb="FF1F2329"/>
      <name val="Calibri"/>
      <family val="2"/>
      <scheme val="minor"/>
    </font>
    <font>
      <b val="true"/>
      <sz val="10"/>
      <color rgb="FF1F2329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FFFFFF"/>
      <name val="Calibri"/>
      <family val="2"/>
      <scheme val="minor"/>
    </font>
  </fonts>
  <fills count="2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DEBFF"/>
        <bgColor/>
      </patternFill>
    </fill>
    <fill>
      <patternFill patternType="solid">
        <fgColor rgb="FFC00000"/>
        <bgColor/>
      </patternFill>
    </fill>
    <fill>
      <patternFill patternType="solid">
        <fgColor rgb="FFFFFF00"/>
        <bgColor/>
      </patternFill>
    </fill>
    <fill>
      <patternFill patternType="solid">
        <fgColor rgb="FF8EA9DB"/>
        <bgColor/>
      </patternFill>
    </fill>
    <fill>
      <patternFill patternType="solid">
        <fgColor rgb="FFFFFFFF"/>
        <bgColor/>
      </patternFill>
    </fill>
    <fill>
      <patternFill patternType="solid">
        <fgColor rgb="FFF8F9FA"/>
        <bgColor/>
      </patternFill>
    </fill>
    <fill>
      <patternFill patternType="solid">
        <fgColor rgb="FFFFC000"/>
        <bgColor/>
      </patternFill>
    </fill>
    <fill>
      <patternFill patternType="solid">
        <fgColor rgb="FFFFFFFF"/>
        <bgColor/>
      </patternFill>
    </fill>
    <fill>
      <patternFill patternType="solid">
        <fgColor rgb="FFFDEBFF"/>
        <bgColor/>
      </patternFill>
    </fill>
    <fill>
      <patternFill patternType="solid">
        <fgColor rgb="FFC00000"/>
        <bgColor/>
      </patternFill>
    </fill>
    <fill>
      <patternFill patternType="solid">
        <fgColor rgb="FFFFFF00"/>
        <bgColor/>
      </patternFill>
    </fill>
    <fill>
      <patternFill patternType="solid">
        <fgColor rgb="FF8EA9DB"/>
        <bgColor/>
      </patternFill>
    </fill>
    <fill>
      <patternFill patternType="solid">
        <fgColor rgb="FFFFFFFF"/>
        <bgColor/>
      </patternFill>
    </fill>
    <fill>
      <patternFill patternType="solid">
        <fgColor rgb="FFFFC000"/>
        <bgColor/>
      </patternFill>
    </fill>
    <fill>
      <patternFill patternType="solid">
        <fgColor rgb="FFFFC60A"/>
        <bgColor/>
      </patternFill>
    </fill>
    <fill>
      <patternFill patternType="solid">
        <fgColor rgb="FFF8F9FA"/>
        <bgColor/>
      </patternFill>
    </fill>
    <fill>
      <patternFill patternType="solid">
        <fgColor rgb="FFF2F5FD"/>
        <bgColor/>
      </patternFill>
    </fill>
    <fill>
      <patternFill patternType="solid">
        <fgColor rgb="FFFDEBFF"/>
        <bgColor/>
      </patternFill>
    </fill>
    <fill>
      <patternFill patternType="solid">
        <fgColor rgb="FFC00000"/>
        <bgColor/>
      </patternFill>
    </fill>
    <fill>
      <patternFill patternType="solid">
        <fgColor rgb="FFFFFF00"/>
        <bgColor/>
      </patternFill>
    </fill>
    <fill>
      <patternFill patternType="solid">
        <fgColor rgb="FF8EA9DB"/>
        <bgColor/>
      </patternFill>
    </fill>
    <fill>
      <patternFill patternType="solid">
        <fgColor rgb="FFFFFFFF"/>
        <bgColor/>
      </patternFill>
    </fill>
    <fill>
      <patternFill patternType="solid">
        <fgColor rgb="FFFFC000"/>
        <bgColor/>
      </patternFill>
    </fill>
    <fill>
      <patternFill patternType="solid">
        <fgColor rgb="FFFFFFFF"/>
        <bgColor/>
      </patternFill>
    </fill>
    <fill>
      <patternFill patternType="solid">
        <fgColor rgb="FFFAF1D1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4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3" fontId="1" numFmtId="0" xfId="0">
      <alignment horizontal="center" vertical="center"/>
    </xf>
    <xf applyAlignment="true" applyBorder="false" applyFill="true" applyFont="true" applyNumberFormat="false" applyProtection="false" borderId="1" fillId="4" fontId="1" numFmtId="0" xfId="0">
      <alignment horizontal="center" vertical="center"/>
    </xf>
    <xf applyAlignment="true" applyBorder="false" applyFill="true" applyFont="true" applyNumberFormat="true" applyProtection="false" borderId="1" fillId="5" fontId="1" numFmtId="164" xfId="0">
      <alignment horizontal="center" vertical="center"/>
    </xf>
    <xf applyAlignment="true" applyBorder="false" applyFill="true" applyFont="true" applyNumberFormat="true" applyProtection="false" borderId="1" fillId="2" fontId="1" numFmtId="165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true" applyFont="true" applyNumberFormat="false" applyProtection="false" borderId="1" fillId="6" fontId="1" numFmtId="0" xfId="0">
      <alignment horizontal="center" vertical="center"/>
    </xf>
    <xf applyAlignment="true" applyBorder="false" applyFill="false" applyFont="true" applyNumberFormat="true" applyProtection="false" borderId="1" fillId="0" fontId="1" numFmtId="166" xfId="0">
      <alignment horizontal="center" vertical="center"/>
    </xf>
    <xf applyAlignment="true" applyBorder="false" applyFill="true" applyFont="true" applyNumberFormat="true" applyProtection="false" borderId="1" fillId="7" fontId="1" numFmtId="166" xfId="0">
      <alignment horizontal="center" vertical="center"/>
    </xf>
    <xf applyAlignment="true" applyBorder="false" applyFill="false" applyFont="true" applyNumberFormat="true" applyProtection="false" borderId="1" fillId="0" fontId="1" numFmtId="166" xfId="0">
      <alignment horizontal="center" vertical="bottom"/>
    </xf>
    <xf applyAlignment="true" applyBorder="false" applyFill="true" applyFont="true" applyNumberFormat="false" applyProtection="false" borderId="1" fillId="6" fontId="2" numFmtId="0" xfId="0">
      <alignment horizontal="center" vertical="center"/>
    </xf>
    <xf applyAlignment="true" applyBorder="false" applyFill="true" applyFont="true" applyNumberFormat="true" applyProtection="false" borderId="1" fillId="2" fontId="3" numFmtId="167" xfId="0">
      <alignment horizontal="center" vertical="center"/>
    </xf>
    <xf applyAlignment="true" applyBorder="false" applyFill="true" applyFont="true" applyNumberFormat="true" applyProtection="false" borderId="1" fillId="2" fontId="1" numFmtId="167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true" applyProtection="false" borderId="1" fillId="0" fontId="1" numFmtId="168" xfId="0">
      <alignment horizontal="center" vertical="center"/>
    </xf>
    <xf applyAlignment="true" applyBorder="false" applyFill="true" applyFont="true" applyNumberFormat="true" applyProtection="false" borderId="1" fillId="2" fontId="1" numFmtId="169" xfId="0">
      <alignment horizontal="center" vertical="center"/>
    </xf>
    <xf applyAlignment="true" applyBorder="false" applyFill="false" applyFont="true" applyNumberFormat="true" applyProtection="false" borderId="1" fillId="0" fontId="1" numFmtId="169" xfId="0">
      <alignment horizontal="center" vertical="center"/>
    </xf>
    <xf applyAlignment="true" applyBorder="false" applyFill="true" applyFont="true" applyNumberFormat="true" applyProtection="false" borderId="1" fillId="2" fontId="1" numFmtId="17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false" applyProtection="false" borderId="1" fillId="6" fontId="2" numFmtId="0" xfId="0">
      <alignment horizontal="center" vertical="center"/>
    </xf>
    <xf applyAlignment="true" applyBorder="false" applyFill="false" applyFont="true" applyNumberFormat="true" applyProtection="false" borderId="1" fillId="0" fontId="1" numFmtId="168" xfId="0">
      <alignment horizontal="center" vertical="center"/>
    </xf>
    <xf applyAlignment="true" applyBorder="false" applyFill="true" applyFont="true" applyNumberFormat="true" applyProtection="false" borderId="2" fillId="8" fontId="4" numFmtId="165" xfId="0">
      <alignment horizontal="center" vertical="center"/>
    </xf>
    <xf applyAlignment="true" applyBorder="false" applyFill="true" applyFont="true" applyNumberFormat="false" applyProtection="false" borderId="2" fillId="8" fontId="4" numFmtId="0" xfId="0">
      <alignment horizontal="center" vertical="center"/>
    </xf>
    <xf applyAlignment="true" applyBorder="false" applyFill="true" applyFont="true" applyNumberFormat="false" applyProtection="false" borderId="2" fillId="8" fontId="4" numFmtId="0" xfId="0">
      <alignment horizontal="center" vertical="center"/>
    </xf>
    <xf applyAlignment="true" applyBorder="false" applyFill="true" applyFont="true" applyNumberFormat="true" applyProtection="false" borderId="2" fillId="8" fontId="4" numFmtId="166" xfId="0">
      <alignment horizontal="center" vertical="center"/>
    </xf>
    <xf applyAlignment="true" applyBorder="false" applyFill="true" applyFont="true" applyNumberFormat="true" applyProtection="false" borderId="1" fillId="8" fontId="4" numFmtId="167" xfId="0">
      <alignment horizontal="center" vertical="center"/>
    </xf>
    <xf applyAlignment="true" applyBorder="false" applyFill="true" applyFont="true" applyNumberFormat="false" applyProtection="false" borderId="1" fillId="8" fontId="4" numFmtId="0" xfId="0">
      <alignment horizontal="center" vertical="center"/>
    </xf>
    <xf applyAlignment="true" applyBorder="false" applyFill="true" applyFont="true" applyNumberFormat="true" applyProtection="false" borderId="1" fillId="8" fontId="4" numFmtId="169" xfId="0">
      <alignment horizontal="center" vertical="center"/>
    </xf>
    <xf applyAlignment="true" applyBorder="false" applyFill="true" applyFont="true" applyNumberFormat="true" applyProtection="false" borderId="1" fillId="8" fontId="4" numFmtId="170" xfId="0">
      <alignment horizontal="center" vertical="center"/>
    </xf>
    <xf applyAlignment="true" applyBorder="false" applyFill="true" applyFont="true" applyNumberFormat="true" applyProtection="false" borderId="1" fillId="2" fontId="1" numFmtId="165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0" fillId="9" fontId="1" numFmtId="0" xfId="0">
      <alignment horizontal="center" vertical="center"/>
    </xf>
    <xf applyAlignment="true" applyBorder="false" applyFill="false" applyFont="true" applyNumberFormat="true" applyProtection="false" borderId="0" fillId="0" fontId="5" numFmtId="169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3" fillId="10" fontId="1" numFmtId="0" xfId="0">
      <alignment horizontal="center" vertical="center"/>
    </xf>
    <xf applyAlignment="true" applyBorder="false" applyFill="true" applyFont="true" applyNumberFormat="false" applyProtection="false" borderId="3" fillId="11" fontId="1" numFmtId="0" xfId="0">
      <alignment horizontal="center" vertical="center"/>
    </xf>
    <xf applyAlignment="true" applyBorder="false" applyFill="true" applyFont="true" applyNumberFormat="false" applyProtection="false" borderId="3" fillId="12" fontId="1" numFmtId="0" xfId="0">
      <alignment horizontal="center" vertical="center"/>
    </xf>
    <xf applyAlignment="true" applyBorder="false" applyFill="true" applyFont="true" applyNumberFormat="true" applyProtection="false" borderId="3" fillId="13" fontId="1" numFmtId="171" xfId="0">
      <alignment horizontal="center" vertical="center"/>
    </xf>
    <xf applyAlignment="true" applyBorder="false" applyFill="true" applyFont="true" applyNumberFormat="true" applyProtection="false" borderId="3" fillId="10" fontId="1" numFmtId="172" xfId="0">
      <alignment horizontal="center" vertical="center"/>
    </xf>
    <xf applyAlignment="true" applyBorder="false" applyFill="true" applyFont="true" applyNumberFormat="false" applyProtection="false" borderId="3" fillId="10" fontId="1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true" applyFont="true" applyNumberFormat="false" applyProtection="false" borderId="3" fillId="14" fontId="1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true" applyProtection="false" borderId="3" fillId="0" fontId="1" numFmtId="173" xfId="0">
      <alignment horizontal="center" vertical="center"/>
    </xf>
    <xf applyAlignment="true" applyBorder="false" applyFill="false" applyFont="true" applyNumberFormat="true" applyProtection="false" borderId="3" fillId="0" fontId="1" numFmtId="173" xfId="0">
      <alignment horizontal="center" vertical="center"/>
    </xf>
    <xf applyAlignment="true" applyBorder="false" applyFill="false" applyFont="true" applyNumberFormat="true" applyProtection="false" borderId="3" fillId="0" fontId="1" numFmtId="173" xfId="0">
      <alignment horizontal="center" vertical="bottom"/>
    </xf>
    <xf applyAlignment="true" applyBorder="false" applyFill="false" applyFont="true" applyNumberFormat="true" applyProtection="false" borderId="3" fillId="0" fontId="1" numFmtId="173" xfId="0">
      <alignment horizontal="center" vertical="bottom"/>
    </xf>
    <xf applyAlignment="true" applyBorder="false" applyFill="true" applyFont="true" applyNumberFormat="false" applyProtection="false" borderId="3" fillId="14" fontId="2" numFmtId="0" xfId="0">
      <alignment horizontal="center" vertical="center"/>
    </xf>
    <xf applyAlignment="true" applyBorder="false" applyFill="true" applyFont="true" applyNumberFormat="true" applyProtection="false" borderId="3" fillId="10" fontId="3" numFmtId="174" xfId="0">
      <alignment horizontal="center" vertical="center"/>
    </xf>
    <xf applyAlignment="true" applyBorder="false" applyFill="true" applyFont="true" applyNumberFormat="true" applyProtection="false" borderId="3" fillId="10" fontId="1" numFmtId="174" xfId="0">
      <alignment horizontal="center" vertical="center"/>
    </xf>
    <xf applyAlignment="true" applyBorder="false" applyFill="false" applyFont="true" applyNumberFormat="true" applyProtection="false" borderId="3" fillId="0" fontId="1" numFmtId="175" xfId="0">
      <alignment horizontal="center" vertical="center"/>
    </xf>
    <xf applyAlignment="true" applyBorder="false" applyFill="true" applyFont="true" applyNumberFormat="true" applyProtection="false" borderId="3" fillId="10" fontId="1" numFmtId="176" xfId="0">
      <alignment horizontal="center" vertical="center"/>
    </xf>
    <xf applyAlignment="true" applyBorder="false" applyFill="false" applyFont="true" applyNumberFormat="true" applyProtection="false" borderId="3" fillId="0" fontId="1" numFmtId="176" xfId="0">
      <alignment horizontal="center" vertical="center"/>
    </xf>
    <xf applyAlignment="true" applyBorder="false" applyFill="true" applyFont="true" applyNumberFormat="true" applyProtection="false" borderId="3" fillId="10" fontId="1" numFmtId="177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true" applyProtection="false" borderId="3" fillId="10" fontId="1" numFmtId="172" xfId="0">
      <alignment horizontal="center" vertical="center"/>
    </xf>
    <xf applyAlignment="true" applyBorder="false" applyFill="true" applyFont="true" applyNumberFormat="false" applyProtection="false" borderId="3" fillId="14" fontId="2" numFmtId="0" xfId="0">
      <alignment horizontal="center" vertical="center"/>
    </xf>
    <xf applyAlignment="true" applyBorder="false" applyFill="true" applyFont="true" applyNumberFormat="true" applyProtection="false" borderId="4" fillId="15" fontId="4" numFmtId="172" xfId="0">
      <alignment horizontal="center" vertical="center"/>
    </xf>
    <xf applyAlignment="true" applyBorder="false" applyFill="true" applyFont="true" applyNumberFormat="false" applyProtection="false" borderId="4" fillId="15" fontId="4" numFmtId="0" xfId="0">
      <alignment horizontal="center" vertical="center"/>
    </xf>
    <xf applyAlignment="true" applyBorder="false" applyFill="true" applyFont="true" applyNumberFormat="false" applyProtection="false" borderId="4" fillId="15" fontId="4" numFmtId="0" xfId="0">
      <alignment horizontal="center" vertical="center"/>
    </xf>
    <xf applyAlignment="true" applyBorder="false" applyFill="true" applyFont="true" applyNumberFormat="true" applyProtection="false" borderId="4" fillId="15" fontId="4" numFmtId="173" xfId="0">
      <alignment horizontal="center" vertical="center"/>
    </xf>
    <xf applyAlignment="true" applyBorder="false" applyFill="true" applyFont="true" applyNumberFormat="true" applyProtection="false" borderId="3" fillId="15" fontId="4" numFmtId="174" xfId="0">
      <alignment horizontal="center" vertical="center"/>
    </xf>
    <xf applyAlignment="true" applyBorder="false" applyFill="true" applyFont="true" applyNumberFormat="false" applyProtection="false" borderId="3" fillId="15" fontId="4" numFmtId="0" xfId="0">
      <alignment horizontal="center" vertical="center"/>
    </xf>
    <xf applyAlignment="true" applyBorder="false" applyFill="true" applyFont="true" applyNumberFormat="true" applyProtection="false" borderId="3" fillId="15" fontId="4" numFmtId="176" xfId="0">
      <alignment horizontal="center" vertical="center"/>
    </xf>
    <xf applyAlignment="true" applyBorder="false" applyFill="true" applyFont="true" applyNumberFormat="true" applyProtection="false" borderId="3" fillId="15" fontId="4" numFmtId="177" xfId="0">
      <alignment horizontal="center" vertical="center"/>
    </xf>
    <xf applyAlignment="true" applyBorder="false" applyFill="true" applyFont="true" applyNumberFormat="false" applyProtection="false" borderId="3" fillId="10" fontId="1" numFmtId="0" xfId="0">
      <alignment horizontal="center" vertical="center"/>
    </xf>
    <xf applyAlignment="true" applyBorder="false" applyFill="true" applyFont="true" applyNumberFormat="false" applyProtection="false" borderId="3" fillId="14" fontId="1" numFmtId="0" xfId="0">
      <alignment horizontal="center" vertical="center"/>
    </xf>
    <xf applyAlignment="true" applyBorder="false" applyFill="true" applyFont="true" applyNumberFormat="true" applyProtection="false" borderId="4" fillId="15" fontId="4" numFmtId="172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4" fillId="16" fontId="4" numFmtId="0" xfId="0">
      <alignment horizontal="center" vertical="center"/>
    </xf>
    <xf applyAlignment="true" applyBorder="false" applyFill="true" applyFont="true" applyNumberFormat="false" applyProtection="false" borderId="3" fillId="10" fontId="6" numFmtId="0" xfId="0">
      <alignment horizontal="center" vertical="center"/>
    </xf>
    <xf applyAlignment="true" applyBorder="false" applyFill="true" applyFont="true" applyNumberFormat="false" applyProtection="false" borderId="3" fillId="10" fontId="6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true" applyFont="true" applyNumberFormat="true" applyProtection="false" borderId="3" fillId="17" fontId="1" numFmtId="173" xfId="0">
      <alignment horizontal="center" vertical="center"/>
    </xf>
    <xf applyAlignment="true" applyBorder="false" applyFill="false" applyFont="true" applyNumberFormat="true" applyProtection="false" borderId="3" fillId="0" fontId="1" numFmtId="175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true" applyProtection="false" borderId="0" fillId="0" fontId="5" numFmtId="178" xfId="0">
      <alignment horizontal="center" vertical="center"/>
    </xf>
    <xf applyAlignment="true" applyBorder="false" applyFill="false" applyFont="true" applyNumberFormat="true" applyProtection="false" borderId="0" fillId="0" fontId="5" numFmtId="178" xfId="0">
      <alignment horizontal="center" vertical="center"/>
    </xf>
    <xf applyAlignment="true" applyBorder="false" applyFill="false" applyFont="true" applyNumberFormat="true" applyProtection="false" borderId="0" fillId="0" fontId="5" numFmtId="176" xfId="0">
      <alignment vertical="center"/>
    </xf>
    <xf applyAlignment="true" applyBorder="false" applyFill="false" applyFont="true" applyNumberFormat="true" applyProtection="false" borderId="0" fillId="0" fontId="5" numFmtId="176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0" fillId="18" fontId="7" numFmtId="0" xfId="0">
      <alignment horizontal="right" vertical="center" wrapText="true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true" applyProtection="false" borderId="0" fillId="0" fontId="5" numFmtId="175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true" applyFont="true" applyNumberFormat="false" applyProtection="false" borderId="5" fillId="19" fontId="1" numFmtId="0" xfId="0">
      <alignment horizontal="center" vertical="center"/>
    </xf>
    <xf applyAlignment="true" applyBorder="false" applyFill="true" applyFont="true" applyNumberFormat="false" applyProtection="false" borderId="5" fillId="20" fontId="1" numFmtId="0" xfId="0">
      <alignment horizontal="center" vertical="center"/>
    </xf>
    <xf applyAlignment="true" applyBorder="false" applyFill="true" applyFont="true" applyNumberFormat="false" applyProtection="false" borderId="5" fillId="21" fontId="1" numFmtId="0" xfId="0">
      <alignment horizontal="center" vertical="center"/>
    </xf>
    <xf applyAlignment="true" applyBorder="false" applyFill="true" applyFont="true" applyNumberFormat="true" applyProtection="false" borderId="5" fillId="22" fontId="1" numFmtId="179" xfId="0">
      <alignment horizontal="center" vertical="center"/>
    </xf>
    <xf applyAlignment="true" applyBorder="false" applyFill="true" applyFont="true" applyNumberFormat="true" applyProtection="false" borderId="5" fillId="19" fontId="1" numFmtId="180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true" applyFont="true" applyNumberFormat="false" applyProtection="false" borderId="5" fillId="23" fontId="1" numFmtId="0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center" vertical="bottom"/>
    </xf>
    <xf applyAlignment="true" applyBorder="false" applyFill="true" applyFont="true" applyNumberFormat="false" applyProtection="false" borderId="5" fillId="23" fontId="2" numFmtId="0" xfId="0">
      <alignment horizontal="center" vertical="center"/>
    </xf>
    <xf applyAlignment="true" applyBorder="false" applyFill="true" applyFont="true" applyNumberFormat="true" applyProtection="false" borderId="5" fillId="19" fontId="3" numFmtId="181" xfId="0">
      <alignment horizontal="center" vertical="center"/>
    </xf>
    <xf applyAlignment="true" applyBorder="false" applyFill="true" applyFont="true" applyNumberFormat="true" applyProtection="false" borderId="5" fillId="19" fontId="1" numFmtId="181" xfId="0">
      <alignment horizontal="center" vertical="center"/>
    </xf>
    <xf applyAlignment="true" applyBorder="false" applyFill="false" applyFont="true" applyNumberFormat="true" applyProtection="false" borderId="5" fillId="0" fontId="1" numFmtId="182" xfId="0">
      <alignment horizontal="center" vertical="center"/>
    </xf>
    <xf applyAlignment="true" applyBorder="false" applyFill="true" applyFont="true" applyNumberFormat="true" applyProtection="false" borderId="5" fillId="19" fontId="1" numFmtId="183" xfId="0">
      <alignment horizontal="center" vertical="center"/>
    </xf>
    <xf applyAlignment="true" applyBorder="false" applyFill="false" applyFont="true" applyNumberFormat="true" applyProtection="false" borderId="5" fillId="0" fontId="1" numFmtId="183" xfId="0">
      <alignment horizontal="center" vertical="center"/>
    </xf>
    <xf applyAlignment="true" applyBorder="false" applyFill="true" applyFont="true" applyNumberFormat="true" applyProtection="false" borderId="5" fillId="19" fontId="1" numFmtId="184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true" applyProtection="false" borderId="6" fillId="24" fontId="4" numFmtId="180" xfId="0">
      <alignment horizontal="center" vertical="center"/>
    </xf>
    <xf applyAlignment="true" applyBorder="false" applyFill="true" applyFont="true" applyNumberFormat="false" applyProtection="false" borderId="6" fillId="24" fontId="4" numFmtId="0" xfId="0">
      <alignment horizontal="center" vertical="center"/>
    </xf>
    <xf applyAlignment="true" applyBorder="false" applyFill="true" applyFont="true" applyNumberFormat="true" applyProtection="false" borderId="5" fillId="24" fontId="4" numFmtId="181" xfId="0">
      <alignment horizontal="center" vertical="center"/>
    </xf>
    <xf applyAlignment="true" applyBorder="false" applyFill="true" applyFont="true" applyNumberFormat="false" applyProtection="false" borderId="5" fillId="24" fontId="4" numFmtId="0" xfId="0">
      <alignment horizontal="center" vertical="center"/>
    </xf>
    <xf applyAlignment="true" applyBorder="false" applyFill="true" applyFont="true" applyNumberFormat="true" applyProtection="false" borderId="5" fillId="24" fontId="4" numFmtId="183" xfId="0">
      <alignment horizontal="center" vertical="center"/>
    </xf>
    <xf applyAlignment="true" applyBorder="false" applyFill="true" applyFont="true" applyNumberFormat="true" applyProtection="false" borderId="5" fillId="24" fontId="4" numFmtId="184" xfId="0">
      <alignment horizontal="center" vertical="center"/>
    </xf>
    <xf applyAlignment="true" applyBorder="false" applyFill="true" applyFont="true" applyNumberFormat="true" applyProtection="false" borderId="5" fillId="19" fontId="1" numFmtId="180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center" vertical="bottom"/>
    </xf>
    <xf applyAlignment="true" applyBorder="false" applyFill="true" applyFont="true" applyNumberFormat="false" applyProtection="false" borderId="5" fillId="19" fontId="1" numFmtId="0" xfId="0">
      <alignment horizontal="center" vertical="center"/>
    </xf>
    <xf applyAlignment="true" applyBorder="false" applyFill="true" applyFont="true" applyNumberFormat="true" applyProtection="false" borderId="6" fillId="24" fontId="4" numFmtId="180" xfId="0">
      <alignment horizontal="center" vertical="center"/>
    </xf>
    <xf applyAlignment="true" applyBorder="false" applyFill="true" applyFont="true" applyNumberFormat="false" applyProtection="false" borderId="6" fillId="24" fontId="4" numFmtId="0" xfId="0">
      <alignment horizontal="center" vertical="center"/>
    </xf>
    <xf applyAlignment="true" applyBorder="false" applyFill="true" applyFont="true" applyNumberFormat="false" applyProtection="false" borderId="5" fillId="23" fontId="1" numFmtId="0" xfId="0">
      <alignment horizontal="center" vertical="center"/>
    </xf>
    <xf applyAlignment="true" applyBorder="false" applyFill="false" applyFont="true" applyNumberFormat="true" applyProtection="false" borderId="5" fillId="0" fontId="1" numFmtId="185" xfId="0">
      <alignment horizontal="center" vertical="center"/>
    </xf>
    <xf applyAlignment="true" applyBorder="false" applyFill="false" applyFont="true" applyNumberFormat="true" applyProtection="false" borderId="5" fillId="0" fontId="1" numFmtId="185" xfId="0">
      <alignment horizontal="center" vertical="bottom"/>
    </xf>
    <xf applyAlignment="true" applyBorder="false" applyFill="false" applyFont="true" applyNumberFormat="true" applyProtection="false" borderId="5" fillId="0" fontId="1" numFmtId="185" xfId="0">
      <alignment horizontal="center" vertical="center"/>
    </xf>
    <xf applyAlignment="true" applyBorder="false" applyFill="true" applyFont="true" applyNumberFormat="false" applyProtection="false" borderId="5" fillId="19" fontId="6" numFmtId="0" xfId="0">
      <alignment horizontal="center" vertical="center"/>
    </xf>
    <xf applyAlignment="true" applyBorder="false" applyFill="false" applyFont="true" applyNumberFormat="true" applyProtection="false" borderId="5" fillId="0" fontId="1" numFmtId="185" xfId="0">
      <alignment horizontal="center" vertical="bottom"/>
    </xf>
    <xf applyAlignment="true" applyBorder="false" applyFill="true" applyFont="true" applyNumberFormat="true" applyProtection="false" borderId="6" fillId="24" fontId="4" numFmtId="185" xfId="0">
      <alignment horizontal="center" vertical="center"/>
    </xf>
    <xf applyAlignment="true" applyBorder="false" applyFill="true" applyFont="true" applyNumberFormat="false" applyProtection="false" borderId="5" fillId="19" fontId="6" numFmtId="0" xfId="0">
      <alignment horizontal="center" vertical="center"/>
    </xf>
    <xf applyAlignment="true" applyBorder="false" applyFill="true" applyFont="true" applyNumberFormat="true" applyProtection="false" borderId="0" fillId="25" fontId="5" numFmtId="186" xfId="0">
      <alignment vertical="center"/>
    </xf>
    <xf applyAlignment="true" applyBorder="false" applyFill="true" applyFont="true" applyNumberFormat="false" applyProtection="false" borderId="0" fillId="25" fontId="5" numFmtId="0" xfId="0">
      <alignment vertical="center"/>
    </xf>
    <xf applyAlignment="true" applyBorder="false" applyFill="true" applyFont="true" applyNumberFormat="true" applyProtection="false" borderId="5" fillId="25" fontId="4" numFmtId="181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0" fillId="26" fontId="8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0" fillId="26" fontId="9" numFmtId="0" xfId="0">
      <alignment horizontal="center" vertical="center"/>
    </xf>
    <xf applyAlignment="true" applyBorder="false" applyFill="true" applyFont="true" applyNumberFormat="true" applyProtection="false" borderId="0" fillId="26" fontId="9" numFmtId="187" xfId="0">
      <alignment horizontal="center" vertical="center"/>
    </xf>
    <xf applyAlignment="true" applyBorder="false" applyFill="true" applyFont="true" applyNumberFormat="false" applyProtection="false" borderId="0" fillId="26" fontId="2" numFmtId="0" xfId="0">
      <alignment horizontal="center" vertical="center"/>
    </xf>
    <xf applyAlignment="true" applyBorder="false" applyFill="false" applyFont="true" applyNumberFormat="true" applyProtection="false" borderId="0" fillId="0" fontId="5" numFmtId="187" xfId="0">
      <alignment horizontal="center" vertical="center"/>
    </xf>
    <xf applyAlignment="true" applyBorder="false" applyFill="true" applyFont="true" applyNumberFormat="false" applyProtection="false" borderId="0" fillId="27" fontId="9" numFmtId="0" xfId="0">
      <alignment horizontal="center" vertical="center"/>
    </xf>
    <xf applyAlignment="true" applyBorder="false" applyFill="true" applyFont="true" applyNumberFormat="false" applyProtection="false" borderId="0" fillId="27" fontId="10" numFmtId="0" xfId="0">
      <alignment horizontal="center" vertical="center"/>
    </xf>
    <xf applyAlignment="true" applyBorder="false" applyFill="true" applyFont="true" applyNumberFormat="true" applyProtection="false" borderId="0" fillId="27" fontId="10" numFmtId="187" xfId="0">
      <alignment horizontal="center" vertical="center"/>
    </xf>
    <xf applyAlignment="true" applyBorder="false" applyFill="false" applyFont="true" applyNumberFormat="false" applyProtection="false" borderId="0" fillId="0" fontId="10" numFmtId="0" xfId="0">
      <alignment horizontal="center" vertical="center"/>
    </xf>
    <xf applyAlignment="true" applyBorder="false" applyFill="false" applyFont="true" applyNumberFormat="false" applyProtection="false" borderId="0" fillId="0" fontId="10" numFmtId="0" xfId="0">
      <alignment vertical="center"/>
    </xf>
    <xf applyAlignment="true" applyBorder="false" applyFill="true" applyFont="true" applyNumberFormat="false" applyProtection="false" borderId="0" fillId="28" fontId="11" numFmtId="0" xfId="0">
      <alignment horizontal="center" vertical="center"/>
    </xf>
    <xf applyAlignment="true" applyBorder="false" applyFill="true" applyFont="true" applyNumberFormat="true" applyProtection="false" borderId="0" fillId="28" fontId="11" numFmtId="187" xfId="0">
      <alignment horizontal="center" vertical="center"/>
    </xf>
    <xf applyAlignment="true" applyBorder="false" applyFill="true" applyFont="true" applyNumberFormat="false" applyProtection="false" borderId="0" fillId="28" fontId="5" numFmtId="0" xfId="0">
      <alignment horizontal="center" vertical="center"/>
    </xf>
    <xf applyAlignment="true" applyBorder="false" applyFill="true" applyFont="true" applyNumberFormat="false" applyProtection="false" borderId="0" fillId="28" fontId="5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true" applyProtection="false" borderId="0" fillId="0" fontId="5" numFmtId="188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/xl/pivotCache/pivotCacheDefinition1.xml" Type="http://schemas.openxmlformats.org/officeDocument/2006/relationships/pivotCacheDefinition"></Relationship><Relationship Id="rId8" Target="worksheets/sheet4.xml" Type="http://schemas.openxmlformats.org/officeDocument/2006/relationships/worksheet"></Relationship><Relationship Id="rId9" Target="/xl/pivotCache/pivotCacheDefinition2.xml" Type="http://schemas.openxmlformats.org/officeDocument/2006/relationships/pivotCacheDefinition"></Relationship><Relationship Id="rId10" Target="worksheets/sheet5.xml" Type="http://schemas.openxmlformats.org/officeDocument/2006/relationships/worksheet"></Relationship><Relationship Id="rId11" Target="worksheets/sheet6.xml" Type="http://schemas.openxmlformats.org/officeDocument/2006/relationships/worksheet"></Relationship></Relationships>
</file>

<file path=xl/pivotCache/pivotCacheDefinition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AN$154" sheet="2026.9"/>
  </cacheSource>
  <cacheFields count="40">
    <cacheField name="日期" numFmtId="0">
      <sharedItems containsNonDate="false" containsDate="true" containsString="false" containsBlank="true" minDate="2026-09-01T00:00:00.000Z" maxDate="2026-09-30T00:00:00.000Z" count="0"/>
    </cacheField>
    <cacheField name="主播" numFmtId="0">
      <sharedItems containsBlank="true" count="10">
        <s v="张欣"/>
        <s v="陈蕾"/>
        <s v="孙克岚"/>
        <s v="王雨欣"/>
        <m/>
        <s v="王文怡"/>
        <s v="杨紫萱"/>
        <s v="孙文曜"/>
        <s v="赵宁尧"/>
        <s v="陈哲贤"/>
      </sharedItems>
    </cacheField>
    <cacheField name="直播时段" numFmtId="0">
      <sharedItems containsBlank="true" count="0"/>
    </cacheField>
    <cacheField name="时长" numFmtId="0">
      <sharedItems containsString="false" containsBlank="true" containsNumber="true" minValue="2" maxValue="16" count="15">
        <n v="4"/>
        <n v="16"/>
        <n v="5"/>
        <n v="2"/>
        <n v="15"/>
        <n v="3"/>
        <n v="3.7"/>
        <n v="14.7"/>
        <n v="14"/>
        <n v="2.5"/>
        <n v="14.5"/>
        <n v="3.5"/>
        <n v="3.75"/>
        <n v="13.75"/>
        <m/>
      </sharedItems>
    </cacheField>
    <cacheField name="订单数量" numFmtId="0">
      <sharedItems containsString="false" containsBlank="true" containsNumber="true" containsInteger="true" minValue="1" maxValue="85" count="0"/>
    </cacheField>
    <cacheField name="保单数量" numFmtId="0">
      <sharedItems containsString="false" containsBlank="true" containsNumber="true" containsInteger="true" minValue="0" maxValue="55" count="0"/>
    </cacheField>
    <cacheField name="保险支付数" numFmtId="0">
      <sharedItems containsString="false" containsBlank="true" containsNumber="true" containsInteger="true" minValue="0" maxValue="44" count="0"/>
    </cacheField>
    <cacheField name="月缴保单数" numFmtId="0">
      <sharedItems containsString="false" containsBlank="true" containsNumber="true" containsInteger="true" minValue="0" maxValue="51" count="0"/>
    </cacheField>
    <cacheField name="月缴保费" numFmtId="0">
      <sharedItems containsString="false" containsBlank="true" containsNumber="true" minValue="0" maxValue="10548.220000000001" count="0"/>
    </cacheField>
    <cacheField name="年交保单数量" numFmtId="0">
      <sharedItems containsString="false" containsBlank="true" containsNumber="true" containsInteger="true" minValue="0" maxValue="7" count="0"/>
    </cacheField>
    <cacheField name="年缴保费" numFmtId="0">
      <sharedItems containsString="false" containsBlank="true" containsNumber="true" minValue="0" maxValue="16919.4" count="0"/>
    </cacheField>
    <cacheField name="全民保单数" numFmtId="0">
      <sharedItems containsString="false" containsBlank="true" containsNumber="true" containsInteger="true" minValue="0" maxValue="55" count="0"/>
    </cacheField>
    <cacheField name="全民保保费" numFmtId="0">
      <sharedItems containsString="false" containsBlank="true" containsNumber="true" minValue="0" maxValue="135560.43999999997" count="0"/>
    </cacheField>
    <cacheField name="家庭单数量" numFmtId="0">
      <sharedItems containsString="false" containsBlank="true" containsNumber="true" containsInteger="true" minValue="0" maxValue="24" count="0"/>
    </cacheField>
    <cacheField name="家庭单保费" numFmtId="0">
      <sharedItems containsString="false" containsBlank="true" containsNumber="true" minValue="0" maxValue="20385.23" count="0"/>
    </cacheField>
    <cacheField name="年化保费" numFmtId="0">
      <sharedItems containsString="false" containsBlank="true" containsNumber="true" minValue="0" maxValue="135560.43999999997" count="152">
        <n v="36003.68"/>
        <n v="8588.28"/>
        <n v="45613.44"/>
        <n v="43213.76"/>
        <n v="133419.16"/>
        <n v="5591.759999999999"/>
        <n v="45298.00000000001"/>
        <n v="11572.68"/>
        <n v="22746.52"/>
        <n v="85208.96"/>
        <n v="16116.980000000001"/>
        <n v="37985.84"/>
        <n v="19158.840000000004"/>
        <n v="16115.04"/>
        <n v="89376.70000000001"/>
        <n v="14671.28"/>
        <n v="12869.76"/>
        <n v="25629.120000000003"/>
        <n v="26029.559999999998"/>
        <n v="79199.72"/>
        <n v="29597.44"/>
        <n v="24952.679999999997"/>
        <n v="72988.43999999999"/>
        <n v="8021.88"/>
        <n v="135560.43999999997"/>
        <n v="49086.72000000001"/>
        <n v="9978.599999999999"/>
        <n v="0"/>
        <n v="8008.680000000001"/>
        <n v="67074.00000000001"/>
        <n v="21338.04"/>
        <n v="22767.6"/>
        <n v="942.8399999999999"/>
        <n v="37773.840000000004"/>
        <n v="82822.32"/>
        <n v="4965.960000000001"/>
        <n v="40889.76000000001"/>
        <n v="1216.08"/>
        <n v="19108.500000000004"/>
        <n v="66180.30000000002"/>
        <n v="16640.52"/>
        <n v="23275.52"/>
        <n v="12403.560000000001"/>
        <n v="4215.24"/>
        <n v="56534.840000000004"/>
        <n v="23833.199999999997"/>
        <n v="36957.840000000004"/>
        <n v="22354.68"/>
        <n v="25891.36"/>
        <n v="109037.08"/>
        <n v="48418.08"/>
        <n v="28301.079999999998"/>
        <n v="26475.119999999995"/>
        <n v="7165.5599999999995"/>
        <n v="110359.84"/>
        <n v="29041.28"/>
        <n v="28307.440000000002"/>
        <n v="13856.52"/>
        <n v="30913.08000000001"/>
        <n v="102118.32"/>
        <n v="31384.800000000007"/>
        <n v="7041.6"/>
        <n v="34037.880000000005"/>
        <n v="16229.099999999999"/>
        <n v="88693.38"/>
        <n v="43513.47999999999"/>
        <n v="56050.20000000001"/>
        <n v="4899.24"/>
        <n v="2952"/>
        <n v="10296.64"/>
        <n v="117711.56"/>
        <n v="11925.720000000001"/>
        <n v="20901.559999999998"/>
        <n v="17895.240000000005"/>
        <n v="21155.64"/>
        <n v="71878.16"/>
        <n v="12199.84"/>
        <n v="14822.76"/>
        <n v="5105.039999999999"/>
        <n v="14289.84"/>
        <n v="46417.479999999996"/>
        <n v="41424.04000000001"/>
        <n v="2485.08"/>
        <n v="3092.04"/>
        <n v="18699"/>
        <n v="65700.16"/>
        <n v="27056.52"/>
        <n v="18241.440000000002"/>
        <n v="19573.800000000003"/>
        <n v="45536.88"/>
        <n v="110408.64000000001"/>
        <n v="35996.4"/>
        <n v="24710.28"/>
        <n v="19250.16"/>
        <n v="51833.399999999994"/>
        <n v="131790.24"/>
        <n v="21439.48"/>
        <n v="38082.579999999994"/>
        <n v="15098.96"/>
        <n v="4927.92"/>
        <n v="79548.93999999999"/>
        <n v="23416.199999999997"/>
        <n v="34673.24"/>
        <n v="8976.72"/>
        <n v="3876.48"/>
        <n v="70942.63999999998"/>
        <n v="12543.96"/>
        <n v="7044.959999999999"/>
        <n v="9926.760000000002"/>
        <n v="4442.639999999999"/>
        <n v="33958.32"/>
        <n v="14153.04"/>
        <n v="3520.84"/>
        <n v="22824.96"/>
        <n v="6651.36"/>
        <n v="47150.2"/>
        <n v="11206.079999999998"/>
        <n v="31648.230000000003"/>
        <n v="7615.08"/>
        <n v="17183.6"/>
        <n v="67652.98999999999"/>
        <n v="36303.840000000004"/>
        <n v="37341.84"/>
        <n v="11859.04"/>
        <n v="2258.6399999999994"/>
        <n v="87763.36"/>
        <n v="17421.239999999998"/>
        <n v="34184.479999999996"/>
        <n v="20742.719999999998"/>
        <n v="33255.64"/>
        <n v="105604.07999999999"/>
        <n v="6680.16"/>
        <n v="9797.76"/>
        <n v="11510.64"/>
        <n v="12127.32"/>
        <n v="40115.88"/>
        <n v="9789.84"/>
        <n v="10034.76"/>
        <n v="4861.32"/>
        <n v="12954.12"/>
        <n v="37640.04"/>
        <n v="29332.560000000005"/>
        <n v="10571.119999999999"/>
        <n v="12055.679999999998"/>
        <n v="9558.36"/>
        <n v="61517.72000000001"/>
        <n v="19129.35"/>
        <n v="16162.96"/>
        <n v="27668.039999999997"/>
        <n v="9111.68"/>
        <n v="72072.03"/>
        <m/>
      </sharedItems>
    </cacheField>
    <cacheField name="投流消耗" numFmtId="0">
      <sharedItems containsString="false" containsBlank="true" containsNumber="true" minValue="5141.26" maxValue="80970.10999999999" count="152">
        <n v="16071.390000000001"/>
        <n v="16057.93"/>
        <n v="19020.81"/>
        <n v="22878.65"/>
        <n v="74028.78"/>
        <n v="11502.01"/>
        <n v="13605.52"/>
        <n v="18833.22"/>
        <n v="14476.82"/>
        <n v="58417.57"/>
        <n v="10677.279999999999"/>
        <n v="23821.879999999997"/>
        <n v="15821.129999999997"/>
        <n v="15412.26"/>
        <n v="65732.54999999999"/>
        <n v="12442.8"/>
        <n v="11404.880000000001"/>
        <n v="10850.39"/>
        <n v="11648.76"/>
        <n v="46346.83"/>
        <n v="13700.609999999999"/>
        <n v="20556.48"/>
        <n v="27627.339999999997"/>
        <n v="19085.68"/>
        <n v="80970.10999999999"/>
        <n v="25718.34"/>
        <n v="18675.7"/>
        <n v="5847.78"/>
        <n v="11988.369999999999"/>
        <n v="62230.19"/>
        <n v="14032.970000000001"/>
        <n v="21750.879999999997"/>
        <n v="5607.05"/>
        <n v="11247.93"/>
        <n v="52638.83"/>
        <n v="10548.27"/>
        <n v="15696.21"/>
        <n v="5141.26"/>
        <n v="13673.39"/>
        <n v="45059.13"/>
        <n v="11579.43"/>
        <n v="14692.379999999997"/>
        <n v="6180.5"/>
        <n v="8401.1"/>
        <n v="40853.409999999996"/>
        <n v="14444.039999999999"/>
        <n v="16966.8"/>
        <n v="18513.199999999997"/>
        <n v="20270.5"/>
        <n v="70194.54"/>
        <n v="18086.899999999998"/>
        <n v="15017.89"/>
        <n v="17068.17"/>
        <n v="16968.04"/>
        <n v="67141"/>
        <n v="17526.52"/>
        <n v="19052.059999999998"/>
        <n v="11108.279999999999"/>
        <n v="13876.19"/>
        <n v="61563.05"/>
        <n v="16119.35"/>
        <n v="14022.92"/>
        <n v="19447.14"/>
        <n v="14407.490000000002"/>
        <n v="63996.90000000001"/>
        <n v="16282.07"/>
        <n v="21588.38"/>
        <n v="9044.46"/>
        <n v="7811.56"/>
        <n v="10360.419999999998"/>
        <n v="65086.88999999999"/>
        <n v="13403.95"/>
        <n v="11087.3"/>
        <n v="11654.95"/>
        <n v="8652.73"/>
        <n v="44798.92999999999"/>
        <n v="14985.73"/>
        <n v="9833.9"/>
        <n v="10442.369999999999"/>
        <n v="8116.099999999999"/>
        <n v="43378.1"/>
        <n v="15998.18"/>
        <n v="9615.52"/>
        <n v="11390.22"/>
        <n v="10400.95"/>
        <n v="47404.869999999995"/>
        <n v="13406.86"/>
        <n v="11698.580000000002"/>
        <n v="7856.139999999999"/>
        <n v="15275.089999999998"/>
        <n v="48236.67"/>
        <n v="14286.68"/>
        <n v="16923.4"/>
        <n v="16464.96"/>
        <n v="23173.63"/>
        <n v="70848.67"/>
        <n v="15121.8"/>
        <n v="21119.05"/>
        <n v="11842.19"/>
        <n v="14655.82"/>
        <n v="62558.86"/>
        <n v="17136.69"/>
        <n v="18250.800000000003"/>
        <n v="12601.83"/>
        <n v="11173.380000000001"/>
        <n v="59062.70000000001"/>
        <n v="14019.140000000001"/>
        <n v="8953.279999999999"/>
        <n v="8365.32"/>
        <n v="6561.67"/>
        <n v="37899.409999999996"/>
        <n v="13362.38"/>
        <n v="6678.33"/>
        <n v="11220.509999999998"/>
        <n v="10558.27"/>
        <n v="41819.49"/>
        <n v="12475.45"/>
        <n v="12435.690000000002"/>
        <n v="10290.920000000002"/>
        <n v="8087.759999999999"/>
        <n v="43289.82000000001"/>
        <n v="15036.71"/>
        <n v="18147.15"/>
        <n v="13856.18"/>
        <n v="15788.08"/>
        <n v="62828.12"/>
        <n v="14173.28"/>
        <n v="17350.31"/>
        <n v="17037.9"/>
        <n v="19856.95"/>
        <n v="68418.44"/>
        <n v="14869.240000000002"/>
        <n v="15627.14"/>
        <n v="9192.15"/>
        <n v="11711.03"/>
        <n v="51399.56"/>
        <n v="17540.92"/>
        <n v="11805.810000000001"/>
        <n v="12850.05"/>
        <n v="9691.61"/>
        <n v="51888.39"/>
        <n v="14231.02"/>
        <n v="12825.38"/>
        <n v="13801.93"/>
        <n v="9239.78"/>
        <n v="50098.11"/>
        <n v="11577.150000000001"/>
        <n v="13001.1"/>
        <n v="10193.45"/>
        <n v="11472.18"/>
        <n v="46243.88"/>
        <m/>
      </sharedItems>
    </cacheField>
    <cacheField name="ROI" numFmtId="0">
      <sharedItems containsString="false" containsBlank="true" containsNumber="true" minValue="0" maxValue="3.3582925925036875" count="0"/>
    </cacheField>
    <cacheField name="单均" numFmtId="0">
      <sharedItems containsBlank="true" containsMixedTypes="true" containsNumber="true" minValue="773.01" maxValue="4893.450000000001" count="0"/>
    </cacheField>
    <cacheField name="保单成本" numFmtId="0">
      <sharedItems containsBlank="true" containsMixedTypes="true" containsNumber="true" minValue="784.1115384615385" maxValue="9615.52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1" maxValue="16" count="0"/>
    </cacheField>
    <cacheField name="助播2" numFmtId="0">
      <sharedItems containsString="false" containsBlank="true" count="0"/>
    </cacheField>
    <cacheField name="助播时长-2" numFmtId="0">
      <sharedItems containsString="false" containsBlank="true" containsNumber="true" containsInteger="true" minValue="0" maxValue="0" count="0"/>
    </cacheField>
    <cacheField name="投手" numFmtId="0">
      <sharedItems containsBlank="true" count="0"/>
    </cacheField>
    <cacheField name="时长-2" numFmtId="0">
      <sharedItems containsString="false" containsBlank="true" containsNumber="true" containsInteger="true" minValue="14" maxValue="16" count="0"/>
    </cacheField>
    <cacheField name="曝光数" numFmtId="0">
      <sharedItems containsSemiMixedTypes="false" containsString="false" containsNumber="true" containsInteger="true" minValue="0" maxValue="459862" count="0"/>
    </cacheField>
    <cacheField name="点击数" numFmtId="0">
      <sharedItems containsSemiMixedTypes="false" containsString="false" containsNumber="true" containsInteger="true" minValue="0" maxValue="19545" count="0"/>
    </cacheField>
    <cacheField name="直播间观看数" numFmtId="0">
      <sharedItems containsSemiMixedTypes="false" containsString="false" containsNumber="true" containsInteger="true" minValue="0" maxValue="34361" count="0"/>
    </cacheField>
    <cacheField name="直播间超过1分钟观看数" numFmtId="0">
      <sharedItems containsSemiMixedTypes="false" containsString="false" containsNumber="true" containsInteger="true" minValue="0" maxValue="8530" count="0"/>
    </cacheField>
    <cacheField name="组件点击数" numFmtId="0">
      <sharedItems containsSemiMixedTypes="false" containsString="false" containsNumber="true" containsInteger="true" minValue="0" maxValue="1355" count="0"/>
    </cacheField>
    <cacheField name="直播间关注数" numFmtId="0">
      <sharedItems containsSemiMixedTypes="false" containsString="false" containsNumber="true" containsInteger="true" minValue="0" maxValue="224" count="0"/>
    </cacheField>
    <cacheField name="直播间评论数" numFmtId="0">
      <sharedItems containsSemiMixedTypes="false" containsString="false" containsNumber="true" containsInteger="true" minValue="0" maxValue="2092" count="0"/>
    </cacheField>
    <cacheField name="直播间分享数" numFmtId="0">
      <sharedItems containsSemiMixedTypes="false" containsString="false" containsNumber="true" containsInteger="true" minValue="0" maxValue="41" count="0"/>
    </cacheField>
    <cacheField name="外层点击率" numFmtId="0">
      <sharedItems containsString="false" containsBlank="true" containsNumber="true" minValue="0.02316968419173834" maxValue="0.2051939028097451" count="0"/>
    </cacheField>
    <cacheField name="互动率" numFmtId="0">
      <sharedItems containsString="false" containsBlank="true" containsNumber="true" minValue="0.018839360807401177" maxValue="0.1686746987951807" count="0"/>
    </cacheField>
    <cacheField name="直播间超过1分钟观看率" numFmtId="0">
      <sharedItems containsString="false" containsBlank="true" containsNumber="true" minValue="0.11699463327370305" maxValue="0.45317324185248714" count="0"/>
    </cacheField>
    <cacheField name="直播间评论率" numFmtId="0">
      <sharedItems containsString="false" containsBlank="true" containsNumber="true" minValue="0.015132798023471278" maxValue="0.15291936978683968" count="0"/>
    </cacheField>
    <cacheField name="组件点击成本" numFmtId="0">
      <sharedItems containsString="false" containsBlank="true" containsNumber="true" minValue="15.673953488372092" maxValue="373.80333333333334" count="0"/>
    </cacheField>
    <cacheField name="保单率" numFmtId="0">
      <sharedItems containsString="false" containsBlank="true" containsNumber="true" minValue="0.021402214022140223" maxValue="0.1017274472168906" count="0"/>
    </cacheField>
  </cacheFields>
</pivotCacheDefinition>
</file>

<file path=xl/pivotCache/pivotCacheDefinition2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AN$118" sheet="2026.8"/>
  </cacheSource>
  <cacheFields count="40">
    <cacheField name="日期" numFmtId="0">
      <sharedItems containsNonDate="false" containsDate="true" containsString="false" containsBlank="true" minDate="2026-08-06T00:00:00.000Z" maxDate="2026-08-31T00:00:00.000Z" count="0"/>
    </cacheField>
    <cacheField name="主播" numFmtId="0">
      <sharedItems containsBlank="true" count="7">
        <s v="陈蕾"/>
        <s v="赵宁尧"/>
        <m/>
        <s v="张欣"/>
        <s v="孙克岚"/>
        <s v="王文怡"/>
        <s v="王雨欣"/>
      </sharedItems>
    </cacheField>
    <cacheField name="直播时段" numFmtId="0">
      <sharedItems containsBlank="true" count="0"/>
    </cacheField>
    <cacheField name="时长" numFmtId="0">
      <sharedItems containsString="false" containsBlank="true" containsNumber="true" minValue="2" maxValue="16" count="16">
        <n v="3"/>
        <n v="4"/>
        <n v="7"/>
        <n v="8"/>
        <n v="11"/>
        <n v="12"/>
        <n v="15"/>
        <n v="14"/>
        <n v="2"/>
        <n v="13"/>
        <n v="2.75"/>
        <n v="14.75"/>
        <n v="16"/>
        <n v="2.25"/>
        <n v="13.25"/>
        <m/>
      </sharedItems>
    </cacheField>
    <cacheField name="订单数量" numFmtId="0">
      <sharedItems containsString="false" containsBlank="true" containsNumber="true" containsInteger="true" minValue="0" maxValue="62" count="0"/>
    </cacheField>
    <cacheField name="保单数量" numFmtId="0">
      <sharedItems containsString="false" containsBlank="true" containsNumber="true" containsInteger="true" minValue="0" maxValue="45" count="0"/>
    </cacheField>
    <cacheField name="保险支付数" numFmtId="0">
      <sharedItems containsString="false" containsBlank="true" containsNumber="true" containsInteger="true" minValue="0" maxValue="39" count="0"/>
    </cacheField>
    <cacheField name="月缴保单数" numFmtId="0">
      <sharedItems containsString="false" containsBlank="true" containsNumber="true" containsInteger="true" minValue="0" maxValue="40" count="0"/>
    </cacheField>
    <cacheField name="月缴保费" numFmtId="0">
      <sharedItems containsString="false" containsBlank="true" containsNumber="true" minValue="0" maxValue="11778.56" count="0"/>
    </cacheField>
    <cacheField name="年交保单数量" numFmtId="0">
      <sharedItems containsString="false" containsBlank="true" containsNumber="true" containsInteger="true" minValue="0" maxValue="5" count="0"/>
    </cacheField>
    <cacheField name="年缴保费" numFmtId="0">
      <sharedItems containsString="false" containsBlank="true" containsNumber="true" minValue="0" maxValue="7167" count="0"/>
    </cacheField>
    <cacheField name="全民保单数" numFmtId="0">
      <sharedItems containsString="false" containsBlank="true" containsNumber="true" containsInteger="true" minValue="0" maxValue="45" count="0"/>
    </cacheField>
    <cacheField name="全民保保费" numFmtId="0">
      <sharedItems containsString="false" containsBlank="true" containsNumber="true" minValue="0" maxValue="148509.72000000003" count="0"/>
    </cacheField>
    <cacheField name="家庭单数量" numFmtId="0">
      <sharedItems containsString="false" containsBlank="true" containsNumber="true" containsInteger="true" minValue="0" maxValue="23" count="0"/>
    </cacheField>
    <cacheField name="家庭单保费" numFmtId="0">
      <sharedItems containsString="false" containsBlank="true" containsNumber="true" minValue="0" maxValue="14771.640000000001" count="0"/>
    </cacheField>
    <cacheField name="年化保费" numFmtId="0">
      <sharedItems containsString="false" containsBlank="true" containsNumber="true" minValue="0" maxValue="148509.72000000003" count="0"/>
    </cacheField>
    <cacheField name="投流消耗" numFmtId="0">
      <sharedItems containsString="false" containsBlank="true" containsNumber="true" minValue="1256.46" maxValue="52834.68" count="0"/>
    </cacheField>
    <cacheField name="ROI" numFmtId="0">
      <sharedItems containsString="false" containsBlank="true" containsNumber="true" minValue="0" maxValue="3.965907854322071" count="0"/>
    </cacheField>
    <cacheField name="单均" numFmtId="0">
      <sharedItems containsBlank="true" containsMixedTypes="true" containsNumber="true" minValue="467.64" maxValue="5404.96" count="0"/>
    </cacheField>
    <cacheField name="保单成本" numFmtId="0">
      <sharedItems containsBlank="true" containsMixedTypes="true" containsNumber="true" minValue="828.282105263158" maxValue="12103.97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1" maxValue="16" count="0"/>
    </cacheField>
    <cacheField name="助播2" numFmtId="0">
      <sharedItems containsString="false" containsBlank="true" count="0"/>
    </cacheField>
    <cacheField name="助播时长-2" numFmtId="0">
      <sharedItems containsString="false" containsBlank="true" containsNumber="true" containsInteger="true" minValue="0" maxValue="0" count="0"/>
    </cacheField>
    <cacheField name="投手" numFmtId="0">
      <sharedItems containsBlank="true" count="0"/>
    </cacheField>
    <cacheField name="时长-2" numFmtId="0">
      <sharedItems containsString="false" containsBlank="true" containsNumber="true" containsInteger="true" minValue="7" maxValue="16" count="0"/>
    </cacheField>
    <cacheField name="曝光数" numFmtId="0">
      <sharedItems containsSemiMixedTypes="false" containsString="false" containsNumber="true" containsInteger="true" minValue="0" maxValue="281801" count="0"/>
    </cacheField>
    <cacheField name="点击数" numFmtId="0">
      <sharedItems containsSemiMixedTypes="false" containsString="false" containsNumber="true" containsInteger="true" minValue="0" maxValue="17384" count="0"/>
    </cacheField>
    <cacheField name="直播间观看数" numFmtId="0">
      <sharedItems containsSemiMixedTypes="false" containsString="false" containsNumber="true" containsInteger="true" minValue="0" maxValue="30851" count="0"/>
    </cacheField>
    <cacheField name="直播间超过1分钟观看数" numFmtId="0">
      <sharedItems containsSemiMixedTypes="false" containsString="false" containsNumber="true" containsInteger="true" minValue="0" maxValue="7817" count="0"/>
    </cacheField>
    <cacheField name="组件点击数" numFmtId="0">
      <sharedItems containsSemiMixedTypes="false" containsString="false" containsNumber="true" containsInteger="true" minValue="0" maxValue="884" count="0"/>
    </cacheField>
    <cacheField name="直播间关注数" numFmtId="0">
      <sharedItems containsSemiMixedTypes="false" containsString="false" containsNumber="true" containsInteger="true" minValue="0" maxValue="208" count="0"/>
    </cacheField>
    <cacheField name="直播间评论数" numFmtId="0">
      <sharedItems containsSemiMixedTypes="false" containsString="false" containsNumber="true" containsInteger="true" minValue="0" maxValue="1288" count="0"/>
    </cacheField>
    <cacheField name="直播间分享数" numFmtId="0">
      <sharedItems containsSemiMixedTypes="false" containsString="false" containsNumber="true" containsInteger="true" minValue="0" maxValue="49" count="0"/>
    </cacheField>
    <cacheField name="外层点击率" numFmtId="0">
      <sharedItems containsString="false" containsBlank="true" containsNumber="true" minValue="0.014468300075776711" maxValue="0.15519991200571961" count="0"/>
    </cacheField>
    <cacheField name="互动率" numFmtId="0">
      <sharedItems containsString="false" containsBlank="true" containsNumber="true" minValue="0.02570093457943925" maxValue="0.2481520591341077" count="0"/>
    </cacheField>
    <cacheField name="直播间超过1分钟观看率" numFmtId="0">
      <sharedItems containsString="false" containsBlank="true" containsNumber="true" minValue="0.14676068752754517" maxValue="0.2847906403940887" count="0"/>
    </cacheField>
    <cacheField name="直播间评论率" numFmtId="0">
      <sharedItems containsString="false" containsBlank="true" containsNumber="true" minValue="0.021806853582554516" maxValue="0.22914466737064415" count="0"/>
    </cacheField>
    <cacheField name="组件点击成本" numFmtId="0">
      <sharedItems containsString="false" containsBlank="true" containsNumber="true" minValue="33.45582352941177" maxValue="271.061875" count="0"/>
    </cacheField>
    <cacheField name="保单率" numFmtId="0">
      <sharedItems containsString="false" containsBlank="true" containsNumber="true" minValue="0.01384083044982699" maxValue="0.05726872246696035" count="0"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arget="../pivotCache/pivotCacheDefinition1.xml" Type="http://schemas.openxmlformats.org/officeDocument/2006/relationships/pivotCacheDefinition"></Relationship></Relationships>
</file>

<file path=xl/pivotTables/_rels/pivotTable2.xml.rels><?xml version="1.0" encoding="UTF-8" standalone="yes"?>
<Relationships xmlns="http://schemas.openxmlformats.org/package/2006/relationships"><Relationship Id="rId1" Target="../pivotCache/pivotCacheDefinition2.xml" Type="http://schemas.openxmlformats.org/officeDocument/2006/relationships/pivotCacheDefinition"></Relationship></Relationships>
</file>

<file path=xl/pivotTables/pivotTable1.xml><?xml version="1.0" encoding="utf-8"?>
<pivotTableDefinition xmlns="http://schemas.openxmlformats.org/spreadsheetml/2006/main" name="Pivot Table1" cacheId="1" dataCaption="值" updatedVersion="3" minRefreshableVersion="3" useAutoFormatting="true" createdVersion="3" compact="false" compactData="false">
  <location ref="$D$156:$G$166" firstHeaderRow="1" firstDataRow="1" firstDataCol="1"/>
  <pivotFields count="40">
    <pivotField compact="false" outline="false" showAll="false"/>
    <pivotField axis="axisRow" compact="false" outline="false" showAll="false">
      <items count="11">
        <item x="0"/>
        <item x="1"/>
        <item x="2"/>
        <item x="3"/>
        <item h="true" x="4"/>
        <item x="5"/>
        <item x="6"/>
        <item x="7"/>
        <item x="8"/>
        <item x="9"/>
        <item t="default"/>
      </items>
    </pivotField>
    <pivotField compact="false" outline="false" showAll="false"/>
    <pivotField dataField="true" compact="false" outline="false" showAll="false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1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dataField="true" compact="false" outline="false" showAll="false">
      <items count="1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时长" fld="3" subtotal="sum"/>
    <dataField name="求和项:年化保费" fld="15" subtotal="sum"/>
    <dataField name="求和项:投流消耗" fld="1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 Table2" cacheId="2" dataCaption="值" updatedVersion="3" minRefreshableVersion="3" useAutoFormatting="true" createdVersion="3" compact="false" compactData="false">
  <location ref="$D$122:$E$129" firstHeaderRow="1" firstDataRow="1" firstDataCol="1"/>
  <pivotFields count="40">
    <pivotField compact="false" outline="false" showAll="false"/>
    <pivotField axis="axisRow" compact="false" outline="false" showAll="false">
      <items count="8">
        <item x="0"/>
        <item x="1"/>
        <item h="true" x="2"/>
        <item x="3"/>
        <item x="4"/>
        <item x="5"/>
        <item x="6"/>
        <item t="default"/>
      </items>
    </pivotField>
    <pivotField compact="false" outline="false" showAll="false"/>
    <pivotField dataField="true" compact="false" outline="false" showAll="false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dataFields count="1">
    <dataField name="求和项:时长" fld="3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../pivotTables/pivotTable1.xml" Type="http://schemas.openxmlformats.org/officeDocument/2006/relationships/pivotTable"></Relationship></Relationships>
</file>

<file path=xl/worksheets/_rels/sheet4.xml.rels><?xml version="1.0" encoding="UTF-8" standalone="yes"?>
<Relationships xmlns="http://schemas.openxmlformats.org/package/2006/relationships"><Relationship Id="rId1" Target="../pivotTables/pivotTable2.xml" Type="http://schemas.openxmlformats.org/officeDocument/2006/relationships/pivotTabl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16"/>
  <cols>
    <col collapsed="false" customWidth="true" hidden="false" max="7" min="7" style="0" width="11.211267605633802"/>
    <col collapsed="false" customWidth="true" hidden="false" max="18" min="18" style="0" width="11.211267605633802"/>
    <col collapsed="false" customWidth="true" hidden="false" max="3" min="3" style="0" width="11.211267605633802"/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1.211267605633802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1" t="s">
        <v>12</v>
      </c>
      <c r="M1" s="1" t="s">
        <v>13</v>
      </c>
      <c r="N1" s="2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22</v>
      </c>
      <c r="Y1" s="1" t="s">
        <v>24</v>
      </c>
      <c r="Z1" s="1" t="s">
        <v>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</row>
    <row r="2">
      <c r="A2" s="5">
        <v>46296</v>
      </c>
      <c r="B2" s="6" t="s">
        <v>39</v>
      </c>
      <c r="C2" s="1" t="s">
        <v>40</v>
      </c>
      <c r="D2" s="1">
        <v>4</v>
      </c>
      <c r="E2" s="7">
        <v>16</v>
      </c>
      <c r="F2" s="8">
        <v>13</v>
      </c>
      <c r="G2" s="7">
        <v>11</v>
      </c>
      <c r="H2" s="7">
        <v>12</v>
      </c>
      <c r="I2" s="7">
        <v>1840.7899999999997</v>
      </c>
      <c r="J2" s="9">
        <v>1</v>
      </c>
      <c r="K2" s="9">
        <v>609</v>
      </c>
      <c r="L2" s="10">
        <v>13</v>
      </c>
      <c r="M2" s="11">
        <v>22698.479999999996</v>
      </c>
      <c r="N2" s="11">
        <v>2</v>
      </c>
      <c r="O2" s="11">
        <v>895.3399999999999</v>
      </c>
      <c r="P2" s="1">
        <f t="shared" ref="P2:P5" si="8">I2*12+K2</f>
      </c>
      <c r="Q2" s="12">
        <v>11168.369999999999</v>
      </c>
      <c r="R2" s="13">
        <f t="shared" ref="R2:R72" si="5">P2/Q2</f>
      </c>
      <c r="S2" s="14">
        <f t="shared" ref="S2:S72" si="3">P2/F2</f>
      </c>
      <c r="T2" s="14">
        <f t="shared" ref="T2:T72" si="1">Q2/F2</f>
      </c>
      <c r="U2" s="7" t="s">
        <v>41</v>
      </c>
      <c r="V2" s="7">
        <v>7</v>
      </c>
      <c r="W2" s="15"/>
      <c r="X2" s="15"/>
      <c r="Y2" s="15"/>
      <c r="Z2" s="15"/>
      <c r="AA2" s="16">
        <v>35295</v>
      </c>
      <c r="AB2" s="16">
        <v>2495</v>
      </c>
      <c r="AC2" s="16">
        <v>3721</v>
      </c>
      <c r="AD2" s="16">
        <v>917</v>
      </c>
      <c r="AE2" s="15">
        <v>125</v>
      </c>
      <c r="AF2" s="15">
        <v>19</v>
      </c>
      <c r="AG2" s="15">
        <v>173</v>
      </c>
      <c r="AH2" s="15">
        <v>2</v>
      </c>
      <c r="AI2" s="17">
        <f t="shared" ref="AI2:AI72" si="6">AB2/AA2</f>
      </c>
      <c r="AJ2" s="17">
        <f t="shared" ref="AJ2:AJ72" si="4">(AF2+AG2+AH2)/AC2</f>
      </c>
      <c r="AK2" s="17">
        <f t="shared" ref="AK2:AK72" si="7">AD2/AC2</f>
      </c>
      <c r="AL2" s="18">
        <f t="shared" ref="AL2:AL72" si="2">AG2/AC2</f>
      </c>
      <c r="AM2" s="19">
        <f t="shared" ref="AM2:AM72" si="0">Q2/AE2</f>
      </c>
      <c r="AN2" s="20"/>
    </row>
    <row r="3">
      <c r="A3" s="5">
        <v>46296</v>
      </c>
      <c r="B3" s="6" t="s">
        <v>42</v>
      </c>
      <c r="C3" s="6" t="s">
        <v>43</v>
      </c>
      <c r="D3" s="6">
        <v>4</v>
      </c>
      <c r="E3" s="7">
        <v>27</v>
      </c>
      <c r="F3" s="8">
        <v>16</v>
      </c>
      <c r="G3" s="7">
        <v>15</v>
      </c>
      <c r="H3" s="7">
        <v>16</v>
      </c>
      <c r="I3" s="7">
        <v>3071.25</v>
      </c>
      <c r="J3" s="9">
        <v>0</v>
      </c>
      <c r="K3" s="9">
        <v>0</v>
      </c>
      <c r="L3" s="10">
        <v>16</v>
      </c>
      <c r="M3" s="11">
        <v>36855</v>
      </c>
      <c r="N3" s="11">
        <v>4</v>
      </c>
      <c r="O3" s="11">
        <v>2080.11</v>
      </c>
      <c r="P3" s="1">
        <f t="shared" si="8"/>
      </c>
      <c r="Q3" s="21">
        <v>24319.239999999998</v>
      </c>
      <c r="R3" s="13">
        <f t="shared" si="5"/>
      </c>
      <c r="S3" s="14">
        <f t="shared" si="3"/>
      </c>
      <c r="T3" s="14">
        <f t="shared" si="1"/>
      </c>
      <c r="U3" s="7" t="s">
        <v>44</v>
      </c>
      <c r="V3" s="7">
        <v>1</v>
      </c>
      <c r="W3" s="15"/>
      <c r="X3" s="15"/>
      <c r="Y3" s="15" t="s">
        <v>45</v>
      </c>
      <c r="Z3" s="7">
        <v>16</v>
      </c>
      <c r="AA3" s="22">
        <v>57737</v>
      </c>
      <c r="AB3" s="22">
        <v>7602</v>
      </c>
      <c r="AC3" s="22">
        <v>12597</v>
      </c>
      <c r="AD3" s="22">
        <v>3631</v>
      </c>
      <c r="AE3" s="7">
        <v>220</v>
      </c>
      <c r="AF3" s="7">
        <v>49</v>
      </c>
      <c r="AG3" s="7">
        <v>508</v>
      </c>
      <c r="AH3" s="7">
        <v>2</v>
      </c>
      <c r="AI3" s="17">
        <f t="shared" si="6"/>
      </c>
      <c r="AJ3" s="17">
        <f t="shared" si="4"/>
      </c>
      <c r="AK3" s="17">
        <f t="shared" si="7"/>
      </c>
      <c r="AL3" s="18">
        <f t="shared" si="2"/>
      </c>
      <c r="AM3" s="19">
        <f t="shared" si="0"/>
      </c>
      <c r="AN3" s="20"/>
    </row>
    <row r="4">
      <c r="A4" s="5">
        <v>46296</v>
      </c>
      <c r="B4" s="6" t="s">
        <v>46</v>
      </c>
      <c r="C4" s="1" t="s">
        <v>47</v>
      </c>
      <c r="D4" s="1">
        <v>4</v>
      </c>
      <c r="E4" s="7">
        <v>15</v>
      </c>
      <c r="F4" s="8">
        <v>10</v>
      </c>
      <c r="G4" s="7">
        <v>5</v>
      </c>
      <c r="H4" s="7">
        <v>9</v>
      </c>
      <c r="I4" s="7">
        <v>2250.3300000000004</v>
      </c>
      <c r="J4" s="9">
        <v>1</v>
      </c>
      <c r="K4" s="9">
        <v>873</v>
      </c>
      <c r="L4" s="10">
        <v>10</v>
      </c>
      <c r="M4" s="11">
        <v>27876.960000000006</v>
      </c>
      <c r="N4" s="11">
        <v>5</v>
      </c>
      <c r="O4" s="11">
        <v>1735.8000000000002</v>
      </c>
      <c r="P4" s="1">
        <f t="shared" si="8"/>
      </c>
      <c r="Q4" s="21">
        <v>17466.33</v>
      </c>
      <c r="R4" s="13">
        <f t="shared" si="5"/>
      </c>
      <c r="S4" s="14">
        <f t="shared" si="3"/>
      </c>
      <c r="T4" s="14">
        <f t="shared" si="1"/>
      </c>
      <c r="U4" s="7" t="s">
        <v>48</v>
      </c>
      <c r="V4" s="7">
        <v>8</v>
      </c>
      <c r="W4" s="15"/>
      <c r="X4" s="15"/>
      <c r="Y4" s="15"/>
      <c r="Z4" s="15"/>
      <c r="AA4" s="15">
        <v>43381</v>
      </c>
      <c r="AB4" s="15">
        <v>4524</v>
      </c>
      <c r="AC4" s="15">
        <v>7834</v>
      </c>
      <c r="AD4" s="15">
        <v>1941</v>
      </c>
      <c r="AE4" s="15">
        <v>164</v>
      </c>
      <c r="AF4" s="15">
        <v>32</v>
      </c>
      <c r="AG4" s="15">
        <v>311</v>
      </c>
      <c r="AH4" s="7">
        <v>2</v>
      </c>
      <c r="AI4" s="17">
        <f t="shared" si="6"/>
      </c>
      <c r="AJ4" s="17">
        <f t="shared" si="4"/>
      </c>
      <c r="AK4" s="17">
        <f t="shared" si="7"/>
      </c>
      <c r="AL4" s="18">
        <f t="shared" si="2"/>
      </c>
      <c r="AM4" s="19">
        <f t="shared" si="0"/>
      </c>
      <c r="AN4" s="20"/>
    </row>
    <row r="5">
      <c r="A5" s="5">
        <v>46296</v>
      </c>
      <c r="B5" s="6" t="s">
        <v>49</v>
      </c>
      <c r="C5" s="6" t="s">
        <v>50</v>
      </c>
      <c r="D5" s="6">
        <v>4</v>
      </c>
      <c r="E5" s="7">
        <v>35</v>
      </c>
      <c r="F5" s="8">
        <v>16</v>
      </c>
      <c r="G5" s="7">
        <v>17</v>
      </c>
      <c r="H5" s="7">
        <v>16</v>
      </c>
      <c r="I5" s="7">
        <v>4448.31</v>
      </c>
      <c r="J5" s="9">
        <v>0</v>
      </c>
      <c r="K5" s="9">
        <v>0</v>
      </c>
      <c r="L5" s="10">
        <v>16</v>
      </c>
      <c r="M5" s="11">
        <v>53379.72</v>
      </c>
      <c r="N5" s="11">
        <v>9</v>
      </c>
      <c r="O5" s="11">
        <v>3633.8099999999995</v>
      </c>
      <c r="P5" s="1">
        <f t="shared" si="8"/>
      </c>
      <c r="Q5" s="21">
        <v>23507.65</v>
      </c>
      <c r="R5" s="13">
        <f t="shared" si="5"/>
      </c>
      <c r="S5" s="14">
        <f t="shared" si="3"/>
      </c>
      <c r="T5" s="14">
        <f t="shared" si="1"/>
      </c>
      <c r="U5" s="7"/>
      <c r="V5" s="7"/>
      <c r="W5" s="15"/>
      <c r="X5" s="15"/>
      <c r="Y5" s="15"/>
      <c r="Z5" s="15"/>
      <c r="AA5" s="7">
        <v>72271</v>
      </c>
      <c r="AB5" s="15">
        <v>6733</v>
      </c>
      <c r="AC5" s="15">
        <v>10840</v>
      </c>
      <c r="AD5" s="15">
        <v>2251</v>
      </c>
      <c r="AE5" s="7">
        <v>325</v>
      </c>
      <c r="AF5" s="7">
        <v>58</v>
      </c>
      <c r="AG5" s="7">
        <v>604</v>
      </c>
      <c r="AH5" s="7">
        <v>5</v>
      </c>
      <c r="AI5" s="17">
        <f t="shared" si="6"/>
      </c>
      <c r="AJ5" s="17">
        <f t="shared" si="4"/>
      </c>
      <c r="AK5" s="17">
        <f t="shared" si="7"/>
      </c>
      <c r="AL5" s="18">
        <f t="shared" si="2"/>
      </c>
      <c r="AM5" s="19">
        <f t="shared" si="0"/>
      </c>
      <c r="AN5" s="20"/>
    </row>
    <row r="6">
      <c r="A6" s="23">
        <v>46296</v>
      </c>
      <c r="B6" s="24"/>
      <c r="C6" s="25" t="s">
        <v>51</v>
      </c>
      <c r="D6" s="24">
        <f>D2+D3+D4+D5</f>
      </c>
      <c r="E6" s="24">
        <f>E2+E3+E4+E5</f>
      </c>
      <c r="F6" s="24">
        <f>F2+F3+F4+F5</f>
      </c>
      <c r="G6" s="24">
        <f>G2+G3+G4+G5</f>
      </c>
      <c r="H6" s="24">
        <f>H2+H3+H4+H5</f>
      </c>
      <c r="I6" s="24">
        <f>I2+I3+I4+I5</f>
      </c>
      <c r="J6" s="26">
        <f>J2+J3+J4+J5</f>
      </c>
      <c r="K6" s="26">
        <f>K2+K3+K4+K5</f>
      </c>
      <c r="L6" s="26">
        <f>L2+L3+L4+L5</f>
      </c>
      <c r="M6" s="26">
        <f>M2+M3+M4+M5</f>
      </c>
      <c r="N6" s="26">
        <f>N2+N3+N4+N5</f>
      </c>
      <c r="O6" s="26">
        <f>O2+O3+O4+O5</f>
      </c>
      <c r="P6" s="24">
        <f>P2+P3+P4+P5</f>
      </c>
      <c r="Q6" s="24">
        <f>Q2+Q3+Q4+Q5</f>
      </c>
      <c r="R6" s="27">
        <f t="shared" si="5"/>
      </c>
      <c r="S6" s="27">
        <f t="shared" si="3"/>
      </c>
      <c r="T6" s="27">
        <f t="shared" si="1"/>
      </c>
      <c r="U6" s="28"/>
      <c r="V6" s="24">
        <f>V2+V3+V5+V4</f>
      </c>
      <c r="W6" s="28"/>
      <c r="X6" s="24">
        <f>SUM(X2:X3)</f>
      </c>
      <c r="Y6" s="28"/>
      <c r="Z6" s="25">
        <f>Z2+Z3+Z4+Z5</f>
      </c>
      <c r="AA6" s="24">
        <f>SUM(AA2:AA5)</f>
      </c>
      <c r="AB6" s="24">
        <f>SUM(AB2:AB5)</f>
      </c>
      <c r="AC6" s="24">
        <f>SUM(AC2:AC5)</f>
      </c>
      <c r="AD6" s="24">
        <f>SUM(AD2:AD5)</f>
      </c>
      <c r="AE6" s="24">
        <f>SUM(AE2:AE5)</f>
      </c>
      <c r="AF6" s="24">
        <f>SUM(AF2:AF5)</f>
      </c>
      <c r="AG6" s="24">
        <f>SUM(AG2:AG5)</f>
      </c>
      <c r="AH6" s="24">
        <f>SUM(AH2:AH5)</f>
      </c>
      <c r="AI6" s="29">
        <f t="shared" si="6"/>
      </c>
      <c r="AJ6" s="29">
        <f t="shared" si="4"/>
      </c>
      <c r="AK6" s="29">
        <f t="shared" si="7"/>
      </c>
      <c r="AL6" s="29">
        <f t="shared" si="2"/>
      </c>
      <c r="AM6" s="30">
        <f t="shared" si="0"/>
      </c>
      <c r="AN6" s="29">
        <f>F6/AE6</f>
      </c>
    </row>
    <row r="7">
      <c r="A7" s="5">
        <v>46297</v>
      </c>
      <c r="B7" s="6" t="s">
        <v>39</v>
      </c>
      <c r="C7" s="1" t="s">
        <v>40</v>
      </c>
      <c r="D7" s="1">
        <v>4</v>
      </c>
      <c r="E7" s="7">
        <v>12</v>
      </c>
      <c r="F7" s="8">
        <v>8</v>
      </c>
      <c r="G7" s="7">
        <v>7</v>
      </c>
      <c r="H7" s="7">
        <v>6</v>
      </c>
      <c r="I7" s="7">
        <v>1179.9299999999998</v>
      </c>
      <c r="J7" s="9">
        <v>2</v>
      </c>
      <c r="K7" s="9">
        <v>2766</v>
      </c>
      <c r="L7" s="10">
        <v>8</v>
      </c>
      <c r="M7" s="11">
        <v>16925.159999999996</v>
      </c>
      <c r="N7" s="11">
        <v>0</v>
      </c>
      <c r="O7" s="11">
        <v>0</v>
      </c>
      <c r="P7" s="1">
        <f t="shared" ref="P7:P10" si="9">I7*12+K7</f>
      </c>
      <c r="Q7" s="12">
        <v>11231.24</v>
      </c>
      <c r="R7" s="13">
        <f t="shared" si="5"/>
      </c>
      <c r="S7" s="14">
        <f t="shared" si="3"/>
      </c>
      <c r="T7" s="14">
        <f t="shared" si="1"/>
      </c>
      <c r="U7" s="7" t="s">
        <v>41</v>
      </c>
      <c r="V7" s="7">
        <v>7</v>
      </c>
      <c r="W7" s="15"/>
      <c r="X7" s="15"/>
      <c r="Y7" s="15"/>
      <c r="Z7" s="15"/>
      <c r="AA7" s="16">
        <v>37146</v>
      </c>
      <c r="AB7" s="16">
        <v>2081</v>
      </c>
      <c r="AC7" s="16">
        <v>2860</v>
      </c>
      <c r="AD7" s="16">
        <v>644</v>
      </c>
      <c r="AE7" s="15">
        <v>186</v>
      </c>
      <c r="AF7" s="15">
        <v>26</v>
      </c>
      <c r="AG7" s="15">
        <v>259</v>
      </c>
      <c r="AH7" s="15">
        <v>1</v>
      </c>
      <c r="AI7" s="17">
        <f t="shared" si="6"/>
      </c>
      <c r="AJ7" s="17">
        <f t="shared" si="4"/>
      </c>
      <c r="AK7" s="17">
        <f t="shared" si="7"/>
      </c>
      <c r="AL7" s="18">
        <f t="shared" si="2"/>
      </c>
      <c r="AM7" s="19">
        <f t="shared" si="0"/>
      </c>
      <c r="AN7" s="20"/>
    </row>
    <row r="8">
      <c r="A8" s="5">
        <v>46297</v>
      </c>
      <c r="B8" s="6" t="s">
        <v>49</v>
      </c>
      <c r="C8" s="6" t="s">
        <v>43</v>
      </c>
      <c r="D8" s="6">
        <v>4</v>
      </c>
      <c r="E8" s="7">
        <v>16</v>
      </c>
      <c r="F8" s="8">
        <v>10</v>
      </c>
      <c r="G8" s="7">
        <v>9</v>
      </c>
      <c r="H8" s="7">
        <v>9</v>
      </c>
      <c r="I8" s="7">
        <v>1104.95</v>
      </c>
      <c r="J8" s="9">
        <v>1</v>
      </c>
      <c r="K8" s="9">
        <v>4071.6</v>
      </c>
      <c r="L8" s="10">
        <v>10</v>
      </c>
      <c r="M8" s="11">
        <v>17331</v>
      </c>
      <c r="N8" s="11">
        <v>2</v>
      </c>
      <c r="O8" s="11">
        <v>4228.07</v>
      </c>
      <c r="P8" s="1">
        <f t="shared" si="9"/>
      </c>
      <c r="Q8" s="21">
        <v>16507.62</v>
      </c>
      <c r="R8" s="13">
        <f t="shared" si="5"/>
      </c>
      <c r="S8" s="14">
        <f t="shared" si="3"/>
      </c>
      <c r="T8" s="14">
        <f t="shared" si="1"/>
      </c>
      <c r="U8" s="7" t="s">
        <v>44</v>
      </c>
      <c r="V8" s="7">
        <v>1</v>
      </c>
      <c r="W8" s="15"/>
      <c r="X8" s="15"/>
      <c r="Y8" s="15" t="s">
        <v>45</v>
      </c>
      <c r="Z8" s="7">
        <v>16</v>
      </c>
      <c r="AA8" s="22">
        <v>47680</v>
      </c>
      <c r="AB8" s="22">
        <v>3857</v>
      </c>
      <c r="AC8" s="22">
        <v>5861</v>
      </c>
      <c r="AD8" s="22">
        <v>1434</v>
      </c>
      <c r="AE8" s="7">
        <v>248</v>
      </c>
      <c r="AF8" s="7">
        <v>37</v>
      </c>
      <c r="AG8" s="7">
        <v>347</v>
      </c>
      <c r="AH8" s="7">
        <v>2</v>
      </c>
      <c r="AI8" s="17">
        <f t="shared" si="6"/>
      </c>
      <c r="AJ8" s="17">
        <f t="shared" si="4"/>
      </c>
      <c r="AK8" s="17">
        <f t="shared" si="7"/>
      </c>
      <c r="AL8" s="18">
        <f t="shared" si="2"/>
      </c>
      <c r="AM8" s="19">
        <f t="shared" si="0"/>
      </c>
      <c r="AN8" s="20"/>
    </row>
    <row r="9">
      <c r="A9" s="5">
        <v>46297</v>
      </c>
      <c r="B9" s="6" t="s">
        <v>52</v>
      </c>
      <c r="C9" s="1" t="s">
        <v>47</v>
      </c>
      <c r="D9" s="1">
        <v>4</v>
      </c>
      <c r="E9" s="7">
        <v>8</v>
      </c>
      <c r="F9" s="8">
        <v>3</v>
      </c>
      <c r="G9" s="7">
        <v>3</v>
      </c>
      <c r="H9" s="7">
        <v>3</v>
      </c>
      <c r="I9" s="7">
        <v>248.1</v>
      </c>
      <c r="J9" s="9">
        <v>0</v>
      </c>
      <c r="K9" s="9">
        <v>0</v>
      </c>
      <c r="L9" s="10">
        <v>3</v>
      </c>
      <c r="M9" s="11">
        <v>2977.2</v>
      </c>
      <c r="N9" s="11">
        <v>1</v>
      </c>
      <c r="O9" s="11">
        <v>128.31</v>
      </c>
      <c r="P9" s="1">
        <f t="shared" si="9"/>
      </c>
      <c r="Q9" s="21">
        <v>13482.76</v>
      </c>
      <c r="R9" s="13">
        <f t="shared" si="5"/>
      </c>
      <c r="S9" s="14">
        <f t="shared" si="3"/>
      </c>
      <c r="T9" s="14">
        <f t="shared" si="1"/>
      </c>
      <c r="U9" s="7" t="s">
        <v>48</v>
      </c>
      <c r="V9" s="7">
        <v>8</v>
      </c>
      <c r="W9" s="15"/>
      <c r="X9" s="15"/>
      <c r="Y9" s="15"/>
      <c r="Z9" s="15"/>
      <c r="AA9" s="15">
        <v>48332</v>
      </c>
      <c r="AB9" s="15">
        <v>2562</v>
      </c>
      <c r="AC9" s="15">
        <v>4002</v>
      </c>
      <c r="AD9" s="15">
        <v>1047</v>
      </c>
      <c r="AE9" s="15">
        <v>172</v>
      </c>
      <c r="AF9" s="15">
        <v>32</v>
      </c>
      <c r="AG9" s="15">
        <v>298</v>
      </c>
      <c r="AH9" s="7">
        <v>6</v>
      </c>
      <c r="AI9" s="17">
        <f t="shared" si="6"/>
      </c>
      <c r="AJ9" s="17">
        <f t="shared" si="4"/>
      </c>
      <c r="AK9" s="17">
        <f t="shared" si="7"/>
      </c>
      <c r="AL9" s="18">
        <f t="shared" si="2"/>
      </c>
      <c r="AM9" s="19">
        <f t="shared" si="0"/>
      </c>
      <c r="AN9" s="20"/>
    </row>
    <row r="10">
      <c r="A10" s="5">
        <v>46297</v>
      </c>
      <c r="B10" s="6" t="s">
        <v>53</v>
      </c>
      <c r="C10" s="6" t="s">
        <v>50</v>
      </c>
      <c r="D10" s="6">
        <v>4</v>
      </c>
      <c r="E10" s="7">
        <v>10</v>
      </c>
      <c r="F10" s="8">
        <v>8</v>
      </c>
      <c r="G10" s="7">
        <v>7</v>
      </c>
      <c r="H10" s="7">
        <v>7</v>
      </c>
      <c r="I10" s="7">
        <v>1928.08</v>
      </c>
      <c r="J10" s="9">
        <v>1</v>
      </c>
      <c r="K10" s="9">
        <v>2098.4</v>
      </c>
      <c r="L10" s="10">
        <v>8</v>
      </c>
      <c r="M10" s="11">
        <v>25235.36</v>
      </c>
      <c r="N10" s="11">
        <v>6</v>
      </c>
      <c r="O10" s="11">
        <v>3863.67</v>
      </c>
      <c r="P10" s="1">
        <f t="shared" si="9"/>
      </c>
      <c r="Q10" s="21">
        <v>11136.45</v>
      </c>
      <c r="R10" s="13">
        <f t="shared" si="5"/>
      </c>
      <c r="S10" s="14">
        <f t="shared" si="3"/>
      </c>
      <c r="T10" s="14">
        <f t="shared" si="1"/>
      </c>
      <c r="U10" s="7"/>
      <c r="V10" s="7"/>
      <c r="W10" s="15"/>
      <c r="X10" s="15"/>
      <c r="Y10" s="15"/>
      <c r="Z10" s="15"/>
      <c r="AA10" s="7">
        <v>46248</v>
      </c>
      <c r="AB10" s="15">
        <v>2443</v>
      </c>
      <c r="AC10" s="15">
        <v>3664</v>
      </c>
      <c r="AD10" s="15">
        <v>783</v>
      </c>
      <c r="AE10" s="7">
        <v>202</v>
      </c>
      <c r="AF10" s="7">
        <v>27</v>
      </c>
      <c r="AG10" s="7">
        <v>269</v>
      </c>
      <c r="AH10" s="7">
        <v>3</v>
      </c>
      <c r="AI10" s="17">
        <f t="shared" si="6"/>
      </c>
      <c r="AJ10" s="17">
        <f t="shared" si="4"/>
      </c>
      <c r="AK10" s="17">
        <f t="shared" si="7"/>
      </c>
      <c r="AL10" s="18">
        <f t="shared" si="2"/>
      </c>
      <c r="AM10" s="19">
        <f t="shared" si="0"/>
      </c>
      <c r="AN10" s="20"/>
    </row>
    <row r="11">
      <c r="A11" s="23">
        <v>46297</v>
      </c>
      <c r="B11" s="24"/>
      <c r="C11" s="25" t="s">
        <v>51</v>
      </c>
      <c r="D11" s="24">
        <f>D7+D8+D9+D10</f>
      </c>
      <c r="E11" s="24">
        <f>E7+E8+E9+E10</f>
      </c>
      <c r="F11" s="24">
        <f>F7+F8+F9+F10</f>
      </c>
      <c r="G11" s="24">
        <f>G7+G8+G9+G10</f>
      </c>
      <c r="H11" s="24">
        <f>H7+H8+H9+H10</f>
      </c>
      <c r="I11" s="24">
        <f>I7+I8+I9+I10</f>
      </c>
      <c r="J11" s="26">
        <f>J7+J8+J9+J10</f>
      </c>
      <c r="K11" s="26">
        <f>K7+K8+K9+K10</f>
      </c>
      <c r="L11" s="26">
        <f>L7+L8+L9+L10</f>
      </c>
      <c r="M11" s="26">
        <f>M7+M8+M9+M10</f>
      </c>
      <c r="N11" s="26">
        <f>N7+N8+N9+N10</f>
      </c>
      <c r="O11" s="26">
        <f>O7+O8+O9+O10</f>
      </c>
      <c r="P11" s="24">
        <f>P7+P8+P9+P10</f>
      </c>
      <c r="Q11" s="24">
        <f>Q7+Q8+Q9+Q10</f>
      </c>
      <c r="R11" s="27">
        <f t="shared" si="5"/>
      </c>
      <c r="S11" s="27">
        <f t="shared" si="3"/>
      </c>
      <c r="T11" s="27">
        <f t="shared" si="1"/>
      </c>
      <c r="U11" s="28"/>
      <c r="V11" s="24">
        <f>V7+V8+V10+V9</f>
      </c>
      <c r="W11" s="28"/>
      <c r="X11" s="24">
        <f>SUM(X7:X8)</f>
      </c>
      <c r="Y11" s="28"/>
      <c r="Z11" s="25">
        <f>Z7+Z8+Z9+Z10</f>
      </c>
      <c r="AA11" s="24">
        <f>SUM(AA7:AA10)</f>
      </c>
      <c r="AB11" s="24">
        <f>SUM(AB7:AB10)</f>
      </c>
      <c r="AC11" s="24">
        <f>SUM(AC7:AC10)</f>
      </c>
      <c r="AD11" s="24">
        <f>SUM(AD7:AD10)</f>
      </c>
      <c r="AE11" s="24">
        <f>SUM(AE7:AE10)</f>
      </c>
      <c r="AF11" s="24">
        <f>SUM(AF7:AF10)</f>
      </c>
      <c r="AG11" s="24">
        <f>SUM(AG7:AG10)</f>
      </c>
      <c r="AH11" s="24">
        <f>SUM(AH7:AH10)</f>
      </c>
      <c r="AI11" s="29">
        <f t="shared" si="6"/>
      </c>
      <c r="AJ11" s="29">
        <f t="shared" si="4"/>
      </c>
      <c r="AK11" s="29">
        <f t="shared" si="7"/>
      </c>
      <c r="AL11" s="29">
        <f t="shared" si="2"/>
      </c>
      <c r="AM11" s="30">
        <f t="shared" si="0"/>
      </c>
      <c r="AN11" s="29">
        <f>F11/AE11</f>
      </c>
    </row>
    <row r="12">
      <c r="A12" s="5">
        <v>46298</v>
      </c>
      <c r="B12" s="6" t="s">
        <v>39</v>
      </c>
      <c r="C12" s="1" t="s">
        <v>40</v>
      </c>
      <c r="D12" s="1">
        <v>4</v>
      </c>
      <c r="E12" s="7">
        <v>14</v>
      </c>
      <c r="F12" s="8">
        <v>12</v>
      </c>
      <c r="G12" s="7">
        <v>12</v>
      </c>
      <c r="H12" s="7">
        <v>10</v>
      </c>
      <c r="I12" s="7">
        <v>2865.67</v>
      </c>
      <c r="J12" s="9">
        <v>2</v>
      </c>
      <c r="K12" s="9">
        <v>4289.6</v>
      </c>
      <c r="L12" s="10">
        <v>12</v>
      </c>
      <c r="M12" s="11">
        <v>38677.64</v>
      </c>
      <c r="N12" s="11">
        <v>4</v>
      </c>
      <c r="O12" s="11">
        <v>1182.4</v>
      </c>
      <c r="P12" s="1">
        <f t="shared" ref="P12:P15" si="10">I12*12+K12</f>
      </c>
      <c r="Q12" s="12">
        <v>16712.89</v>
      </c>
      <c r="R12" s="13">
        <f t="shared" si="5"/>
      </c>
      <c r="S12" s="14">
        <f t="shared" si="3"/>
      </c>
      <c r="T12" s="14">
        <f t="shared" si="1"/>
      </c>
      <c r="U12" s="7" t="s">
        <v>41</v>
      </c>
      <c r="V12" s="7">
        <v>7</v>
      </c>
      <c r="W12" s="15"/>
      <c r="X12" s="15"/>
      <c r="Y12" s="15"/>
      <c r="Z12" s="15"/>
      <c r="AA12" s="16">
        <v>51968</v>
      </c>
      <c r="AB12" s="16">
        <v>4044</v>
      </c>
      <c r="AC12" s="16">
        <v>6378</v>
      </c>
      <c r="AD12" s="16">
        <v>1421</v>
      </c>
      <c r="AE12" s="15">
        <v>222</v>
      </c>
      <c r="AF12" s="15">
        <v>42</v>
      </c>
      <c r="AG12" s="15">
        <v>331</v>
      </c>
      <c r="AH12" s="15">
        <v>5</v>
      </c>
      <c r="AI12" s="17">
        <f t="shared" si="6"/>
      </c>
      <c r="AJ12" s="17">
        <f t="shared" si="4"/>
      </c>
      <c r="AK12" s="17">
        <f t="shared" si="7"/>
      </c>
      <c r="AL12" s="18">
        <f t="shared" si="2"/>
      </c>
      <c r="AM12" s="19">
        <f t="shared" si="0"/>
      </c>
      <c r="AN12" s="20"/>
    </row>
    <row r="13">
      <c r="A13" s="5">
        <v>46298</v>
      </c>
      <c r="B13" s="6" t="s">
        <v>53</v>
      </c>
      <c r="C13" s="6" t="s">
        <v>43</v>
      </c>
      <c r="D13" s="6">
        <v>4</v>
      </c>
      <c r="E13" s="7">
        <v>20</v>
      </c>
      <c r="F13" s="8">
        <v>15</v>
      </c>
      <c r="G13" s="7">
        <v>11</v>
      </c>
      <c r="H13" s="7">
        <v>14</v>
      </c>
      <c r="I13" s="7">
        <v>3500.5900000000006</v>
      </c>
      <c r="J13" s="9">
        <v>1</v>
      </c>
      <c r="K13" s="9">
        <v>1126</v>
      </c>
      <c r="L13" s="10">
        <v>15</v>
      </c>
      <c r="M13" s="11">
        <v>43133.08000000001</v>
      </c>
      <c r="N13" s="11">
        <v>7</v>
      </c>
      <c r="O13" s="11">
        <v>2565.65</v>
      </c>
      <c r="P13" s="1">
        <f t="shared" si="10"/>
      </c>
      <c r="Q13" s="21">
        <v>19861.62</v>
      </c>
      <c r="R13" s="13">
        <f t="shared" si="5"/>
      </c>
      <c r="S13" s="14">
        <f t="shared" si="3"/>
      </c>
      <c r="T13" s="14">
        <f t="shared" si="1"/>
      </c>
      <c r="U13" s="7" t="s">
        <v>54</v>
      </c>
      <c r="V13" s="7">
        <v>1</v>
      </c>
      <c r="W13" s="15"/>
      <c r="X13" s="15"/>
      <c r="Y13" s="15" t="s">
        <v>45</v>
      </c>
      <c r="Z13" s="7">
        <v>16</v>
      </c>
      <c r="AA13" s="22">
        <v>63180</v>
      </c>
      <c r="AB13" s="22">
        <v>5779</v>
      </c>
      <c r="AC13" s="22">
        <v>9134</v>
      </c>
      <c r="AD13" s="22">
        <v>2273</v>
      </c>
      <c r="AE13" s="7">
        <v>295</v>
      </c>
      <c r="AF13" s="7">
        <v>53</v>
      </c>
      <c r="AG13" s="7">
        <v>513</v>
      </c>
      <c r="AH13" s="7">
        <v>5</v>
      </c>
      <c r="AI13" s="17">
        <f t="shared" si="6"/>
      </c>
      <c r="AJ13" s="17">
        <f t="shared" si="4"/>
      </c>
      <c r="AK13" s="17">
        <f t="shared" si="7"/>
      </c>
      <c r="AL13" s="18">
        <f t="shared" si="2"/>
      </c>
      <c r="AM13" s="19">
        <f t="shared" si="0"/>
      </c>
      <c r="AN13" s="20"/>
    </row>
    <row r="14">
      <c r="A14" s="5">
        <v>46298</v>
      </c>
      <c r="B14" s="6" t="s">
        <v>49</v>
      </c>
      <c r="C14" s="6" t="s">
        <v>55</v>
      </c>
      <c r="D14" s="6">
        <v>3</v>
      </c>
      <c r="E14" s="7">
        <v>9</v>
      </c>
      <c r="F14" s="8">
        <v>6</v>
      </c>
      <c r="G14" s="7">
        <v>4</v>
      </c>
      <c r="H14" s="7">
        <v>6</v>
      </c>
      <c r="I14" s="7">
        <v>618.39</v>
      </c>
      <c r="J14" s="9">
        <v>0</v>
      </c>
      <c r="K14" s="9">
        <v>0</v>
      </c>
      <c r="L14" s="10">
        <v>6</v>
      </c>
      <c r="M14" s="11">
        <v>7420.68</v>
      </c>
      <c r="N14" s="11">
        <v>0</v>
      </c>
      <c r="O14" s="11">
        <v>0</v>
      </c>
      <c r="P14" s="1">
        <f t="shared" si="10"/>
      </c>
      <c r="Q14" s="21">
        <v>13570.369999999999</v>
      </c>
      <c r="R14" s="13">
        <f t="shared" si="5"/>
      </c>
      <c r="S14" s="14">
        <f t="shared" si="3"/>
      </c>
      <c r="T14" s="14">
        <f t="shared" si="1"/>
      </c>
      <c r="U14" s="7" t="s">
        <v>48</v>
      </c>
      <c r="V14" s="7">
        <v>8</v>
      </c>
      <c r="W14" s="15"/>
      <c r="X14" s="15"/>
      <c r="Y14" s="15"/>
      <c r="Z14" s="15"/>
      <c r="AA14" s="15">
        <v>44440</v>
      </c>
      <c r="AB14" s="15">
        <v>3649</v>
      </c>
      <c r="AC14" s="15">
        <v>5870</v>
      </c>
      <c r="AD14" s="15">
        <v>1392</v>
      </c>
      <c r="AE14" s="15">
        <v>178</v>
      </c>
      <c r="AF14" s="15">
        <v>34</v>
      </c>
      <c r="AG14" s="15">
        <v>271</v>
      </c>
      <c r="AH14" s="7">
        <v>3</v>
      </c>
      <c r="AI14" s="17">
        <f t="shared" si="6"/>
      </c>
      <c r="AJ14" s="17">
        <f t="shared" si="4"/>
      </c>
      <c r="AK14" s="17">
        <f t="shared" si="7"/>
      </c>
      <c r="AL14" s="18">
        <f t="shared" si="2"/>
      </c>
      <c r="AM14" s="19">
        <f t="shared" si="0"/>
      </c>
      <c r="AN14" s="20"/>
    </row>
    <row r="15">
      <c r="A15" s="5">
        <v>46298</v>
      </c>
      <c r="B15" s="6" t="s">
        <v>46</v>
      </c>
      <c r="C15" s="6" t="s">
        <v>56</v>
      </c>
      <c r="D15" s="6">
        <v>5</v>
      </c>
      <c r="E15" s="7">
        <v>12</v>
      </c>
      <c r="F15" s="8">
        <v>5</v>
      </c>
      <c r="G15" s="7">
        <v>5</v>
      </c>
      <c r="H15" s="7">
        <v>4</v>
      </c>
      <c r="I15" s="7">
        <v>482.09</v>
      </c>
      <c r="J15" s="9">
        <v>1</v>
      </c>
      <c r="K15" s="9">
        <v>683</v>
      </c>
      <c r="L15" s="10">
        <v>5</v>
      </c>
      <c r="M15" s="11">
        <v>6468.08</v>
      </c>
      <c r="N15" s="11">
        <v>1</v>
      </c>
      <c r="O15" s="11">
        <v>193.55</v>
      </c>
      <c r="P15" s="1">
        <f t="shared" si="10"/>
      </c>
      <c r="Q15" s="21">
        <v>16571.719999999998</v>
      </c>
      <c r="R15" s="13">
        <f t="shared" si="5"/>
      </c>
      <c r="S15" s="14">
        <f t="shared" si="3"/>
      </c>
      <c r="T15" s="14">
        <f t="shared" si="1"/>
      </c>
      <c r="U15" s="7"/>
      <c r="V15" s="7"/>
      <c r="W15" s="15"/>
      <c r="X15" s="15"/>
      <c r="Y15" s="15"/>
      <c r="Z15" s="15"/>
      <c r="AA15" s="7">
        <v>64741</v>
      </c>
      <c r="AB15" s="15">
        <v>5406</v>
      </c>
      <c r="AC15" s="15">
        <v>8612</v>
      </c>
      <c r="AD15" s="15">
        <v>1889</v>
      </c>
      <c r="AE15" s="7">
        <v>240</v>
      </c>
      <c r="AF15" s="7">
        <v>31</v>
      </c>
      <c r="AG15" s="7">
        <v>295</v>
      </c>
      <c r="AH15" s="7">
        <v>9</v>
      </c>
      <c r="AI15" s="17">
        <f t="shared" si="6"/>
      </c>
      <c r="AJ15" s="17">
        <f t="shared" si="4"/>
      </c>
      <c r="AK15" s="17">
        <f t="shared" si="7"/>
      </c>
      <c r="AL15" s="18">
        <f t="shared" si="2"/>
      </c>
      <c r="AM15" s="19">
        <f t="shared" si="0"/>
      </c>
      <c r="AN15" s="20"/>
    </row>
    <row r="16">
      <c r="A16" s="23">
        <v>46298</v>
      </c>
      <c r="B16" s="24"/>
      <c r="C16" s="25" t="s">
        <v>51</v>
      </c>
      <c r="D16" s="24">
        <f>D12+D13+D14+D15</f>
      </c>
      <c r="E16" s="24">
        <f>E12+E13+E14+E15</f>
      </c>
      <c r="F16" s="24">
        <f>F12+F13+F14+F15</f>
      </c>
      <c r="G16" s="24">
        <f>G12+G13+G14+G15</f>
      </c>
      <c r="H16" s="24">
        <f>H12+H13+H14+H15</f>
      </c>
      <c r="I16" s="24">
        <f>I12+I13+I14+I15</f>
      </c>
      <c r="J16" s="26">
        <f>J12+J13+J14+J15</f>
      </c>
      <c r="K16" s="26">
        <f>K12+K13+K14+K15</f>
      </c>
      <c r="L16" s="26">
        <f>L12+L13+L14+L15</f>
      </c>
      <c r="M16" s="26">
        <f>M12+M13+M14+M15</f>
      </c>
      <c r="N16" s="26">
        <f>N12+N13+N14+N15</f>
      </c>
      <c r="O16" s="26">
        <f>O12+O13+O14+O15</f>
      </c>
      <c r="P16" s="24">
        <f>P12+P13+P14+P15</f>
      </c>
      <c r="Q16" s="24">
        <f>Q12+Q13+Q14+Q15</f>
      </c>
      <c r="R16" s="27">
        <f t="shared" si="5"/>
      </c>
      <c r="S16" s="27">
        <f t="shared" si="3"/>
      </c>
      <c r="T16" s="27">
        <f t="shared" si="1"/>
      </c>
      <c r="U16" s="28"/>
      <c r="V16" s="24">
        <f>V12+V13+V15+V14</f>
      </c>
      <c r="W16" s="28"/>
      <c r="X16" s="24">
        <f>SUM(X12:X13)</f>
      </c>
      <c r="Y16" s="28"/>
      <c r="Z16" s="25">
        <f>Z12+Z13+Z14+Z15</f>
      </c>
      <c r="AA16" s="24">
        <f>SUM(AA12:AA15)</f>
      </c>
      <c r="AB16" s="24">
        <f>SUM(AB12:AB15)</f>
      </c>
      <c r="AC16" s="24">
        <f>SUM(AC12:AC15)</f>
      </c>
      <c r="AD16" s="24">
        <f>SUM(AD12:AD15)</f>
      </c>
      <c r="AE16" s="24">
        <f>SUM(AE12:AE15)</f>
      </c>
      <c r="AF16" s="24">
        <f>SUM(AF12:AF15)</f>
      </c>
      <c r="AG16" s="24">
        <f>SUM(AG12:AG15)</f>
      </c>
      <c r="AH16" s="24">
        <f>SUM(AH12:AH15)</f>
      </c>
      <c r="AI16" s="29">
        <f t="shared" si="6"/>
      </c>
      <c r="AJ16" s="29">
        <f t="shared" si="4"/>
      </c>
      <c r="AK16" s="29">
        <f t="shared" si="7"/>
      </c>
      <c r="AL16" s="29">
        <f t="shared" si="2"/>
      </c>
      <c r="AM16" s="30">
        <f t="shared" si="0"/>
      </c>
      <c r="AN16" s="29">
        <f>F16/AE16</f>
      </c>
    </row>
    <row r="17">
      <c r="A17" s="5">
        <v>46299</v>
      </c>
      <c r="B17" s="6" t="s">
        <v>39</v>
      </c>
      <c r="C17" s="1" t="s">
        <v>40</v>
      </c>
      <c r="D17" s="1">
        <v>4</v>
      </c>
      <c r="E17" s="7">
        <v>5</v>
      </c>
      <c r="F17" s="8">
        <v>3</v>
      </c>
      <c r="G17" s="7">
        <v>2</v>
      </c>
      <c r="H17" s="7">
        <v>3</v>
      </c>
      <c r="I17" s="7">
        <v>805.82</v>
      </c>
      <c r="J17" s="9">
        <v>0</v>
      </c>
      <c r="K17" s="9">
        <v>0</v>
      </c>
      <c r="L17" s="10">
        <v>3</v>
      </c>
      <c r="M17" s="11">
        <v>9669.84</v>
      </c>
      <c r="N17" s="11">
        <v>2</v>
      </c>
      <c r="O17" s="11">
        <v>766.94</v>
      </c>
      <c r="P17" s="1">
        <f t="shared" ref="P17:P20" si="11">I17*12+K17</f>
      </c>
      <c r="Q17" s="12">
        <v>11616.4</v>
      </c>
      <c r="R17" s="13">
        <f t="shared" si="5"/>
      </c>
      <c r="S17" s="14">
        <f t="shared" si="3"/>
      </c>
      <c r="T17" s="14">
        <f t="shared" si="1"/>
      </c>
      <c r="U17" s="7"/>
      <c r="V17" s="7"/>
      <c r="W17" s="15"/>
      <c r="X17" s="15"/>
      <c r="Y17" s="15"/>
      <c r="Z17" s="15"/>
      <c r="AA17" s="16">
        <v>39289</v>
      </c>
      <c r="AB17" s="16">
        <v>2422</v>
      </c>
      <c r="AC17" s="16">
        <v>3573</v>
      </c>
      <c r="AD17" s="16">
        <v>811</v>
      </c>
      <c r="AE17" s="15">
        <v>179</v>
      </c>
      <c r="AF17" s="15">
        <v>23</v>
      </c>
      <c r="AG17" s="15">
        <v>142</v>
      </c>
      <c r="AH17" s="15">
        <v>1</v>
      </c>
      <c r="AI17" s="17">
        <f t="shared" si="6"/>
      </c>
      <c r="AJ17" s="17">
        <f t="shared" si="4"/>
      </c>
      <c r="AK17" s="17">
        <f t="shared" si="7"/>
      </c>
      <c r="AL17" s="18">
        <f t="shared" si="2"/>
      </c>
      <c r="AM17" s="19">
        <f t="shared" si="0"/>
      </c>
      <c r="AN17" s="20"/>
    </row>
    <row r="18">
      <c r="A18" s="5">
        <v>46299</v>
      </c>
      <c r="B18" s="6" t="s">
        <v>53</v>
      </c>
      <c r="C18" s="6" t="s">
        <v>43</v>
      </c>
      <c r="D18" s="6">
        <v>4</v>
      </c>
      <c r="E18" s="7">
        <v>17</v>
      </c>
      <c r="F18" s="8">
        <v>13</v>
      </c>
      <c r="G18" s="7">
        <v>11</v>
      </c>
      <c r="H18" s="7">
        <v>13</v>
      </c>
      <c r="I18" s="7">
        <v>2646.35</v>
      </c>
      <c r="J18" s="9">
        <v>0</v>
      </c>
      <c r="K18" s="9">
        <v>0</v>
      </c>
      <c r="L18" s="10">
        <v>13</v>
      </c>
      <c r="M18" s="11">
        <v>31756.199999999997</v>
      </c>
      <c r="N18" s="11">
        <v>3</v>
      </c>
      <c r="O18" s="11">
        <v>1521.17</v>
      </c>
      <c r="P18" s="1">
        <f t="shared" si="11"/>
      </c>
      <c r="Q18" s="21">
        <v>15580.2</v>
      </c>
      <c r="R18" s="13">
        <f t="shared" si="5"/>
      </c>
      <c r="S18" s="14">
        <f t="shared" si="3"/>
      </c>
      <c r="T18" s="14">
        <f t="shared" si="1"/>
      </c>
      <c r="U18" s="7" t="s">
        <v>54</v>
      </c>
      <c r="V18" s="7">
        <v>8</v>
      </c>
      <c r="W18" s="15"/>
      <c r="X18" s="15"/>
      <c r="Y18" s="15" t="s">
        <v>45</v>
      </c>
      <c r="Z18" s="7">
        <v>16</v>
      </c>
      <c r="AA18" s="22">
        <v>48072</v>
      </c>
      <c r="AB18" s="22">
        <v>4949</v>
      </c>
      <c r="AC18" s="22">
        <v>7589</v>
      </c>
      <c r="AD18" s="22">
        <v>1992</v>
      </c>
      <c r="AE18" s="7">
        <v>214</v>
      </c>
      <c r="AF18" s="7">
        <v>45</v>
      </c>
      <c r="AG18" s="7">
        <v>550</v>
      </c>
      <c r="AH18" s="7">
        <v>1</v>
      </c>
      <c r="AI18" s="17">
        <f t="shared" si="6"/>
      </c>
      <c r="AJ18" s="17">
        <f t="shared" si="4"/>
      </c>
      <c r="AK18" s="17">
        <f t="shared" si="7"/>
      </c>
      <c r="AL18" s="18">
        <f t="shared" si="2"/>
      </c>
      <c r="AM18" s="19">
        <f t="shared" si="0"/>
      </c>
      <c r="AN18" s="20"/>
    </row>
    <row r="19">
      <c r="A19" s="5">
        <v>46299</v>
      </c>
      <c r="B19" s="6" t="s">
        <v>42</v>
      </c>
      <c r="C19" s="6" t="s">
        <v>55</v>
      </c>
      <c r="D19" s="6">
        <v>4</v>
      </c>
      <c r="E19" s="7">
        <v>12</v>
      </c>
      <c r="F19" s="8">
        <v>5</v>
      </c>
      <c r="G19" s="7">
        <v>5</v>
      </c>
      <c r="H19" s="7">
        <v>5</v>
      </c>
      <c r="I19" s="7">
        <v>1608.03</v>
      </c>
      <c r="J19" s="9">
        <v>0</v>
      </c>
      <c r="K19" s="9">
        <v>0</v>
      </c>
      <c r="L19" s="10">
        <v>5</v>
      </c>
      <c r="M19" s="11">
        <v>19296.36</v>
      </c>
      <c r="N19" s="11">
        <v>2</v>
      </c>
      <c r="O19" s="11">
        <v>1252.08</v>
      </c>
      <c r="P19" s="1">
        <f t="shared" si="11"/>
      </c>
      <c r="Q19" s="21">
        <v>13787.769999999999</v>
      </c>
      <c r="R19" s="13">
        <f t="shared" si="5"/>
      </c>
      <c r="S19" s="14">
        <f t="shared" si="3"/>
      </c>
      <c r="T19" s="14">
        <f t="shared" si="1"/>
      </c>
      <c r="U19" s="7" t="s">
        <v>48</v>
      </c>
      <c r="V19" s="7">
        <v>8</v>
      </c>
      <c r="W19" s="15"/>
      <c r="X19" s="15"/>
      <c r="Y19" s="15"/>
      <c r="Z19" s="15"/>
      <c r="AA19" s="15">
        <v>39905</v>
      </c>
      <c r="AB19" s="15">
        <v>3601</v>
      </c>
      <c r="AC19" s="15">
        <v>5664</v>
      </c>
      <c r="AD19" s="15">
        <v>1424</v>
      </c>
      <c r="AE19" s="15">
        <v>178</v>
      </c>
      <c r="AF19" s="15">
        <v>27</v>
      </c>
      <c r="AG19" s="15">
        <v>370</v>
      </c>
      <c r="AH19" s="7">
        <v>4</v>
      </c>
      <c r="AI19" s="17">
        <f t="shared" si="6"/>
      </c>
      <c r="AJ19" s="17">
        <f t="shared" si="4"/>
      </c>
      <c r="AK19" s="17">
        <f t="shared" si="7"/>
      </c>
      <c r="AL19" s="18">
        <f t="shared" si="2"/>
      </c>
      <c r="AM19" s="19">
        <f t="shared" si="0"/>
      </c>
      <c r="AN19" s="20"/>
    </row>
    <row r="20">
      <c r="A20" s="5">
        <v>46299</v>
      </c>
      <c r="B20" s="6" t="s">
        <v>52</v>
      </c>
      <c r="C20" s="6" t="s">
        <v>56</v>
      </c>
      <c r="D20" s="6">
        <v>4</v>
      </c>
      <c r="E20" s="7">
        <v>6</v>
      </c>
      <c r="F20" s="8">
        <v>6</v>
      </c>
      <c r="G20" s="7">
        <v>4</v>
      </c>
      <c r="H20" s="7">
        <v>6</v>
      </c>
      <c r="I20" s="7">
        <v>1221.1399999999999</v>
      </c>
      <c r="J20" s="9">
        <v>0</v>
      </c>
      <c r="K20" s="9">
        <v>0</v>
      </c>
      <c r="L20" s="10">
        <v>6</v>
      </c>
      <c r="M20" s="11">
        <v>14653.679999999998</v>
      </c>
      <c r="N20" s="11">
        <v>2</v>
      </c>
      <c r="O20" s="11">
        <v>908.3</v>
      </c>
      <c r="P20" s="1">
        <f t="shared" si="11"/>
      </c>
      <c r="Q20" s="21">
        <v>11079.279999999999</v>
      </c>
      <c r="R20" s="13">
        <f t="shared" si="5"/>
      </c>
      <c r="S20" s="14">
        <f t="shared" si="3"/>
      </c>
      <c r="T20" s="14">
        <f t="shared" si="1"/>
      </c>
      <c r="U20" s="7"/>
      <c r="V20" s="7"/>
      <c r="W20" s="15"/>
      <c r="X20" s="15"/>
      <c r="Y20" s="15"/>
      <c r="Z20" s="15"/>
      <c r="AA20" s="7">
        <v>36703</v>
      </c>
      <c r="AB20" s="15">
        <v>3067</v>
      </c>
      <c r="AC20" s="15">
        <v>4772</v>
      </c>
      <c r="AD20" s="15">
        <v>1252</v>
      </c>
      <c r="AE20" s="7">
        <v>122</v>
      </c>
      <c r="AF20" s="7">
        <v>21</v>
      </c>
      <c r="AG20" s="7">
        <v>234</v>
      </c>
      <c r="AH20" s="7">
        <v>1</v>
      </c>
      <c r="AI20" s="17">
        <f t="shared" si="6"/>
      </c>
      <c r="AJ20" s="17">
        <f t="shared" si="4"/>
      </c>
      <c r="AK20" s="17">
        <f t="shared" si="7"/>
      </c>
      <c r="AL20" s="18">
        <f t="shared" si="2"/>
      </c>
      <c r="AM20" s="19">
        <f t="shared" si="0"/>
      </c>
      <c r="AN20" s="20"/>
    </row>
    <row r="21">
      <c r="A21" s="23">
        <v>46299</v>
      </c>
      <c r="B21" s="24"/>
      <c r="C21" s="25" t="s">
        <v>51</v>
      </c>
      <c r="D21" s="24">
        <f>D17+D18+D19+D20</f>
      </c>
      <c r="E21" s="24">
        <f>E17+E18+E19+E20</f>
      </c>
      <c r="F21" s="24">
        <f>F17+F18+F19+F20</f>
      </c>
      <c r="G21" s="24">
        <f>G17+G18+G19+G20</f>
      </c>
      <c r="H21" s="24">
        <f>H17+H18+H19+H20</f>
      </c>
      <c r="I21" s="24">
        <f>I17+I18+I19+I20</f>
      </c>
      <c r="J21" s="26">
        <f>J17+J18+J19+J20</f>
      </c>
      <c r="K21" s="26">
        <f>K17+K18+K19+K20</f>
      </c>
      <c r="L21" s="26">
        <f>L17+L18+L19+L20</f>
      </c>
      <c r="M21" s="26">
        <f>M17+M18+M19+M20</f>
      </c>
      <c r="N21" s="26">
        <f>N17+N18+N19+N20</f>
      </c>
      <c r="O21" s="26">
        <f>O17+O18+O19+O20</f>
      </c>
      <c r="P21" s="24">
        <f>P17+P18+P19+P20</f>
      </c>
      <c r="Q21" s="24">
        <f>Q17+Q18+Q19+Q20</f>
      </c>
      <c r="R21" s="27">
        <f t="shared" si="5"/>
      </c>
      <c r="S21" s="27">
        <f t="shared" si="3"/>
      </c>
      <c r="T21" s="27">
        <f t="shared" si="1"/>
      </c>
      <c r="U21" s="28"/>
      <c r="V21" s="24">
        <f>V17+V18+V20+V19</f>
      </c>
      <c r="W21" s="28"/>
      <c r="X21" s="24">
        <f>SUM(X17:X18)</f>
      </c>
      <c r="Y21" s="28"/>
      <c r="Z21" s="25">
        <f>Z17+Z18+Z19+Z20</f>
      </c>
      <c r="AA21" s="24">
        <f>SUM(AA17:AA20)</f>
      </c>
      <c r="AB21" s="24">
        <f>SUM(AB17:AB20)</f>
      </c>
      <c r="AC21" s="24">
        <f>SUM(AC17:AC20)</f>
      </c>
      <c r="AD21" s="24">
        <f>SUM(AD17:AD20)</f>
      </c>
      <c r="AE21" s="24">
        <f>SUM(AE17:AE20)</f>
      </c>
      <c r="AF21" s="24">
        <f>SUM(AF17:AF20)</f>
      </c>
      <c r="AG21" s="24">
        <f>SUM(AG17:AG20)</f>
      </c>
      <c r="AH21" s="24">
        <f>SUM(AH17:AH20)</f>
      </c>
      <c r="AI21" s="29">
        <f t="shared" si="6"/>
      </c>
      <c r="AJ21" s="29">
        <f t="shared" si="4"/>
      </c>
      <c r="AK21" s="29">
        <f t="shared" si="7"/>
      </c>
      <c r="AL21" s="29">
        <f t="shared" si="2"/>
      </c>
      <c r="AM21" s="30">
        <f t="shared" si="0"/>
      </c>
      <c r="AN21" s="29">
        <f>F21/AE21</f>
      </c>
    </row>
    <row r="22">
      <c r="A22" s="5">
        <v>46300</v>
      </c>
      <c r="B22" s="6" t="s">
        <v>53</v>
      </c>
      <c r="C22" s="1" t="s">
        <v>40</v>
      </c>
      <c r="D22" s="1">
        <v>4</v>
      </c>
      <c r="E22" s="7">
        <v>15</v>
      </c>
      <c r="F22" s="8">
        <v>9</v>
      </c>
      <c r="G22" s="7">
        <v>7</v>
      </c>
      <c r="H22" s="7">
        <v>8</v>
      </c>
      <c r="I22" s="7">
        <v>1403.67</v>
      </c>
      <c r="J22" s="9">
        <v>1</v>
      </c>
      <c r="K22" s="9">
        <v>1640</v>
      </c>
      <c r="L22" s="10">
        <v>9</v>
      </c>
      <c r="M22" s="11">
        <v>18484.04</v>
      </c>
      <c r="N22" s="11">
        <v>3</v>
      </c>
      <c r="O22" s="11">
        <v>1033.59</v>
      </c>
      <c r="P22" s="1">
        <f t="shared" ref="P22:P25" si="12">I22*12+K22</f>
      </c>
      <c r="Q22" s="12">
        <v>18186.75</v>
      </c>
      <c r="R22" s="13">
        <f t="shared" si="5"/>
      </c>
      <c r="S22" s="14">
        <f t="shared" si="3"/>
      </c>
      <c r="T22" s="14">
        <f t="shared" si="1"/>
      </c>
      <c r="U22" s="7"/>
      <c r="V22" s="7"/>
      <c r="W22" s="15"/>
      <c r="X22" s="15"/>
      <c r="Y22" s="15"/>
      <c r="Z22" s="15"/>
      <c r="AA22" s="16">
        <v>48806</v>
      </c>
      <c r="AB22" s="16">
        <v>3783</v>
      </c>
      <c r="AC22" s="16">
        <v>5394</v>
      </c>
      <c r="AD22" s="16">
        <v>1520</v>
      </c>
      <c r="AE22" s="15">
        <v>227</v>
      </c>
      <c r="AF22" s="15">
        <v>32</v>
      </c>
      <c r="AG22" s="15">
        <v>399</v>
      </c>
      <c r="AH22" s="15">
        <v>8</v>
      </c>
      <c r="AI22" s="17">
        <f t="shared" si="6"/>
      </c>
      <c r="AJ22" s="17">
        <f t="shared" si="4"/>
      </c>
      <c r="AK22" s="17">
        <f t="shared" si="7"/>
      </c>
      <c r="AL22" s="18">
        <f t="shared" si="2"/>
      </c>
      <c r="AM22" s="19">
        <f t="shared" si="0"/>
      </c>
      <c r="AN22" s="20"/>
    </row>
    <row r="23">
      <c r="A23" s="5">
        <v>46300</v>
      </c>
      <c r="B23" s="6" t="s">
        <v>39</v>
      </c>
      <c r="C23" s="6" t="s">
        <v>43</v>
      </c>
      <c r="D23" s="6">
        <v>4</v>
      </c>
      <c r="E23" s="7">
        <v>9</v>
      </c>
      <c r="F23" s="8">
        <v>8</v>
      </c>
      <c r="G23" s="7">
        <v>8</v>
      </c>
      <c r="H23" s="7">
        <v>7</v>
      </c>
      <c r="I23" s="7">
        <v>804.3799999999999</v>
      </c>
      <c r="J23" s="9">
        <v>1</v>
      </c>
      <c r="K23" s="9">
        <v>1571.4</v>
      </c>
      <c r="L23" s="10">
        <v>8</v>
      </c>
      <c r="M23" s="11">
        <v>11223.959999999997</v>
      </c>
      <c r="N23" s="11">
        <v>4</v>
      </c>
      <c r="O23" s="11">
        <v>2055.59</v>
      </c>
      <c r="P23" s="1">
        <f t="shared" si="12"/>
      </c>
      <c r="Q23" s="21">
        <v>12848.06</v>
      </c>
      <c r="R23" s="13">
        <f t="shared" si="5"/>
      </c>
      <c r="S23" s="14">
        <f t="shared" si="3"/>
      </c>
      <c r="T23" s="14">
        <f t="shared" si="1"/>
      </c>
      <c r="U23" s="7" t="s">
        <v>54</v>
      </c>
      <c r="V23" s="7">
        <v>7</v>
      </c>
      <c r="W23" s="15"/>
      <c r="X23" s="15"/>
      <c r="Y23" s="15" t="s">
        <v>45</v>
      </c>
      <c r="Z23" s="7">
        <v>16</v>
      </c>
      <c r="AA23" s="22">
        <v>42984</v>
      </c>
      <c r="AB23" s="22">
        <v>3528</v>
      </c>
      <c r="AC23" s="22">
        <v>5149</v>
      </c>
      <c r="AD23" s="22">
        <v>1443</v>
      </c>
      <c r="AE23" s="7">
        <v>154</v>
      </c>
      <c r="AF23" s="7">
        <v>44</v>
      </c>
      <c r="AG23" s="7">
        <v>255</v>
      </c>
      <c r="AH23" s="7">
        <v>1</v>
      </c>
      <c r="AI23" s="17">
        <f t="shared" si="6"/>
      </c>
      <c r="AJ23" s="17">
        <f t="shared" si="4"/>
      </c>
      <c r="AK23" s="17">
        <f t="shared" si="7"/>
      </c>
      <c r="AL23" s="18">
        <f t="shared" si="2"/>
      </c>
      <c r="AM23" s="19">
        <f t="shared" si="0"/>
      </c>
      <c r="AN23" s="20"/>
    </row>
    <row r="24">
      <c r="A24" s="5">
        <v>46300</v>
      </c>
      <c r="B24" s="6" t="s">
        <v>42</v>
      </c>
      <c r="C24" s="6" t="s">
        <v>55</v>
      </c>
      <c r="D24" s="6">
        <v>4</v>
      </c>
      <c r="E24" s="7">
        <v>9</v>
      </c>
      <c r="F24" s="8">
        <v>3</v>
      </c>
      <c r="G24" s="7">
        <v>4</v>
      </c>
      <c r="H24" s="7">
        <v>4</v>
      </c>
      <c r="I24" s="7">
        <v>985.65</v>
      </c>
      <c r="J24" s="9">
        <v>0</v>
      </c>
      <c r="K24" s="9">
        <v>0</v>
      </c>
      <c r="L24" s="10">
        <v>4</v>
      </c>
      <c r="M24" s="11">
        <v>11827.8</v>
      </c>
      <c r="N24" s="11">
        <v>2</v>
      </c>
      <c r="O24" s="11">
        <v>852.72</v>
      </c>
      <c r="P24" s="1">
        <f t="shared" si="12"/>
      </c>
      <c r="Q24" s="21">
        <v>9641.79</v>
      </c>
      <c r="R24" s="13">
        <f t="shared" si="5"/>
      </c>
      <c r="S24" s="14">
        <f t="shared" si="3"/>
      </c>
      <c r="T24" s="14">
        <f t="shared" si="1"/>
      </c>
      <c r="U24" s="7" t="s">
        <v>57</v>
      </c>
      <c r="V24" s="7">
        <v>8</v>
      </c>
      <c r="W24" s="15"/>
      <c r="X24" s="15"/>
      <c r="Y24" s="15"/>
      <c r="Z24" s="15"/>
      <c r="AA24" s="15">
        <v>42060</v>
      </c>
      <c r="AB24" s="15">
        <v>2424</v>
      </c>
      <c r="AC24" s="15">
        <v>3682</v>
      </c>
      <c r="AD24" s="15">
        <v>938</v>
      </c>
      <c r="AE24" s="15">
        <v>181</v>
      </c>
      <c r="AF24" s="15">
        <v>15</v>
      </c>
      <c r="AG24" s="15">
        <v>275</v>
      </c>
      <c r="AH24" s="7">
        <v>5</v>
      </c>
      <c r="AI24" s="17">
        <f t="shared" si="6"/>
      </c>
      <c r="AJ24" s="17">
        <f t="shared" si="4"/>
      </c>
      <c r="AK24" s="17">
        <f t="shared" si="7"/>
      </c>
      <c r="AL24" s="18">
        <f t="shared" si="2"/>
      </c>
      <c r="AM24" s="19">
        <f t="shared" si="0"/>
      </c>
      <c r="AN24" s="20"/>
    </row>
    <row r="25">
      <c r="A25" s="5">
        <v>46300</v>
      </c>
      <c r="B25" s="6" t="s">
        <v>46</v>
      </c>
      <c r="C25" s="6" t="s">
        <v>56</v>
      </c>
      <c r="D25" s="6">
        <v>4</v>
      </c>
      <c r="E25" s="7">
        <v>15</v>
      </c>
      <c r="F25" s="8">
        <v>9</v>
      </c>
      <c r="G25" s="7">
        <v>11</v>
      </c>
      <c r="H25" s="7">
        <v>9</v>
      </c>
      <c r="I25" s="7">
        <v>1397.0900000000001</v>
      </c>
      <c r="J25" s="9">
        <v>2</v>
      </c>
      <c r="K25" s="9">
        <v>2287.8</v>
      </c>
      <c r="L25" s="10">
        <v>11</v>
      </c>
      <c r="M25" s="11">
        <v>19052.88</v>
      </c>
      <c r="N25" s="11">
        <v>4</v>
      </c>
      <c r="O25" s="11">
        <v>2709.5</v>
      </c>
      <c r="P25" s="1">
        <f t="shared" si="12"/>
      </c>
      <c r="Q25" s="21">
        <v>14058.29</v>
      </c>
      <c r="R25" s="13">
        <f t="shared" si="5"/>
      </c>
      <c r="S25" s="14">
        <f t="shared" si="3"/>
      </c>
      <c r="T25" s="14">
        <f t="shared" si="1"/>
      </c>
      <c r="U25" s="7" t="s">
        <v>41</v>
      </c>
      <c r="V25" s="7">
        <v>1</v>
      </c>
      <c r="W25" s="15"/>
      <c r="X25" s="15"/>
      <c r="Y25" s="15"/>
      <c r="Z25" s="15"/>
      <c r="AA25" s="7">
        <v>56496</v>
      </c>
      <c r="AB25" s="15">
        <v>3671</v>
      </c>
      <c r="AC25" s="15">
        <v>5761</v>
      </c>
      <c r="AD25" s="15">
        <v>1454</v>
      </c>
      <c r="AE25" s="7">
        <v>166</v>
      </c>
      <c r="AF25" s="7">
        <v>42</v>
      </c>
      <c r="AG25" s="7">
        <v>311</v>
      </c>
      <c r="AH25" s="7">
        <v>5</v>
      </c>
      <c r="AI25" s="17">
        <f t="shared" si="6"/>
      </c>
      <c r="AJ25" s="17">
        <f t="shared" si="4"/>
      </c>
      <c r="AK25" s="17">
        <f t="shared" si="7"/>
      </c>
      <c r="AL25" s="18">
        <f t="shared" si="2"/>
      </c>
      <c r="AM25" s="19">
        <f t="shared" si="0"/>
      </c>
      <c r="AN25" s="20"/>
    </row>
    <row r="26">
      <c r="A26" s="23">
        <v>46300</v>
      </c>
      <c r="B26" s="24"/>
      <c r="C26" s="25" t="s">
        <v>51</v>
      </c>
      <c r="D26" s="24">
        <f>D22+D23+D24+D25</f>
      </c>
      <c r="E26" s="24">
        <f>E22+E23+E24+E25</f>
      </c>
      <c r="F26" s="24">
        <f>F22+F23+F24+F25</f>
      </c>
      <c r="G26" s="24">
        <f>G22+G23+G24+G25</f>
      </c>
      <c r="H26" s="24">
        <f>H22+H23+H24+H25</f>
      </c>
      <c r="I26" s="24">
        <f>I22+I23+I24+I25</f>
      </c>
      <c r="J26" s="26">
        <f>J22+J23+J24+J25</f>
      </c>
      <c r="K26" s="26">
        <f>K22+K23+K24+K25</f>
      </c>
      <c r="L26" s="26">
        <f>L22+L23+L24+L25</f>
      </c>
      <c r="M26" s="26">
        <f>M22+M23+M24+M25</f>
      </c>
      <c r="N26" s="26">
        <f>N22+N23+N24+N25</f>
      </c>
      <c r="O26" s="26">
        <f>O22+O23+O24+O25</f>
      </c>
      <c r="P26" s="24">
        <f>P22+P23+P24+P25</f>
      </c>
      <c r="Q26" s="24">
        <f>Q22+Q23+Q24+Q25</f>
      </c>
      <c r="R26" s="27">
        <f t="shared" si="5"/>
      </c>
      <c r="S26" s="27">
        <f t="shared" si="3"/>
      </c>
      <c r="T26" s="27">
        <f t="shared" si="1"/>
      </c>
      <c r="U26" s="28"/>
      <c r="V26" s="24">
        <f>V22+V23+V25+V24</f>
      </c>
      <c r="W26" s="28"/>
      <c r="X26" s="24">
        <f>SUM(X22:X23)</f>
      </c>
      <c r="Y26" s="28"/>
      <c r="Z26" s="25">
        <f>Z22+Z23+Z24+Z25</f>
      </c>
      <c r="AA26" s="24">
        <f>SUM(AA22:AA25)</f>
      </c>
      <c r="AB26" s="24">
        <f>SUM(AB22:AB25)</f>
      </c>
      <c r="AC26" s="24">
        <f>SUM(AC22:AC25)</f>
      </c>
      <c r="AD26" s="24">
        <f>SUM(AD22:AD25)</f>
      </c>
      <c r="AE26" s="24">
        <f>SUM(AE22:AE25)</f>
      </c>
      <c r="AF26" s="24">
        <f>SUM(AF22:AF25)</f>
      </c>
      <c r="AG26" s="24">
        <f>SUM(AG22:AG25)</f>
      </c>
      <c r="AH26" s="24">
        <f>SUM(AH22:AH25)</f>
      </c>
      <c r="AI26" s="29">
        <f t="shared" si="6"/>
      </c>
      <c r="AJ26" s="29">
        <f t="shared" si="4"/>
      </c>
      <c r="AK26" s="29">
        <f t="shared" si="7"/>
      </c>
      <c r="AL26" s="29">
        <f t="shared" si="2"/>
      </c>
      <c r="AM26" s="30">
        <f t="shared" si="0"/>
      </c>
      <c r="AN26" s="29">
        <f>F26/AE26</f>
      </c>
    </row>
    <row r="27">
      <c r="A27" s="5">
        <v>46301</v>
      </c>
      <c r="B27" s="6" t="s">
        <v>53</v>
      </c>
      <c r="C27" s="6" t="s">
        <v>58</v>
      </c>
      <c r="D27" s="6">
        <v>5</v>
      </c>
      <c r="E27" s="7">
        <v>16</v>
      </c>
      <c r="F27" s="8">
        <v>12</v>
      </c>
      <c r="G27" s="7">
        <v>7</v>
      </c>
      <c r="H27" s="7">
        <v>10</v>
      </c>
      <c r="I27" s="7">
        <v>2137.94</v>
      </c>
      <c r="J27" s="9">
        <v>2</v>
      </c>
      <c r="K27" s="9">
        <v>1765.7</v>
      </c>
      <c r="L27" s="10">
        <v>12</v>
      </c>
      <c r="M27" s="11">
        <v>27420.98</v>
      </c>
      <c r="N27" s="11">
        <v>5</v>
      </c>
      <c r="O27" s="11">
        <v>2101.76</v>
      </c>
      <c r="P27" s="1">
        <f t="shared" ref="P27:P31" si="13">I27*12+K27</f>
      </c>
      <c r="Q27" s="12">
        <v>11738.54</v>
      </c>
      <c r="R27" s="13">
        <f t="shared" si="5"/>
      </c>
      <c r="S27" s="14">
        <f t="shared" si="3"/>
      </c>
      <c r="T27" s="14">
        <f t="shared" si="1"/>
      </c>
      <c r="U27" s="7" t="s">
        <v>41</v>
      </c>
      <c r="V27" s="7">
        <v>1</v>
      </c>
      <c r="W27" s="15"/>
      <c r="X27" s="15"/>
      <c r="Y27" s="15"/>
      <c r="Z27" s="15"/>
      <c r="AA27" s="16">
        <v>54118</v>
      </c>
      <c r="AB27" s="16">
        <v>1997</v>
      </c>
      <c r="AC27" s="16">
        <v>2465</v>
      </c>
      <c r="AD27" s="16">
        <v>502</v>
      </c>
      <c r="AE27" s="15">
        <v>231</v>
      </c>
      <c r="AF27" s="15">
        <v>35</v>
      </c>
      <c r="AG27" s="15">
        <v>416</v>
      </c>
      <c r="AH27" s="15">
        <v>5</v>
      </c>
      <c r="AI27" s="17">
        <f t="shared" si="6"/>
      </c>
      <c r="AJ27" s="17">
        <f t="shared" si="4"/>
      </c>
      <c r="AK27" s="17">
        <f t="shared" si="7"/>
      </c>
      <c r="AL27" s="18">
        <f t="shared" si="2"/>
      </c>
      <c r="AM27" s="19">
        <f t="shared" si="0"/>
      </c>
      <c r="AN27" s="20"/>
    </row>
    <row r="28">
      <c r="A28" s="5">
        <v>46301</v>
      </c>
      <c r="B28" s="6" t="s">
        <v>39</v>
      </c>
      <c r="C28" s="6" t="s">
        <v>59</v>
      </c>
      <c r="D28" s="6">
        <v>5</v>
      </c>
      <c r="E28" s="7">
        <v>17</v>
      </c>
      <c r="F28" s="8">
        <v>13</v>
      </c>
      <c r="G28" s="7">
        <v>11</v>
      </c>
      <c r="H28" s="7">
        <v>11</v>
      </c>
      <c r="I28" s="7">
        <v>2189.14</v>
      </c>
      <c r="J28" s="9">
        <v>2</v>
      </c>
      <c r="K28" s="9">
        <v>10597.45</v>
      </c>
      <c r="L28" s="10">
        <v>13</v>
      </c>
      <c r="M28" s="11">
        <v>36867.130000000005</v>
      </c>
      <c r="N28" s="11">
        <v>5</v>
      </c>
      <c r="O28" s="11">
        <v>11922.16</v>
      </c>
      <c r="P28" s="1">
        <f t="shared" si="13"/>
      </c>
      <c r="Q28" s="21">
        <v>14208.03</v>
      </c>
      <c r="R28" s="13">
        <f t="shared" si="5"/>
      </c>
      <c r="S28" s="14">
        <f t="shared" si="3"/>
      </c>
      <c r="T28" s="14">
        <f t="shared" si="1"/>
      </c>
      <c r="U28" s="7" t="s">
        <v>54</v>
      </c>
      <c r="V28" s="7">
        <v>8</v>
      </c>
      <c r="W28" s="15"/>
      <c r="X28" s="15"/>
      <c r="Y28" s="15"/>
      <c r="Z28" s="7"/>
      <c r="AA28" s="22">
        <v>56157</v>
      </c>
      <c r="AB28" s="22">
        <v>3018</v>
      </c>
      <c r="AC28" s="22">
        <v>4158</v>
      </c>
      <c r="AD28" s="22">
        <v>1078</v>
      </c>
      <c r="AE28" s="7">
        <v>218</v>
      </c>
      <c r="AF28" s="7">
        <v>30</v>
      </c>
      <c r="AG28" s="7">
        <v>376</v>
      </c>
      <c r="AH28" s="7">
        <v>1</v>
      </c>
      <c r="AI28" s="17">
        <f t="shared" si="6"/>
      </c>
      <c r="AJ28" s="17">
        <f t="shared" si="4"/>
      </c>
      <c r="AK28" s="17">
        <f t="shared" si="7"/>
      </c>
      <c r="AL28" s="18">
        <f t="shared" si="2"/>
      </c>
      <c r="AM28" s="19">
        <f t="shared" si="0"/>
      </c>
      <c r="AN28" s="20"/>
    </row>
    <row customHeight="true" ht="16.071428571428573" r="29">
      <c r="A29" s="5">
        <v>46301</v>
      </c>
      <c r="B29" s="6" t="s">
        <v>60</v>
      </c>
      <c r="C29" s="6" t="s">
        <v>61</v>
      </c>
      <c r="D29" s="6">
        <v>2</v>
      </c>
      <c r="E29" s="7">
        <v>6</v>
      </c>
      <c r="F29" s="8">
        <v>3</v>
      </c>
      <c r="G29" s="7">
        <v>3</v>
      </c>
      <c r="H29" s="7">
        <v>3</v>
      </c>
      <c r="I29" s="7">
        <v>241.38</v>
      </c>
      <c r="J29" s="9">
        <v>0</v>
      </c>
      <c r="K29" s="9">
        <v>0</v>
      </c>
      <c r="L29" s="10">
        <v>3</v>
      </c>
      <c r="M29" s="11">
        <v>2896.56</v>
      </c>
      <c r="N29" s="11">
        <v>0</v>
      </c>
      <c r="O29" s="11">
        <v>0</v>
      </c>
      <c r="P29" s="1">
        <f t="shared" si="13"/>
      </c>
      <c r="Q29" s="21">
        <v>5359.13</v>
      </c>
      <c r="R29" s="13">
        <f t="shared" si="5"/>
      </c>
      <c r="S29" s="14">
        <f t="shared" si="3"/>
      </c>
      <c r="T29" s="14">
        <f t="shared" si="1"/>
      </c>
      <c r="U29" s="7" t="s">
        <v>57</v>
      </c>
      <c r="V29" s="7">
        <v>1</v>
      </c>
      <c r="W29" s="15"/>
      <c r="X29" s="15"/>
      <c r="Y29" s="15" t="s">
        <v>45</v>
      </c>
      <c r="Z29" s="7">
        <v>20</v>
      </c>
      <c r="AA29" s="22">
        <v>24476</v>
      </c>
      <c r="AB29" s="22">
        <v>770</v>
      </c>
      <c r="AC29" s="22">
        <v>846</v>
      </c>
      <c r="AD29" s="22">
        <v>145</v>
      </c>
      <c r="AE29" s="7">
        <v>82</v>
      </c>
      <c r="AF29" s="7">
        <v>10</v>
      </c>
      <c r="AG29" s="7">
        <v>82</v>
      </c>
      <c r="AH29" s="7">
        <v>4</v>
      </c>
      <c r="AI29" s="17">
        <f t="shared" si="6"/>
      </c>
      <c r="AJ29" s="17">
        <f t="shared" si="4"/>
      </c>
      <c r="AK29" s="17">
        <f t="shared" si="7"/>
      </c>
      <c r="AL29" s="18">
        <f t="shared" si="2"/>
      </c>
      <c r="AM29" s="19">
        <f t="shared" si="0"/>
      </c>
      <c r="AN29" s="20"/>
    </row>
    <row r="30">
      <c r="A30" s="5">
        <v>46301</v>
      </c>
      <c r="B30" s="6" t="s">
        <v>42</v>
      </c>
      <c r="C30" s="6" t="s">
        <v>62</v>
      </c>
      <c r="D30" s="6">
        <v>4</v>
      </c>
      <c r="E30" s="7">
        <v>10</v>
      </c>
      <c r="F30" s="8">
        <v>10</v>
      </c>
      <c r="G30" s="7">
        <v>7</v>
      </c>
      <c r="H30" s="7">
        <v>8</v>
      </c>
      <c r="I30" s="7">
        <v>1266.4499999999998</v>
      </c>
      <c r="J30" s="9">
        <v>2</v>
      </c>
      <c r="K30" s="9">
        <v>5098.8</v>
      </c>
      <c r="L30" s="10">
        <v>10</v>
      </c>
      <c r="M30" s="11">
        <v>20296.199999999997</v>
      </c>
      <c r="N30" s="11">
        <v>4</v>
      </c>
      <c r="O30" s="11">
        <v>4940.51</v>
      </c>
      <c r="P30" s="1">
        <f t="shared" si="13"/>
      </c>
      <c r="Q30" s="21">
        <v>11949.15</v>
      </c>
      <c r="R30" s="13">
        <f t="shared" si="5"/>
      </c>
      <c r="S30" s="14">
        <f t="shared" si="3"/>
      </c>
      <c r="T30" s="14">
        <f t="shared" si="1"/>
      </c>
      <c r="U30" s="7" t="s">
        <v>48</v>
      </c>
      <c r="V30" s="7">
        <v>8</v>
      </c>
      <c r="W30" s="15"/>
      <c r="X30" s="15"/>
      <c r="Y30" s="15"/>
      <c r="Z30" s="15"/>
      <c r="AA30" s="15">
        <v>56572</v>
      </c>
      <c r="AB30" s="15">
        <v>1409</v>
      </c>
      <c r="AC30" s="15">
        <v>1625</v>
      </c>
      <c r="AD30" s="15">
        <v>308</v>
      </c>
      <c r="AE30" s="15">
        <v>201</v>
      </c>
      <c r="AF30" s="15">
        <v>22</v>
      </c>
      <c r="AG30" s="15">
        <v>284</v>
      </c>
      <c r="AH30" s="7">
        <v>3</v>
      </c>
      <c r="AI30" s="17">
        <f t="shared" si="6"/>
      </c>
      <c r="AJ30" s="17">
        <f t="shared" si="4"/>
      </c>
      <c r="AK30" s="17">
        <f t="shared" si="7"/>
      </c>
      <c r="AL30" s="18">
        <f t="shared" si="2"/>
      </c>
      <c r="AM30" s="19">
        <f t="shared" si="0"/>
      </c>
      <c r="AN30" s="20"/>
    </row>
    <row r="31">
      <c r="A31" s="5">
        <v>46301</v>
      </c>
      <c r="B31" s="6" t="s">
        <v>52</v>
      </c>
      <c r="C31" s="6" t="s">
        <v>63</v>
      </c>
      <c r="D31" s="6">
        <v>2</v>
      </c>
      <c r="E31" s="7">
        <v>4</v>
      </c>
      <c r="F31" s="8">
        <v>0</v>
      </c>
      <c r="G31" s="7">
        <v>1</v>
      </c>
      <c r="H31" s="7">
        <v>0</v>
      </c>
      <c r="I31" s="7">
        <v>0</v>
      </c>
      <c r="J31" s="9">
        <v>0</v>
      </c>
      <c r="K31" s="9">
        <v>0</v>
      </c>
      <c r="L31" s="10">
        <v>0</v>
      </c>
      <c r="M31" s="11">
        <v>0</v>
      </c>
      <c r="N31" s="11">
        <v>0</v>
      </c>
      <c r="O31" s="11">
        <v>0</v>
      </c>
      <c r="P31" s="1">
        <f t="shared" si="13"/>
      </c>
      <c r="Q31" s="21">
        <v>4050.9</v>
      </c>
      <c r="R31" s="13">
        <f t="shared" si="5"/>
      </c>
      <c r="S31" s="14">
        <f t="shared" si="3"/>
      </c>
      <c r="T31" s="14">
        <f t="shared" si="1"/>
      </c>
      <c r="U31" s="7"/>
      <c r="V31" s="7"/>
      <c r="W31" s="15"/>
      <c r="X31" s="15"/>
      <c r="Y31" s="15"/>
      <c r="Z31" s="15"/>
      <c r="AA31" s="7">
        <v>28418</v>
      </c>
      <c r="AB31" s="15">
        <v>445</v>
      </c>
      <c r="AC31" s="15">
        <v>473</v>
      </c>
      <c r="AD31" s="15">
        <v>68</v>
      </c>
      <c r="AE31" s="7">
        <v>67</v>
      </c>
      <c r="AF31" s="7">
        <v>6</v>
      </c>
      <c r="AG31" s="7">
        <v>95</v>
      </c>
      <c r="AH31" s="7">
        <v>3</v>
      </c>
      <c r="AI31" s="17">
        <f t="shared" si="6"/>
      </c>
      <c r="AJ31" s="17">
        <f t="shared" si="4"/>
      </c>
      <c r="AK31" s="17">
        <f t="shared" si="7"/>
      </c>
      <c r="AL31" s="18">
        <f t="shared" si="2"/>
      </c>
      <c r="AM31" s="19">
        <f t="shared" si="0"/>
      </c>
      <c r="AN31" s="20"/>
    </row>
    <row customHeight="true" ht="16.071428571428573" r="32">
      <c r="A32" s="23">
        <v>46301</v>
      </c>
      <c r="B32" s="24"/>
      <c r="C32" s="25" t="s">
        <v>64</v>
      </c>
      <c r="D32" s="24">
        <f>D31+D30+D29+D28+D27</f>
      </c>
      <c r="E32" s="24">
        <f>E31+E30+E29+E28+E27</f>
      </c>
      <c r="F32" s="24">
        <f>F31+F30+F29+F28+F27</f>
      </c>
      <c r="G32" s="24">
        <f>G31+G30+G29+G28+G27</f>
      </c>
      <c r="H32" s="24">
        <f>H31+H30+H29+H28+H27</f>
      </c>
      <c r="I32" s="24">
        <f>I31+I30+I29+I28+I27</f>
      </c>
      <c r="J32" s="24">
        <f>J31+J30+J29+J28+J27</f>
      </c>
      <c r="K32" s="24">
        <f>K31+K30+K29+K28+K27</f>
      </c>
      <c r="L32" s="24">
        <f>L31+L30+L29+L28+L27</f>
      </c>
      <c r="M32" s="24">
        <f>M31+M30+M29+M28+M27</f>
      </c>
      <c r="N32" s="24">
        <f>N31+N30+N29+N28+N27</f>
      </c>
      <c r="O32" s="24">
        <f>O31+O30+O29+O28+O27</f>
      </c>
      <c r="P32" s="24">
        <f>P31+P30+P29+P28+P27</f>
      </c>
      <c r="Q32" s="24">
        <f>Q31+Q30+Q29+Q28+Q27</f>
      </c>
      <c r="R32" s="27">
        <f t="shared" si="5"/>
      </c>
      <c r="S32" s="27">
        <f t="shared" si="3"/>
      </c>
      <c r="T32" s="27">
        <f t="shared" si="1"/>
      </c>
      <c r="U32" s="28"/>
      <c r="V32" s="24">
        <f>V31+V30+V29+V28+V27</f>
      </c>
      <c r="W32" s="28"/>
      <c r="X32" s="24">
        <f>SUM(X27:X28)</f>
      </c>
      <c r="Y32" s="28"/>
      <c r="Z32" s="25">
        <f>Z27+Z28+Z30+Z31</f>
      </c>
      <c r="AA32" s="24">
        <f>AA31+AA30+AA29+AA28+AA27</f>
      </c>
      <c r="AB32" s="24">
        <f>AB31+AB30+AB29+AB28+AB27</f>
      </c>
      <c r="AC32" s="24">
        <f>AC31+AC30+AC29+AC28+AC27</f>
      </c>
      <c r="AD32" s="24">
        <f>AD31+AD30+AD29+AD28+AD27</f>
      </c>
      <c r="AE32" s="24">
        <f>AE31+AE30+AE29+AE28+AE27</f>
      </c>
      <c r="AF32" s="24">
        <f>AF31+AF30+AF29+AF28+AF27</f>
      </c>
      <c r="AG32" s="24">
        <f>AG31+AG30+AG29+AG28+AG27</f>
      </c>
      <c r="AH32" s="24">
        <f>AH31+AH30+AH29+AH28+AH27</f>
      </c>
      <c r="AI32" s="29">
        <f t="shared" si="6"/>
      </c>
      <c r="AJ32" s="29">
        <f t="shared" si="4"/>
      </c>
      <c r="AK32" s="29">
        <f t="shared" si="7"/>
      </c>
      <c r="AL32" s="29">
        <f t="shared" si="2"/>
      </c>
      <c r="AM32" s="30">
        <f t="shared" si="0"/>
      </c>
      <c r="AN32" s="29">
        <f>F32/AE32</f>
      </c>
    </row>
    <row customHeight="true" ht="16.071428571428573" r="33">
      <c r="A33" s="5">
        <v>46302</v>
      </c>
      <c r="B33" s="6" t="s">
        <v>52</v>
      </c>
      <c r="C33" s="6" t="s">
        <v>65</v>
      </c>
      <c r="D33" s="6">
        <v>2</v>
      </c>
      <c r="E33" s="7">
        <v>5</v>
      </c>
      <c r="F33" s="8">
        <v>5</v>
      </c>
      <c r="G33" s="7">
        <v>4</v>
      </c>
      <c r="H33" s="7">
        <v>4</v>
      </c>
      <c r="I33" s="7">
        <v>1006.3599999999999</v>
      </c>
      <c r="J33" s="9">
        <v>1</v>
      </c>
      <c r="K33" s="9">
        <v>683</v>
      </c>
      <c r="L33" s="10">
        <v>5</v>
      </c>
      <c r="M33" s="11">
        <v>12759.32</v>
      </c>
      <c r="N33" s="11">
        <v>2</v>
      </c>
      <c r="O33" s="11">
        <v>590.11</v>
      </c>
      <c r="P33" s="1">
        <f t="shared" ref="P33:P38" si="14">I33*12+K33</f>
      </c>
      <c r="Q33" s="12">
        <v>3753.37</v>
      </c>
      <c r="R33" s="13">
        <f t="shared" si="5"/>
      </c>
      <c r="S33" s="14">
        <f t="shared" si="3"/>
      </c>
      <c r="T33" s="14">
        <f t="shared" si="1"/>
      </c>
      <c r="U33" s="7" t="s">
        <v>66</v>
      </c>
      <c r="V33" s="7">
        <v>2</v>
      </c>
      <c r="W33" s="15"/>
      <c r="X33" s="15"/>
      <c r="Y33" s="15"/>
      <c r="Z33" s="15"/>
      <c r="AA33" s="16">
        <v>17378</v>
      </c>
      <c r="AB33" s="16">
        <v>1019</v>
      </c>
      <c r="AC33" s="16">
        <v>1426</v>
      </c>
      <c r="AD33" s="16">
        <v>265</v>
      </c>
      <c r="AE33" s="15">
        <v>57</v>
      </c>
      <c r="AF33" s="7">
        <v>6</v>
      </c>
      <c r="AG33" s="7">
        <v>96</v>
      </c>
      <c r="AH33" s="7">
        <v>2</v>
      </c>
      <c r="AI33" s="17">
        <f t="shared" si="6"/>
      </c>
      <c r="AJ33" s="17">
        <f t="shared" si="4"/>
      </c>
      <c r="AK33" s="17">
        <f t="shared" si="7"/>
      </c>
      <c r="AL33" s="18">
        <f t="shared" si="2"/>
      </c>
      <c r="AM33" s="19">
        <f t="shared" si="0"/>
      </c>
      <c r="AN33" s="20"/>
    </row>
    <row customHeight="true" ht="16.071428571428573" r="34">
      <c r="A34" s="5">
        <v>46302</v>
      </c>
      <c r="B34" s="6" t="s">
        <v>53</v>
      </c>
      <c r="C34" s="6" t="s">
        <v>58</v>
      </c>
      <c r="D34" s="6">
        <v>5</v>
      </c>
      <c r="E34" s="7">
        <v>13</v>
      </c>
      <c r="F34" s="8">
        <v>12</v>
      </c>
      <c r="G34" s="7">
        <v>11</v>
      </c>
      <c r="H34" s="7">
        <v>11</v>
      </c>
      <c r="I34" s="7">
        <v>2389.8500000000004</v>
      </c>
      <c r="J34" s="9">
        <v>1</v>
      </c>
      <c r="K34" s="9">
        <v>1082.7</v>
      </c>
      <c r="L34" s="10">
        <v>12</v>
      </c>
      <c r="M34" s="11">
        <v>29760.900000000005</v>
      </c>
      <c r="N34" s="11">
        <v>3</v>
      </c>
      <c r="O34" s="11">
        <v>2242.29</v>
      </c>
      <c r="P34" s="1">
        <f t="shared" si="14"/>
      </c>
      <c r="Q34" s="12">
        <v>13221.470000000001</v>
      </c>
      <c r="R34" s="13">
        <f t="shared" si="5"/>
      </c>
      <c r="S34" s="14">
        <f t="shared" si="3"/>
      </c>
      <c r="T34" s="14">
        <f t="shared" si="1"/>
      </c>
      <c r="U34" s="7"/>
      <c r="V34" s="7"/>
      <c r="W34" s="15"/>
      <c r="X34" s="15"/>
      <c r="Y34" s="15"/>
      <c r="Z34" s="15"/>
      <c r="AA34" s="16">
        <v>80849</v>
      </c>
      <c r="AB34" s="16">
        <v>3526</v>
      </c>
      <c r="AC34" s="16">
        <v>4551</v>
      </c>
      <c r="AD34" s="16">
        <v>841</v>
      </c>
      <c r="AE34" s="15">
        <v>280</v>
      </c>
      <c r="AF34" s="15">
        <v>31</v>
      </c>
      <c r="AG34" s="15">
        <v>502</v>
      </c>
      <c r="AH34" s="15">
        <v>4</v>
      </c>
      <c r="AI34" s="17">
        <f t="shared" si="6"/>
      </c>
      <c r="AJ34" s="17">
        <f t="shared" si="4"/>
      </c>
      <c r="AK34" s="17">
        <f t="shared" si="7"/>
      </c>
      <c r="AL34" s="18">
        <f t="shared" si="2"/>
      </c>
      <c r="AM34" s="19">
        <f t="shared" si="0"/>
      </c>
      <c r="AN34" s="20"/>
    </row>
    <row customHeight="true" ht="16.071428571428573" r="35">
      <c r="A35" s="5">
        <v>46302</v>
      </c>
      <c r="B35" s="6" t="s">
        <v>39</v>
      </c>
      <c r="C35" s="6" t="s">
        <v>59</v>
      </c>
      <c r="D35" s="6">
        <v>5</v>
      </c>
      <c r="E35" s="7">
        <v>12</v>
      </c>
      <c r="F35" s="8">
        <v>9</v>
      </c>
      <c r="G35" s="7">
        <v>3</v>
      </c>
      <c r="H35" s="7">
        <v>9</v>
      </c>
      <c r="I35" s="7">
        <v>2720.76</v>
      </c>
      <c r="J35" s="9">
        <v>0</v>
      </c>
      <c r="K35" s="9">
        <v>0</v>
      </c>
      <c r="L35" s="10">
        <v>9</v>
      </c>
      <c r="M35" s="11">
        <v>32649.120000000003</v>
      </c>
      <c r="N35" s="11">
        <v>7</v>
      </c>
      <c r="O35" s="11">
        <v>2596.4300000000003</v>
      </c>
      <c r="P35" s="1">
        <f t="shared" si="14"/>
      </c>
      <c r="Q35" s="21">
        <v>14912.59</v>
      </c>
      <c r="R35" s="13">
        <f t="shared" si="5"/>
      </c>
      <c r="S35" s="14">
        <f t="shared" si="3"/>
      </c>
      <c r="T35" s="14">
        <f t="shared" si="1"/>
      </c>
      <c r="U35" s="7" t="s">
        <v>41</v>
      </c>
      <c r="V35" s="7">
        <v>1</v>
      </c>
      <c r="W35" s="15"/>
      <c r="X35" s="15"/>
      <c r="Y35" s="15"/>
      <c r="Z35" s="7"/>
      <c r="AA35" s="22">
        <v>71444</v>
      </c>
      <c r="AB35" s="22">
        <v>2181</v>
      </c>
      <c r="AC35" s="22">
        <v>2411</v>
      </c>
      <c r="AD35" s="22">
        <v>388</v>
      </c>
      <c r="AE35" s="7">
        <v>250</v>
      </c>
      <c r="AF35" s="7">
        <v>19</v>
      </c>
      <c r="AG35" s="7">
        <v>227</v>
      </c>
      <c r="AH35" s="7">
        <v>6</v>
      </c>
      <c r="AI35" s="17">
        <f t="shared" si="6"/>
      </c>
      <c r="AJ35" s="17">
        <f t="shared" si="4"/>
      </c>
      <c r="AK35" s="17">
        <f t="shared" si="7"/>
      </c>
      <c r="AL35" s="18">
        <f t="shared" si="2"/>
      </c>
      <c r="AM35" s="19">
        <f t="shared" si="0"/>
      </c>
      <c r="AN35" s="20"/>
    </row>
    <row customHeight="true" ht="16.071428571428573" r="36">
      <c r="A36" s="5">
        <v>46302</v>
      </c>
      <c r="B36" s="6" t="s">
        <v>60</v>
      </c>
      <c r="C36" s="6" t="s">
        <v>61</v>
      </c>
      <c r="D36" s="6">
        <v>2</v>
      </c>
      <c r="E36" s="7">
        <v>5</v>
      </c>
      <c r="F36" s="8">
        <v>1</v>
      </c>
      <c r="G36" s="7">
        <v>1</v>
      </c>
      <c r="H36" s="7">
        <v>1</v>
      </c>
      <c r="I36" s="7">
        <v>369.45</v>
      </c>
      <c r="J36" s="9">
        <v>0</v>
      </c>
      <c r="K36" s="9">
        <v>0</v>
      </c>
      <c r="L36" s="10">
        <v>1</v>
      </c>
      <c r="M36" s="11">
        <v>4433.4</v>
      </c>
      <c r="N36" s="11">
        <v>0</v>
      </c>
      <c r="O36" s="11">
        <v>0</v>
      </c>
      <c r="P36" s="1">
        <f t="shared" si="14"/>
      </c>
      <c r="Q36" s="21">
        <v>6289.54</v>
      </c>
      <c r="R36" s="13">
        <f t="shared" si="5"/>
      </c>
      <c r="S36" s="14">
        <f t="shared" si="3"/>
      </c>
      <c r="T36" s="14">
        <f t="shared" si="1"/>
      </c>
      <c r="U36" s="7" t="s">
        <v>54</v>
      </c>
      <c r="V36" s="7">
        <v>8</v>
      </c>
      <c r="W36" s="15"/>
      <c r="X36" s="15"/>
      <c r="Y36" s="15" t="s">
        <v>45</v>
      </c>
      <c r="Z36" s="7">
        <v>20</v>
      </c>
      <c r="AA36" s="22">
        <v>31069</v>
      </c>
      <c r="AB36" s="22">
        <v>556</v>
      </c>
      <c r="AC36" s="22">
        <v>575</v>
      </c>
      <c r="AD36" s="22">
        <v>97</v>
      </c>
      <c r="AE36" s="7">
        <v>98</v>
      </c>
      <c r="AF36" s="7">
        <v>5</v>
      </c>
      <c r="AG36" s="7">
        <v>103</v>
      </c>
      <c r="AH36" s="7">
        <v>1</v>
      </c>
      <c r="AI36" s="17">
        <f t="shared" si="6"/>
      </c>
      <c r="AJ36" s="17">
        <f t="shared" si="4"/>
      </c>
      <c r="AK36" s="17">
        <f t="shared" si="7"/>
      </c>
      <c r="AL36" s="18">
        <f t="shared" si="2"/>
      </c>
      <c r="AM36" s="19">
        <f t="shared" si="0"/>
      </c>
      <c r="AN36" s="20"/>
    </row>
    <row customHeight="true" ht="16.071428571428573" r="37">
      <c r="A37" s="5">
        <v>46302</v>
      </c>
      <c r="B37" s="6" t="s">
        <v>49</v>
      </c>
      <c r="C37" s="6" t="s">
        <v>62</v>
      </c>
      <c r="D37" s="6">
        <v>4</v>
      </c>
      <c r="E37" s="7">
        <v>10</v>
      </c>
      <c r="F37" s="8">
        <v>8</v>
      </c>
      <c r="G37" s="7">
        <v>8</v>
      </c>
      <c r="H37" s="7">
        <v>8</v>
      </c>
      <c r="I37" s="7">
        <v>1668.97</v>
      </c>
      <c r="J37" s="9">
        <v>0</v>
      </c>
      <c r="K37" s="9">
        <v>0</v>
      </c>
      <c r="L37" s="10">
        <v>8</v>
      </c>
      <c r="M37" s="11">
        <v>20027.64</v>
      </c>
      <c r="N37" s="11">
        <v>2</v>
      </c>
      <c r="O37" s="11">
        <v>702.73</v>
      </c>
      <c r="P37" s="1">
        <f t="shared" si="14"/>
      </c>
      <c r="Q37" s="21">
        <v>13025.630000000001</v>
      </c>
      <c r="R37" s="13">
        <f t="shared" si="5"/>
      </c>
      <c r="S37" s="14">
        <f t="shared" si="3"/>
      </c>
      <c r="T37" s="14">
        <f t="shared" si="1"/>
      </c>
      <c r="U37" s="7" t="s">
        <v>57</v>
      </c>
      <c r="V37" s="7">
        <v>1</v>
      </c>
      <c r="W37" s="15"/>
      <c r="X37" s="15"/>
      <c r="Y37" s="15"/>
      <c r="Z37" s="15"/>
      <c r="AA37" s="15">
        <v>71958</v>
      </c>
      <c r="AB37" s="15">
        <v>2275</v>
      </c>
      <c r="AC37" s="15">
        <v>2438</v>
      </c>
      <c r="AD37" s="15">
        <v>449</v>
      </c>
      <c r="AE37" s="15">
        <v>255</v>
      </c>
      <c r="AF37" s="15">
        <v>19</v>
      </c>
      <c r="AG37" s="15">
        <v>251</v>
      </c>
      <c r="AH37" s="7">
        <v>3</v>
      </c>
      <c r="AI37" s="17">
        <f t="shared" si="6"/>
      </c>
      <c r="AJ37" s="17">
        <f t="shared" si="4"/>
      </c>
      <c r="AK37" s="17">
        <f t="shared" si="7"/>
      </c>
      <c r="AL37" s="18">
        <f t="shared" si="2"/>
      </c>
      <c r="AM37" s="19">
        <f t="shared" si="0"/>
      </c>
      <c r="AN37" s="20"/>
    </row>
    <row customHeight="true" ht="16.071428571428573" r="38">
      <c r="A38" s="5">
        <v>46302</v>
      </c>
      <c r="B38" s="6" t="s">
        <v>46</v>
      </c>
      <c r="C38" s="6" t="s">
        <v>63</v>
      </c>
      <c r="D38" s="6">
        <v>2</v>
      </c>
      <c r="E38" s="7">
        <v>4</v>
      </c>
      <c r="F38" s="8">
        <v>3</v>
      </c>
      <c r="G38" s="7">
        <v>2</v>
      </c>
      <c r="H38" s="7">
        <v>3</v>
      </c>
      <c r="I38" s="7">
        <v>666.9200000000001</v>
      </c>
      <c r="J38" s="9">
        <v>0</v>
      </c>
      <c r="K38" s="9">
        <v>0</v>
      </c>
      <c r="L38" s="10">
        <v>3</v>
      </c>
      <c r="M38" s="11">
        <v>8003.040000000001</v>
      </c>
      <c r="N38" s="11">
        <v>1</v>
      </c>
      <c r="O38" s="11">
        <v>403.22</v>
      </c>
      <c r="P38" s="1">
        <f t="shared" si="14"/>
      </c>
      <c r="Q38" s="21">
        <v>5222.49</v>
      </c>
      <c r="R38" s="13">
        <f t="shared" si="5"/>
      </c>
      <c r="S38" s="14">
        <f t="shared" si="3"/>
      </c>
      <c r="T38" s="14">
        <f t="shared" si="1"/>
      </c>
      <c r="U38" s="7" t="s">
        <v>48</v>
      </c>
      <c r="V38" s="7">
        <v>8</v>
      </c>
      <c r="W38" s="15"/>
      <c r="X38" s="15"/>
      <c r="Y38" s="15"/>
      <c r="Z38" s="15"/>
      <c r="AA38" s="7">
        <v>29967</v>
      </c>
      <c r="AB38" s="15">
        <v>1045</v>
      </c>
      <c r="AC38" s="15">
        <v>1087</v>
      </c>
      <c r="AD38" s="15">
        <v>135</v>
      </c>
      <c r="AE38" s="7">
        <v>104</v>
      </c>
      <c r="AF38" s="7">
        <v>7</v>
      </c>
      <c r="AG38" s="7">
        <v>47</v>
      </c>
      <c r="AH38" s="7">
        <v>1</v>
      </c>
      <c r="AI38" s="17">
        <f t="shared" si="6"/>
      </c>
      <c r="AJ38" s="17">
        <f t="shared" si="4"/>
      </c>
      <c r="AK38" s="17">
        <f t="shared" si="7"/>
      </c>
      <c r="AL38" s="18">
        <f t="shared" si="2"/>
      </c>
      <c r="AM38" s="19">
        <f t="shared" si="0"/>
      </c>
      <c r="AN38" s="20"/>
    </row>
    <row customHeight="true" ht="16.071428571428573" r="39">
      <c r="A39" s="23">
        <v>46302</v>
      </c>
      <c r="B39" s="24"/>
      <c r="C39" s="25" t="s">
        <v>67</v>
      </c>
      <c r="D39" s="24">
        <f>D33+D37+D36+D35+D34+D38</f>
      </c>
      <c r="E39" s="24">
        <f>E33+E37+E36+E35+E34+E38</f>
      </c>
      <c r="F39" s="24">
        <f>F33+F37+F36+F35+F34+F38</f>
      </c>
      <c r="G39" s="24">
        <f>G33+G37+G36+G35+G34+G38</f>
      </c>
      <c r="H39" s="24">
        <f>H33+H37+H36+H35+H34+H38</f>
      </c>
      <c r="I39" s="24">
        <f>I33+I37+I36+I35+I34+I38</f>
      </c>
      <c r="J39" s="24">
        <f>J33+J37+J36+J35+J34+J38</f>
      </c>
      <c r="K39" s="24">
        <f>K33+K37+K36+K35+K34+K38</f>
      </c>
      <c r="L39" s="24">
        <f>L33+L37+L36+L35+L34+L38</f>
      </c>
      <c r="M39" s="24">
        <f>M33+M37+M36+M35+M34+M38</f>
      </c>
      <c r="N39" s="24">
        <f>N33+N37+N36+N35+N34+N38</f>
      </c>
      <c r="O39" s="24">
        <f>O33+O37+O36+O35+O34+O38</f>
      </c>
      <c r="P39" s="24">
        <f>P33+P37+P36+P35+P34+P38</f>
      </c>
      <c r="Q39" s="24">
        <f>Q33+Q37+Q36+Q35+Q34+Q38</f>
      </c>
      <c r="R39" s="27">
        <f t="shared" si="5"/>
      </c>
      <c r="S39" s="27">
        <f t="shared" si="3"/>
      </c>
      <c r="T39" s="27">
        <f t="shared" si="1"/>
      </c>
      <c r="U39" s="28"/>
      <c r="V39" s="24">
        <f>V33+V35+V36+V37+V38+V34</f>
      </c>
      <c r="W39" s="24">
        <f>W33+W35+W36+W37+W38+W34</f>
      </c>
      <c r="X39" s="24">
        <f>X33+X35+X36+X37+X38+X34</f>
      </c>
      <c r="Y39" s="24"/>
      <c r="Z39" s="24">
        <f>Z33+Z35+Z36+Z37+Z38+Z34</f>
      </c>
      <c r="AA39" s="24">
        <f>AA33+AA35+AA36+AA37+AA38+AA34</f>
      </c>
      <c r="AB39" s="24">
        <f>AB33+AB35+AB36+AB37+AB38+AB34</f>
      </c>
      <c r="AC39" s="24">
        <f>AC33+AC35+AC36+AC37+AC38+AC34</f>
      </c>
      <c r="AD39" s="24">
        <f>AD33+AD35+AD36+AD37+AD38+AD34</f>
      </c>
      <c r="AE39" s="24">
        <f>AE33+AE35+AE36+AE37+AE38+AE34</f>
      </c>
      <c r="AF39" s="24">
        <f>AF33+AF35+AF36+AF37+AF38+AF34</f>
      </c>
      <c r="AG39" s="24">
        <f>AG33+AG35+AG36+AG37+AG38+AG34</f>
      </c>
      <c r="AH39" s="24">
        <f>AH33+AH35+AH36+AH37+AH38+AH34</f>
      </c>
      <c r="AI39" s="29">
        <f t="shared" si="6"/>
      </c>
      <c r="AJ39" s="29">
        <f t="shared" si="4"/>
      </c>
      <c r="AK39" s="29">
        <f t="shared" si="7"/>
      </c>
      <c r="AL39" s="29">
        <f t="shared" si="2"/>
      </c>
      <c r="AM39" s="30">
        <f t="shared" si="0"/>
      </c>
      <c r="AN39" s="29">
        <f>F39/AE39</f>
      </c>
    </row>
    <row customHeight="true" ht="16.071428571428573" r="40">
      <c r="A40" s="5">
        <v>46303</v>
      </c>
      <c r="B40" s="6" t="s">
        <v>46</v>
      </c>
      <c r="C40" s="6" t="s">
        <v>65</v>
      </c>
      <c r="D40" s="6">
        <v>2</v>
      </c>
      <c r="E40" s="7">
        <v>0</v>
      </c>
      <c r="F40" s="8">
        <v>0</v>
      </c>
      <c r="G40" s="7">
        <v>0</v>
      </c>
      <c r="H40" s="7">
        <v>0</v>
      </c>
      <c r="I40" s="7">
        <v>0</v>
      </c>
      <c r="J40" s="9">
        <v>0</v>
      </c>
      <c r="K40" s="9">
        <v>0</v>
      </c>
      <c r="L40" s="10">
        <v>0</v>
      </c>
      <c r="M40" s="11">
        <v>0</v>
      </c>
      <c r="N40" s="11">
        <v>0</v>
      </c>
      <c r="O40" s="11">
        <v>0</v>
      </c>
      <c r="P40" s="1">
        <f t="shared" ref="P40:P45" si="15">I40*12+K40</f>
      </c>
      <c r="Q40" s="12">
        <v>4000</v>
      </c>
      <c r="R40" s="13">
        <f t="shared" si="5"/>
      </c>
      <c r="S40" s="14">
        <f t="shared" si="3"/>
      </c>
      <c r="T40" s="14">
        <f t="shared" si="1"/>
      </c>
      <c r="U40" s="7" t="s">
        <v>66</v>
      </c>
      <c r="V40" s="7">
        <v>2</v>
      </c>
      <c r="W40" s="15"/>
      <c r="X40" s="15"/>
      <c r="Y40" s="15"/>
      <c r="Z40" s="15"/>
      <c r="AA40" s="16">
        <v>23994</v>
      </c>
      <c r="AB40" s="16">
        <v>760</v>
      </c>
      <c r="AC40" s="16">
        <v>846</v>
      </c>
      <c r="AD40" s="16">
        <v>110</v>
      </c>
      <c r="AE40" s="15">
        <v>78</v>
      </c>
      <c r="AF40" s="7">
        <v>7</v>
      </c>
      <c r="AG40" s="7">
        <v>47</v>
      </c>
      <c r="AH40" s="7">
        <v>1</v>
      </c>
      <c r="AI40" s="17">
        <f t="shared" si="6"/>
      </c>
      <c r="AJ40" s="17">
        <f t="shared" si="4"/>
      </c>
      <c r="AK40" s="17">
        <f t="shared" si="7"/>
      </c>
      <c r="AL40" s="18">
        <f t="shared" si="2"/>
      </c>
      <c r="AM40" s="19">
        <f t="shared" si="0"/>
      </c>
      <c r="AN40" s="20"/>
    </row>
    <row customHeight="true" ht="16.071428571428573" r="41">
      <c r="A41" s="5">
        <v>46303</v>
      </c>
      <c r="B41" s="6" t="s">
        <v>39</v>
      </c>
      <c r="C41" s="6" t="s">
        <v>58</v>
      </c>
      <c r="D41" s="6">
        <v>5</v>
      </c>
      <c r="E41" s="7">
        <v>18</v>
      </c>
      <c r="F41" s="8">
        <v>10</v>
      </c>
      <c r="G41" s="7">
        <v>7</v>
      </c>
      <c r="H41" s="7">
        <v>10</v>
      </c>
      <c r="I41" s="7">
        <v>2815.82</v>
      </c>
      <c r="J41" s="9">
        <v>0</v>
      </c>
      <c r="K41" s="9">
        <v>0</v>
      </c>
      <c r="L41" s="10">
        <v>10</v>
      </c>
      <c r="M41" s="11">
        <v>33789.84</v>
      </c>
      <c r="N41" s="11">
        <v>6</v>
      </c>
      <c r="O41" s="11">
        <v>2389.31</v>
      </c>
      <c r="P41" s="1">
        <f t="shared" si="15"/>
      </c>
      <c r="Q41" s="12">
        <v>15361.810000000001</v>
      </c>
      <c r="R41" s="13">
        <f t="shared" si="5"/>
      </c>
      <c r="S41" s="14">
        <f t="shared" si="3"/>
      </c>
      <c r="T41" s="14">
        <f t="shared" si="1"/>
      </c>
      <c r="U41" s="7"/>
      <c r="V41" s="7"/>
      <c r="W41" s="15"/>
      <c r="X41" s="15"/>
      <c r="Y41" s="15"/>
      <c r="Z41" s="15"/>
      <c r="AA41" s="16">
        <v>49961</v>
      </c>
      <c r="AB41" s="16">
        <v>2833</v>
      </c>
      <c r="AC41" s="16">
        <v>3165</v>
      </c>
      <c r="AD41" s="16">
        <v>698</v>
      </c>
      <c r="AE41" s="15">
        <v>231</v>
      </c>
      <c r="AF41" s="15">
        <v>26</v>
      </c>
      <c r="AG41" s="15">
        <v>253</v>
      </c>
      <c r="AH41" s="15">
        <v>5</v>
      </c>
      <c r="AI41" s="17">
        <f t="shared" si="6"/>
      </c>
      <c r="AJ41" s="17">
        <f t="shared" si="4"/>
      </c>
      <c r="AK41" s="17">
        <f t="shared" si="7"/>
      </c>
      <c r="AL41" s="18">
        <f t="shared" si="2"/>
      </c>
      <c r="AM41" s="19">
        <f t="shared" si="0"/>
      </c>
      <c r="AN41" s="20"/>
    </row>
    <row r="42">
      <c r="A42" s="5">
        <v>46303</v>
      </c>
      <c r="B42" s="6" t="s">
        <v>53</v>
      </c>
      <c r="C42" s="6" t="s">
        <v>59</v>
      </c>
      <c r="D42" s="6">
        <v>5</v>
      </c>
      <c r="E42" s="7">
        <v>13</v>
      </c>
      <c r="F42" s="8">
        <v>7</v>
      </c>
      <c r="G42" s="7">
        <v>6</v>
      </c>
      <c r="H42" s="7">
        <v>6</v>
      </c>
      <c r="I42" s="7">
        <v>1623.4299999999998</v>
      </c>
      <c r="J42" s="9">
        <v>1</v>
      </c>
      <c r="K42" s="9">
        <v>520</v>
      </c>
      <c r="L42" s="10">
        <v>7</v>
      </c>
      <c r="M42" s="11">
        <v>20001.159999999996</v>
      </c>
      <c r="N42" s="11">
        <v>2</v>
      </c>
      <c r="O42" s="11">
        <v>1036.3600000000001</v>
      </c>
      <c r="P42" s="1">
        <f t="shared" si="15"/>
      </c>
      <c r="Q42" s="21">
        <v>14963.890000000001</v>
      </c>
      <c r="R42" s="13">
        <f t="shared" si="5"/>
      </c>
      <c r="S42" s="14">
        <f t="shared" si="3"/>
      </c>
      <c r="T42" s="14">
        <f t="shared" si="1"/>
      </c>
      <c r="U42" s="7" t="s">
        <v>68</v>
      </c>
      <c r="V42" s="7">
        <v>10</v>
      </c>
      <c r="W42" s="15"/>
      <c r="X42" s="15"/>
      <c r="Y42" s="15"/>
      <c r="Z42" s="7"/>
      <c r="AA42" s="22">
        <v>71087</v>
      </c>
      <c r="AB42" s="22">
        <v>2326</v>
      </c>
      <c r="AC42" s="22">
        <v>2567</v>
      </c>
      <c r="AD42" s="22">
        <v>543</v>
      </c>
      <c r="AE42" s="7">
        <v>284</v>
      </c>
      <c r="AF42" s="7">
        <v>28</v>
      </c>
      <c r="AG42" s="7">
        <v>404</v>
      </c>
      <c r="AH42" s="7">
        <v>4</v>
      </c>
      <c r="AI42" s="17">
        <f t="shared" si="6"/>
      </c>
      <c r="AJ42" s="17">
        <f t="shared" si="4"/>
      </c>
      <c r="AK42" s="17">
        <f t="shared" si="7"/>
      </c>
      <c r="AL42" s="18">
        <f t="shared" si="2"/>
      </c>
      <c r="AM42" s="19">
        <f t="shared" si="0"/>
      </c>
      <c r="AN42" s="20"/>
    </row>
    <row r="43">
      <c r="A43" s="5">
        <v>46303</v>
      </c>
      <c r="B43" s="6" t="s">
        <v>60</v>
      </c>
      <c r="C43" s="6" t="s">
        <v>61</v>
      </c>
      <c r="D43" s="6">
        <v>2</v>
      </c>
      <c r="E43" s="7">
        <v>2</v>
      </c>
      <c r="F43" s="8">
        <v>0</v>
      </c>
      <c r="G43" s="7">
        <v>0</v>
      </c>
      <c r="H43" s="7">
        <v>0</v>
      </c>
      <c r="I43" s="7">
        <v>0</v>
      </c>
      <c r="J43" s="9">
        <v>0</v>
      </c>
      <c r="K43" s="9">
        <v>0</v>
      </c>
      <c r="L43" s="10">
        <v>0</v>
      </c>
      <c r="M43" s="11">
        <v>0</v>
      </c>
      <c r="N43" s="11">
        <v>0</v>
      </c>
      <c r="O43" s="11">
        <v>0</v>
      </c>
      <c r="P43" s="1">
        <f t="shared" si="15"/>
      </c>
      <c r="Q43" s="21">
        <v>3054.1</v>
      </c>
      <c r="R43" s="13">
        <f t="shared" si="5"/>
      </c>
      <c r="S43" s="14">
        <f t="shared" si="3"/>
      </c>
      <c r="T43" s="14">
        <f t="shared" si="1"/>
      </c>
      <c r="U43" s="7"/>
      <c r="V43" s="7"/>
      <c r="W43" s="15"/>
      <c r="X43" s="15"/>
      <c r="Y43" s="15" t="s">
        <v>45</v>
      </c>
      <c r="Z43" s="7">
        <v>20</v>
      </c>
      <c r="AA43" s="22">
        <v>14480</v>
      </c>
      <c r="AB43" s="22">
        <v>466</v>
      </c>
      <c r="AC43" s="22">
        <v>610</v>
      </c>
      <c r="AD43" s="22">
        <v>89</v>
      </c>
      <c r="AE43" s="7">
        <v>58</v>
      </c>
      <c r="AF43" s="7">
        <v>5</v>
      </c>
      <c r="AG43" s="7">
        <v>102</v>
      </c>
      <c r="AH43" s="7">
        <v>0</v>
      </c>
      <c r="AI43" s="17">
        <f t="shared" si="6"/>
      </c>
      <c r="AJ43" s="17">
        <f t="shared" si="4"/>
      </c>
      <c r="AK43" s="17">
        <f t="shared" si="7"/>
      </c>
      <c r="AL43" s="18">
        <f t="shared" si="2"/>
      </c>
      <c r="AM43" s="19">
        <f t="shared" si="0"/>
      </c>
      <c r="AN43" s="20"/>
    </row>
    <row r="44">
      <c r="A44" s="5">
        <v>46303</v>
      </c>
      <c r="B44" s="6" t="s">
        <v>42</v>
      </c>
      <c r="C44" s="6" t="s">
        <v>62</v>
      </c>
      <c r="D44" s="6">
        <v>4</v>
      </c>
      <c r="E44" s="7">
        <v>7</v>
      </c>
      <c r="F44" s="8">
        <v>3</v>
      </c>
      <c r="G44" s="7">
        <v>3</v>
      </c>
      <c r="H44" s="7">
        <v>3</v>
      </c>
      <c r="I44" s="7">
        <v>403.38</v>
      </c>
      <c r="J44" s="9">
        <v>0</v>
      </c>
      <c r="K44" s="9">
        <v>0</v>
      </c>
      <c r="L44" s="10">
        <v>3</v>
      </c>
      <c r="M44" s="11">
        <v>4840.5599999999995</v>
      </c>
      <c r="N44" s="11">
        <v>0</v>
      </c>
      <c r="O44" s="11">
        <v>0</v>
      </c>
      <c r="P44" s="1">
        <f t="shared" si="15"/>
      </c>
      <c r="Q44" s="21">
        <v>8165.88</v>
      </c>
      <c r="R44" s="13">
        <f t="shared" si="5"/>
      </c>
      <c r="S44" s="14">
        <f t="shared" si="3"/>
      </c>
      <c r="T44" s="14">
        <f t="shared" si="1"/>
      </c>
      <c r="U44" s="7" t="s">
        <v>48</v>
      </c>
      <c r="V44" s="7">
        <v>8</v>
      </c>
      <c r="W44" s="15"/>
      <c r="X44" s="15"/>
      <c r="Y44" s="15"/>
      <c r="Z44" s="15"/>
      <c r="AA44" s="15">
        <v>35728</v>
      </c>
      <c r="AB44" s="15">
        <v>1590</v>
      </c>
      <c r="AC44" s="15">
        <v>2054</v>
      </c>
      <c r="AD44" s="15">
        <v>493</v>
      </c>
      <c r="AE44" s="15">
        <v>141</v>
      </c>
      <c r="AF44" s="15">
        <v>13</v>
      </c>
      <c r="AG44" s="15">
        <v>175</v>
      </c>
      <c r="AH44" s="7">
        <v>5</v>
      </c>
      <c r="AI44" s="17">
        <f t="shared" si="6"/>
      </c>
      <c r="AJ44" s="17">
        <f t="shared" si="4"/>
      </c>
      <c r="AK44" s="17">
        <f t="shared" si="7"/>
      </c>
      <c r="AL44" s="18">
        <f t="shared" si="2"/>
      </c>
      <c r="AM44" s="19">
        <f t="shared" si="0"/>
      </c>
      <c r="AN44" s="20"/>
    </row>
    <row r="45">
      <c r="A45" s="5">
        <v>46303</v>
      </c>
      <c r="B45" s="6" t="s">
        <v>49</v>
      </c>
      <c r="C45" s="6" t="s">
        <v>63</v>
      </c>
      <c r="D45" s="6">
        <v>2</v>
      </c>
      <c r="E45" s="7">
        <v>5</v>
      </c>
      <c r="F45" s="8">
        <v>3</v>
      </c>
      <c r="G45" s="7">
        <v>2</v>
      </c>
      <c r="H45" s="7">
        <v>3</v>
      </c>
      <c r="I45" s="7">
        <v>519.97</v>
      </c>
      <c r="J45" s="9">
        <v>0</v>
      </c>
      <c r="K45" s="9">
        <v>0</v>
      </c>
      <c r="L45" s="10">
        <v>3</v>
      </c>
      <c r="M45" s="11">
        <v>6239.64</v>
      </c>
      <c r="N45" s="11">
        <v>1</v>
      </c>
      <c r="O45" s="11">
        <v>379.75</v>
      </c>
      <c r="P45" s="1">
        <f t="shared" si="15"/>
      </c>
      <c r="Q45" s="21">
        <v>4687.049999999999</v>
      </c>
      <c r="R45" s="13">
        <f t="shared" si="5"/>
      </c>
      <c r="S45" s="14">
        <f t="shared" si="3"/>
      </c>
      <c r="T45" s="14">
        <f t="shared" si="1"/>
      </c>
      <c r="U45" s="7"/>
      <c r="V45" s="7"/>
      <c r="W45" s="15"/>
      <c r="X45" s="15"/>
      <c r="Y45" s="15"/>
      <c r="Z45" s="15"/>
      <c r="AA45" s="7">
        <v>17989</v>
      </c>
      <c r="AB45" s="15">
        <v>1032</v>
      </c>
      <c r="AC45" s="15">
        <v>1230</v>
      </c>
      <c r="AD45" s="15">
        <v>276</v>
      </c>
      <c r="AE45" s="7">
        <v>90</v>
      </c>
      <c r="AF45" s="7">
        <v>11</v>
      </c>
      <c r="AG45" s="7">
        <v>138</v>
      </c>
      <c r="AH45" s="7">
        <v>3</v>
      </c>
      <c r="AI45" s="17">
        <f t="shared" si="6"/>
      </c>
      <c r="AJ45" s="17">
        <f t="shared" si="4"/>
      </c>
      <c r="AK45" s="17">
        <f t="shared" si="7"/>
      </c>
      <c r="AL45" s="18">
        <f t="shared" si="2"/>
      </c>
      <c r="AM45" s="19">
        <f t="shared" si="0"/>
      </c>
      <c r="AN45" s="20"/>
    </row>
    <row r="46">
      <c r="A46" s="23">
        <v>46303</v>
      </c>
      <c r="B46" s="24"/>
      <c r="C46" s="25" t="s">
        <v>67</v>
      </c>
      <c r="D46" s="24">
        <f>D45+D44+D43+D42+D41+D40</f>
      </c>
      <c r="E46" s="24">
        <f>E45+E44+E43+E42+E41+E40</f>
      </c>
      <c r="F46" s="24">
        <f>F45+F44+F43+F42+F41+F40</f>
      </c>
      <c r="G46" s="24">
        <f>G45+G44+G43+G42+G41+G40</f>
      </c>
      <c r="H46" s="24">
        <f>H45+H44+H43+H42+H41+H40</f>
      </c>
      <c r="I46" s="24">
        <f>I45+I44+I43+I42+I41+I40</f>
      </c>
      <c r="J46" s="24">
        <f>J45+J44+J43+J42+J41+J40</f>
      </c>
      <c r="K46" s="24">
        <f>K45+K44+K43+K42+K41+K40</f>
      </c>
      <c r="L46" s="24">
        <f>L45+L44+L43+L42+L41+L40</f>
      </c>
      <c r="M46" s="24">
        <f>M45+M44+M43+M42+M41+M40</f>
      </c>
      <c r="N46" s="24">
        <f>N45+N44+N43+N42+N41+N40</f>
      </c>
      <c r="O46" s="24">
        <f>O45+O44+O43+O42+O41+O40</f>
      </c>
      <c r="P46" s="24">
        <f>P45+P44+P43+P42+P41+P40</f>
      </c>
      <c r="Q46" s="24">
        <f>Q45+Q44+Q43+Q42+Q41+Q40</f>
      </c>
      <c r="R46" s="27">
        <f t="shared" si="5"/>
      </c>
      <c r="S46" s="27">
        <f t="shared" si="3"/>
      </c>
      <c r="T46" s="27">
        <f t="shared" si="1"/>
      </c>
      <c r="U46" s="28"/>
      <c r="V46" s="24">
        <f>V45+V44+V43+V42+V41+V40</f>
      </c>
      <c r="W46" s="28"/>
      <c r="X46" s="24">
        <f>SUM(X41:X42)</f>
      </c>
      <c r="Y46" s="28"/>
      <c r="Z46" s="25">
        <f>Z41+Z42+Z44+Z45</f>
      </c>
      <c r="AA46" s="24">
        <f>AA45+AA44+AA43+AA42+AA41+AA40</f>
      </c>
      <c r="AB46" s="24">
        <f>AB45+AB44+AB43+AB42+AB41+AB40</f>
      </c>
      <c r="AC46" s="24">
        <f>AC45+AC44+AC43+AC42+AC41+AC40</f>
      </c>
      <c r="AD46" s="24">
        <f>AD45+AD44+AD43+AD42+AD41+AD40</f>
      </c>
      <c r="AE46" s="24">
        <f>AE45+AE44+AE43+AE42+AE41+AE40</f>
      </c>
      <c r="AF46" s="24">
        <f>AF45+AF44+AF43+AF42+AF41+AF40</f>
      </c>
      <c r="AG46" s="24">
        <f>AG45+AG44+AG43+AG42+AG41+AG40</f>
      </c>
      <c r="AH46" s="24">
        <f>AH45+AH44+AH43+AH42+AH41+AH40</f>
      </c>
      <c r="AI46" s="29">
        <f t="shared" si="6"/>
      </c>
      <c r="AJ46" s="29">
        <f t="shared" si="4"/>
      </c>
      <c r="AK46" s="29">
        <f t="shared" si="7"/>
      </c>
      <c r="AL46" s="29">
        <f t="shared" si="2"/>
      </c>
      <c r="AM46" s="30">
        <f t="shared" si="0"/>
      </c>
      <c r="AN46" s="29">
        <f>F46/AE46</f>
      </c>
    </row>
    <row r="47">
      <c r="A47" s="5">
        <v>46304</v>
      </c>
      <c r="B47" s="6" t="s">
        <v>49</v>
      </c>
      <c r="C47" s="6" t="s">
        <v>65</v>
      </c>
      <c r="D47" s="6">
        <v>2</v>
      </c>
      <c r="E47" s="7">
        <v>5</v>
      </c>
      <c r="F47" s="8">
        <v>4</v>
      </c>
      <c r="G47" s="7">
        <v>3</v>
      </c>
      <c r="H47" s="7">
        <v>3</v>
      </c>
      <c r="I47" s="7">
        <v>539.91</v>
      </c>
      <c r="J47" s="9">
        <v>1</v>
      </c>
      <c r="K47" s="9">
        <v>873</v>
      </c>
      <c r="L47" s="10">
        <v>4</v>
      </c>
      <c r="M47" s="11">
        <v>7351.92</v>
      </c>
      <c r="N47" s="11">
        <v>0</v>
      </c>
      <c r="O47" s="11">
        <v>0</v>
      </c>
      <c r="P47" s="1">
        <f t="shared" ref="P47:P52" si="16">I47*12+K47</f>
      </c>
      <c r="Q47" s="12">
        <v>3313.14</v>
      </c>
      <c r="R47" s="13">
        <f t="shared" si="5"/>
      </c>
      <c r="S47" s="14">
        <f t="shared" si="3"/>
      </c>
      <c r="T47" s="14">
        <f t="shared" si="1"/>
      </c>
      <c r="U47" s="7" t="s">
        <v>66</v>
      </c>
      <c r="V47" s="7">
        <v>2</v>
      </c>
      <c r="W47" s="15"/>
      <c r="X47" s="15"/>
      <c r="Y47" s="15"/>
      <c r="Z47" s="15"/>
      <c r="AA47" s="16">
        <v>12330</v>
      </c>
      <c r="AB47" s="16">
        <v>790</v>
      </c>
      <c r="AC47" s="16">
        <v>980</v>
      </c>
      <c r="AD47" s="16">
        <v>156</v>
      </c>
      <c r="AE47" s="15">
        <v>57</v>
      </c>
      <c r="AF47" s="7">
        <v>10</v>
      </c>
      <c r="AG47" s="7">
        <v>41</v>
      </c>
      <c r="AH47" s="7">
        <v>1</v>
      </c>
      <c r="AI47" s="17">
        <f t="shared" si="6"/>
      </c>
      <c r="AJ47" s="17">
        <f t="shared" si="4"/>
      </c>
      <c r="AK47" s="17">
        <f t="shared" si="7"/>
      </c>
      <c r="AL47" s="18">
        <f t="shared" si="2"/>
      </c>
      <c r="AM47" s="19">
        <f t="shared" si="0"/>
      </c>
      <c r="AN47" s="20"/>
    </row>
    <row r="48">
      <c r="A48" s="5">
        <v>46304</v>
      </c>
      <c r="B48" s="6" t="s">
        <v>39</v>
      </c>
      <c r="C48" s="6" t="s">
        <v>69</v>
      </c>
      <c r="D48" s="6">
        <v>4</v>
      </c>
      <c r="E48" s="7">
        <v>16</v>
      </c>
      <c r="F48" s="8">
        <v>5</v>
      </c>
      <c r="G48" s="7">
        <v>4</v>
      </c>
      <c r="H48" s="7">
        <v>5</v>
      </c>
      <c r="I48" s="7">
        <v>772.75</v>
      </c>
      <c r="J48" s="9">
        <v>0</v>
      </c>
      <c r="K48" s="9">
        <v>0</v>
      </c>
      <c r="L48" s="10">
        <v>5</v>
      </c>
      <c r="M48" s="11">
        <v>9273</v>
      </c>
      <c r="N48" s="11">
        <v>3</v>
      </c>
      <c r="O48" s="11">
        <v>687.0699999999999</v>
      </c>
      <c r="P48" s="1">
        <f t="shared" si="16"/>
      </c>
      <c r="Q48" s="12">
        <v>11706.27</v>
      </c>
      <c r="R48" s="13">
        <f t="shared" si="5"/>
      </c>
      <c r="S48" s="14">
        <f t="shared" si="3"/>
      </c>
      <c r="T48" s="14">
        <f t="shared" si="1"/>
      </c>
      <c r="U48" s="7"/>
      <c r="V48" s="7"/>
      <c r="W48" s="15"/>
      <c r="X48" s="15"/>
      <c r="Y48" s="15"/>
      <c r="Z48" s="15"/>
      <c r="AA48" s="16">
        <v>41211</v>
      </c>
      <c r="AB48" s="16">
        <v>2143</v>
      </c>
      <c r="AC48" s="16">
        <v>2736</v>
      </c>
      <c r="AD48" s="16">
        <v>581</v>
      </c>
      <c r="AE48" s="15">
        <v>184</v>
      </c>
      <c r="AF48" s="15">
        <v>31</v>
      </c>
      <c r="AG48" s="15">
        <v>259</v>
      </c>
      <c r="AH48" s="15">
        <v>5</v>
      </c>
      <c r="AI48" s="17">
        <f t="shared" si="6"/>
      </c>
      <c r="AJ48" s="17">
        <f t="shared" si="4"/>
      </c>
      <c r="AK48" s="17">
        <f t="shared" si="7"/>
      </c>
      <c r="AL48" s="18">
        <f t="shared" si="2"/>
      </c>
      <c r="AM48" s="19">
        <f t="shared" si="0"/>
      </c>
      <c r="AN48" s="20"/>
    </row>
    <row r="49">
      <c r="A49" s="5">
        <v>46304</v>
      </c>
      <c r="B49" s="6" t="s">
        <v>53</v>
      </c>
      <c r="C49" s="6" t="s">
        <v>70</v>
      </c>
      <c r="D49" s="6">
        <v>4</v>
      </c>
      <c r="E49" s="7">
        <v>22</v>
      </c>
      <c r="F49" s="8">
        <v>14</v>
      </c>
      <c r="G49" s="7">
        <v>12</v>
      </c>
      <c r="H49" s="7">
        <v>13</v>
      </c>
      <c r="I49" s="7">
        <v>1682.07</v>
      </c>
      <c r="J49" s="9">
        <v>1</v>
      </c>
      <c r="K49" s="9">
        <v>873</v>
      </c>
      <c r="L49" s="10">
        <v>14</v>
      </c>
      <c r="M49" s="11">
        <v>21057.84</v>
      </c>
      <c r="N49" s="11">
        <v>5</v>
      </c>
      <c r="O49" s="11">
        <v>919.9800000000001</v>
      </c>
      <c r="P49" s="1">
        <f t="shared" si="16"/>
      </c>
      <c r="Q49" s="21">
        <v>10241.11</v>
      </c>
      <c r="R49" s="13">
        <f t="shared" si="5"/>
      </c>
      <c r="S49" s="14">
        <f t="shared" si="3"/>
      </c>
      <c r="T49" s="14">
        <f t="shared" si="1"/>
      </c>
      <c r="U49" s="7" t="s">
        <v>68</v>
      </c>
      <c r="V49" s="7">
        <v>10</v>
      </c>
      <c r="W49" s="15"/>
      <c r="X49" s="15"/>
      <c r="Y49" s="15"/>
      <c r="Z49" s="7"/>
      <c r="AA49" s="22">
        <v>39236</v>
      </c>
      <c r="AB49" s="22">
        <v>1077</v>
      </c>
      <c r="AC49" s="22">
        <v>1367</v>
      </c>
      <c r="AD49" s="22">
        <v>349</v>
      </c>
      <c r="AE49" s="7">
        <v>194</v>
      </c>
      <c r="AF49" s="7">
        <v>28</v>
      </c>
      <c r="AG49" s="7">
        <v>412</v>
      </c>
      <c r="AH49" s="7">
        <v>5</v>
      </c>
      <c r="AI49" s="17">
        <f t="shared" si="6"/>
      </c>
      <c r="AJ49" s="17">
        <f t="shared" si="4"/>
      </c>
      <c r="AK49" s="17">
        <f t="shared" si="7"/>
      </c>
      <c r="AL49" s="18">
        <f t="shared" si="2"/>
      </c>
      <c r="AM49" s="19">
        <f t="shared" si="0"/>
      </c>
      <c r="AN49" s="20"/>
    </row>
    <row r="50">
      <c r="A50" s="5">
        <v>46304</v>
      </c>
      <c r="B50" s="6" t="s">
        <v>49</v>
      </c>
      <c r="C50" s="6" t="s">
        <v>71</v>
      </c>
      <c r="D50" s="6">
        <v>4</v>
      </c>
      <c r="E50" s="7">
        <v>9</v>
      </c>
      <c r="F50" s="8">
        <v>6</v>
      </c>
      <c r="G50" s="7">
        <v>4</v>
      </c>
      <c r="H50" s="7">
        <v>5</v>
      </c>
      <c r="I50" s="7">
        <v>888.4399999999999</v>
      </c>
      <c r="J50" s="9">
        <v>1</v>
      </c>
      <c r="K50" s="9">
        <v>1571.4</v>
      </c>
      <c r="L50" s="10">
        <v>6</v>
      </c>
      <c r="M50" s="11">
        <v>12232.679999999998</v>
      </c>
      <c r="N50" s="11">
        <v>1</v>
      </c>
      <c r="O50" s="11">
        <v>517.91</v>
      </c>
      <c r="P50" s="1">
        <f t="shared" si="16"/>
      </c>
      <c r="Q50" s="21">
        <v>11423.54</v>
      </c>
      <c r="R50" s="13">
        <f t="shared" si="5"/>
      </c>
      <c r="S50" s="14">
        <f t="shared" si="3"/>
      </c>
      <c r="T50" s="14">
        <f t="shared" si="1"/>
      </c>
      <c r="U50" s="7"/>
      <c r="V50" s="7"/>
      <c r="W50" s="15"/>
      <c r="X50" s="15"/>
      <c r="Y50" s="15" t="s">
        <v>45</v>
      </c>
      <c r="Z50" s="7">
        <v>20</v>
      </c>
      <c r="AA50" s="22">
        <v>47513</v>
      </c>
      <c r="AB50" s="22">
        <v>1436</v>
      </c>
      <c r="AC50" s="22">
        <v>1724</v>
      </c>
      <c r="AD50" s="22">
        <v>375</v>
      </c>
      <c r="AE50" s="7">
        <v>196</v>
      </c>
      <c r="AF50" s="7">
        <v>18</v>
      </c>
      <c r="AG50" s="7">
        <v>288</v>
      </c>
      <c r="AH50" s="7">
        <v>3</v>
      </c>
      <c r="AI50" s="17">
        <f t="shared" si="6"/>
      </c>
      <c r="AJ50" s="17">
        <f t="shared" si="4"/>
      </c>
      <c r="AK50" s="17">
        <f t="shared" si="7"/>
      </c>
      <c r="AL50" s="18">
        <f t="shared" si="2"/>
      </c>
      <c r="AM50" s="19">
        <f t="shared" si="0"/>
      </c>
      <c r="AN50" s="20"/>
    </row>
    <row r="51">
      <c r="A51" s="5">
        <v>46304</v>
      </c>
      <c r="B51" s="6" t="s">
        <v>42</v>
      </c>
      <c r="C51" s="6" t="s">
        <v>62</v>
      </c>
      <c r="D51" s="6">
        <v>4</v>
      </c>
      <c r="E51" s="7">
        <v>12</v>
      </c>
      <c r="F51" s="8">
        <v>9</v>
      </c>
      <c r="G51" s="7">
        <v>6</v>
      </c>
      <c r="H51" s="7">
        <v>8</v>
      </c>
      <c r="I51" s="7">
        <v>1496.76</v>
      </c>
      <c r="J51" s="9">
        <v>1</v>
      </c>
      <c r="K51" s="9">
        <v>2301</v>
      </c>
      <c r="L51" s="10">
        <v>9</v>
      </c>
      <c r="M51" s="11">
        <v>20262.12</v>
      </c>
      <c r="N51" s="11">
        <v>2</v>
      </c>
      <c r="O51" s="11">
        <v>969.95</v>
      </c>
      <c r="P51" s="1">
        <f t="shared" si="16"/>
      </c>
      <c r="Q51" s="21">
        <v>9008.619999999999</v>
      </c>
      <c r="R51" s="13">
        <f t="shared" si="5"/>
      </c>
      <c r="S51" s="14">
        <f t="shared" si="3"/>
      </c>
      <c r="T51" s="14">
        <f t="shared" si="1"/>
      </c>
      <c r="U51" s="7" t="s">
        <v>48</v>
      </c>
      <c r="V51" s="7">
        <v>8</v>
      </c>
      <c r="W51" s="15"/>
      <c r="X51" s="15"/>
      <c r="Y51" s="15"/>
      <c r="Z51" s="15"/>
      <c r="AA51" s="15">
        <v>50819</v>
      </c>
      <c r="AB51" s="15">
        <v>1415</v>
      </c>
      <c r="AC51" s="15">
        <v>1706</v>
      </c>
      <c r="AD51" s="15">
        <v>243</v>
      </c>
      <c r="AE51" s="15">
        <v>185</v>
      </c>
      <c r="AF51" s="15">
        <v>22</v>
      </c>
      <c r="AG51" s="15">
        <v>205</v>
      </c>
      <c r="AH51" s="7">
        <v>3</v>
      </c>
      <c r="AI51" s="17">
        <f t="shared" si="6"/>
      </c>
      <c r="AJ51" s="17">
        <f t="shared" si="4"/>
      </c>
      <c r="AK51" s="17">
        <f t="shared" si="7"/>
      </c>
      <c r="AL51" s="18">
        <f t="shared" si="2"/>
      </c>
      <c r="AM51" s="19">
        <f t="shared" si="0"/>
      </c>
      <c r="AN51" s="20"/>
    </row>
    <row r="52">
      <c r="A52" s="5">
        <v>46304</v>
      </c>
      <c r="B52" s="6" t="s">
        <v>46</v>
      </c>
      <c r="C52" s="6" t="s">
        <v>63</v>
      </c>
      <c r="D52" s="6">
        <v>2</v>
      </c>
      <c r="E52" s="7">
        <v>7</v>
      </c>
      <c r="F52" s="8">
        <v>5</v>
      </c>
      <c r="G52" s="7">
        <v>6</v>
      </c>
      <c r="H52" s="7">
        <v>4</v>
      </c>
      <c r="I52" s="7">
        <v>1339.81</v>
      </c>
      <c r="J52" s="9">
        <v>1</v>
      </c>
      <c r="K52" s="9">
        <v>520</v>
      </c>
      <c r="L52" s="10">
        <v>5</v>
      </c>
      <c r="M52" s="11">
        <v>16597.72</v>
      </c>
      <c r="N52" s="11">
        <v>4</v>
      </c>
      <c r="O52" s="11">
        <v>1437.21</v>
      </c>
      <c r="P52" s="1">
        <f t="shared" si="16"/>
      </c>
      <c r="Q52" s="21">
        <v>7438.48</v>
      </c>
      <c r="R52" s="13">
        <f t="shared" si="5"/>
      </c>
      <c r="S52" s="14">
        <f t="shared" si="3"/>
      </c>
      <c r="T52" s="14">
        <f t="shared" si="1"/>
      </c>
      <c r="U52" s="7"/>
      <c r="V52" s="7"/>
      <c r="W52" s="15"/>
      <c r="X52" s="15"/>
      <c r="Y52" s="15"/>
      <c r="Z52" s="15"/>
      <c r="AA52" s="7">
        <v>46365</v>
      </c>
      <c r="AB52" s="15">
        <v>1035</v>
      </c>
      <c r="AC52" s="15">
        <v>1108</v>
      </c>
      <c r="AD52" s="15">
        <v>147</v>
      </c>
      <c r="AE52" s="7">
        <v>142</v>
      </c>
      <c r="AF52" s="7">
        <v>19</v>
      </c>
      <c r="AG52" s="7">
        <v>149</v>
      </c>
      <c r="AH52" s="7">
        <v>0</v>
      </c>
      <c r="AI52" s="17">
        <f t="shared" si="6"/>
      </c>
      <c r="AJ52" s="17">
        <f t="shared" si="4"/>
      </c>
      <c r="AK52" s="17">
        <f t="shared" si="7"/>
      </c>
      <c r="AL52" s="18">
        <f t="shared" si="2"/>
      </c>
      <c r="AM52" s="19">
        <f t="shared" si="0"/>
      </c>
      <c r="AN52" s="20"/>
    </row>
    <row r="53">
      <c r="A53" s="23">
        <v>46304</v>
      </c>
      <c r="B53" s="24"/>
      <c r="C53" s="25" t="s">
        <v>67</v>
      </c>
      <c r="D53" s="24">
        <f>D52+D51+D50+D49+D48+D47</f>
      </c>
      <c r="E53" s="24">
        <f>E52+E51+E50+E49+E48+E47</f>
      </c>
      <c r="F53" s="24">
        <f>F52+F51+F50+F49+F48+F47</f>
      </c>
      <c r="G53" s="24">
        <f>G52+G51+G50+G49+G48+G47</f>
      </c>
      <c r="H53" s="24">
        <f>H52+H51+H50+H49+H48+H47</f>
      </c>
      <c r="I53" s="24">
        <f>I52+I51+I50+I49+I48+I47</f>
      </c>
      <c r="J53" s="24">
        <f>J52+J51+J50+J49+J48+J47</f>
      </c>
      <c r="K53" s="24">
        <f>K52+K51+K50+K49+K48+K47</f>
      </c>
      <c r="L53" s="24">
        <f>L52+L51+L50+L49+L48+L47</f>
      </c>
      <c r="M53" s="24">
        <f>M52+M51+M50+M49+M48+M47</f>
      </c>
      <c r="N53" s="24">
        <f>N52+N51+N50+N49+N48+N47</f>
      </c>
      <c r="O53" s="24">
        <f>O52+O51+O50+O49+O48+O47</f>
      </c>
      <c r="P53" s="24">
        <f>P52+P51+P50+P49+P48+P47</f>
      </c>
      <c r="Q53" s="24">
        <f>Q52+Q51+Q50+Q49+Q48+Q47</f>
      </c>
      <c r="R53" s="27">
        <f t="shared" si="5"/>
      </c>
      <c r="S53" s="27">
        <f t="shared" si="3"/>
      </c>
      <c r="T53" s="27">
        <f t="shared" si="1"/>
      </c>
      <c r="U53" s="28"/>
      <c r="V53" s="24">
        <f>V52+V51+V50+V49+V48+V47</f>
      </c>
      <c r="W53" s="24">
        <f>W52+W51+W50+W49+W48+W47</f>
      </c>
      <c r="X53" s="24">
        <f>X52+X51+X50+X49+X48+X47</f>
      </c>
      <c r="Y53" s="24"/>
      <c r="Z53" s="24">
        <f>Z52+Z51+Z50+Z49+Z48+Z47</f>
      </c>
      <c r="AA53" s="24">
        <f>AA52+AA51+AA50+AA49+AA48+AA47</f>
      </c>
      <c r="AB53" s="24">
        <f>AB52+AB51+AB50+AB49+AB48+AB47</f>
      </c>
      <c r="AC53" s="24">
        <f>AC52+AC51+AC50+AC49+AC48+AC47</f>
      </c>
      <c r="AD53" s="24">
        <f>AD52+AD51+AD50+AD49+AD48+AD47</f>
      </c>
      <c r="AE53" s="24">
        <f>AE52+AE51+AE50+AE49+AE48+AE47</f>
      </c>
      <c r="AF53" s="24">
        <f>AF52+AF51+AF50+AF49+AF48+AF47</f>
      </c>
      <c r="AG53" s="24">
        <f>AG52+AG51+AG50+AG49+AG48+AG47</f>
      </c>
      <c r="AH53" s="24">
        <f>AH52+AH51+AH50+AH49+AH48+AH47</f>
      </c>
      <c r="AI53" s="29">
        <f t="shared" si="6"/>
      </c>
      <c r="AJ53" s="29">
        <f t="shared" si="4"/>
      </c>
      <c r="AK53" s="29">
        <f t="shared" si="7"/>
      </c>
      <c r="AL53" s="29">
        <f t="shared" si="2"/>
      </c>
      <c r="AM53" s="30">
        <f t="shared" si="0"/>
      </c>
      <c r="AN53" s="29">
        <f>F53/AE53</f>
      </c>
    </row>
    <row r="54">
      <c r="A54" s="5">
        <v>46305</v>
      </c>
      <c r="B54" s="6" t="s">
        <v>46</v>
      </c>
      <c r="C54" s="6" t="s">
        <v>65</v>
      </c>
      <c r="D54" s="6">
        <v>2</v>
      </c>
      <c r="E54" s="7">
        <v>6</v>
      </c>
      <c r="F54" s="8">
        <v>4</v>
      </c>
      <c r="G54" s="7">
        <v>4</v>
      </c>
      <c r="H54" s="7">
        <v>4</v>
      </c>
      <c r="I54" s="7">
        <v>939.6500000000001</v>
      </c>
      <c r="J54" s="9">
        <v>0</v>
      </c>
      <c r="K54" s="9">
        <v>0</v>
      </c>
      <c r="L54" s="10">
        <v>4</v>
      </c>
      <c r="M54" s="11">
        <v>11275.800000000001</v>
      </c>
      <c r="N54" s="11">
        <v>2</v>
      </c>
      <c r="O54" s="11">
        <v>594.95</v>
      </c>
      <c r="P54" s="1">
        <f t="shared" ref="P54:P59" si="17">I54*12+K54</f>
      </c>
      <c r="Q54" s="12">
        <v>3964.79</v>
      </c>
      <c r="R54" s="13">
        <f t="shared" si="5"/>
      </c>
      <c r="S54" s="14">
        <f t="shared" si="3"/>
      </c>
      <c r="T54" s="14">
        <f t="shared" si="1"/>
      </c>
      <c r="U54" s="7" t="s">
        <v>66</v>
      </c>
      <c r="V54" s="7">
        <v>2</v>
      </c>
      <c r="W54" s="15"/>
      <c r="X54" s="15"/>
      <c r="Y54" s="15"/>
      <c r="Z54" s="15"/>
      <c r="AA54" s="16">
        <v>18879</v>
      </c>
      <c r="AB54" s="16">
        <v>994</v>
      </c>
      <c r="AC54" s="16">
        <v>1135</v>
      </c>
      <c r="AD54" s="16">
        <v>172</v>
      </c>
      <c r="AE54" s="15">
        <v>55</v>
      </c>
      <c r="AF54" s="7">
        <v>10</v>
      </c>
      <c r="AG54" s="7">
        <v>108</v>
      </c>
      <c r="AH54" s="7">
        <v>0</v>
      </c>
      <c r="AI54" s="17">
        <f t="shared" si="6"/>
      </c>
      <c r="AJ54" s="17">
        <f t="shared" si="4"/>
      </c>
      <c r="AK54" s="17">
        <f t="shared" si="7"/>
      </c>
      <c r="AL54" s="18">
        <f t="shared" si="2"/>
      </c>
      <c r="AM54" s="19">
        <f t="shared" si="0"/>
      </c>
      <c r="AN54" s="20"/>
    </row>
    <row r="55">
      <c r="A55" s="5">
        <v>46305</v>
      </c>
      <c r="B55" s="6" t="s">
        <v>53</v>
      </c>
      <c r="C55" s="6" t="s">
        <v>58</v>
      </c>
      <c r="D55" s="6">
        <v>5</v>
      </c>
      <c r="E55" s="7">
        <v>12</v>
      </c>
      <c r="F55" s="8">
        <v>11</v>
      </c>
      <c r="G55" s="7">
        <v>9</v>
      </c>
      <c r="H55" s="7">
        <v>11</v>
      </c>
      <c r="I55" s="7">
        <v>2681.8</v>
      </c>
      <c r="J55" s="9">
        <v>0</v>
      </c>
      <c r="K55" s="9">
        <v>0</v>
      </c>
      <c r="L55" s="10">
        <v>11</v>
      </c>
      <c r="M55" s="11">
        <v>32181.600000000002</v>
      </c>
      <c r="N55" s="11">
        <v>8</v>
      </c>
      <c r="O55" s="11">
        <v>2354.2900000000004</v>
      </c>
      <c r="P55" s="1">
        <f t="shared" si="17"/>
      </c>
      <c r="Q55" s="12">
        <v>16965.46</v>
      </c>
      <c r="R55" s="13">
        <f t="shared" si="5"/>
      </c>
      <c r="S55" s="14">
        <f t="shared" si="3"/>
      </c>
      <c r="T55" s="14">
        <f t="shared" si="1"/>
      </c>
      <c r="U55" s="7"/>
      <c r="V55" s="7"/>
      <c r="W55" s="15"/>
      <c r="X55" s="15"/>
      <c r="Y55" s="15"/>
      <c r="Z55" s="15"/>
      <c r="AA55" s="16">
        <v>64223</v>
      </c>
      <c r="AB55" s="16">
        <v>2739</v>
      </c>
      <c r="AC55" s="16">
        <v>3183</v>
      </c>
      <c r="AD55" s="16">
        <v>615</v>
      </c>
      <c r="AE55" s="15">
        <v>355</v>
      </c>
      <c r="AF55" s="15">
        <v>44</v>
      </c>
      <c r="AG55" s="15">
        <v>511</v>
      </c>
      <c r="AH55" s="15">
        <v>8</v>
      </c>
      <c r="AI55" s="17">
        <f t="shared" si="6"/>
      </c>
      <c r="AJ55" s="17">
        <f t="shared" si="4"/>
      </c>
      <c r="AK55" s="17">
        <f t="shared" si="7"/>
      </c>
      <c r="AL55" s="18">
        <f t="shared" si="2"/>
      </c>
      <c r="AM55" s="19">
        <f t="shared" si="0"/>
      </c>
      <c r="AN55" s="20"/>
    </row>
    <row r="56">
      <c r="A56" s="5">
        <v>46305</v>
      </c>
      <c r="B56" s="6" t="s">
        <v>42</v>
      </c>
      <c r="C56" s="6" t="s">
        <v>72</v>
      </c>
      <c r="D56" s="6">
        <v>4</v>
      </c>
      <c r="E56" s="7">
        <v>14</v>
      </c>
      <c r="F56" s="8">
        <v>10</v>
      </c>
      <c r="G56" s="7">
        <v>6</v>
      </c>
      <c r="H56" s="7">
        <v>10</v>
      </c>
      <c r="I56" s="7">
        <v>1492.1500000000003</v>
      </c>
      <c r="J56" s="9">
        <v>0</v>
      </c>
      <c r="K56" s="9">
        <v>0</v>
      </c>
      <c r="L56" s="10">
        <v>10</v>
      </c>
      <c r="M56" s="11">
        <v>17905.800000000003</v>
      </c>
      <c r="N56" s="11">
        <v>4</v>
      </c>
      <c r="O56" s="11">
        <v>1145.65</v>
      </c>
      <c r="P56" s="1">
        <f t="shared" si="17"/>
      </c>
      <c r="Q56" s="21">
        <v>11365.35</v>
      </c>
      <c r="R56" s="13">
        <f t="shared" si="5"/>
      </c>
      <c r="S56" s="14">
        <f t="shared" si="3"/>
      </c>
      <c r="T56" s="14">
        <f t="shared" si="1"/>
      </c>
      <c r="U56" s="7" t="s">
        <v>73</v>
      </c>
      <c r="V56" s="7">
        <v>10</v>
      </c>
      <c r="W56" s="15"/>
      <c r="X56" s="15"/>
      <c r="Y56" s="15"/>
      <c r="Z56" s="7"/>
      <c r="AA56" s="22">
        <v>47015</v>
      </c>
      <c r="AB56" s="22">
        <v>910</v>
      </c>
      <c r="AC56" s="22">
        <v>1068</v>
      </c>
      <c r="AD56" s="22">
        <v>298</v>
      </c>
      <c r="AE56" s="7">
        <v>195</v>
      </c>
      <c r="AF56" s="7">
        <v>20</v>
      </c>
      <c r="AG56" s="7">
        <v>221</v>
      </c>
      <c r="AH56" s="7">
        <v>6</v>
      </c>
      <c r="AI56" s="17">
        <f t="shared" si="6"/>
      </c>
      <c r="AJ56" s="17">
        <f t="shared" si="4"/>
      </c>
      <c r="AK56" s="17">
        <f t="shared" si="7"/>
      </c>
      <c r="AL56" s="18">
        <f t="shared" si="2"/>
      </c>
      <c r="AM56" s="19">
        <f t="shared" si="0"/>
      </c>
      <c r="AN56" s="20"/>
    </row>
    <row r="57">
      <c r="A57" s="5">
        <v>46305</v>
      </c>
      <c r="B57" s="6" t="s">
        <v>39</v>
      </c>
      <c r="C57" s="6" t="s">
        <v>74</v>
      </c>
      <c r="D57" s="6">
        <v>5</v>
      </c>
      <c r="E57" s="7">
        <v>12</v>
      </c>
      <c r="F57" s="8">
        <v>7</v>
      </c>
      <c r="G57" s="7">
        <v>7</v>
      </c>
      <c r="H57" s="7">
        <v>6</v>
      </c>
      <c r="I57" s="7">
        <v>1188.44</v>
      </c>
      <c r="J57" s="9">
        <v>1</v>
      </c>
      <c r="K57" s="9">
        <v>2207.45</v>
      </c>
      <c r="L57" s="10">
        <v>7</v>
      </c>
      <c r="M57" s="11">
        <v>16468.73</v>
      </c>
      <c r="N57" s="11">
        <v>4</v>
      </c>
      <c r="O57" s="11">
        <v>3214.63</v>
      </c>
      <c r="P57" s="1">
        <f t="shared" si="17"/>
      </c>
      <c r="Q57" s="21">
        <v>14682.29</v>
      </c>
      <c r="R57" s="13">
        <f t="shared" si="5"/>
      </c>
      <c r="S57" s="14">
        <f t="shared" si="3"/>
      </c>
      <c r="T57" s="14">
        <f t="shared" si="1"/>
      </c>
      <c r="U57" s="7"/>
      <c r="V57" s="7"/>
      <c r="W57" s="15"/>
      <c r="X57" s="15"/>
      <c r="Y57" s="15" t="s">
        <v>45</v>
      </c>
      <c r="Z57" s="7">
        <v>20</v>
      </c>
      <c r="AA57" s="22">
        <v>93367</v>
      </c>
      <c r="AB57" s="22">
        <v>2469</v>
      </c>
      <c r="AC57" s="22">
        <v>3301</v>
      </c>
      <c r="AD57" s="22">
        <v>708</v>
      </c>
      <c r="AE57" s="7">
        <v>252</v>
      </c>
      <c r="AF57" s="7">
        <v>27</v>
      </c>
      <c r="AG57" s="7">
        <v>299</v>
      </c>
      <c r="AH57" s="7">
        <v>2</v>
      </c>
      <c r="AI57" s="17">
        <f t="shared" si="6"/>
      </c>
      <c r="AJ57" s="17">
        <f t="shared" si="4"/>
      </c>
      <c r="AK57" s="17">
        <f t="shared" si="7"/>
      </c>
      <c r="AL57" s="18">
        <f t="shared" si="2"/>
      </c>
      <c r="AM57" s="19">
        <f t="shared" si="0"/>
      </c>
      <c r="AN57" s="20"/>
    </row>
    <row r="58">
      <c r="A58" s="5">
        <v>46305</v>
      </c>
      <c r="B58" s="6" t="s">
        <v>60</v>
      </c>
      <c r="C58" s="6" t="s">
        <v>75</v>
      </c>
      <c r="D58" s="6">
        <v>2</v>
      </c>
      <c r="E58" s="7">
        <v>11</v>
      </c>
      <c r="F58" s="8">
        <v>7</v>
      </c>
      <c r="G58" s="7">
        <v>6</v>
      </c>
      <c r="H58" s="7">
        <v>5</v>
      </c>
      <c r="I58" s="7">
        <v>611.85</v>
      </c>
      <c r="J58" s="9">
        <v>2</v>
      </c>
      <c r="K58" s="9">
        <v>1366</v>
      </c>
      <c r="L58" s="10">
        <v>7</v>
      </c>
      <c r="M58" s="11">
        <v>8708.2</v>
      </c>
      <c r="N58" s="11">
        <v>3</v>
      </c>
      <c r="O58" s="11">
        <v>471.81</v>
      </c>
      <c r="P58" s="1">
        <f t="shared" si="17"/>
      </c>
      <c r="Q58" s="21">
        <v>6536.42</v>
      </c>
      <c r="R58" s="13">
        <f t="shared" si="5"/>
      </c>
      <c r="S58" s="14">
        <f t="shared" si="3"/>
      </c>
      <c r="T58" s="14">
        <f t="shared" si="1"/>
      </c>
      <c r="U58" s="7" t="s">
        <v>48</v>
      </c>
      <c r="V58" s="7">
        <v>8</v>
      </c>
      <c r="W58" s="15"/>
      <c r="X58" s="15"/>
      <c r="Y58" s="15"/>
      <c r="Z58" s="15"/>
      <c r="AA58" s="15">
        <v>42589</v>
      </c>
      <c r="AB58" s="15">
        <v>926</v>
      </c>
      <c r="AC58" s="15">
        <v>1262</v>
      </c>
      <c r="AD58" s="15">
        <v>324</v>
      </c>
      <c r="AE58" s="15">
        <v>127</v>
      </c>
      <c r="AF58" s="15">
        <v>12</v>
      </c>
      <c r="AG58" s="15">
        <v>190</v>
      </c>
      <c r="AH58" s="7">
        <v>1</v>
      </c>
      <c r="AI58" s="17">
        <f t="shared" si="6"/>
      </c>
      <c r="AJ58" s="17">
        <f t="shared" si="4"/>
      </c>
      <c r="AK58" s="17">
        <f t="shared" si="7"/>
      </c>
      <c r="AL58" s="18">
        <f t="shared" si="2"/>
      </c>
      <c r="AM58" s="19">
        <f t="shared" si="0"/>
      </c>
      <c r="AN58" s="20"/>
    </row>
    <row r="59">
      <c r="A59" s="5">
        <v>46305</v>
      </c>
      <c r="B59" s="6" t="s">
        <v>52</v>
      </c>
      <c r="C59" s="6" t="s">
        <v>63</v>
      </c>
      <c r="D59" s="6">
        <v>2</v>
      </c>
      <c r="E59" s="7">
        <v>11</v>
      </c>
      <c r="F59" s="8">
        <v>6</v>
      </c>
      <c r="G59" s="7">
        <v>4</v>
      </c>
      <c r="H59" s="7">
        <v>6</v>
      </c>
      <c r="I59" s="7">
        <v>634.06</v>
      </c>
      <c r="J59" s="9">
        <v>0</v>
      </c>
      <c r="K59" s="9">
        <v>0</v>
      </c>
      <c r="L59" s="10">
        <v>6</v>
      </c>
      <c r="M59" s="11">
        <v>7608.719999999999</v>
      </c>
      <c r="N59" s="11">
        <v>1</v>
      </c>
      <c r="O59" s="11">
        <v>161.92</v>
      </c>
      <c r="P59" s="1">
        <f t="shared" si="17"/>
      </c>
      <c r="Q59" s="21">
        <v>6225.19</v>
      </c>
      <c r="R59" s="13">
        <f t="shared" si="5"/>
      </c>
      <c r="S59" s="14">
        <f t="shared" si="3"/>
      </c>
      <c r="T59" s="14">
        <f t="shared" si="1"/>
      </c>
      <c r="U59" s="7"/>
      <c r="V59" s="7"/>
      <c r="W59" s="15"/>
      <c r="X59" s="15"/>
      <c r="Y59" s="15"/>
      <c r="Z59" s="15"/>
      <c r="AA59" s="7">
        <v>36258</v>
      </c>
      <c r="AB59" s="15">
        <v>1265</v>
      </c>
      <c r="AC59" s="15">
        <v>1591</v>
      </c>
      <c r="AD59" s="15">
        <v>252</v>
      </c>
      <c r="AE59" s="7">
        <v>123</v>
      </c>
      <c r="AF59" s="7">
        <v>11</v>
      </c>
      <c r="AG59" s="7">
        <v>148</v>
      </c>
      <c r="AH59" s="7">
        <v>6</v>
      </c>
      <c r="AI59" s="17">
        <f t="shared" si="6"/>
      </c>
      <c r="AJ59" s="17">
        <f t="shared" si="4"/>
      </c>
      <c r="AK59" s="17">
        <f t="shared" si="7"/>
      </c>
      <c r="AL59" s="18">
        <f t="shared" si="2"/>
      </c>
      <c r="AM59" s="19">
        <f t="shared" si="0"/>
      </c>
      <c r="AN59" s="20"/>
    </row>
    <row r="60">
      <c r="A60" s="23">
        <v>46305</v>
      </c>
      <c r="B60" s="24"/>
      <c r="C60" s="25" t="s">
        <v>67</v>
      </c>
      <c r="D60" s="24">
        <f>D59+D58+D57+D56+D55+D54</f>
      </c>
      <c r="E60" s="24">
        <f>E59+E58+E57+E56+E55+E54</f>
      </c>
      <c r="F60" s="24">
        <f>F59+F58+F57+F56+F55+F54</f>
      </c>
      <c r="G60" s="24">
        <f>G59+G58+G57+G56+G55+G54</f>
      </c>
      <c r="H60" s="24">
        <f>H59+H58+H57+H56+H55+H54</f>
      </c>
      <c r="I60" s="24">
        <f>I59+I58+I57+I56+I55+I54</f>
      </c>
      <c r="J60" s="24">
        <f>J59+J58+J57+J56+J55+J54</f>
      </c>
      <c r="K60" s="24">
        <f>K59+K58+K57+K56+K55+K54</f>
      </c>
      <c r="L60" s="24">
        <f>L59+L58+L57+L56+L55+L54</f>
      </c>
      <c r="M60" s="24">
        <f>M59+M58+M57+M56+M55+M54</f>
      </c>
      <c r="N60" s="24">
        <f>N59+N58+N57+N56+N55+N54</f>
      </c>
      <c r="O60" s="24">
        <f>O59+O58+O57+O56+O55+O54</f>
      </c>
      <c r="P60" s="24">
        <f>P59+P58+P57+P56+P55+P54</f>
      </c>
      <c r="Q60" s="24">
        <f>Q59+Q58+Q57+Q56+Q55+Q54</f>
      </c>
      <c r="R60" s="27">
        <f t="shared" si="5"/>
      </c>
      <c r="S60" s="27">
        <f t="shared" si="3"/>
      </c>
      <c r="T60" s="27">
        <f t="shared" si="1"/>
      </c>
      <c r="U60" s="28"/>
      <c r="V60" s="24">
        <f>V59+V58+V57+V56+V55+V54</f>
      </c>
      <c r="W60" s="24">
        <f>W59+W58+W57+W56+W55+W54</f>
      </c>
      <c r="X60" s="24">
        <f>X59+X58+X57+X56+X55+X54</f>
      </c>
      <c r="Y60" s="24"/>
      <c r="Z60" s="24">
        <f>Z59+Z58+Z57+Z56+Z55+Z54</f>
      </c>
      <c r="AA60" s="24">
        <f>AA59+AA58+AA57+AA56+AA55+AA54</f>
      </c>
      <c r="AB60" s="24">
        <f>AB59+AB58+AB57+AB56+AB55+AB54</f>
      </c>
      <c r="AC60" s="24">
        <f>AC59+AC58+AC57+AC56+AC55+AC54</f>
      </c>
      <c r="AD60" s="24">
        <f>AD59+AD58+AD57+AD56+AD55+AD54</f>
      </c>
      <c r="AE60" s="24">
        <f>AE59+AE58+AE57+AE56+AE55+AE54</f>
      </c>
      <c r="AF60" s="24">
        <f>AF59+AF58+AF57+AF56+AF55+AF54</f>
      </c>
      <c r="AG60" s="24">
        <f>AG59+AG58+AG57+AG56+AG55+AG54</f>
      </c>
      <c r="AH60" s="24">
        <f>AH59+AH58+AH57+AH56+AH55+AH54</f>
      </c>
      <c r="AI60" s="29">
        <f t="shared" si="6"/>
      </c>
      <c r="AJ60" s="29">
        <f t="shared" si="4"/>
      </c>
      <c r="AK60" s="29">
        <f t="shared" si="7"/>
      </c>
      <c r="AL60" s="29">
        <f t="shared" si="2"/>
      </c>
      <c r="AM60" s="30">
        <f t="shared" si="0"/>
      </c>
      <c r="AN60" s="29">
        <f>F60/AE60</f>
      </c>
    </row>
    <row r="61">
      <c r="A61" s="31">
        <v>46306</v>
      </c>
      <c r="B61" s="6" t="s">
        <v>52</v>
      </c>
      <c r="C61" s="6" t="s">
        <v>65</v>
      </c>
      <c r="D61" s="6">
        <v>2</v>
      </c>
      <c r="E61" s="7">
        <v>10</v>
      </c>
      <c r="F61" s="8">
        <v>7</v>
      </c>
      <c r="G61" s="7">
        <v>5</v>
      </c>
      <c r="H61" s="7">
        <v>7</v>
      </c>
      <c r="I61" s="7">
        <v>795.33</v>
      </c>
      <c r="J61" s="9">
        <v>0</v>
      </c>
      <c r="K61" s="9">
        <v>0</v>
      </c>
      <c r="L61" s="10">
        <v>7</v>
      </c>
      <c r="M61" s="11">
        <v>9543.960000000001</v>
      </c>
      <c r="N61" s="11">
        <v>2</v>
      </c>
      <c r="O61" s="11">
        <v>404.21000000000004</v>
      </c>
      <c r="P61" s="1">
        <f t="shared" ref="P61:P66" si="18">I61*12+K61</f>
      </c>
      <c r="Q61" s="12">
        <v>3795.8499999999995</v>
      </c>
      <c r="R61" s="13">
        <f t="shared" si="5"/>
      </c>
      <c r="S61" s="14">
        <f t="shared" si="3"/>
      </c>
      <c r="T61" s="14">
        <f t="shared" si="1"/>
      </c>
      <c r="U61" s="7" t="s">
        <v>66</v>
      </c>
      <c r="V61" s="7">
        <v>2</v>
      </c>
      <c r="W61" s="15"/>
      <c r="X61" s="15"/>
      <c r="Y61" s="15"/>
      <c r="Z61" s="15"/>
      <c r="AA61" s="16">
        <v>14875</v>
      </c>
      <c r="AB61" s="16">
        <v>1097</v>
      </c>
      <c r="AC61" s="16">
        <v>1444</v>
      </c>
      <c r="AD61" s="16">
        <v>221</v>
      </c>
      <c r="AE61" s="15">
        <v>76</v>
      </c>
      <c r="AF61" s="7">
        <v>19</v>
      </c>
      <c r="AG61" s="7">
        <v>113</v>
      </c>
      <c r="AH61" s="7">
        <v>0</v>
      </c>
      <c r="AI61" s="17">
        <f t="shared" si="6"/>
      </c>
      <c r="AJ61" s="17">
        <f t="shared" si="4"/>
      </c>
      <c r="AK61" s="17">
        <f t="shared" si="7"/>
      </c>
      <c r="AL61" s="18">
        <f t="shared" si="2"/>
      </c>
      <c r="AM61" s="19">
        <f t="shared" si="0"/>
      </c>
      <c r="AN61" s="20"/>
    </row>
    <row r="62">
      <c r="A62" s="31">
        <v>46306</v>
      </c>
      <c r="B62" s="6" t="s">
        <v>39</v>
      </c>
      <c r="C62" s="6" t="s">
        <v>69</v>
      </c>
      <c r="D62" s="6">
        <v>4</v>
      </c>
      <c r="E62" s="7">
        <v>8</v>
      </c>
      <c r="F62" s="8">
        <v>6</v>
      </c>
      <c r="G62" s="7">
        <v>5</v>
      </c>
      <c r="H62" s="7">
        <v>6</v>
      </c>
      <c r="I62" s="7">
        <v>1062.75</v>
      </c>
      <c r="J62" s="9">
        <v>0</v>
      </c>
      <c r="K62" s="9">
        <v>0</v>
      </c>
      <c r="L62" s="10">
        <v>6</v>
      </c>
      <c r="M62" s="11">
        <v>12753</v>
      </c>
      <c r="N62" s="11">
        <v>4</v>
      </c>
      <c r="O62" s="11">
        <v>942.96</v>
      </c>
      <c r="P62" s="1">
        <f t="shared" si="18"/>
      </c>
      <c r="Q62" s="12">
        <v>11455.19</v>
      </c>
      <c r="R62" s="13">
        <f t="shared" si="5"/>
      </c>
      <c r="S62" s="14">
        <f t="shared" si="3"/>
      </c>
      <c r="T62" s="14">
        <f t="shared" si="1"/>
      </c>
      <c r="U62" s="7"/>
      <c r="V62" s="7"/>
      <c r="W62" s="15"/>
      <c r="X62" s="15"/>
      <c r="Y62" s="15"/>
      <c r="Z62" s="15"/>
      <c r="AA62" s="16">
        <v>50271</v>
      </c>
      <c r="AB62" s="16">
        <v>2731</v>
      </c>
      <c r="AC62" s="16">
        <v>3268</v>
      </c>
      <c r="AD62" s="16">
        <v>447</v>
      </c>
      <c r="AE62" s="15">
        <v>205</v>
      </c>
      <c r="AF62" s="15">
        <v>25</v>
      </c>
      <c r="AG62" s="15">
        <v>203</v>
      </c>
      <c r="AH62" s="15">
        <v>4</v>
      </c>
      <c r="AI62" s="17">
        <f t="shared" si="6"/>
      </c>
      <c r="AJ62" s="17">
        <f t="shared" si="4"/>
      </c>
      <c r="AK62" s="17">
        <f t="shared" si="7"/>
      </c>
      <c r="AL62" s="18">
        <f t="shared" si="2"/>
      </c>
      <c r="AM62" s="19">
        <f t="shared" si="0"/>
      </c>
      <c r="AN62" s="20"/>
    </row>
    <row r="63">
      <c r="A63" s="31">
        <v>46306</v>
      </c>
      <c r="B63" s="6" t="s">
        <v>53</v>
      </c>
      <c r="C63" s="6" t="s">
        <v>70</v>
      </c>
      <c r="D63" s="6">
        <v>4</v>
      </c>
      <c r="E63" s="7">
        <v>13</v>
      </c>
      <c r="F63" s="8">
        <v>9</v>
      </c>
      <c r="G63" s="7">
        <v>7</v>
      </c>
      <c r="H63" s="7">
        <v>9</v>
      </c>
      <c r="I63" s="7">
        <v>1338.6200000000001</v>
      </c>
      <c r="J63" s="9">
        <v>0</v>
      </c>
      <c r="K63" s="9">
        <v>0</v>
      </c>
      <c r="L63" s="10">
        <v>9</v>
      </c>
      <c r="M63" s="11">
        <v>1338.6200000000001</v>
      </c>
      <c r="N63" s="11">
        <v>5</v>
      </c>
      <c r="O63" s="11">
        <v>1050.98</v>
      </c>
      <c r="P63" s="1">
        <f t="shared" si="18"/>
      </c>
      <c r="Q63" s="21">
        <v>10089.67</v>
      </c>
      <c r="R63" s="13">
        <f t="shared" si="5"/>
      </c>
      <c r="S63" s="14">
        <f t="shared" si="3"/>
      </c>
      <c r="T63" s="14">
        <f t="shared" si="1"/>
      </c>
      <c r="U63" s="7" t="s">
        <v>73</v>
      </c>
      <c r="V63" s="7">
        <v>10</v>
      </c>
      <c r="W63" s="15"/>
      <c r="X63" s="15"/>
      <c r="Y63" s="15"/>
      <c r="Z63" s="7"/>
      <c r="AA63" s="22">
        <v>41418</v>
      </c>
      <c r="AB63" s="22">
        <v>896</v>
      </c>
      <c r="AC63" s="22">
        <v>917</v>
      </c>
      <c r="AD63" s="22">
        <v>148</v>
      </c>
      <c r="AE63" s="7">
        <v>144</v>
      </c>
      <c r="AF63" s="7">
        <v>13</v>
      </c>
      <c r="AG63" s="7">
        <v>308</v>
      </c>
      <c r="AH63" s="7">
        <v>1</v>
      </c>
      <c r="AI63" s="17">
        <f t="shared" si="6"/>
      </c>
      <c r="AJ63" s="17">
        <f t="shared" si="4"/>
      </c>
      <c r="AK63" s="17">
        <f t="shared" si="7"/>
      </c>
      <c r="AL63" s="18">
        <f t="shared" si="2"/>
      </c>
      <c r="AM63" s="19">
        <f t="shared" si="0"/>
      </c>
      <c r="AN63" s="20"/>
    </row>
    <row r="64">
      <c r="A64" s="31">
        <v>46306</v>
      </c>
      <c r="B64" s="6" t="s">
        <v>49</v>
      </c>
      <c r="C64" s="6" t="s">
        <v>71</v>
      </c>
      <c r="D64" s="6">
        <v>4</v>
      </c>
      <c r="E64" s="7">
        <v>14</v>
      </c>
      <c r="F64" s="8">
        <v>12</v>
      </c>
      <c r="G64" s="7">
        <v>9</v>
      </c>
      <c r="H64" s="7">
        <v>10</v>
      </c>
      <c r="I64" s="7">
        <v>1595.28</v>
      </c>
      <c r="J64" s="9">
        <v>2</v>
      </c>
      <c r="K64" s="9">
        <v>1920.4</v>
      </c>
      <c r="L64" s="10">
        <v>12</v>
      </c>
      <c r="M64" s="11">
        <v>21063.760000000002</v>
      </c>
      <c r="N64" s="11">
        <v>7</v>
      </c>
      <c r="O64" s="11">
        <v>2699.94</v>
      </c>
      <c r="P64" s="1">
        <f t="shared" si="18"/>
      </c>
      <c r="Q64" s="21">
        <v>9963.52</v>
      </c>
      <c r="R64" s="13">
        <f t="shared" si="5"/>
      </c>
      <c r="S64" s="14">
        <f t="shared" si="3"/>
      </c>
      <c r="T64" s="14">
        <f t="shared" si="1"/>
      </c>
      <c r="U64" s="7"/>
      <c r="V64" s="7"/>
      <c r="W64" s="15"/>
      <c r="X64" s="15"/>
      <c r="Y64" s="15" t="s">
        <v>45</v>
      </c>
      <c r="Z64" s="7">
        <v>20</v>
      </c>
      <c r="AA64" s="22">
        <v>43752</v>
      </c>
      <c r="AB64" s="22">
        <v>1070</v>
      </c>
      <c r="AC64" s="22">
        <v>1121</v>
      </c>
      <c r="AD64" s="22">
        <v>188</v>
      </c>
      <c r="AE64" s="7">
        <v>208</v>
      </c>
      <c r="AF64" s="7">
        <v>18</v>
      </c>
      <c r="AG64" s="7">
        <v>241</v>
      </c>
      <c r="AH64" s="7">
        <v>3</v>
      </c>
      <c r="AI64" s="17">
        <f t="shared" si="6"/>
      </c>
      <c r="AJ64" s="17">
        <f t="shared" si="4"/>
      </c>
      <c r="AK64" s="17">
        <f t="shared" si="7"/>
      </c>
      <c r="AL64" s="18">
        <f t="shared" si="2"/>
      </c>
      <c r="AM64" s="19">
        <f t="shared" si="0"/>
      </c>
      <c r="AN64" s="20"/>
    </row>
    <row r="65">
      <c r="A65" s="31">
        <v>46306</v>
      </c>
      <c r="B65" s="6" t="s">
        <v>46</v>
      </c>
      <c r="C65" s="6" t="s">
        <v>62</v>
      </c>
      <c r="D65" s="6">
        <v>4</v>
      </c>
      <c r="E65" s="7">
        <v>11</v>
      </c>
      <c r="F65" s="8">
        <v>6</v>
      </c>
      <c r="G65" s="7">
        <v>5</v>
      </c>
      <c r="H65" s="7">
        <v>6</v>
      </c>
      <c r="I65" s="7">
        <v>1581.1799999999998</v>
      </c>
      <c r="J65" s="9">
        <v>0</v>
      </c>
      <c r="K65" s="9">
        <v>0</v>
      </c>
      <c r="L65" s="10">
        <v>6</v>
      </c>
      <c r="M65" s="11">
        <v>18974.159999999996</v>
      </c>
      <c r="N65" s="11">
        <v>2</v>
      </c>
      <c r="O65" s="11">
        <v>1076.6399999999999</v>
      </c>
      <c r="P65" s="1">
        <f t="shared" si="18"/>
      </c>
      <c r="Q65" s="21">
        <v>9571.09</v>
      </c>
      <c r="R65" s="13">
        <f t="shared" si="5"/>
      </c>
      <c r="S65" s="14">
        <f t="shared" si="3"/>
      </c>
      <c r="T65" s="14">
        <f t="shared" si="1"/>
      </c>
      <c r="U65" s="7" t="s">
        <v>48</v>
      </c>
      <c r="V65" s="7">
        <v>8</v>
      </c>
      <c r="W65" s="15"/>
      <c r="X65" s="15"/>
      <c r="Y65" s="15"/>
      <c r="Z65" s="15"/>
      <c r="AA65" s="15">
        <v>51561</v>
      </c>
      <c r="AB65" s="15">
        <v>1042</v>
      </c>
      <c r="AC65" s="15">
        <v>1061</v>
      </c>
      <c r="AD65" s="15">
        <v>157</v>
      </c>
      <c r="AE65" s="15">
        <v>185</v>
      </c>
      <c r="AF65" s="15">
        <v>11</v>
      </c>
      <c r="AG65" s="15">
        <v>224</v>
      </c>
      <c r="AH65" s="7">
        <v>6</v>
      </c>
      <c r="AI65" s="17">
        <f t="shared" si="6"/>
      </c>
      <c r="AJ65" s="17">
        <f t="shared" si="4"/>
      </c>
      <c r="AK65" s="17">
        <f t="shared" si="7"/>
      </c>
      <c r="AL65" s="18">
        <f t="shared" si="2"/>
      </c>
      <c r="AM65" s="19">
        <f t="shared" si="0"/>
      </c>
      <c r="AN65" s="20"/>
    </row>
    <row r="66">
      <c r="A66" s="31">
        <v>46306</v>
      </c>
      <c r="B66" s="6" t="s">
        <v>52</v>
      </c>
      <c r="C66" s="6" t="s">
        <v>63</v>
      </c>
      <c r="D66" s="6">
        <v>2</v>
      </c>
      <c r="E66" s="7">
        <v>8</v>
      </c>
      <c r="F66" s="8">
        <v>4</v>
      </c>
      <c r="G66" s="7">
        <v>3</v>
      </c>
      <c r="H66" s="7">
        <v>4</v>
      </c>
      <c r="I66" s="7">
        <v>1524.54</v>
      </c>
      <c r="J66" s="9">
        <v>0</v>
      </c>
      <c r="K66" s="9">
        <v>0</v>
      </c>
      <c r="L66" s="10">
        <v>4</v>
      </c>
      <c r="M66" s="11">
        <v>18294.48</v>
      </c>
      <c r="N66" s="11">
        <v>2</v>
      </c>
      <c r="O66" s="11">
        <v>1412.03</v>
      </c>
      <c r="P66" s="1">
        <f t="shared" si="18"/>
      </c>
      <c r="Q66" s="21">
        <v>8123.37</v>
      </c>
      <c r="R66" s="13">
        <f t="shared" si="5"/>
      </c>
      <c r="S66" s="14">
        <f t="shared" si="3"/>
      </c>
      <c r="T66" s="14">
        <f t="shared" si="1"/>
      </c>
      <c r="U66" s="7"/>
      <c r="V66" s="7"/>
      <c r="W66" s="15"/>
      <c r="X66" s="15"/>
      <c r="Y66" s="15"/>
      <c r="Z66" s="15"/>
      <c r="AA66" s="7">
        <v>29614</v>
      </c>
      <c r="AB66" s="15">
        <v>1926</v>
      </c>
      <c r="AC66" s="15">
        <v>2760</v>
      </c>
      <c r="AD66" s="15">
        <v>461</v>
      </c>
      <c r="AE66" s="7">
        <v>132</v>
      </c>
      <c r="AF66" s="7">
        <v>26</v>
      </c>
      <c r="AG66" s="7">
        <v>176</v>
      </c>
      <c r="AH66" s="7">
        <v>3</v>
      </c>
      <c r="AI66" s="17">
        <f t="shared" si="6"/>
      </c>
      <c r="AJ66" s="17">
        <f t="shared" si="4"/>
      </c>
      <c r="AK66" s="17">
        <f t="shared" si="7"/>
      </c>
      <c r="AL66" s="18">
        <f t="shared" si="2"/>
      </c>
      <c r="AM66" s="19">
        <f t="shared" si="0"/>
      </c>
      <c r="AN66" s="20"/>
    </row>
    <row r="67">
      <c r="A67" s="23">
        <v>46306</v>
      </c>
      <c r="B67" s="24"/>
      <c r="C67" s="25" t="s">
        <v>67</v>
      </c>
      <c r="D67" s="24">
        <f>D66+D65+D64+D63+D62+D61</f>
      </c>
      <c r="E67" s="24">
        <f>E66+E65+E64+E63+E62+E61</f>
      </c>
      <c r="F67" s="24">
        <f>F66+F65+F64+F63+F62+F61</f>
      </c>
      <c r="G67" s="24">
        <f>G66+G65+G64+G63+G62+G61</f>
      </c>
      <c r="H67" s="24">
        <f>H66+H65+H64+H63+H62+H61</f>
      </c>
      <c r="I67" s="24">
        <f>I66+I65+I64+I63+I62+I61</f>
      </c>
      <c r="J67" s="24">
        <f>J66+J65+J64+J63+J62+J61</f>
      </c>
      <c r="K67" s="24">
        <f>K66+K65+K64+K63+K62+K61</f>
      </c>
      <c r="L67" s="24">
        <f>L66+L65+L64+L63+L62+L61</f>
      </c>
      <c r="M67" s="24">
        <f>M66+M65+M64+M63+M62+M61</f>
      </c>
      <c r="N67" s="24">
        <f>N66+N65+N64+N63+N62+N61</f>
      </c>
      <c r="O67" s="24">
        <f>O66+O65+O64+O63+O62+O61</f>
      </c>
      <c r="P67" s="24">
        <f>P66+P65+P64+P63+P62+P61</f>
      </c>
      <c r="Q67" s="24">
        <f>Q66+Q65+Q64+Q63+Q62+Q61</f>
      </c>
      <c r="R67" s="27">
        <f t="shared" si="5"/>
      </c>
      <c r="S67" s="27">
        <f t="shared" si="3"/>
      </c>
      <c r="T67" s="27">
        <f t="shared" si="1"/>
      </c>
      <c r="U67" s="28"/>
      <c r="V67" s="24">
        <f>V66+V65+V64+V63+V62+V61</f>
      </c>
      <c r="W67" s="24">
        <f>W66+W65+W64+W63+W62+W61</f>
      </c>
      <c r="X67" s="24">
        <f>X66+X65+X64+X63+X62+X61</f>
      </c>
      <c r="Y67" s="24"/>
      <c r="Z67" s="24">
        <f>Z66+Z65+Z64+Z63+Z62+Z61</f>
      </c>
      <c r="AA67" s="24">
        <f>AA66+AA65+AA64+AA63+AA62+AA61</f>
      </c>
      <c r="AB67" s="24">
        <f>AB66+AB65+AB64+AB63+AB62+AB61</f>
      </c>
      <c r="AC67" s="24">
        <f>AC66+AC65+AC64+AC63+AC62+AC61</f>
      </c>
      <c r="AD67" s="24">
        <f>AD66+AD65+AD64+AD63+AD62+AD61</f>
      </c>
      <c r="AE67" s="24">
        <f>AE66+AE65+AE64+AE63+AE62+AE61</f>
      </c>
      <c r="AF67" s="24">
        <f>AF66+AF65+AF64+AF63+AF62+AF61</f>
      </c>
      <c r="AG67" s="24">
        <f>AG66+AG65+AG64+AG63+AG62+AG61</f>
      </c>
      <c r="AH67" s="24">
        <f>AH66+AH65+AH64+AH63+AH62+AH61</f>
      </c>
      <c r="AI67" s="29">
        <f t="shared" si="6"/>
      </c>
      <c r="AJ67" s="29">
        <f t="shared" si="4"/>
      </c>
      <c r="AK67" s="29">
        <f t="shared" si="7"/>
      </c>
      <c r="AL67" s="29">
        <f t="shared" si="2"/>
      </c>
      <c r="AM67" s="30">
        <f t="shared" si="0"/>
      </c>
      <c r="AN67" s="29">
        <f>F67/AE67</f>
      </c>
    </row>
    <row r="68">
      <c r="A68" s="5">
        <v>46307</v>
      </c>
      <c r="B68" s="6" t="s">
        <v>52</v>
      </c>
      <c r="C68" s="6" t="s">
        <v>65</v>
      </c>
      <c r="D68" s="6">
        <v>2</v>
      </c>
      <c r="E68" s="7">
        <v>4</v>
      </c>
      <c r="F68" s="8">
        <v>2</v>
      </c>
      <c r="G68" s="7">
        <v>2</v>
      </c>
      <c r="H68" s="7">
        <v>2</v>
      </c>
      <c r="I68" s="7">
        <v>308.45</v>
      </c>
      <c r="J68" s="9">
        <v>0</v>
      </c>
      <c r="K68" s="9">
        <v>0</v>
      </c>
      <c r="L68" s="10">
        <v>2</v>
      </c>
      <c r="M68" s="11">
        <v>308.45</v>
      </c>
      <c r="N68" s="11">
        <v>2</v>
      </c>
      <c r="O68" s="11">
        <v>308.45</v>
      </c>
      <c r="P68" s="1">
        <f t="shared" ref="P68:P71" si="19">I68*12+K68</f>
      </c>
      <c r="Q68" s="12">
        <v>3953.74</v>
      </c>
      <c r="R68" s="13">
        <f t="shared" si="5"/>
      </c>
      <c r="S68" s="14">
        <f t="shared" si="3"/>
      </c>
      <c r="T68" s="14">
        <f t="shared" si="1"/>
      </c>
      <c r="U68" s="7" t="s">
        <v>66</v>
      </c>
      <c r="V68" s="7">
        <v>2</v>
      </c>
      <c r="W68" s="15"/>
      <c r="X68" s="15"/>
      <c r="Y68" s="15"/>
      <c r="Z68" s="15"/>
      <c r="AA68" s="16">
        <v>18421</v>
      </c>
      <c r="AB68" s="16">
        <v>868</v>
      </c>
      <c r="AC68" s="16">
        <v>1328</v>
      </c>
      <c r="AD68" s="16">
        <v>210</v>
      </c>
      <c r="AE68" s="15">
        <v>76</v>
      </c>
      <c r="AF68" s="7">
        <v>11</v>
      </c>
      <c r="AG68" s="7">
        <v>76</v>
      </c>
      <c r="AH68" s="7">
        <v>1</v>
      </c>
      <c r="AI68" s="17">
        <f t="shared" si="6"/>
      </c>
      <c r="AJ68" s="17">
        <f t="shared" si="4"/>
      </c>
      <c r="AK68" s="17">
        <f t="shared" si="7"/>
      </c>
      <c r="AL68" s="18">
        <f t="shared" si="2"/>
      </c>
      <c r="AM68" s="19">
        <f t="shared" si="0"/>
      </c>
      <c r="AN68" s="20"/>
    </row>
    <row r="69">
      <c r="A69" s="5">
        <v>46307</v>
      </c>
      <c r="B69" s="6" t="s">
        <v>39</v>
      </c>
      <c r="C69" s="6" t="s">
        <v>69</v>
      </c>
      <c r="D69" s="6">
        <v>4</v>
      </c>
      <c r="E69" s="7">
        <v>4</v>
      </c>
      <c r="F69" s="8">
        <v>3</v>
      </c>
      <c r="G69" s="7">
        <v>3</v>
      </c>
      <c r="H69" s="7">
        <v>2</v>
      </c>
      <c r="I69" s="7">
        <v>398.85</v>
      </c>
      <c r="J69" s="9">
        <v>1</v>
      </c>
      <c r="K69" s="9">
        <v>1126</v>
      </c>
      <c r="L69" s="10">
        <v>3</v>
      </c>
      <c r="M69" s="11">
        <v>5912.200000000001</v>
      </c>
      <c r="N69" s="11">
        <v>1</v>
      </c>
      <c r="O69" s="11">
        <v>297.51</v>
      </c>
      <c r="P69" s="1">
        <f t="shared" si="19"/>
      </c>
      <c r="Q69" s="12">
        <v>11020.08</v>
      </c>
      <c r="R69" s="13">
        <f t="shared" si="5"/>
      </c>
      <c r="S69" s="14">
        <f t="shared" si="3"/>
      </c>
      <c r="T69" s="14">
        <f t="shared" si="1"/>
      </c>
      <c r="U69" s="7"/>
      <c r="V69" s="7"/>
      <c r="W69" s="15"/>
      <c r="X69" s="15"/>
      <c r="Y69" s="15" t="s">
        <v>45</v>
      </c>
      <c r="Z69" s="7">
        <v>13</v>
      </c>
      <c r="AA69" s="16">
        <v>43837</v>
      </c>
      <c r="AB69" s="16">
        <v>2149</v>
      </c>
      <c r="AC69" s="16">
        <v>2676</v>
      </c>
      <c r="AD69" s="16">
        <v>376</v>
      </c>
      <c r="AE69" s="15">
        <v>198</v>
      </c>
      <c r="AF69" s="15">
        <v>26</v>
      </c>
      <c r="AG69" s="15">
        <v>217</v>
      </c>
      <c r="AH69" s="15">
        <v>0</v>
      </c>
      <c r="AI69" s="17">
        <f t="shared" si="6"/>
      </c>
      <c r="AJ69" s="17">
        <f t="shared" si="4"/>
      </c>
      <c r="AK69" s="17">
        <f t="shared" si="7"/>
      </c>
      <c r="AL69" s="18">
        <f t="shared" si="2"/>
      </c>
      <c r="AM69" s="19">
        <f t="shared" si="0"/>
      </c>
      <c r="AN69" s="20"/>
    </row>
    <row r="70">
      <c r="A70" s="5">
        <v>46307</v>
      </c>
      <c r="B70" s="6" t="s">
        <v>53</v>
      </c>
      <c r="C70" s="6" t="s">
        <v>70</v>
      </c>
      <c r="D70" s="6">
        <v>4</v>
      </c>
      <c r="E70" s="7">
        <v>7</v>
      </c>
      <c r="F70" s="8">
        <v>6</v>
      </c>
      <c r="G70" s="7">
        <v>5</v>
      </c>
      <c r="H70" s="7">
        <v>6</v>
      </c>
      <c r="I70" s="7">
        <v>1160.1200000000001</v>
      </c>
      <c r="J70" s="9">
        <v>0</v>
      </c>
      <c r="K70" s="9">
        <v>0</v>
      </c>
      <c r="L70" s="10">
        <v>6</v>
      </c>
      <c r="M70" s="11">
        <v>1160.1200000000001</v>
      </c>
      <c r="N70" s="11">
        <v>2</v>
      </c>
      <c r="O70" s="11">
        <v>510.84000000000003</v>
      </c>
      <c r="P70" s="1">
        <f t="shared" si="19"/>
      </c>
      <c r="Q70" s="21">
        <v>11613.86</v>
      </c>
      <c r="R70" s="13">
        <f t="shared" si="5"/>
      </c>
      <c r="S70" s="14">
        <f t="shared" si="3"/>
      </c>
      <c r="T70" s="14">
        <f t="shared" si="1"/>
      </c>
      <c r="U70" s="7" t="s">
        <v>73</v>
      </c>
      <c r="V70" s="7">
        <v>10</v>
      </c>
      <c r="W70" s="15"/>
      <c r="X70" s="15"/>
      <c r="Y70" s="15"/>
      <c r="Z70" s="7"/>
      <c r="AA70" s="22">
        <v>44277</v>
      </c>
      <c r="AB70" s="22">
        <v>985</v>
      </c>
      <c r="AC70" s="22">
        <v>1017</v>
      </c>
      <c r="AD70" s="22">
        <v>205</v>
      </c>
      <c r="AE70" s="7">
        <v>209</v>
      </c>
      <c r="AF70" s="7">
        <v>15</v>
      </c>
      <c r="AG70" s="7">
        <v>315</v>
      </c>
      <c r="AH70" s="7">
        <v>3</v>
      </c>
      <c r="AI70" s="17">
        <f t="shared" si="6"/>
      </c>
      <c r="AJ70" s="17">
        <f t="shared" si="4"/>
      </c>
      <c r="AK70" s="17">
        <f t="shared" si="7"/>
      </c>
      <c r="AL70" s="18">
        <f t="shared" si="2"/>
      </c>
      <c r="AM70" s="19">
        <f t="shared" si="0"/>
      </c>
      <c r="AN70" s="20"/>
    </row>
    <row r="71">
      <c r="A71" s="5">
        <v>46307</v>
      </c>
      <c r="B71" s="6" t="s">
        <v>49</v>
      </c>
      <c r="C71" s="6" t="s">
        <v>76</v>
      </c>
      <c r="D71" s="6">
        <v>3</v>
      </c>
      <c r="E71" s="7">
        <v>5</v>
      </c>
      <c r="F71" s="8">
        <v>3</v>
      </c>
      <c r="G71" s="7">
        <v>3</v>
      </c>
      <c r="H71" s="7">
        <v>3</v>
      </c>
      <c r="I71" s="7">
        <v>903.12</v>
      </c>
      <c r="J71" s="9">
        <v>0</v>
      </c>
      <c r="K71" s="9">
        <v>0</v>
      </c>
      <c r="L71" s="10">
        <v>3</v>
      </c>
      <c r="M71" s="11">
        <v>10837.44</v>
      </c>
      <c r="N71" s="11">
        <v>3</v>
      </c>
      <c r="O71" s="11">
        <v>903.12</v>
      </c>
      <c r="P71" s="1">
        <f t="shared" si="19"/>
      </c>
      <c r="Q71" s="21">
        <v>8169.74</v>
      </c>
      <c r="R71" s="13">
        <f t="shared" si="5"/>
      </c>
      <c r="S71" s="14">
        <f t="shared" si="3"/>
      </c>
      <c r="T71" s="14">
        <f t="shared" si="1"/>
      </c>
      <c r="U71" s="7" t="s">
        <v>77</v>
      </c>
      <c r="V71" s="7">
        <v>1</v>
      </c>
      <c r="W71" s="15"/>
      <c r="X71" s="15"/>
      <c r="Y71" s="15"/>
      <c r="Z71" s="7"/>
      <c r="AA71" s="22">
        <v>22828</v>
      </c>
      <c r="AB71" s="22">
        <v>1025</v>
      </c>
      <c r="AC71" s="22">
        <v>1423</v>
      </c>
      <c r="AD71" s="22">
        <v>358</v>
      </c>
      <c r="AE71" s="7">
        <v>113</v>
      </c>
      <c r="AF71" s="7">
        <v>13</v>
      </c>
      <c r="AG71" s="7">
        <v>205</v>
      </c>
      <c r="AH71" s="7">
        <v>2</v>
      </c>
      <c r="AI71" s="17">
        <f t="shared" si="6"/>
      </c>
      <c r="AJ71" s="17">
        <f t="shared" si="4"/>
      </c>
      <c r="AK71" s="17">
        <f t="shared" si="7"/>
      </c>
      <c r="AL71" s="18">
        <f t="shared" si="2"/>
      </c>
      <c r="AM71" s="19">
        <f t="shared" si="0"/>
      </c>
      <c r="AN71" s="20"/>
    </row>
    <row r="72">
      <c r="A72" s="23">
        <v>46307</v>
      </c>
      <c r="B72" s="24"/>
      <c r="C72" s="25" t="s">
        <v>78</v>
      </c>
      <c r="D72" s="25">
        <f>D68+D69+D70+D71</f>
      </c>
      <c r="E72" s="25">
        <f>E68+E69+E70+E71</f>
      </c>
      <c r="F72" s="25">
        <f>F68+F69+F70+F71</f>
      </c>
      <c r="G72" s="25">
        <f>G68+G69+G70+G71</f>
      </c>
      <c r="H72" s="25">
        <f>H68+H69+H70+H71</f>
      </c>
      <c r="I72" s="25">
        <f>I68+I69+I70+I71</f>
      </c>
      <c r="J72" s="25">
        <f>J68+J69+J70+J71</f>
      </c>
      <c r="K72" s="25">
        <f>K68+K69+K70+K71</f>
      </c>
      <c r="L72" s="25">
        <f>L68+L69+L70+L71</f>
      </c>
      <c r="M72" s="25">
        <f>M68+M69+M70+M71</f>
      </c>
      <c r="N72" s="25">
        <f>N68+N69+N70+N71</f>
      </c>
      <c r="O72" s="25">
        <f>O68+O69+O70+O71</f>
      </c>
      <c r="P72" s="25">
        <f>P68+P69+P70+P71</f>
      </c>
      <c r="Q72" s="25">
        <f>Q68+Q69+Q70+Q71</f>
      </c>
      <c r="R72" s="27">
        <f t="shared" si="5"/>
      </c>
      <c r="S72" s="27">
        <f t="shared" si="3"/>
      </c>
      <c r="T72" s="27">
        <f t="shared" si="1"/>
      </c>
      <c r="U72" s="28"/>
      <c r="V72" s="24">
        <f>V71+V70+V69+V68</f>
      </c>
      <c r="W72" s="24">
        <f>W71+W70+W69+W68</f>
      </c>
      <c r="X72" s="24">
        <f>X71+X70+X69+X68</f>
      </c>
      <c r="Y72" s="24"/>
      <c r="Z72" s="24">
        <f>Z71+Z70+Z69+Z68</f>
      </c>
      <c r="AA72" s="24">
        <f>AA71+AA70+AA69+AA68</f>
      </c>
      <c r="AB72" s="24">
        <f>AB71+AB70+AB69+AB68</f>
      </c>
      <c r="AC72" s="24">
        <f>AC71+AC70+AC69+AC68</f>
      </c>
      <c r="AD72" s="24">
        <f>AD71+AD70+AD69+AD68</f>
      </c>
      <c r="AE72" s="24">
        <f>AE71+AE70+AE69+AE68</f>
      </c>
      <c r="AF72" s="24">
        <f>AF71+AF70+AF69+AF68</f>
      </c>
      <c r="AG72" s="24">
        <f>AG71+AG70+AG69+AG68</f>
      </c>
      <c r="AH72" s="24">
        <f>AH71+AH70+AH69+AH68</f>
      </c>
      <c r="AI72" s="29">
        <f t="shared" si="6"/>
      </c>
      <c r="AJ72" s="29">
        <f t="shared" si="4"/>
      </c>
      <c r="AK72" s="29">
        <f t="shared" si="7"/>
      </c>
      <c r="AL72" s="29">
        <f t="shared" si="2"/>
      </c>
      <c r="AM72" s="30">
        <f t="shared" si="0"/>
      </c>
      <c r="AN72" s="29">
        <f>F72/AE72</f>
      </c>
    </row>
    <row r="73">
      <c r="AA73">
        <f>AA74-AA72</f>
      </c>
      <c r="AB73">
        <f>AB74-AB72</f>
      </c>
      <c r="AC73">
        <f>AC74-AC72</f>
      </c>
      <c r="AD73">
        <f>AD74-AD72</f>
      </c>
      <c r="AE73">
        <f>AE74-AE72</f>
      </c>
      <c r="AF73">
        <f>AF74-AF72</f>
      </c>
      <c r="AG73">
        <f>AG74-AG72</f>
      </c>
      <c r="AH73">
        <f>AH74-AH72</f>
      </c>
    </row>
    <row r="74">
      <c r="B74" s="32"/>
      <c r="AA74">
        <v>129363</v>
      </c>
      <c r="AB74">
        <v>5027</v>
      </c>
      <c r="AC74">
        <v>6444</v>
      </c>
      <c r="AD74">
        <v>1149</v>
      </c>
      <c r="AE74">
        <v>596</v>
      </c>
      <c r="AF74">
        <v>65</v>
      </c>
      <c r="AG74">
        <v>813</v>
      </c>
      <c r="AH74">
        <v>6</v>
      </c>
    </row>
    <row r="75">
      <c r="A75" s="32"/>
      <c r="B75" s="33"/>
      <c r="C75" s="32"/>
    </row>
    <row r="76">
      <c r="B76" s="32"/>
    </row>
    <row r="77"/>
    <row r="78">
      <c r="AD78" s="34"/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>
      <c r="P200" s="35">
        <v>149699.16</v>
      </c>
      <c r="Q200" s="35">
        <v>100272.25</v>
      </c>
    </row>
    <row r="201">
      <c r="P201" s="35">
        <v>97208.94</v>
      </c>
      <c r="Q201" s="35">
        <v>56650.97</v>
      </c>
    </row>
  </sheetData>
  <autoFilter ref="A1:BB209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18" min="18" style="0" width="11.211267605633802"/>
    <col collapsed="false" customWidth="true" hidden="false" max="28" min="28" style="0" width="11.211267605633802"/>
    <col collapsed="false" customWidth="true" hidden="false" max="29" min="29" style="0" width="11.211267605633802"/>
    <col collapsed="false" customWidth="true" hidden="false" max="31" min="31" style="0" width="11.211267605633802"/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30" min="30" style="0" width="11.211267605633802"/>
    <col collapsed="false" customWidth="true" hidden="false" max="4" min="4" style="0" width="11.211267605633802"/>
    <col collapsed="false" customWidth="true" hidden="false" max="6" min="6" style="0" width="11.211267605633802"/>
  </cols>
  <sheetData>
    <row r="1">
      <c r="A1" s="36" t="s">
        <v>79</v>
      </c>
      <c r="B1" s="36" t="s">
        <v>80</v>
      </c>
      <c r="C1" s="36" t="s">
        <v>81</v>
      </c>
      <c r="D1" s="36" t="s">
        <v>82</v>
      </c>
      <c r="E1" s="36" t="s">
        <v>83</v>
      </c>
      <c r="F1" s="36" t="s">
        <v>84</v>
      </c>
      <c r="G1" s="36" t="s">
        <v>85</v>
      </c>
      <c r="H1" s="37" t="s">
        <v>86</v>
      </c>
      <c r="I1" s="37" t="s">
        <v>87</v>
      </c>
      <c r="J1" s="37" t="s">
        <v>88</v>
      </c>
      <c r="K1" s="37" t="s">
        <v>89</v>
      </c>
      <c r="L1" s="36" t="s">
        <v>90</v>
      </c>
      <c r="M1" s="36" t="s">
        <v>91</v>
      </c>
      <c r="N1" s="37" t="s">
        <v>92</v>
      </c>
      <c r="O1" s="36" t="s">
        <v>93</v>
      </c>
      <c r="P1" s="36" t="s">
        <v>94</v>
      </c>
      <c r="Q1" s="36" t="s">
        <v>95</v>
      </c>
      <c r="R1" s="36" t="s">
        <v>96</v>
      </c>
      <c r="S1" s="36" t="s">
        <v>97</v>
      </c>
      <c r="T1" s="36" t="s">
        <v>98</v>
      </c>
      <c r="U1" s="36" t="s">
        <v>99</v>
      </c>
      <c r="V1" s="36" t="s">
        <v>100</v>
      </c>
      <c r="W1" s="36" t="s">
        <v>101</v>
      </c>
      <c r="X1" s="36" t="s">
        <v>100</v>
      </c>
      <c r="Y1" s="36" t="s">
        <v>102</v>
      </c>
      <c r="Z1" s="36" t="s">
        <v>82</v>
      </c>
      <c r="AA1" s="38" t="s">
        <v>103</v>
      </c>
      <c r="AB1" s="38" t="s">
        <v>104</v>
      </c>
      <c r="AC1" s="38" t="s">
        <v>105</v>
      </c>
      <c r="AD1" s="38" t="s">
        <v>106</v>
      </c>
      <c r="AE1" s="38" t="s">
        <v>107</v>
      </c>
      <c r="AF1" s="38" t="s">
        <v>108</v>
      </c>
      <c r="AG1" s="38" t="s">
        <v>109</v>
      </c>
      <c r="AH1" s="38" t="s">
        <v>110</v>
      </c>
      <c r="AI1" s="39" t="s">
        <v>111</v>
      </c>
      <c r="AJ1" s="39" t="s">
        <v>112</v>
      </c>
      <c r="AK1" s="39" t="s">
        <v>113</v>
      </c>
      <c r="AL1" s="39" t="s">
        <v>114</v>
      </c>
      <c r="AM1" s="39" t="s">
        <v>115</v>
      </c>
      <c r="AN1" s="39" t="s">
        <v>116</v>
      </c>
    </row>
    <row hidden="true" r="2">
      <c r="A2" s="40">
        <v>46266</v>
      </c>
      <c r="B2" s="41" t="s">
        <v>117</v>
      </c>
      <c r="C2" s="36" t="s">
        <v>118</v>
      </c>
      <c r="D2" s="36">
        <v>4</v>
      </c>
      <c r="E2" s="42">
        <v>18</v>
      </c>
      <c r="F2" s="43">
        <v>15</v>
      </c>
      <c r="G2" s="42">
        <v>11</v>
      </c>
      <c r="H2" s="42">
        <v>14</v>
      </c>
      <c r="I2" s="44">
        <v>2426.04</v>
      </c>
      <c r="J2" s="45">
        <v>1</v>
      </c>
      <c r="K2" s="46">
        <v>6891.2</v>
      </c>
      <c r="L2" s="45">
        <v>15</v>
      </c>
      <c r="M2" s="47">
        <v>36003.68</v>
      </c>
      <c r="N2" s="48">
        <v>5</v>
      </c>
      <c r="O2" s="48">
        <v>1558.9</v>
      </c>
      <c r="P2" s="36">
        <f t="shared" ref="P2:P5" si="2">I2*12+K2</f>
      </c>
      <c r="Q2" s="49">
        <v>16071.390000000001</v>
      </c>
      <c r="R2" s="50">
        <f t="shared" ref="R2:R152" si="33">P2/Q2</f>
      </c>
      <c r="S2" s="51">
        <f t="shared" ref="S2:S152" si="34">P2/F2</f>
      </c>
      <c r="T2" s="51">
        <f t="shared" ref="T2:T152" si="35">Q2/F2</f>
      </c>
      <c r="U2" s="42" t="s">
        <v>119</v>
      </c>
      <c r="V2" s="42">
        <v>7</v>
      </c>
      <c r="W2" s="44"/>
      <c r="X2" s="44"/>
      <c r="Y2" s="44"/>
      <c r="Z2" s="44"/>
      <c r="AA2" s="52">
        <v>57259</v>
      </c>
      <c r="AB2" s="52">
        <v>3455</v>
      </c>
      <c r="AC2" s="52">
        <v>5572</v>
      </c>
      <c r="AD2" s="52">
        <v>1212</v>
      </c>
      <c r="AE2" s="44">
        <v>233</v>
      </c>
      <c r="AF2" s="44">
        <v>22</v>
      </c>
      <c r="AG2" s="44">
        <v>334</v>
      </c>
      <c r="AH2" s="44">
        <v>4</v>
      </c>
      <c r="AI2" s="53">
        <f t="shared" ref="AI2:AI152" si="37">AB2/AA2</f>
      </c>
      <c r="AJ2" s="53">
        <f t="shared" ref="AJ2:AJ152" si="56">(AF2+AG2+AH2)/AC2</f>
      </c>
      <c r="AK2" s="53">
        <f t="shared" ref="AK2:AK152" si="38">AD2/AC2</f>
      </c>
      <c r="AL2" s="54">
        <f t="shared" ref="AL2:AL152" si="0">AG2/AC2</f>
      </c>
      <c r="AM2" s="55">
        <f t="shared" ref="AM2:AM152" si="1">Q2/AE2</f>
      </c>
      <c r="AN2" s="56"/>
    </row>
    <row hidden="true" r="3">
      <c r="A3" s="57">
        <v>46266</v>
      </c>
      <c r="B3" s="41" t="s">
        <v>120</v>
      </c>
      <c r="C3" s="36" t="s">
        <v>121</v>
      </c>
      <c r="D3" s="36">
        <v>4</v>
      </c>
      <c r="E3" s="42">
        <v>10</v>
      </c>
      <c r="F3" s="43">
        <v>5</v>
      </c>
      <c r="G3" s="42">
        <v>5</v>
      </c>
      <c r="H3" s="42">
        <v>5</v>
      </c>
      <c r="I3" s="42">
        <v>715.69</v>
      </c>
      <c r="J3" s="45">
        <v>0</v>
      </c>
      <c r="K3" s="45">
        <v>0</v>
      </c>
      <c r="L3" s="45">
        <v>5</v>
      </c>
      <c r="M3" s="48">
        <v>8588.28</v>
      </c>
      <c r="N3" s="48">
        <v>2</v>
      </c>
      <c r="O3" s="48">
        <v>371.53</v>
      </c>
      <c r="P3" s="36">
        <f t="shared" si="2"/>
      </c>
      <c r="Q3" s="58">
        <v>16057.93</v>
      </c>
      <c r="R3" s="50">
        <f t="shared" si="33"/>
      </c>
      <c r="S3" s="51">
        <f t="shared" si="34"/>
      </c>
      <c r="T3" s="51">
        <f t="shared" si="35"/>
      </c>
      <c r="U3" s="42" t="s">
        <v>122</v>
      </c>
      <c r="V3" s="42">
        <v>1</v>
      </c>
      <c r="W3" s="44"/>
      <c r="X3" s="44"/>
      <c r="Y3" s="44" t="s">
        <v>123</v>
      </c>
      <c r="Z3" s="42">
        <v>16</v>
      </c>
      <c r="AA3" s="52">
        <v>58830</v>
      </c>
      <c r="AB3" s="52">
        <v>4070</v>
      </c>
      <c r="AC3" s="52">
        <v>6225</v>
      </c>
      <c r="AD3" s="52">
        <v>1378</v>
      </c>
      <c r="AE3" s="44">
        <v>187</v>
      </c>
      <c r="AF3" s="44">
        <v>46</v>
      </c>
      <c r="AG3" s="44">
        <v>348</v>
      </c>
      <c r="AH3" s="44">
        <v>4</v>
      </c>
      <c r="AI3" s="53">
        <f t="shared" si="37"/>
      </c>
      <c r="AJ3" s="53">
        <f t="shared" si="56"/>
      </c>
      <c r="AK3" s="53">
        <f t="shared" si="38"/>
      </c>
      <c r="AL3" s="54">
        <f t="shared" si="0"/>
      </c>
      <c r="AM3" s="55">
        <f t="shared" si="1"/>
      </c>
      <c r="AN3" s="56"/>
    </row>
    <row hidden="true" r="4">
      <c r="A4" s="57">
        <v>46266</v>
      </c>
      <c r="B4" s="41" t="s">
        <v>124</v>
      </c>
      <c r="C4" s="36" t="s">
        <v>125</v>
      </c>
      <c r="D4" s="36">
        <v>4</v>
      </c>
      <c r="E4" s="42">
        <v>23</v>
      </c>
      <c r="F4" s="43">
        <v>18</v>
      </c>
      <c r="G4" s="42">
        <v>16</v>
      </c>
      <c r="H4" s="42">
        <v>18</v>
      </c>
      <c r="I4" s="42">
        <v>3801.12</v>
      </c>
      <c r="J4" s="45">
        <v>0</v>
      </c>
      <c r="K4" s="45">
        <v>0</v>
      </c>
      <c r="L4" s="45">
        <v>18</v>
      </c>
      <c r="M4" s="48">
        <v>45613.44</v>
      </c>
      <c r="N4" s="48">
        <v>7</v>
      </c>
      <c r="O4" s="48">
        <v>2133.39</v>
      </c>
      <c r="P4" s="36">
        <f t="shared" si="2"/>
      </c>
      <c r="Q4" s="58">
        <v>19020.81</v>
      </c>
      <c r="R4" s="50">
        <f t="shared" si="33"/>
      </c>
      <c r="S4" s="51">
        <f t="shared" si="34"/>
      </c>
      <c r="T4" s="51">
        <f t="shared" si="35"/>
      </c>
      <c r="U4" s="44"/>
      <c r="V4" s="44"/>
      <c r="W4" s="44"/>
      <c r="X4" s="44"/>
      <c r="Y4" s="44"/>
      <c r="Z4" s="44"/>
      <c r="AA4" s="44">
        <v>91228</v>
      </c>
      <c r="AB4" s="44">
        <v>3953</v>
      </c>
      <c r="AC4" s="44">
        <v>5672</v>
      </c>
      <c r="AD4" s="44">
        <v>1159</v>
      </c>
      <c r="AE4" s="44">
        <v>270</v>
      </c>
      <c r="AF4" s="44">
        <v>41</v>
      </c>
      <c r="AG4" s="44">
        <v>377</v>
      </c>
      <c r="AH4" s="44">
        <v>5</v>
      </c>
      <c r="AI4" s="53">
        <f t="shared" si="37"/>
      </c>
      <c r="AJ4" s="53">
        <f t="shared" si="56"/>
      </c>
      <c r="AK4" s="53">
        <f t="shared" si="38"/>
      </c>
      <c r="AL4" s="54">
        <f t="shared" si="0"/>
      </c>
      <c r="AM4" s="55">
        <f t="shared" si="1"/>
      </c>
      <c r="AN4" s="56"/>
    </row>
    <row hidden="true" r="5">
      <c r="A5" s="57">
        <v>46266</v>
      </c>
      <c r="B5" s="41" t="s">
        <v>126</v>
      </c>
      <c r="C5" s="36" t="s">
        <v>127</v>
      </c>
      <c r="D5" s="36">
        <v>4</v>
      </c>
      <c r="E5" s="42">
        <v>25</v>
      </c>
      <c r="F5" s="43">
        <v>11</v>
      </c>
      <c r="G5" s="42">
        <v>7</v>
      </c>
      <c r="H5" s="42">
        <v>10</v>
      </c>
      <c r="I5" s="42">
        <v>3550.23</v>
      </c>
      <c r="J5" s="45">
        <v>1</v>
      </c>
      <c r="K5" s="45">
        <v>611</v>
      </c>
      <c r="L5" s="45">
        <v>11</v>
      </c>
      <c r="M5" s="48">
        <v>43213.76</v>
      </c>
      <c r="N5" s="48">
        <v>6</v>
      </c>
      <c r="O5" s="48">
        <v>2901.51</v>
      </c>
      <c r="P5" s="36">
        <f t="shared" si="2"/>
      </c>
      <c r="Q5" s="58">
        <v>22878.65</v>
      </c>
      <c r="R5" s="50">
        <f t="shared" si="33"/>
      </c>
      <c r="S5" s="51">
        <f t="shared" si="34"/>
      </c>
      <c r="T5" s="51">
        <f t="shared" si="35"/>
      </c>
      <c r="U5" s="42" t="s">
        <v>128</v>
      </c>
      <c r="V5" s="42">
        <v>8</v>
      </c>
      <c r="W5" s="44"/>
      <c r="X5" s="44"/>
      <c r="Y5" s="44"/>
      <c r="Z5" s="44"/>
      <c r="AA5" s="44">
        <v>144355</v>
      </c>
      <c r="AB5" s="44">
        <v>8067</v>
      </c>
      <c r="AC5" s="44">
        <v>11180</v>
      </c>
      <c r="AD5" s="44">
        <v>1308</v>
      </c>
      <c r="AE5" s="44">
        <v>294</v>
      </c>
      <c r="AF5" s="44">
        <v>53</v>
      </c>
      <c r="AG5" s="44">
        <v>394</v>
      </c>
      <c r="AH5" s="44">
        <v>8</v>
      </c>
      <c r="AI5" s="53">
        <f t="shared" si="37"/>
      </c>
      <c r="AJ5" s="53">
        <f t="shared" si="56"/>
      </c>
      <c r="AK5" s="53">
        <f t="shared" si="38"/>
      </c>
      <c r="AL5" s="54">
        <f t="shared" si="0"/>
      </c>
      <c r="AM5" s="55">
        <f t="shared" si="1"/>
      </c>
      <c r="AN5" s="56"/>
    </row>
    <row r="6">
      <c r="A6" s="59">
        <v>46266</v>
      </c>
      <c r="B6" s="60"/>
      <c r="C6" s="61" t="s">
        <v>129</v>
      </c>
      <c r="D6" s="60">
        <f>D2+D3+D4+D5</f>
      </c>
      <c r="E6" s="60">
        <f>E2+E3+E4+E5</f>
      </c>
      <c r="F6" s="60">
        <f>F2+F3+F4+F5</f>
      </c>
      <c r="G6" s="60">
        <f>G2+G3+G4+G5</f>
      </c>
      <c r="H6" s="60">
        <f>H2+H3+H4+H5</f>
      </c>
      <c r="I6" s="60">
        <f>I2+I3+I4+I5</f>
      </c>
      <c r="J6" s="62">
        <f>J2+J3+J4+J5</f>
      </c>
      <c r="K6" s="62">
        <f>K2+K3+K4+K5</f>
      </c>
      <c r="L6" s="62">
        <f>L2+L3+L4+L5</f>
      </c>
      <c r="M6" s="62">
        <f>M2+M3+M4+M5</f>
      </c>
      <c r="N6" s="62">
        <f>N2+N3+N4+N5</f>
      </c>
      <c r="O6" s="62">
        <f>O2+O3+O4+O5</f>
      </c>
      <c r="P6" s="60">
        <f>P2+P3+P4+P5</f>
      </c>
      <c r="Q6" s="60">
        <f>Q2+Q3+Q4+Q5</f>
      </c>
      <c r="R6" s="63">
        <f t="shared" si="33"/>
      </c>
      <c r="S6" s="63">
        <f t="shared" si="34"/>
      </c>
      <c r="T6" s="63">
        <f t="shared" si="35"/>
      </c>
      <c r="U6" s="64"/>
      <c r="V6" s="60">
        <f>V2+V3+V5+V4</f>
      </c>
      <c r="W6" s="64"/>
      <c r="X6" s="60">
        <f>SUM(X2:X3)</f>
      </c>
      <c r="Y6" s="64"/>
      <c r="Z6" s="61">
        <f>Z2+Z3+Z4+Z5</f>
      </c>
      <c r="AA6" s="60">
        <f>AA2+AA3+AA5+AA4</f>
      </c>
      <c r="AB6" s="60">
        <f>AB2+AB3+AB5+AB4</f>
      </c>
      <c r="AC6" s="60">
        <f>AC2+AC3+AC5+AC4</f>
      </c>
      <c r="AD6" s="60">
        <f>AD2+AD3+AD5+AD4</f>
      </c>
      <c r="AE6" s="60">
        <f>AE2+AE3+AE5+AE4</f>
      </c>
      <c r="AF6" s="60">
        <f>AF2+AF3+AF5+AF4</f>
      </c>
      <c r="AG6" s="60">
        <f>AG2+AG3+AG5+AG4</f>
      </c>
      <c r="AH6" s="60">
        <f>AH2+AH3+AH5+AH4</f>
      </c>
      <c r="AI6" s="65">
        <f t="shared" si="37"/>
      </c>
      <c r="AJ6" s="65">
        <f t="shared" si="56"/>
      </c>
      <c r="AK6" s="65">
        <f t="shared" si="38"/>
      </c>
      <c r="AL6" s="65">
        <f t="shared" si="0"/>
      </c>
      <c r="AM6" s="66">
        <f t="shared" si="1"/>
      </c>
      <c r="AN6" s="65">
        <f>F6/AE6</f>
      </c>
    </row>
    <row hidden="true" r="7">
      <c r="A7" s="40">
        <v>46267</v>
      </c>
      <c r="B7" s="41" t="s">
        <v>117</v>
      </c>
      <c r="C7" s="36" t="s">
        <v>118</v>
      </c>
      <c r="D7" s="36">
        <v>4</v>
      </c>
      <c r="E7" s="42">
        <v>11</v>
      </c>
      <c r="F7" s="43">
        <v>5</v>
      </c>
      <c r="G7" s="42">
        <v>3</v>
      </c>
      <c r="H7" s="42">
        <v>5</v>
      </c>
      <c r="I7" s="44">
        <v>465.97999999999996</v>
      </c>
      <c r="J7" s="45">
        <v>0</v>
      </c>
      <c r="K7" s="45">
        <v>0</v>
      </c>
      <c r="L7" s="45">
        <v>5</v>
      </c>
      <c r="M7" s="47">
        <v>5591.759999999999</v>
      </c>
      <c r="N7" s="48">
        <v>0</v>
      </c>
      <c r="O7" s="48">
        <v>0</v>
      </c>
      <c r="P7" s="36">
        <f t="shared" ref="P7:P10" si="3">I7*12+K7</f>
      </c>
      <c r="Q7" s="49">
        <v>11502.01</v>
      </c>
      <c r="R7" s="50">
        <f t="shared" si="33"/>
      </c>
      <c r="S7" s="51">
        <f t="shared" si="34"/>
      </c>
      <c r="T7" s="51">
        <f t="shared" si="35"/>
      </c>
      <c r="U7" s="42" t="s">
        <v>119</v>
      </c>
      <c r="V7" s="42">
        <v>7</v>
      </c>
      <c r="W7" s="44"/>
      <c r="X7" s="44"/>
      <c r="Y7" s="44"/>
      <c r="Z7" s="44"/>
      <c r="AA7" s="52">
        <v>48360</v>
      </c>
      <c r="AB7" s="52">
        <v>2245</v>
      </c>
      <c r="AC7" s="52">
        <v>3123</v>
      </c>
      <c r="AD7" s="52">
        <v>652</v>
      </c>
      <c r="AE7" s="44">
        <v>170</v>
      </c>
      <c r="AF7" s="44">
        <v>12</v>
      </c>
      <c r="AG7" s="44">
        <v>201</v>
      </c>
      <c r="AH7" s="44">
        <v>2</v>
      </c>
      <c r="AI7" s="53">
        <f t="shared" si="37"/>
      </c>
      <c r="AJ7" s="53">
        <f t="shared" si="56"/>
      </c>
      <c r="AK7" s="53">
        <f t="shared" si="38"/>
      </c>
      <c r="AL7" s="54">
        <f t="shared" si="0"/>
      </c>
      <c r="AM7" s="55">
        <f t="shared" si="1"/>
      </c>
      <c r="AN7" s="56"/>
    </row>
    <row hidden="true" r="8">
      <c r="A8" s="57">
        <v>46267</v>
      </c>
      <c r="B8" s="41" t="s">
        <v>120</v>
      </c>
      <c r="C8" s="36" t="s">
        <v>121</v>
      </c>
      <c r="D8" s="36">
        <v>4</v>
      </c>
      <c r="E8" s="42">
        <v>21</v>
      </c>
      <c r="F8" s="43">
        <v>17</v>
      </c>
      <c r="G8" s="42">
        <v>14</v>
      </c>
      <c r="H8" s="42">
        <v>16</v>
      </c>
      <c r="I8" s="42">
        <v>3576.3</v>
      </c>
      <c r="J8" s="45">
        <v>1</v>
      </c>
      <c r="K8" s="45">
        <v>2382.4</v>
      </c>
      <c r="L8" s="45">
        <v>17</v>
      </c>
      <c r="M8" s="48">
        <v>45298</v>
      </c>
      <c r="N8" s="48">
        <v>6</v>
      </c>
      <c r="O8" s="48">
        <v>2144.3</v>
      </c>
      <c r="P8" s="36">
        <f t="shared" si="3"/>
      </c>
      <c r="Q8" s="58">
        <v>13605.52</v>
      </c>
      <c r="R8" s="50">
        <f t="shared" si="33"/>
      </c>
      <c r="S8" s="51">
        <f t="shared" si="34"/>
      </c>
      <c r="T8" s="51">
        <f t="shared" si="35"/>
      </c>
      <c r="U8" s="42" t="s">
        <v>122</v>
      </c>
      <c r="V8" s="42">
        <v>1</v>
      </c>
      <c r="W8" s="44"/>
      <c r="X8" s="44"/>
      <c r="Y8" s="44" t="s">
        <v>123</v>
      </c>
      <c r="Z8" s="42">
        <v>16</v>
      </c>
      <c r="AA8" s="52">
        <v>56551</v>
      </c>
      <c r="AB8" s="52">
        <v>2400</v>
      </c>
      <c r="AC8" s="52">
        <v>3311</v>
      </c>
      <c r="AD8" s="52">
        <v>749</v>
      </c>
      <c r="AE8" s="44">
        <v>114</v>
      </c>
      <c r="AF8" s="44">
        <v>25</v>
      </c>
      <c r="AG8" s="44">
        <v>356</v>
      </c>
      <c r="AH8" s="44">
        <v>1</v>
      </c>
      <c r="AI8" s="53">
        <f t="shared" si="37"/>
      </c>
      <c r="AJ8" s="53">
        <f t="shared" si="56"/>
      </c>
      <c r="AK8" s="53">
        <f t="shared" si="38"/>
      </c>
      <c r="AL8" s="54">
        <f t="shared" si="0"/>
      </c>
      <c r="AM8" s="55">
        <f t="shared" si="1"/>
      </c>
      <c r="AN8" s="56"/>
    </row>
    <row hidden="true" r="9">
      <c r="A9" s="57">
        <v>46267</v>
      </c>
      <c r="B9" s="41" t="s">
        <v>124</v>
      </c>
      <c r="C9" s="36" t="s">
        <v>125</v>
      </c>
      <c r="D9" s="36">
        <v>4</v>
      </c>
      <c r="E9" s="42">
        <v>13</v>
      </c>
      <c r="F9" s="43">
        <v>4</v>
      </c>
      <c r="G9" s="42">
        <v>4</v>
      </c>
      <c r="H9" s="42">
        <v>4</v>
      </c>
      <c r="I9" s="42">
        <v>964.39</v>
      </c>
      <c r="J9" s="45">
        <v>0</v>
      </c>
      <c r="K9" s="45">
        <v>0</v>
      </c>
      <c r="L9" s="45">
        <v>4</v>
      </c>
      <c r="M9" s="48">
        <v>11572.68</v>
      </c>
      <c r="N9" s="48">
        <v>2</v>
      </c>
      <c r="O9" s="48">
        <v>871.51</v>
      </c>
      <c r="P9" s="36">
        <f t="shared" si="3"/>
      </c>
      <c r="Q9" s="58">
        <v>18833.22</v>
      </c>
      <c r="R9" s="50">
        <f t="shared" si="33"/>
      </c>
      <c r="S9" s="51">
        <f t="shared" si="34"/>
      </c>
      <c r="T9" s="51">
        <f t="shared" si="35"/>
      </c>
      <c r="U9" s="42" t="s">
        <v>130</v>
      </c>
      <c r="V9" s="42">
        <v>1</v>
      </c>
      <c r="W9" s="44"/>
      <c r="X9" s="44"/>
      <c r="Y9" s="44"/>
      <c r="Z9" s="44"/>
      <c r="AA9" s="44">
        <v>115191</v>
      </c>
      <c r="AB9" s="44">
        <v>3080</v>
      </c>
      <c r="AC9" s="44">
        <v>4304</v>
      </c>
      <c r="AD9" s="44">
        <v>815</v>
      </c>
      <c r="AE9" s="44">
        <v>93</v>
      </c>
      <c r="AF9" s="44">
        <v>50</v>
      </c>
      <c r="AG9" s="44">
        <v>165</v>
      </c>
      <c r="AH9" s="44">
        <v>5</v>
      </c>
      <c r="AI9" s="53">
        <f t="shared" si="37"/>
      </c>
      <c r="AJ9" s="53">
        <f t="shared" si="56"/>
      </c>
      <c r="AK9" s="53">
        <f t="shared" si="38"/>
      </c>
      <c r="AL9" s="54">
        <f t="shared" si="0"/>
      </c>
      <c r="AM9" s="55">
        <f t="shared" si="1"/>
      </c>
      <c r="AN9" s="56"/>
    </row>
    <row hidden="true" r="10">
      <c r="A10" s="57">
        <v>46267</v>
      </c>
      <c r="B10" s="41" t="s">
        <v>131</v>
      </c>
      <c r="C10" s="36" t="s">
        <v>127</v>
      </c>
      <c r="D10" s="36">
        <v>4</v>
      </c>
      <c r="E10" s="42">
        <v>20</v>
      </c>
      <c r="F10" s="43">
        <v>10</v>
      </c>
      <c r="G10" s="42">
        <v>10</v>
      </c>
      <c r="H10" s="42">
        <v>10</v>
      </c>
      <c r="I10" s="42">
        <v>1801.21</v>
      </c>
      <c r="J10" s="45">
        <v>1</v>
      </c>
      <c r="K10" s="45">
        <v>1132</v>
      </c>
      <c r="L10" s="45">
        <v>10</v>
      </c>
      <c r="M10" s="48">
        <v>22746.52</v>
      </c>
      <c r="N10" s="48">
        <v>1</v>
      </c>
      <c r="O10" s="48">
        <v>1012.9</v>
      </c>
      <c r="P10" s="36">
        <f t="shared" si="3"/>
      </c>
      <c r="Q10" s="58">
        <v>14476.82</v>
      </c>
      <c r="R10" s="50">
        <f t="shared" si="33"/>
      </c>
      <c r="S10" s="51">
        <f t="shared" si="34"/>
      </c>
      <c r="T10" s="51">
        <f t="shared" si="35"/>
      </c>
      <c r="U10" s="42" t="s">
        <v>128</v>
      </c>
      <c r="V10" s="42">
        <v>7</v>
      </c>
      <c r="W10" s="44"/>
      <c r="X10" s="44"/>
      <c r="Y10" s="44"/>
      <c r="Z10" s="44"/>
      <c r="AA10" s="44">
        <v>93134</v>
      </c>
      <c r="AB10" s="44">
        <v>3073</v>
      </c>
      <c r="AC10" s="44">
        <v>4316</v>
      </c>
      <c r="AD10" s="44">
        <v>708</v>
      </c>
      <c r="AE10" s="44">
        <v>117</v>
      </c>
      <c r="AF10" s="44">
        <v>46</v>
      </c>
      <c r="AG10" s="44">
        <v>359</v>
      </c>
      <c r="AH10" s="44">
        <v>5</v>
      </c>
      <c r="AI10" s="53">
        <f t="shared" si="37"/>
      </c>
      <c r="AJ10" s="53">
        <f t="shared" si="56"/>
      </c>
      <c r="AK10" s="53">
        <f t="shared" si="38"/>
      </c>
      <c r="AL10" s="54">
        <f t="shared" si="0"/>
      </c>
      <c r="AM10" s="55">
        <f t="shared" si="1"/>
      </c>
      <c r="AN10" s="56"/>
    </row>
    <row r="11">
      <c r="A11" s="59">
        <v>46267</v>
      </c>
      <c r="B11" s="60"/>
      <c r="C11" s="61" t="s">
        <v>129</v>
      </c>
      <c r="D11" s="60">
        <f>D7+D8+D9+D10</f>
      </c>
      <c r="E11" s="60">
        <f>E7+E8+E9+E10</f>
      </c>
      <c r="F11" s="60">
        <f>F7+F8+F9+F10</f>
      </c>
      <c r="G11" s="60">
        <f>G7+G8+G9+G10</f>
      </c>
      <c r="H11" s="60">
        <f>H7+H8+H9+H10</f>
      </c>
      <c r="I11" s="60">
        <f>I7+I8+I9+I10</f>
      </c>
      <c r="J11" s="62">
        <f>J7+J8+J9+J10</f>
      </c>
      <c r="K11" s="62">
        <f>K7+K8+K9+K10</f>
      </c>
      <c r="L11" s="62">
        <f>L7+L8+L9+L10</f>
      </c>
      <c r="M11" s="62">
        <f>M7+M8+M9+M10</f>
      </c>
      <c r="N11" s="62">
        <f>N7+N8+N9+N10</f>
      </c>
      <c r="O11" s="62">
        <f>O7+O8+O9+O10</f>
      </c>
      <c r="P11" s="60">
        <f>P7+P8+P9+P10</f>
      </c>
      <c r="Q11" s="60">
        <f>Q7+Q8+Q9+Q10</f>
      </c>
      <c r="R11" s="63">
        <f t="shared" si="33"/>
      </c>
      <c r="S11" s="63">
        <f t="shared" si="34"/>
      </c>
      <c r="T11" s="63">
        <f t="shared" si="35"/>
      </c>
      <c r="U11" s="64"/>
      <c r="V11" s="60">
        <f>V7+V8+V10+V9</f>
      </c>
      <c r="W11" s="64"/>
      <c r="X11" s="60">
        <f>SUM(X7:X8)</f>
      </c>
      <c r="Y11" s="64"/>
      <c r="Z11" s="61">
        <f>Z7+Z8+Z9+Z10</f>
      </c>
      <c r="AA11" s="60">
        <f>AA7+AA8+AA10+AA9</f>
      </c>
      <c r="AB11" s="60">
        <f>AB7+AB8+AB10+AB9</f>
      </c>
      <c r="AC11" s="60">
        <f>AC7+AC8+AC10+AC9</f>
      </c>
      <c r="AD11" s="60">
        <f>AD7+AD8+AD10+AD9</f>
      </c>
      <c r="AE11" s="60">
        <f>AE7+AE8+AE10+AE9</f>
      </c>
      <c r="AF11" s="60">
        <f>AF7+AF8+AF10+AF9</f>
      </c>
      <c r="AG11" s="60">
        <f>AG7+AG8+AG10+AG9</f>
      </c>
      <c r="AH11" s="60">
        <f>AH7+AH8+AH10+AH9</f>
      </c>
      <c r="AI11" s="65">
        <f t="shared" si="37"/>
      </c>
      <c r="AJ11" s="65">
        <f t="shared" si="56"/>
      </c>
      <c r="AK11" s="65">
        <f t="shared" si="38"/>
      </c>
      <c r="AL11" s="65">
        <f t="shared" si="0"/>
      </c>
      <c r="AM11" s="66">
        <f t="shared" si="1"/>
      </c>
      <c r="AN11" s="65">
        <f>F11/AE11</f>
      </c>
    </row>
    <row hidden="true" r="12">
      <c r="A12" s="40">
        <v>46268</v>
      </c>
      <c r="B12" s="67" t="s">
        <v>117</v>
      </c>
      <c r="C12" s="36" t="s">
        <v>118</v>
      </c>
      <c r="D12" s="36">
        <v>4</v>
      </c>
      <c r="E12" s="42">
        <v>13</v>
      </c>
      <c r="F12" s="43">
        <v>8</v>
      </c>
      <c r="G12" s="42">
        <v>6</v>
      </c>
      <c r="H12" s="42">
        <v>6</v>
      </c>
      <c r="I12" s="44">
        <v>1161.49</v>
      </c>
      <c r="J12" s="45">
        <v>2</v>
      </c>
      <c r="K12" s="45">
        <v>2179.1</v>
      </c>
      <c r="L12" s="45">
        <v>8</v>
      </c>
      <c r="M12" s="47">
        <v>16116.980000000001</v>
      </c>
      <c r="N12" s="48">
        <v>4</v>
      </c>
      <c r="O12" s="48">
        <v>2397.1</v>
      </c>
      <c r="P12" s="36">
        <f t="shared" ref="P12:P15" si="4">I12*12+K12</f>
      </c>
      <c r="Q12" s="49">
        <v>10677.279999999999</v>
      </c>
      <c r="R12" s="50">
        <f t="shared" si="33"/>
      </c>
      <c r="S12" s="51">
        <f t="shared" si="34"/>
      </c>
      <c r="T12" s="51">
        <f t="shared" si="35"/>
      </c>
      <c r="U12" s="42"/>
      <c r="V12" s="42"/>
      <c r="W12" s="44"/>
      <c r="X12" s="44"/>
      <c r="Y12" s="44"/>
      <c r="Z12" s="44"/>
      <c r="AA12" s="52">
        <v>49555</v>
      </c>
      <c r="AB12" s="52">
        <v>2681</v>
      </c>
      <c r="AC12" s="52">
        <v>4214</v>
      </c>
      <c r="AD12" s="52">
        <v>887</v>
      </c>
      <c r="AE12" s="44">
        <v>101</v>
      </c>
      <c r="AF12" s="44">
        <v>33</v>
      </c>
      <c r="AG12" s="44">
        <v>250</v>
      </c>
      <c r="AH12" s="44">
        <v>0</v>
      </c>
      <c r="AI12" s="53">
        <f t="shared" si="37"/>
      </c>
      <c r="AJ12" s="53">
        <f t="shared" si="56"/>
      </c>
      <c r="AK12" s="53">
        <f t="shared" si="38"/>
      </c>
      <c r="AL12" s="54">
        <f t="shared" si="0"/>
      </c>
      <c r="AM12" s="55">
        <f t="shared" si="1"/>
      </c>
      <c r="AN12" s="56"/>
    </row>
    <row hidden="true" r="13">
      <c r="A13" s="40">
        <v>46268</v>
      </c>
      <c r="B13" s="41" t="s">
        <v>120</v>
      </c>
      <c r="C13" s="36" t="s">
        <v>121</v>
      </c>
      <c r="D13" s="36">
        <v>4</v>
      </c>
      <c r="E13" s="42">
        <v>23</v>
      </c>
      <c r="F13" s="43">
        <v>12</v>
      </c>
      <c r="G13" s="42">
        <v>11</v>
      </c>
      <c r="H13" s="42">
        <v>10</v>
      </c>
      <c r="I13" s="42">
        <v>2991.97</v>
      </c>
      <c r="J13" s="45">
        <v>2</v>
      </c>
      <c r="K13" s="45">
        <v>2082.2</v>
      </c>
      <c r="L13" s="45">
        <v>12</v>
      </c>
      <c r="M13" s="48">
        <v>37985.84</v>
      </c>
      <c r="N13" s="48">
        <v>7</v>
      </c>
      <c r="O13" s="48">
        <v>3955.6000000000004</v>
      </c>
      <c r="P13" s="36">
        <f t="shared" si="4"/>
      </c>
      <c r="Q13" s="58">
        <v>23821.879999999997</v>
      </c>
      <c r="R13" s="50">
        <f t="shared" si="33"/>
      </c>
      <c r="S13" s="51">
        <f t="shared" si="34"/>
      </c>
      <c r="T13" s="51">
        <f t="shared" si="35"/>
      </c>
      <c r="U13" s="42" t="s">
        <v>132</v>
      </c>
      <c r="V13" s="42">
        <v>8</v>
      </c>
      <c r="W13" s="44"/>
      <c r="X13" s="44"/>
      <c r="Y13" s="44" t="s">
        <v>123</v>
      </c>
      <c r="Z13" s="42">
        <v>16</v>
      </c>
      <c r="AA13" s="52">
        <v>117199</v>
      </c>
      <c r="AB13" s="52">
        <v>5143</v>
      </c>
      <c r="AC13" s="52">
        <v>8233</v>
      </c>
      <c r="AD13" s="52">
        <v>1602</v>
      </c>
      <c r="AE13" s="44">
        <v>126</v>
      </c>
      <c r="AF13" s="44">
        <v>61</v>
      </c>
      <c r="AG13" s="44">
        <v>613</v>
      </c>
      <c r="AH13" s="44">
        <v>7</v>
      </c>
      <c r="AI13" s="53">
        <f t="shared" si="37"/>
      </c>
      <c r="AJ13" s="53">
        <f t="shared" si="56"/>
      </c>
      <c r="AK13" s="53">
        <f t="shared" si="38"/>
      </c>
      <c r="AL13" s="54">
        <f t="shared" si="0"/>
      </c>
      <c r="AM13" s="55">
        <f t="shared" si="1"/>
      </c>
      <c r="AN13" s="56"/>
    </row>
    <row hidden="true" r="14">
      <c r="A14" s="40">
        <v>46268</v>
      </c>
      <c r="B14" s="41" t="s">
        <v>131</v>
      </c>
      <c r="C14" s="36" t="s">
        <v>125</v>
      </c>
      <c r="D14" s="36">
        <v>4</v>
      </c>
      <c r="E14" s="42">
        <v>12</v>
      </c>
      <c r="F14" s="43">
        <v>6</v>
      </c>
      <c r="G14" s="42">
        <v>6</v>
      </c>
      <c r="H14" s="42">
        <v>6</v>
      </c>
      <c r="I14" s="42">
        <v>1596.5700000000002</v>
      </c>
      <c r="J14" s="45">
        <v>0</v>
      </c>
      <c r="K14" s="45">
        <v>0</v>
      </c>
      <c r="L14" s="45">
        <v>6</v>
      </c>
      <c r="M14" s="48">
        <v>19158.840000000004</v>
      </c>
      <c r="N14" s="48">
        <v>2</v>
      </c>
      <c r="O14" s="48">
        <v>1018.6800000000001</v>
      </c>
      <c r="P14" s="36">
        <f t="shared" si="4"/>
      </c>
      <c r="Q14" s="58">
        <v>15821.129999999997</v>
      </c>
      <c r="R14" s="50">
        <f t="shared" si="33"/>
      </c>
      <c r="S14" s="51">
        <f t="shared" si="34"/>
      </c>
      <c r="T14" s="51">
        <f t="shared" si="35"/>
      </c>
      <c r="U14" s="42" t="s">
        <v>133</v>
      </c>
      <c r="V14" s="42">
        <v>8</v>
      </c>
      <c r="W14" s="44"/>
      <c r="X14" s="44"/>
      <c r="Y14" s="44"/>
      <c r="Z14" s="44"/>
      <c r="AA14" s="44">
        <v>76703</v>
      </c>
      <c r="AB14" s="44">
        <v>4125</v>
      </c>
      <c r="AC14" s="44">
        <v>7306</v>
      </c>
      <c r="AD14" s="44">
        <v>1404</v>
      </c>
      <c r="AE14" s="44">
        <v>127</v>
      </c>
      <c r="AF14" s="44">
        <v>33</v>
      </c>
      <c r="AG14" s="44">
        <v>336</v>
      </c>
      <c r="AH14" s="44">
        <v>7</v>
      </c>
      <c r="AI14" s="53">
        <f t="shared" si="37"/>
      </c>
      <c r="AJ14" s="53">
        <f t="shared" si="56"/>
      </c>
      <c r="AK14" s="53">
        <f t="shared" si="38"/>
      </c>
      <c r="AL14" s="54">
        <f t="shared" si="0"/>
      </c>
      <c r="AM14" s="55">
        <f t="shared" si="1"/>
      </c>
      <c r="AN14" s="56"/>
    </row>
    <row hidden="true" r="15">
      <c r="A15" s="40">
        <v>46268</v>
      </c>
      <c r="B15" s="41" t="s">
        <v>126</v>
      </c>
      <c r="C15" s="36" t="s">
        <v>127</v>
      </c>
      <c r="D15" s="36">
        <v>4</v>
      </c>
      <c r="E15" s="42">
        <v>12</v>
      </c>
      <c r="F15" s="43">
        <v>5</v>
      </c>
      <c r="G15" s="42">
        <v>5</v>
      </c>
      <c r="H15" s="42">
        <v>5</v>
      </c>
      <c r="I15" s="42">
        <v>1342.92</v>
      </c>
      <c r="J15" s="45">
        <v>0</v>
      </c>
      <c r="K15" s="45">
        <v>0</v>
      </c>
      <c r="L15" s="45">
        <v>5</v>
      </c>
      <c r="M15" s="48">
        <v>16115.04</v>
      </c>
      <c r="N15" s="48">
        <v>2</v>
      </c>
      <c r="O15" s="48">
        <v>934.4100000000001</v>
      </c>
      <c r="P15" s="36">
        <f t="shared" si="4"/>
      </c>
      <c r="Q15" s="58">
        <v>15412.26</v>
      </c>
      <c r="R15" s="50">
        <f t="shared" si="33"/>
      </c>
      <c r="S15" s="51">
        <f t="shared" si="34"/>
      </c>
      <c r="T15" s="51">
        <f t="shared" si="35"/>
      </c>
      <c r="U15" s="42"/>
      <c r="V15" s="42"/>
      <c r="W15" s="44"/>
      <c r="X15" s="44"/>
      <c r="Y15" s="44"/>
      <c r="Z15" s="44"/>
      <c r="AA15" s="44">
        <v>64407</v>
      </c>
      <c r="AB15" s="44">
        <v>3601</v>
      </c>
      <c r="AC15" s="44">
        <v>5148</v>
      </c>
      <c r="AD15" s="44">
        <v>868</v>
      </c>
      <c r="AE15" s="44">
        <v>189</v>
      </c>
      <c r="AF15" s="44">
        <v>40</v>
      </c>
      <c r="AG15" s="44">
        <v>324</v>
      </c>
      <c r="AH15" s="44">
        <v>3</v>
      </c>
      <c r="AI15" s="53">
        <f t="shared" si="37"/>
      </c>
      <c r="AJ15" s="53">
        <f t="shared" si="56"/>
      </c>
      <c r="AK15" s="53">
        <f t="shared" si="38"/>
      </c>
      <c r="AL15" s="54">
        <f t="shared" si="0"/>
      </c>
      <c r="AM15" s="55">
        <f t="shared" si="1"/>
      </c>
      <c r="AN15" s="56"/>
    </row>
    <row r="16">
      <c r="A16" s="59">
        <v>46268</v>
      </c>
      <c r="B16" s="60"/>
      <c r="C16" s="61" t="s">
        <v>129</v>
      </c>
      <c r="D16" s="60">
        <f>D12+D13+D14+D15</f>
      </c>
      <c r="E16" s="60">
        <f>E12+E13+E14+E15</f>
      </c>
      <c r="F16" s="60">
        <f>F12+F13+F14+F15</f>
      </c>
      <c r="G16" s="60">
        <f>G12+G13+G14+G15</f>
      </c>
      <c r="H16" s="60">
        <f>H12+H13+H14+H15</f>
      </c>
      <c r="I16" s="60">
        <f>I12+I13+I14+I15</f>
      </c>
      <c r="J16" s="62">
        <f>J12+J13+J14+J15</f>
      </c>
      <c r="K16" s="62">
        <f>K12+K13+K14+K15</f>
      </c>
      <c r="L16" s="62">
        <f>L12+L13+L14+L15</f>
      </c>
      <c r="M16" s="62">
        <f>M12+M13+M14+M15</f>
      </c>
      <c r="N16" s="62">
        <f>N12+N13+N14+N15</f>
      </c>
      <c r="O16" s="62">
        <f>O12+O13+O14+O15</f>
      </c>
      <c r="P16" s="60">
        <f>P12+P13+P14+P15</f>
      </c>
      <c r="Q16" s="60">
        <f>Q12+Q13+Q14+Q15</f>
      </c>
      <c r="R16" s="63">
        <f t="shared" si="33"/>
      </c>
      <c r="S16" s="63">
        <f t="shared" si="34"/>
      </c>
      <c r="T16" s="63">
        <f t="shared" si="35"/>
      </c>
      <c r="U16" s="64"/>
      <c r="V16" s="60">
        <f>V12+V13+V15+V14</f>
      </c>
      <c r="W16" s="64"/>
      <c r="X16" s="60">
        <f>SUM(X12:X13)</f>
      </c>
      <c r="Y16" s="64"/>
      <c r="Z16" s="61">
        <f>Z12+Z13+Z14+Z15</f>
      </c>
      <c r="AA16" s="60">
        <f>AA12+AA13+AA15+AA14</f>
      </c>
      <c r="AB16" s="60">
        <f>AB12+AB13+AB15+AB14</f>
      </c>
      <c r="AC16" s="60">
        <f>AC12+AC13+AC15+AC14</f>
      </c>
      <c r="AD16" s="60">
        <f>AD12+AD13+AD15+AD14</f>
      </c>
      <c r="AE16" s="60">
        <f>AE12+AE13+AE15+AE14</f>
      </c>
      <c r="AF16" s="60">
        <f>AF12+AF13+AF15+AF14</f>
      </c>
      <c r="AG16" s="60">
        <f>AG12+AG13+AG15+AG14</f>
      </c>
      <c r="AH16" s="60">
        <f>AH12+AH13+AH15+AH14</f>
      </c>
      <c r="AI16" s="65">
        <f t="shared" si="37"/>
      </c>
      <c r="AJ16" s="65">
        <f t="shared" si="56"/>
      </c>
      <c r="AK16" s="65">
        <f t="shared" si="38"/>
      </c>
      <c r="AL16" s="65">
        <f t="shared" si="0"/>
      </c>
      <c r="AM16" s="66">
        <f t="shared" si="1"/>
      </c>
      <c r="AN16" s="65">
        <f>F16/AE16</f>
      </c>
    </row>
    <row hidden="true" r="17">
      <c r="A17" s="40">
        <v>46269</v>
      </c>
      <c r="B17" s="41" t="s">
        <v>120</v>
      </c>
      <c r="C17" s="36" t="s">
        <v>118</v>
      </c>
      <c r="D17" s="36">
        <v>4</v>
      </c>
      <c r="E17" s="42">
        <v>13</v>
      </c>
      <c r="F17" s="43">
        <v>6</v>
      </c>
      <c r="G17" s="42">
        <v>5</v>
      </c>
      <c r="H17" s="42">
        <v>5</v>
      </c>
      <c r="I17" s="44">
        <v>1165.69</v>
      </c>
      <c r="J17" s="45">
        <v>1</v>
      </c>
      <c r="K17" s="45">
        <v>683</v>
      </c>
      <c r="L17" s="45">
        <v>6</v>
      </c>
      <c r="M17" s="47">
        <v>14671.28</v>
      </c>
      <c r="N17" s="48">
        <v>1</v>
      </c>
      <c r="O17" s="48">
        <v>334.54</v>
      </c>
      <c r="P17" s="36">
        <f t="shared" ref="P17:P20" si="5">I17*12+K17</f>
      </c>
      <c r="Q17" s="49">
        <v>12442.8</v>
      </c>
      <c r="R17" s="50">
        <f t="shared" si="33"/>
      </c>
      <c r="S17" s="51">
        <f t="shared" si="34"/>
      </c>
      <c r="T17" s="51">
        <f t="shared" si="35"/>
      </c>
      <c r="U17" s="42"/>
      <c r="V17" s="42"/>
      <c r="W17" s="44"/>
      <c r="X17" s="44"/>
      <c r="Y17" s="44"/>
      <c r="Z17" s="44"/>
      <c r="AA17" s="52">
        <v>52366</v>
      </c>
      <c r="AB17" s="52">
        <v>2713</v>
      </c>
      <c r="AC17" s="52">
        <v>4093</v>
      </c>
      <c r="AD17" s="52">
        <v>880</v>
      </c>
      <c r="AE17" s="44">
        <v>149</v>
      </c>
      <c r="AF17" s="44">
        <v>28</v>
      </c>
      <c r="AG17" s="44">
        <v>273</v>
      </c>
      <c r="AH17" s="44">
        <v>2</v>
      </c>
      <c r="AI17" s="53">
        <f t="shared" si="37"/>
      </c>
      <c r="AJ17" s="53">
        <f t="shared" si="56"/>
      </c>
      <c r="AK17" s="53">
        <f t="shared" si="38"/>
      </c>
      <c r="AL17" s="54">
        <f t="shared" si="0"/>
      </c>
      <c r="AM17" s="55">
        <f t="shared" si="1"/>
      </c>
      <c r="AN17" s="56"/>
    </row>
    <row hidden="true" r="18">
      <c r="A18" s="40">
        <v>46269</v>
      </c>
      <c r="B18" s="41" t="s">
        <v>117</v>
      </c>
      <c r="C18" s="36" t="s">
        <v>121</v>
      </c>
      <c r="D18" s="36">
        <v>4</v>
      </c>
      <c r="E18" s="42">
        <v>10</v>
      </c>
      <c r="F18" s="43">
        <v>6</v>
      </c>
      <c r="G18" s="42">
        <v>5</v>
      </c>
      <c r="H18" s="42">
        <v>5</v>
      </c>
      <c r="I18" s="42">
        <v>999.73</v>
      </c>
      <c r="J18" s="45">
        <v>1</v>
      </c>
      <c r="K18" s="45">
        <v>873</v>
      </c>
      <c r="L18" s="45">
        <v>6</v>
      </c>
      <c r="M18" s="48">
        <v>12869.76</v>
      </c>
      <c r="N18" s="48">
        <v>1</v>
      </c>
      <c r="O18" s="48">
        <v>475.12</v>
      </c>
      <c r="P18" s="36">
        <f t="shared" si="5"/>
      </c>
      <c r="Q18" s="58">
        <v>11404.880000000001</v>
      </c>
      <c r="R18" s="50">
        <f t="shared" si="33"/>
      </c>
      <c r="S18" s="51">
        <f t="shared" si="34"/>
      </c>
      <c r="T18" s="51">
        <f t="shared" si="35"/>
      </c>
      <c r="U18" s="42" t="s">
        <v>132</v>
      </c>
      <c r="V18" s="42">
        <v>8</v>
      </c>
      <c r="W18" s="44"/>
      <c r="X18" s="44"/>
      <c r="Y18" s="44" t="s">
        <v>123</v>
      </c>
      <c r="Z18" s="42">
        <v>16</v>
      </c>
      <c r="AA18" s="52">
        <v>66398</v>
      </c>
      <c r="AB18" s="52">
        <v>2606</v>
      </c>
      <c r="AC18" s="52">
        <v>3891</v>
      </c>
      <c r="AD18" s="52">
        <v>826</v>
      </c>
      <c r="AE18" s="44">
        <v>158</v>
      </c>
      <c r="AF18" s="44">
        <v>21</v>
      </c>
      <c r="AG18" s="44">
        <v>235</v>
      </c>
      <c r="AH18" s="44">
        <v>4</v>
      </c>
      <c r="AI18" s="53">
        <f t="shared" si="37"/>
      </c>
      <c r="AJ18" s="53">
        <f t="shared" si="56"/>
      </c>
      <c r="AK18" s="53">
        <f t="shared" si="38"/>
      </c>
      <c r="AL18" s="54">
        <f t="shared" si="0"/>
      </c>
      <c r="AM18" s="55">
        <f t="shared" si="1"/>
      </c>
      <c r="AN18" s="56"/>
    </row>
    <row hidden="true" r="19">
      <c r="A19" s="40">
        <v>46269</v>
      </c>
      <c r="B19" s="41" t="s">
        <v>131</v>
      </c>
      <c r="C19" s="36" t="s">
        <v>125</v>
      </c>
      <c r="D19" s="36">
        <v>4</v>
      </c>
      <c r="E19" s="42">
        <v>11</v>
      </c>
      <c r="F19" s="43">
        <v>7</v>
      </c>
      <c r="G19" s="42">
        <v>5</v>
      </c>
      <c r="H19" s="42">
        <v>7</v>
      </c>
      <c r="I19" s="42">
        <v>2135.76</v>
      </c>
      <c r="J19" s="45">
        <v>0</v>
      </c>
      <c r="K19" s="45">
        <v>0</v>
      </c>
      <c r="L19" s="45">
        <v>7</v>
      </c>
      <c r="M19" s="48">
        <v>25629.12</v>
      </c>
      <c r="N19" s="48">
        <v>3</v>
      </c>
      <c r="O19" s="48">
        <v>1416.5700000000002</v>
      </c>
      <c r="P19" s="36">
        <f t="shared" si="5"/>
      </c>
      <c r="Q19" s="58">
        <v>10850.39</v>
      </c>
      <c r="R19" s="50">
        <f t="shared" si="33"/>
      </c>
      <c r="S19" s="51">
        <f t="shared" si="34"/>
      </c>
      <c r="T19" s="51">
        <f t="shared" si="35"/>
      </c>
      <c r="U19" s="42" t="s">
        <v>133</v>
      </c>
      <c r="V19" s="42">
        <v>8</v>
      </c>
      <c r="W19" s="44"/>
      <c r="X19" s="44"/>
      <c r="Y19" s="44"/>
      <c r="Z19" s="44"/>
      <c r="AA19" s="44">
        <v>61364</v>
      </c>
      <c r="AB19" s="44">
        <v>2797</v>
      </c>
      <c r="AC19" s="44">
        <v>4241</v>
      </c>
      <c r="AD19" s="44">
        <v>968</v>
      </c>
      <c r="AE19" s="44">
        <v>76</v>
      </c>
      <c r="AF19" s="44">
        <v>21</v>
      </c>
      <c r="AG19" s="44">
        <v>207</v>
      </c>
      <c r="AH19" s="44">
        <v>3</v>
      </c>
      <c r="AI19" s="53">
        <f t="shared" si="37"/>
      </c>
      <c r="AJ19" s="53">
        <f t="shared" si="56"/>
      </c>
      <c r="AK19" s="53">
        <f t="shared" si="38"/>
      </c>
      <c r="AL19" s="54">
        <f t="shared" si="0"/>
      </c>
      <c r="AM19" s="55">
        <f t="shared" si="1"/>
      </c>
      <c r="AN19" s="56"/>
    </row>
    <row hidden="true" r="20">
      <c r="A20" s="40">
        <v>46269</v>
      </c>
      <c r="B20" s="41" t="s">
        <v>126</v>
      </c>
      <c r="C20" s="36" t="s">
        <v>127</v>
      </c>
      <c r="D20" s="36">
        <v>4</v>
      </c>
      <c r="E20" s="42">
        <v>15</v>
      </c>
      <c r="F20" s="43">
        <v>12</v>
      </c>
      <c r="G20" s="42">
        <v>8</v>
      </c>
      <c r="H20" s="42">
        <v>9</v>
      </c>
      <c r="I20" s="42">
        <v>1587.4299999999998</v>
      </c>
      <c r="J20" s="45">
        <v>3</v>
      </c>
      <c r="K20" s="45">
        <v>6980.4</v>
      </c>
      <c r="L20" s="45">
        <v>12</v>
      </c>
      <c r="M20" s="48">
        <v>26029.559999999998</v>
      </c>
      <c r="N20" s="48">
        <v>5</v>
      </c>
      <c r="O20" s="48">
        <v>7138.1799999999985</v>
      </c>
      <c r="P20" s="36">
        <f t="shared" si="5"/>
      </c>
      <c r="Q20" s="58">
        <v>11648.76</v>
      </c>
      <c r="R20" s="50">
        <f t="shared" si="33"/>
      </c>
      <c r="S20" s="51">
        <f t="shared" si="34"/>
      </c>
      <c r="T20" s="51">
        <f t="shared" si="35"/>
      </c>
      <c r="U20" s="42"/>
      <c r="V20" s="42"/>
      <c r="W20" s="44"/>
      <c r="X20" s="44"/>
      <c r="Y20" s="44"/>
      <c r="Z20" s="44"/>
      <c r="AA20" s="44">
        <v>89643</v>
      </c>
      <c r="AB20" s="44">
        <v>2077</v>
      </c>
      <c r="AC20" s="44">
        <v>2661</v>
      </c>
      <c r="AD20" s="44">
        <v>531</v>
      </c>
      <c r="AE20" s="44">
        <v>69</v>
      </c>
      <c r="AF20" s="44">
        <v>40</v>
      </c>
      <c r="AG20" s="44">
        <v>247</v>
      </c>
      <c r="AH20" s="44">
        <v>1</v>
      </c>
      <c r="AI20" s="53">
        <f t="shared" si="37"/>
      </c>
      <c r="AJ20" s="53">
        <f t="shared" si="56"/>
      </c>
      <c r="AK20" s="53">
        <f t="shared" si="38"/>
      </c>
      <c r="AL20" s="54">
        <f t="shared" si="0"/>
      </c>
      <c r="AM20" s="55">
        <f t="shared" si="1"/>
      </c>
      <c r="AN20" s="56"/>
    </row>
    <row r="21">
      <c r="A21" s="59">
        <v>46269</v>
      </c>
      <c r="B21" s="60"/>
      <c r="C21" s="61" t="s">
        <v>129</v>
      </c>
      <c r="D21" s="60">
        <f>D17+D18+D19+D20</f>
      </c>
      <c r="E21" s="60">
        <f>E17+E18+E19+E20</f>
      </c>
      <c r="F21" s="60">
        <f>F17+F18+F19+F20</f>
      </c>
      <c r="G21" s="60">
        <f>G17+G18+G19+G20</f>
      </c>
      <c r="H21" s="60">
        <f>H17+H18+H19+H20</f>
      </c>
      <c r="I21" s="60">
        <f>I17+I18+I19+I20</f>
      </c>
      <c r="J21" s="62">
        <f>J17+J18+J19+J20</f>
      </c>
      <c r="K21" s="62">
        <f>K17+K18+K19+K20</f>
      </c>
      <c r="L21" s="62">
        <f>L17+L18+L19+L20</f>
      </c>
      <c r="M21" s="62">
        <f>M17+M18+M19+M20</f>
      </c>
      <c r="N21" s="62">
        <f>N17+N18+N19+N20</f>
      </c>
      <c r="O21" s="62">
        <f>O17+O18+O19+O20</f>
      </c>
      <c r="P21" s="60">
        <f>P17+P18+P19+P20</f>
      </c>
      <c r="Q21" s="60">
        <f>Q17+Q18+Q19+Q20</f>
      </c>
      <c r="R21" s="63">
        <f t="shared" si="33"/>
      </c>
      <c r="S21" s="63">
        <f t="shared" si="34"/>
      </c>
      <c r="T21" s="63">
        <f t="shared" si="35"/>
      </c>
      <c r="U21" s="64"/>
      <c r="V21" s="60">
        <f>V17+V18+V20+V19</f>
      </c>
      <c r="W21" s="64"/>
      <c r="X21" s="60">
        <f>SUM(X17:X18)</f>
      </c>
      <c r="Y21" s="64"/>
      <c r="Z21" s="61">
        <f>Z17+Z18+Z19+Z20</f>
      </c>
      <c r="AA21" s="60">
        <f>AA17+AA18+AA20+AA19</f>
      </c>
      <c r="AB21" s="60">
        <f>AB17+AB18+AB20+AB19</f>
      </c>
      <c r="AC21" s="60">
        <f>AC17+AC18+AC20+AC19</f>
      </c>
      <c r="AD21" s="60">
        <f>AD17+AD18+AD20+AD19</f>
      </c>
      <c r="AE21" s="60">
        <f>AE17+AE18+AE20+AE19</f>
      </c>
      <c r="AF21" s="60">
        <f>AF17+AF18+AF20+AF19</f>
      </c>
      <c r="AG21" s="60">
        <f>AG17+AG18+AG20+AG19</f>
      </c>
      <c r="AH21" s="60">
        <f>AH17+AH18+AH20+AH19</f>
      </c>
      <c r="AI21" s="65">
        <f t="shared" si="37"/>
      </c>
      <c r="AJ21" s="65">
        <f t="shared" si="56"/>
      </c>
      <c r="AK21" s="65">
        <f t="shared" si="38"/>
      </c>
      <c r="AL21" s="65">
        <f t="shared" si="0"/>
      </c>
      <c r="AM21" s="66">
        <f t="shared" si="1"/>
      </c>
      <c r="AN21" s="65">
        <f>F21/AE21</f>
      </c>
    </row>
    <row hidden="true" r="22">
      <c r="A22" s="40">
        <v>46270</v>
      </c>
      <c r="B22" s="41" t="s">
        <v>117</v>
      </c>
      <c r="C22" s="36" t="s">
        <v>118</v>
      </c>
      <c r="D22" s="36">
        <v>4</v>
      </c>
      <c r="E22" s="42">
        <v>17</v>
      </c>
      <c r="F22" s="43">
        <v>11</v>
      </c>
      <c r="G22" s="42">
        <v>9</v>
      </c>
      <c r="H22" s="42">
        <v>10</v>
      </c>
      <c r="I22" s="44">
        <v>2423.12</v>
      </c>
      <c r="J22" s="45">
        <v>1</v>
      </c>
      <c r="K22" s="46">
        <v>520</v>
      </c>
      <c r="L22" s="46">
        <v>11</v>
      </c>
      <c r="M22" s="47">
        <v>29597.439999999995</v>
      </c>
      <c r="N22" s="48">
        <v>4</v>
      </c>
      <c r="O22" s="47">
        <v>1629.32</v>
      </c>
      <c r="P22" s="36">
        <f t="shared" ref="P22:P25" si="6">I22*12+K22</f>
      </c>
      <c r="Q22" s="49">
        <v>13700.609999999999</v>
      </c>
      <c r="R22" s="50">
        <f t="shared" si="33"/>
      </c>
      <c r="S22" s="51">
        <f t="shared" si="34"/>
      </c>
      <c r="T22" s="51">
        <f t="shared" si="35"/>
      </c>
      <c r="U22" s="44"/>
      <c r="V22" s="44"/>
      <c r="W22" s="44"/>
      <c r="X22" s="44"/>
      <c r="Y22" s="44"/>
      <c r="Z22" s="44"/>
      <c r="AA22" s="52">
        <v>91817</v>
      </c>
      <c r="AB22" s="52">
        <v>2767</v>
      </c>
      <c r="AC22" s="52">
        <v>4018</v>
      </c>
      <c r="AD22" s="52">
        <v>816</v>
      </c>
      <c r="AE22" s="44">
        <v>102</v>
      </c>
      <c r="AF22" s="44">
        <v>43</v>
      </c>
      <c r="AG22" s="44">
        <v>225</v>
      </c>
      <c r="AH22" s="44">
        <v>2</v>
      </c>
      <c r="AI22" s="53">
        <f t="shared" si="37"/>
      </c>
      <c r="AJ22" s="53">
        <f t="shared" si="56"/>
      </c>
      <c r="AK22" s="53">
        <f t="shared" si="38"/>
      </c>
      <c r="AL22" s="54">
        <f t="shared" si="0"/>
      </c>
      <c r="AM22" s="55">
        <f t="shared" si="1"/>
      </c>
      <c r="AN22" s="56"/>
    </row>
    <row hidden="true" r="23">
      <c r="A23" s="40">
        <v>46270</v>
      </c>
      <c r="B23" s="36" t="s">
        <v>120</v>
      </c>
      <c r="C23" s="36" t="s">
        <v>121</v>
      </c>
      <c r="D23" s="36">
        <v>4</v>
      </c>
      <c r="E23" s="44">
        <v>26</v>
      </c>
      <c r="F23" s="68">
        <v>15</v>
      </c>
      <c r="G23" s="44">
        <v>13</v>
      </c>
      <c r="H23" s="42">
        <v>14</v>
      </c>
      <c r="I23" s="44">
        <v>1923.9899999999998</v>
      </c>
      <c r="J23" s="45">
        <v>1</v>
      </c>
      <c r="K23" s="46">
        <v>1864.8</v>
      </c>
      <c r="L23" s="45">
        <v>15</v>
      </c>
      <c r="M23" s="47">
        <v>24952.679999999997</v>
      </c>
      <c r="N23" s="48">
        <v>6</v>
      </c>
      <c r="O23" s="47">
        <v>3275.57</v>
      </c>
      <c r="P23" s="36">
        <f t="shared" si="6"/>
      </c>
      <c r="Q23" s="49">
        <v>20556.48</v>
      </c>
      <c r="R23" s="50">
        <f t="shared" si="33"/>
      </c>
      <c r="S23" s="51">
        <f t="shared" si="34"/>
      </c>
      <c r="T23" s="51">
        <f t="shared" si="35"/>
      </c>
      <c r="U23" s="42" t="s">
        <v>134</v>
      </c>
      <c r="V23" s="44">
        <v>8</v>
      </c>
      <c r="W23" s="44"/>
      <c r="X23" s="44"/>
      <c r="Y23" s="44" t="s">
        <v>123</v>
      </c>
      <c r="Z23" s="44">
        <v>16</v>
      </c>
      <c r="AA23" s="52">
        <v>115710</v>
      </c>
      <c r="AB23" s="52">
        <v>2974</v>
      </c>
      <c r="AC23" s="52">
        <v>3612</v>
      </c>
      <c r="AD23" s="52">
        <v>731</v>
      </c>
      <c r="AE23" s="44">
        <v>107</v>
      </c>
      <c r="AF23" s="44">
        <v>36</v>
      </c>
      <c r="AG23" s="44">
        <v>346</v>
      </c>
      <c r="AH23" s="44">
        <v>2</v>
      </c>
      <c r="AI23" s="53">
        <f t="shared" si="37"/>
      </c>
      <c r="AJ23" s="53">
        <f t="shared" si="56"/>
      </c>
      <c r="AK23" s="53">
        <f t="shared" si="38"/>
      </c>
      <c r="AL23" s="54">
        <f t="shared" si="0"/>
      </c>
      <c r="AM23" s="55">
        <f t="shared" si="1"/>
      </c>
      <c r="AN23" s="56"/>
    </row>
    <row hidden="true" r="24">
      <c r="A24" s="40">
        <v>46270</v>
      </c>
      <c r="B24" s="41" t="s">
        <v>124</v>
      </c>
      <c r="C24" s="36" t="s">
        <v>125</v>
      </c>
      <c r="D24" s="36">
        <v>4</v>
      </c>
      <c r="E24" s="44">
        <v>28</v>
      </c>
      <c r="F24" s="68">
        <v>21</v>
      </c>
      <c r="G24" s="44">
        <v>17</v>
      </c>
      <c r="H24" s="42">
        <v>19</v>
      </c>
      <c r="I24" s="44">
        <v>5367.869999999999</v>
      </c>
      <c r="J24" s="45">
        <v>2</v>
      </c>
      <c r="K24" s="46">
        <v>8574</v>
      </c>
      <c r="L24" s="45">
        <v>21</v>
      </c>
      <c r="M24" s="47">
        <v>72988.43999999999</v>
      </c>
      <c r="N24" s="48">
        <v>11</v>
      </c>
      <c r="O24" s="47">
        <v>10182.96</v>
      </c>
      <c r="P24" s="36">
        <f t="shared" si="6"/>
      </c>
      <c r="Q24" s="49">
        <v>27627.339999999997</v>
      </c>
      <c r="R24" s="50">
        <f t="shared" si="33"/>
      </c>
      <c r="S24" s="51">
        <f t="shared" si="34"/>
      </c>
      <c r="T24" s="51">
        <f t="shared" si="35"/>
      </c>
      <c r="U24" s="44" t="s">
        <v>133</v>
      </c>
      <c r="V24" s="44">
        <v>8</v>
      </c>
      <c r="W24" s="44"/>
      <c r="X24" s="44"/>
      <c r="Y24" s="44"/>
      <c r="Z24" s="44"/>
      <c r="AA24" s="44">
        <v>151265</v>
      </c>
      <c r="AB24" s="44">
        <v>5041</v>
      </c>
      <c r="AC24" s="44">
        <v>7078</v>
      </c>
      <c r="AD24" s="44">
        <v>1199</v>
      </c>
      <c r="AE24" s="44">
        <v>150</v>
      </c>
      <c r="AF24" s="44">
        <v>58</v>
      </c>
      <c r="AG24" s="44">
        <v>327</v>
      </c>
      <c r="AH24" s="44">
        <v>9</v>
      </c>
      <c r="AI24" s="53">
        <f t="shared" si="37"/>
      </c>
      <c r="AJ24" s="53">
        <f t="shared" si="56"/>
      </c>
      <c r="AK24" s="53">
        <f t="shared" si="38"/>
      </c>
      <c r="AL24" s="54">
        <f t="shared" si="0"/>
      </c>
      <c r="AM24" s="55">
        <f t="shared" si="1"/>
      </c>
      <c r="AN24" s="56"/>
    </row>
    <row hidden="true" r="25">
      <c r="A25" s="40">
        <v>46270</v>
      </c>
      <c r="B25" s="36" t="s">
        <v>131</v>
      </c>
      <c r="C25" s="36" t="s">
        <v>127</v>
      </c>
      <c r="D25" s="36">
        <v>4</v>
      </c>
      <c r="E25" s="44">
        <v>14</v>
      </c>
      <c r="F25" s="68">
        <v>6</v>
      </c>
      <c r="G25" s="44">
        <v>5</v>
      </c>
      <c r="H25" s="42">
        <v>6</v>
      </c>
      <c r="I25" s="44">
        <v>668.49</v>
      </c>
      <c r="J25" s="45">
        <v>0</v>
      </c>
      <c r="K25" s="45">
        <v>0</v>
      </c>
      <c r="L25" s="45">
        <v>6</v>
      </c>
      <c r="M25" s="47">
        <v>8021.88</v>
      </c>
      <c r="N25" s="48">
        <v>3</v>
      </c>
      <c r="O25" s="47">
        <v>439.5</v>
      </c>
      <c r="P25" s="36">
        <f t="shared" si="6"/>
      </c>
      <c r="Q25" s="49">
        <v>19085.68</v>
      </c>
      <c r="R25" s="50">
        <f t="shared" si="33"/>
      </c>
      <c r="S25" s="51">
        <f t="shared" si="34"/>
      </c>
      <c r="T25" s="51">
        <f t="shared" si="35"/>
      </c>
      <c r="U25" s="44"/>
      <c r="V25" s="44"/>
      <c r="W25" s="44"/>
      <c r="X25" s="44"/>
      <c r="Y25" s="44"/>
      <c r="Z25" s="44"/>
      <c r="AA25" s="44">
        <v>101070</v>
      </c>
      <c r="AB25" s="44">
        <v>3700</v>
      </c>
      <c r="AC25" s="44">
        <v>5638</v>
      </c>
      <c r="AD25" s="44">
        <v>883</v>
      </c>
      <c r="AE25" s="44">
        <v>162</v>
      </c>
      <c r="AF25" s="44">
        <v>37</v>
      </c>
      <c r="AG25" s="44">
        <v>308</v>
      </c>
      <c r="AH25" s="44">
        <v>9</v>
      </c>
      <c r="AI25" s="53">
        <f t="shared" si="37"/>
      </c>
      <c r="AJ25" s="53">
        <f t="shared" si="56"/>
      </c>
      <c r="AK25" s="53">
        <f t="shared" si="38"/>
      </c>
      <c r="AL25" s="54">
        <f t="shared" si="0"/>
      </c>
      <c r="AM25" s="55">
        <f t="shared" si="1"/>
      </c>
      <c r="AN25" s="56"/>
    </row>
    <row r="26">
      <c r="A26" s="59">
        <v>46270</v>
      </c>
      <c r="B26" s="60"/>
      <c r="C26" s="60" t="s">
        <v>129</v>
      </c>
      <c r="D26" s="60">
        <f>D22+D23+D24+D25</f>
      </c>
      <c r="E26" s="60">
        <f>E22+E23+E24+E25</f>
      </c>
      <c r="F26" s="60">
        <f>F22+F23+F24+F25</f>
      </c>
      <c r="G26" s="60">
        <f>G22+G23+G24+G25</f>
      </c>
      <c r="H26" s="60">
        <f>H22+H23+H24+H25</f>
      </c>
      <c r="I26" s="60">
        <f>I22+I23+I24+I25</f>
      </c>
      <c r="J26" s="62">
        <f>J22+J23+J24+J25</f>
      </c>
      <c r="K26" s="62">
        <f>K22+K23+K24+K25</f>
      </c>
      <c r="L26" s="62">
        <f>L22+L23+L24+L25</f>
      </c>
      <c r="M26" s="62">
        <f>M22+M23+M24+M25</f>
      </c>
      <c r="N26" s="62">
        <f>N22+N23+N24+N25</f>
      </c>
      <c r="O26" s="62">
        <f>O22+O23+O24+O25</f>
      </c>
      <c r="P26" s="60">
        <f>P22+P23+P24+P25</f>
      </c>
      <c r="Q26" s="60">
        <f>Q22+Q23+Q24+Q25</f>
      </c>
      <c r="R26" s="63">
        <f t="shared" si="33"/>
      </c>
      <c r="S26" s="63">
        <f t="shared" si="34"/>
      </c>
      <c r="T26" s="63">
        <f t="shared" si="35"/>
      </c>
      <c r="U26" s="64"/>
      <c r="V26" s="60">
        <f>V22+V23+V25+V24</f>
      </c>
      <c r="W26" s="64"/>
      <c r="X26" s="60">
        <f>SUM(X22:X23)</f>
      </c>
      <c r="Y26" s="64"/>
      <c r="Z26" s="60">
        <f>Z22+Z23+Z24+Z25</f>
      </c>
      <c r="AA26" s="60">
        <f>AA22+AA23+AA25+AA24</f>
      </c>
      <c r="AB26" s="60">
        <f>AB22+AB23+AB25+AB24</f>
      </c>
      <c r="AC26" s="60">
        <f>AC22+AC23+AC25+AC24</f>
      </c>
      <c r="AD26" s="60">
        <f>AD22+AD23+AD25+AD24</f>
      </c>
      <c r="AE26" s="60">
        <f>AE22+AE23+AE25+AE24</f>
      </c>
      <c r="AF26" s="60">
        <f>AF22+AF23+AF25+AF24</f>
      </c>
      <c r="AG26" s="60">
        <f>AG22+AG23+AG25+AG24</f>
      </c>
      <c r="AH26" s="60">
        <f>AH22+AH23+AH25+AH24</f>
      </c>
      <c r="AI26" s="65">
        <f t="shared" si="37"/>
      </c>
      <c r="AJ26" s="65">
        <f t="shared" si="56"/>
      </c>
      <c r="AK26" s="65">
        <f t="shared" si="38"/>
      </c>
      <c r="AL26" s="65">
        <f t="shared" si="0"/>
      </c>
      <c r="AM26" s="66">
        <f t="shared" si="1"/>
      </c>
      <c r="AN26" s="65">
        <f>F26/AE26</f>
      </c>
    </row>
    <row hidden="true" r="27">
      <c r="A27" s="40">
        <v>46271</v>
      </c>
      <c r="B27" s="41" t="s">
        <v>117</v>
      </c>
      <c r="C27" s="41" t="s">
        <v>135</v>
      </c>
      <c r="D27" s="41">
        <v>5</v>
      </c>
      <c r="E27" s="42">
        <v>28</v>
      </c>
      <c r="F27" s="43">
        <v>19</v>
      </c>
      <c r="G27" s="42">
        <v>15</v>
      </c>
      <c r="H27" s="42">
        <v>17</v>
      </c>
      <c r="I27" s="44">
        <v>3546.1100000000006</v>
      </c>
      <c r="J27" s="45">
        <v>2</v>
      </c>
      <c r="K27" s="46">
        <v>6533.4</v>
      </c>
      <c r="L27" s="45">
        <v>19</v>
      </c>
      <c r="M27" s="47">
        <v>49086.72000000001</v>
      </c>
      <c r="N27" s="48">
        <v>5</v>
      </c>
      <c r="O27" s="47">
        <v>7389.25</v>
      </c>
      <c r="P27" s="36">
        <f t="shared" ref="P27:P30" si="7">I27*12+K27</f>
      </c>
      <c r="Q27" s="49">
        <v>25718.34</v>
      </c>
      <c r="R27" s="50">
        <f t="shared" si="33"/>
      </c>
      <c r="S27" s="51">
        <f t="shared" si="34"/>
      </c>
      <c r="T27" s="51">
        <f t="shared" si="35"/>
      </c>
      <c r="U27" s="44"/>
      <c r="V27" s="44"/>
      <c r="W27" s="44"/>
      <c r="X27" s="44"/>
      <c r="Y27" s="44"/>
      <c r="Z27" s="44"/>
      <c r="AA27" s="52">
        <v>147319</v>
      </c>
      <c r="AB27" s="52">
        <v>6277</v>
      </c>
      <c r="AC27" s="52">
        <v>10282</v>
      </c>
      <c r="AD27" s="52">
        <v>1798</v>
      </c>
      <c r="AE27" s="44">
        <v>325</v>
      </c>
      <c r="AF27" s="42">
        <v>50</v>
      </c>
      <c r="AG27" s="42">
        <v>355</v>
      </c>
      <c r="AH27" s="42">
        <v>2</v>
      </c>
      <c r="AI27" s="53">
        <f t="shared" si="37"/>
      </c>
      <c r="AJ27" s="53">
        <f t="shared" si="56"/>
      </c>
      <c r="AK27" s="53">
        <f t="shared" si="38"/>
      </c>
      <c r="AL27" s="54">
        <f t="shared" si="0"/>
      </c>
      <c r="AM27" s="55">
        <f t="shared" si="1"/>
      </c>
      <c r="AN27" s="56"/>
    </row>
    <row hidden="true" r="28">
      <c r="A28" s="40">
        <v>46271</v>
      </c>
      <c r="B28" s="36" t="s">
        <v>120</v>
      </c>
      <c r="C28" s="41" t="s">
        <v>136</v>
      </c>
      <c r="D28" s="41">
        <v>5</v>
      </c>
      <c r="E28" s="44">
        <v>12</v>
      </c>
      <c r="F28" s="68">
        <v>7</v>
      </c>
      <c r="G28" s="44">
        <v>5</v>
      </c>
      <c r="H28" s="42">
        <v>7</v>
      </c>
      <c r="I28" s="44">
        <v>831.55</v>
      </c>
      <c r="J28" s="45">
        <v>0</v>
      </c>
      <c r="K28" s="45">
        <v>0</v>
      </c>
      <c r="L28" s="45">
        <v>7</v>
      </c>
      <c r="M28" s="47">
        <v>9978.599999999999</v>
      </c>
      <c r="N28" s="48">
        <v>1</v>
      </c>
      <c r="O28" s="47">
        <v>391.84</v>
      </c>
      <c r="P28" s="36">
        <f t="shared" si="7"/>
      </c>
      <c r="Q28" s="49">
        <v>18675.7</v>
      </c>
      <c r="R28" s="50">
        <f t="shared" si="33"/>
      </c>
      <c r="S28" s="51">
        <f t="shared" si="34"/>
      </c>
      <c r="T28" s="51">
        <f t="shared" si="35"/>
      </c>
      <c r="U28" s="42" t="s">
        <v>137</v>
      </c>
      <c r="V28" s="44">
        <v>8</v>
      </c>
      <c r="W28" s="44"/>
      <c r="X28" s="44"/>
      <c r="Y28" s="44" t="s">
        <v>123</v>
      </c>
      <c r="Z28" s="44">
        <v>16</v>
      </c>
      <c r="AA28" s="52">
        <v>95620</v>
      </c>
      <c r="AB28" s="52">
        <v>5047</v>
      </c>
      <c r="AC28" s="52">
        <v>8884</v>
      </c>
      <c r="AD28" s="52">
        <v>1460</v>
      </c>
      <c r="AE28" s="44">
        <v>213</v>
      </c>
      <c r="AF28" s="44">
        <v>33</v>
      </c>
      <c r="AG28" s="44">
        <v>329</v>
      </c>
      <c r="AH28" s="44">
        <v>3</v>
      </c>
      <c r="AI28" s="53">
        <f t="shared" si="37"/>
      </c>
      <c r="AJ28" s="53">
        <f t="shared" si="56"/>
      </c>
      <c r="AK28" s="53">
        <f t="shared" si="38"/>
      </c>
      <c r="AL28" s="54">
        <f t="shared" si="0"/>
      </c>
      <c r="AM28" s="55">
        <f t="shared" si="1"/>
      </c>
      <c r="AN28" s="56"/>
    </row>
    <row hidden="true" r="29">
      <c r="A29" s="40">
        <v>46271</v>
      </c>
      <c r="B29" s="41" t="s">
        <v>138</v>
      </c>
      <c r="C29" s="41" t="s">
        <v>139</v>
      </c>
      <c r="D29" s="41">
        <v>2</v>
      </c>
      <c r="E29" s="44">
        <v>1</v>
      </c>
      <c r="F29" s="43">
        <v>0</v>
      </c>
      <c r="G29" s="42">
        <v>0</v>
      </c>
      <c r="H29" s="42">
        <v>0</v>
      </c>
      <c r="I29" s="42">
        <v>0</v>
      </c>
      <c r="J29" s="45">
        <v>0</v>
      </c>
      <c r="K29" s="45">
        <v>0</v>
      </c>
      <c r="L29" s="45">
        <v>0</v>
      </c>
      <c r="M29" s="48">
        <v>0</v>
      </c>
      <c r="N29" s="48">
        <v>0</v>
      </c>
      <c r="O29" s="48">
        <v>0</v>
      </c>
      <c r="P29" s="36">
        <f t="shared" si="7"/>
      </c>
      <c r="Q29" s="49">
        <v>5847.78</v>
      </c>
      <c r="R29" s="50">
        <f t="shared" si="33"/>
      </c>
      <c r="S29" s="51">
        <f t="shared" si="34"/>
      </c>
      <c r="T29" s="51">
        <f t="shared" si="35"/>
      </c>
      <c r="U29" s="44" t="s">
        <v>133</v>
      </c>
      <c r="V29" s="44">
        <v>8</v>
      </c>
      <c r="W29" s="44"/>
      <c r="X29" s="44"/>
      <c r="Y29" s="44"/>
      <c r="Z29" s="44"/>
      <c r="AA29" s="44">
        <v>28256</v>
      </c>
      <c r="AB29" s="44">
        <v>1509</v>
      </c>
      <c r="AC29" s="44">
        <v>2985</v>
      </c>
      <c r="AD29" s="44">
        <v>526</v>
      </c>
      <c r="AE29" s="44">
        <v>39</v>
      </c>
      <c r="AF29" s="44">
        <v>15</v>
      </c>
      <c r="AG29" s="44">
        <v>56</v>
      </c>
      <c r="AH29" s="44">
        <v>0</v>
      </c>
      <c r="AI29" s="53">
        <f t="shared" si="37"/>
      </c>
      <c r="AJ29" s="53">
        <f t="shared" si="56"/>
      </c>
      <c r="AK29" s="53">
        <f t="shared" si="38"/>
      </c>
      <c r="AL29" s="54">
        <f t="shared" si="0"/>
      </c>
      <c r="AM29" s="55">
        <f t="shared" si="1"/>
      </c>
      <c r="AN29" s="56"/>
    </row>
    <row hidden="true" r="30">
      <c r="A30" s="40">
        <v>46271</v>
      </c>
      <c r="B30" s="41" t="s">
        <v>124</v>
      </c>
      <c r="C30" s="36" t="s">
        <v>127</v>
      </c>
      <c r="D30" s="36">
        <v>4</v>
      </c>
      <c r="E30" s="44">
        <v>5</v>
      </c>
      <c r="F30" s="68">
        <v>3</v>
      </c>
      <c r="G30" s="44">
        <v>2</v>
      </c>
      <c r="H30" s="42">
        <v>3</v>
      </c>
      <c r="I30" s="44">
        <v>667.3900000000001</v>
      </c>
      <c r="J30" s="45">
        <v>0</v>
      </c>
      <c r="K30" s="45">
        <v>0</v>
      </c>
      <c r="L30" s="45">
        <v>3</v>
      </c>
      <c r="M30" s="47">
        <v>8008.680000000001</v>
      </c>
      <c r="N30" s="48">
        <v>1</v>
      </c>
      <c r="O30" s="47">
        <v>549.94</v>
      </c>
      <c r="P30" s="36">
        <f t="shared" si="7"/>
      </c>
      <c r="Q30" s="49">
        <v>11988.369999999999</v>
      </c>
      <c r="R30" s="50">
        <f t="shared" si="33"/>
      </c>
      <c r="S30" s="51">
        <f t="shared" si="34"/>
      </c>
      <c r="T30" s="51">
        <f t="shared" si="35"/>
      </c>
      <c r="U30" s="44"/>
      <c r="V30" s="44"/>
      <c r="W30" s="44"/>
      <c r="X30" s="44"/>
      <c r="Y30" s="44"/>
      <c r="Z30" s="44"/>
      <c r="AA30" s="44">
        <v>49156</v>
      </c>
      <c r="AB30" s="44">
        <v>3268</v>
      </c>
      <c r="AC30" s="44">
        <v>6205</v>
      </c>
      <c r="AD30" s="44">
        <v>1001</v>
      </c>
      <c r="AE30" s="44">
        <v>77</v>
      </c>
      <c r="AF30" s="44">
        <v>21</v>
      </c>
      <c r="AG30" s="44">
        <v>158</v>
      </c>
      <c r="AH30" s="44">
        <v>2</v>
      </c>
      <c r="AI30" s="53">
        <f t="shared" si="37"/>
      </c>
      <c r="AJ30" s="53">
        <f t="shared" si="56"/>
      </c>
      <c r="AK30" s="53">
        <f t="shared" si="38"/>
      </c>
      <c r="AL30" s="54">
        <f t="shared" si="0"/>
      </c>
      <c r="AM30" s="55">
        <f t="shared" si="1"/>
      </c>
      <c r="AN30" s="56"/>
    </row>
    <row r="31">
      <c r="A31" s="69">
        <v>46271</v>
      </c>
      <c r="B31" s="60"/>
      <c r="C31" s="60" t="s">
        <v>129</v>
      </c>
      <c r="D31" s="60">
        <f>D27+D28+D29+D30</f>
      </c>
      <c r="E31" s="60">
        <f>E27+E28+E29+E30</f>
      </c>
      <c r="F31" s="60">
        <f>F27+F28+F29+F30</f>
      </c>
      <c r="G31" s="60">
        <f>G27+G28+G29+G30</f>
      </c>
      <c r="H31" s="60">
        <f>H27+H28+H29+H30</f>
      </c>
      <c r="I31" s="60">
        <f>I27+I28+I29+I30</f>
      </c>
      <c r="J31" s="62">
        <f>J27+J28+J29+J30</f>
      </c>
      <c r="K31" s="62">
        <f>K27+K28+K29+K30</f>
      </c>
      <c r="L31" s="62">
        <f>L27+L28+L29+L30</f>
      </c>
      <c r="M31" s="62">
        <f>M27+M28+M29+M30</f>
      </c>
      <c r="N31" s="62">
        <f>N27+N28+N29+N30</f>
      </c>
      <c r="O31" s="62">
        <f>O27+O28+O29+O30</f>
      </c>
      <c r="P31" s="60">
        <f>P27+P28+P29+P30</f>
      </c>
      <c r="Q31" s="60">
        <f>Q27+Q28+Q29+Q30</f>
      </c>
      <c r="R31" s="63">
        <f t="shared" si="33"/>
      </c>
      <c r="S31" s="63">
        <f t="shared" si="34"/>
      </c>
      <c r="T31" s="63">
        <f t="shared" si="35"/>
      </c>
      <c r="U31" s="64"/>
      <c r="V31" s="60">
        <f>V27+V28+V30+V29</f>
      </c>
      <c r="W31" s="64"/>
      <c r="X31" s="60">
        <f>SUM(X27:X28)</f>
      </c>
      <c r="Y31" s="64"/>
      <c r="Z31" s="60">
        <f>Z27+Z28+Z29+Z30</f>
      </c>
      <c r="AA31" s="60">
        <f>AA27+AA28+AA30+AA29</f>
      </c>
      <c r="AB31" s="60">
        <f>AB27+AB28+AB30+AB29</f>
      </c>
      <c r="AC31" s="60">
        <f>AC27+AC28+AC30+AC29</f>
      </c>
      <c r="AD31" s="60">
        <f>AD27+AD28+AD30+AD29</f>
      </c>
      <c r="AE31" s="60">
        <f>AE27+AE28+AE30+AE29</f>
      </c>
      <c r="AF31" s="60">
        <f>AF27+AF28+AF30+AF29</f>
      </c>
      <c r="AG31" s="60">
        <f>AG27+AG28+AG30+AG29</f>
      </c>
      <c r="AH31" s="60">
        <f>AH27+AH28+AH30+AH29</f>
      </c>
      <c r="AI31" s="65">
        <f t="shared" si="37"/>
      </c>
      <c r="AJ31" s="65">
        <f t="shared" si="56"/>
      </c>
      <c r="AK31" s="65">
        <f t="shared" si="38"/>
      </c>
      <c r="AL31" s="65">
        <f t="shared" si="0"/>
      </c>
      <c r="AM31" s="66">
        <f t="shared" si="1"/>
      </c>
      <c r="AN31" s="65">
        <f>F31/AE31</f>
      </c>
    </row>
    <row hidden="true" r="32">
      <c r="A32" s="40">
        <v>46272</v>
      </c>
      <c r="B32" s="36" t="s">
        <v>120</v>
      </c>
      <c r="C32" s="41" t="s">
        <v>135</v>
      </c>
      <c r="D32" s="41">
        <v>5</v>
      </c>
      <c r="E32" s="42">
        <v>16</v>
      </c>
      <c r="F32" s="43">
        <v>10</v>
      </c>
      <c r="G32" s="42">
        <v>9</v>
      </c>
      <c r="H32" s="42">
        <v>10</v>
      </c>
      <c r="I32" s="44">
        <v>1778.17</v>
      </c>
      <c r="J32" s="45">
        <v>0</v>
      </c>
      <c r="K32" s="45">
        <v>0</v>
      </c>
      <c r="L32" s="45">
        <v>10</v>
      </c>
      <c r="M32" s="47">
        <v>21338.04</v>
      </c>
      <c r="N32" s="48">
        <v>1</v>
      </c>
      <c r="O32" s="47">
        <v>764.24</v>
      </c>
      <c r="P32" s="36">
        <f t="shared" ref="P32:P35" si="8">I32*12+K32</f>
      </c>
      <c r="Q32" s="49">
        <v>14032.970000000001</v>
      </c>
      <c r="R32" s="50">
        <f t="shared" si="33"/>
      </c>
      <c r="S32" s="51">
        <f t="shared" si="34"/>
      </c>
      <c r="T32" s="51">
        <f t="shared" si="35"/>
      </c>
      <c r="U32" s="44"/>
      <c r="V32" s="44"/>
      <c r="W32" s="44"/>
      <c r="X32" s="44"/>
      <c r="Y32" s="44"/>
      <c r="Z32" s="44"/>
      <c r="AA32" s="52">
        <v>58265</v>
      </c>
      <c r="AB32" s="52">
        <v>3567</v>
      </c>
      <c r="AC32" s="52">
        <v>6186</v>
      </c>
      <c r="AD32" s="52">
        <v>1228</v>
      </c>
      <c r="AE32" s="44">
        <v>153</v>
      </c>
      <c r="AF32" s="42">
        <v>39</v>
      </c>
      <c r="AG32" s="42">
        <v>322</v>
      </c>
      <c r="AH32" s="42">
        <v>6</v>
      </c>
      <c r="AI32" s="53">
        <f t="shared" si="37"/>
      </c>
      <c r="AJ32" s="53">
        <f t="shared" si="56"/>
      </c>
      <c r="AK32" s="53">
        <f t="shared" si="38"/>
      </c>
      <c r="AL32" s="54">
        <f t="shared" si="0"/>
      </c>
      <c r="AM32" s="55">
        <f t="shared" si="1"/>
      </c>
      <c r="AN32" s="56"/>
    </row>
    <row hidden="true" r="33">
      <c r="A33" s="40">
        <v>46272</v>
      </c>
      <c r="B33" s="41" t="s">
        <v>117</v>
      </c>
      <c r="C33" s="41" t="s">
        <v>136</v>
      </c>
      <c r="D33" s="41">
        <v>5</v>
      </c>
      <c r="E33" s="44">
        <v>19</v>
      </c>
      <c r="F33" s="68">
        <v>8</v>
      </c>
      <c r="G33" s="44">
        <v>6</v>
      </c>
      <c r="H33" s="42">
        <v>7</v>
      </c>
      <c r="I33" s="44">
        <v>1824.55</v>
      </c>
      <c r="J33" s="45">
        <v>1</v>
      </c>
      <c r="K33" s="45">
        <v>873</v>
      </c>
      <c r="L33" s="45">
        <v>8</v>
      </c>
      <c r="M33" s="47">
        <v>22767.6</v>
      </c>
      <c r="N33" s="48">
        <v>5</v>
      </c>
      <c r="O33" s="47">
        <v>1561.61</v>
      </c>
      <c r="P33" s="36">
        <f t="shared" si="8"/>
      </c>
      <c r="Q33" s="49">
        <v>21750.879999999997</v>
      </c>
      <c r="R33" s="50">
        <f t="shared" si="33"/>
      </c>
      <c r="S33" s="51">
        <f t="shared" si="34"/>
      </c>
      <c r="T33" s="51">
        <f t="shared" si="35"/>
      </c>
      <c r="U33" s="42" t="s">
        <v>134</v>
      </c>
      <c r="V33" s="44">
        <v>8</v>
      </c>
      <c r="W33" s="44"/>
      <c r="X33" s="44"/>
      <c r="Y33" s="44" t="s">
        <v>123</v>
      </c>
      <c r="Z33" s="44">
        <v>16</v>
      </c>
      <c r="AA33" s="52">
        <v>76337</v>
      </c>
      <c r="AB33" s="52">
        <v>4615</v>
      </c>
      <c r="AC33" s="52">
        <v>6931</v>
      </c>
      <c r="AD33" s="52">
        <v>1375</v>
      </c>
      <c r="AE33" s="44">
        <v>183</v>
      </c>
      <c r="AF33" s="44">
        <v>39</v>
      </c>
      <c r="AG33" s="44">
        <v>340</v>
      </c>
      <c r="AH33" s="44">
        <v>3</v>
      </c>
      <c r="AI33" s="53">
        <f t="shared" si="37"/>
      </c>
      <c r="AJ33" s="53">
        <f t="shared" si="56"/>
      </c>
      <c r="AK33" s="53">
        <f t="shared" si="38"/>
      </c>
      <c r="AL33" s="54">
        <f t="shared" si="0"/>
      </c>
      <c r="AM33" s="55">
        <f t="shared" si="1"/>
      </c>
      <c r="AN33" s="56"/>
    </row>
    <row hidden="true" r="34">
      <c r="A34" s="40">
        <v>46272</v>
      </c>
      <c r="B34" s="41" t="s">
        <v>138</v>
      </c>
      <c r="C34" s="41" t="s">
        <v>139</v>
      </c>
      <c r="D34" s="41">
        <v>2</v>
      </c>
      <c r="E34" s="44">
        <v>1</v>
      </c>
      <c r="F34" s="43">
        <v>1</v>
      </c>
      <c r="G34" s="42">
        <v>1</v>
      </c>
      <c r="H34" s="42">
        <v>1</v>
      </c>
      <c r="I34" s="42">
        <v>78.57</v>
      </c>
      <c r="J34" s="45">
        <v>0</v>
      </c>
      <c r="K34" s="45">
        <v>0</v>
      </c>
      <c r="L34" s="45">
        <v>1</v>
      </c>
      <c r="M34" s="48">
        <v>942.8399999999999</v>
      </c>
      <c r="N34" s="48">
        <v>0</v>
      </c>
      <c r="O34" s="48">
        <v>0</v>
      </c>
      <c r="P34" s="36">
        <f t="shared" si="8"/>
      </c>
      <c r="Q34" s="49">
        <v>5607.05</v>
      </c>
      <c r="R34" s="50">
        <f t="shared" si="33"/>
      </c>
      <c r="S34" s="51">
        <f t="shared" si="34"/>
      </c>
      <c r="T34" s="51">
        <f t="shared" si="35"/>
      </c>
      <c r="U34" s="44" t="s">
        <v>133</v>
      </c>
      <c r="V34" s="44">
        <v>8</v>
      </c>
      <c r="W34" s="44"/>
      <c r="X34" s="44"/>
      <c r="Y34" s="44"/>
      <c r="Z34" s="44"/>
      <c r="AA34" s="44">
        <v>17784</v>
      </c>
      <c r="AB34" s="44">
        <v>996</v>
      </c>
      <c r="AC34" s="44">
        <v>1706</v>
      </c>
      <c r="AD34" s="44">
        <v>288</v>
      </c>
      <c r="AE34" s="44">
        <v>15</v>
      </c>
      <c r="AF34" s="44">
        <v>8</v>
      </c>
      <c r="AG34" s="44">
        <v>55</v>
      </c>
      <c r="AH34" s="44">
        <v>0</v>
      </c>
      <c r="AI34" s="53">
        <f t="shared" si="37"/>
      </c>
      <c r="AJ34" s="53">
        <f t="shared" si="56"/>
      </c>
      <c r="AK34" s="53">
        <f t="shared" si="38"/>
      </c>
      <c r="AL34" s="54">
        <f t="shared" si="0"/>
      </c>
      <c r="AM34" s="55">
        <f t="shared" si="1"/>
      </c>
      <c r="AN34" s="56"/>
    </row>
    <row hidden="true" r="35">
      <c r="A35" s="40">
        <v>46272</v>
      </c>
      <c r="B35" s="41" t="s">
        <v>124</v>
      </c>
      <c r="C35" s="36" t="s">
        <v>127</v>
      </c>
      <c r="D35" s="36">
        <v>4</v>
      </c>
      <c r="E35" s="44">
        <v>15</v>
      </c>
      <c r="F35" s="68">
        <v>13</v>
      </c>
      <c r="G35" s="44">
        <v>9</v>
      </c>
      <c r="H35" s="42">
        <v>13</v>
      </c>
      <c r="I35" s="44">
        <v>3147.82</v>
      </c>
      <c r="J35" s="45">
        <v>0</v>
      </c>
      <c r="K35" s="45">
        <v>0</v>
      </c>
      <c r="L35" s="45">
        <v>13</v>
      </c>
      <c r="M35" s="47">
        <v>37773.840000000004</v>
      </c>
      <c r="N35" s="48">
        <v>6</v>
      </c>
      <c r="O35" s="47">
        <v>2716.41</v>
      </c>
      <c r="P35" s="36">
        <f t="shared" si="8"/>
      </c>
      <c r="Q35" s="49">
        <v>11247.93</v>
      </c>
      <c r="R35" s="50">
        <f t="shared" si="33"/>
      </c>
      <c r="S35" s="51">
        <f t="shared" si="34"/>
      </c>
      <c r="T35" s="51">
        <f t="shared" si="35"/>
      </c>
      <c r="U35" s="44"/>
      <c r="V35" s="44"/>
      <c r="W35" s="44"/>
      <c r="X35" s="44"/>
      <c r="Y35" s="44"/>
      <c r="Z35" s="44"/>
      <c r="AA35" s="44">
        <v>58830</v>
      </c>
      <c r="AB35" s="44">
        <v>2806</v>
      </c>
      <c r="AC35" s="44">
        <v>3931</v>
      </c>
      <c r="AD35" s="44">
        <v>703</v>
      </c>
      <c r="AE35" s="44">
        <v>100</v>
      </c>
      <c r="AF35" s="44">
        <v>34</v>
      </c>
      <c r="AG35" s="44">
        <v>292</v>
      </c>
      <c r="AH35" s="44">
        <v>3</v>
      </c>
      <c r="AI35" s="53">
        <f t="shared" si="37"/>
      </c>
      <c r="AJ35" s="53">
        <f t="shared" si="56"/>
      </c>
      <c r="AK35" s="53">
        <f t="shared" si="38"/>
      </c>
      <c r="AL35" s="54">
        <f t="shared" si="0"/>
      </c>
      <c r="AM35" s="55">
        <f t="shared" si="1"/>
      </c>
      <c r="AN35" s="56"/>
    </row>
    <row r="36">
      <c r="A36" s="69">
        <v>46272</v>
      </c>
      <c r="B36" s="60"/>
      <c r="C36" s="60" t="s">
        <v>129</v>
      </c>
      <c r="D36" s="60">
        <f>D32+D33+D34+D35</f>
      </c>
      <c r="E36" s="60">
        <f>E32+E33+E34+E35</f>
      </c>
      <c r="F36" s="60">
        <f>F32+F33+F34+F35</f>
      </c>
      <c r="G36" s="60">
        <f>G32+G33+G34+G35</f>
      </c>
      <c r="H36" s="60">
        <f>H32+H33+H34+H35</f>
      </c>
      <c r="I36" s="60">
        <f>I32+I33+I34+I35</f>
      </c>
      <c r="J36" s="62">
        <f>J32+J33+J34+J35</f>
      </c>
      <c r="K36" s="62">
        <f>K32+K33+K34+K35</f>
      </c>
      <c r="L36" s="62">
        <f>L32+L33+L34+L35</f>
      </c>
      <c r="M36" s="62">
        <f>M32+M33+M34+M35</f>
      </c>
      <c r="N36" s="62">
        <f>N32+N33+N34+N35</f>
      </c>
      <c r="O36" s="62">
        <f>O32+O33+O34+O35</f>
      </c>
      <c r="P36" s="60">
        <f>P32+P33+P34+P35</f>
      </c>
      <c r="Q36" s="60">
        <f>Q32+Q33+Q34+Q35</f>
      </c>
      <c r="R36" s="63">
        <f t="shared" si="33"/>
      </c>
      <c r="S36" s="63">
        <f t="shared" si="34"/>
      </c>
      <c r="T36" s="63">
        <f t="shared" si="35"/>
      </c>
      <c r="U36" s="64"/>
      <c r="V36" s="60">
        <f>V32+V33+V35+V34</f>
      </c>
      <c r="W36" s="64"/>
      <c r="X36" s="60">
        <f>SUM(X32:X33)</f>
      </c>
      <c r="Y36" s="64"/>
      <c r="Z36" s="60">
        <f>Z32+Z33+Z34+Z35</f>
      </c>
      <c r="AA36" s="60">
        <f>AA32+AA33+AA35+AA34</f>
      </c>
      <c r="AB36" s="60">
        <f>AB32+AB33+AB35+AB34</f>
      </c>
      <c r="AC36" s="60">
        <f>AC32+AC33+AC35+AC34</f>
      </c>
      <c r="AD36" s="60">
        <f>AD32+AD33+AD35+AD34</f>
      </c>
      <c r="AE36" s="60">
        <f>AE32+AE33+AE35+AE34</f>
      </c>
      <c r="AF36" s="60">
        <f>AF32+AF33+AF35+AF34</f>
      </c>
      <c r="AG36" s="60">
        <f>AG32+AG33+AG35+AG34</f>
      </c>
      <c r="AH36" s="60">
        <f>AH32+AH33+AH35+AH34</f>
      </c>
      <c r="AI36" s="65">
        <f t="shared" si="37"/>
      </c>
      <c r="AJ36" s="65">
        <f t="shared" si="56"/>
      </c>
      <c r="AK36" s="65">
        <f t="shared" si="38"/>
      </c>
      <c r="AL36" s="65">
        <f t="shared" si="0"/>
      </c>
      <c r="AM36" s="66">
        <f t="shared" si="1"/>
      </c>
      <c r="AN36" s="65">
        <f>F36/AE36</f>
      </c>
    </row>
    <row hidden="true" r="37">
      <c r="A37" s="40">
        <v>46273</v>
      </c>
      <c r="B37" s="36" t="s">
        <v>120</v>
      </c>
      <c r="C37" s="41" t="s">
        <v>118</v>
      </c>
      <c r="D37" s="41">
        <v>4</v>
      </c>
      <c r="E37" s="42">
        <v>4</v>
      </c>
      <c r="F37" s="43">
        <v>3</v>
      </c>
      <c r="G37" s="42">
        <v>2</v>
      </c>
      <c r="H37" s="42">
        <v>3</v>
      </c>
      <c r="I37" s="44">
        <v>413.83000000000004</v>
      </c>
      <c r="J37" s="45">
        <v>0</v>
      </c>
      <c r="K37" s="45">
        <v>0</v>
      </c>
      <c r="L37" s="45">
        <v>3</v>
      </c>
      <c r="M37" s="47">
        <v>4965.960000000001</v>
      </c>
      <c r="N37" s="48">
        <v>2</v>
      </c>
      <c r="O37" s="47">
        <v>321.76</v>
      </c>
      <c r="P37" s="36">
        <f t="shared" ref="P37:P40" si="9">I37*12+K37</f>
      </c>
      <c r="Q37" s="49">
        <v>10548.27</v>
      </c>
      <c r="R37" s="50">
        <f t="shared" si="33"/>
      </c>
      <c r="S37" s="51">
        <f t="shared" si="34"/>
      </c>
      <c r="T37" s="51">
        <f t="shared" si="35"/>
      </c>
      <c r="U37" s="44"/>
      <c r="V37" s="44"/>
      <c r="W37" s="44"/>
      <c r="X37" s="44"/>
      <c r="Y37" s="44"/>
      <c r="Z37" s="44"/>
      <c r="AA37" s="52">
        <v>40584</v>
      </c>
      <c r="AB37" s="52">
        <v>1589</v>
      </c>
      <c r="AC37" s="52">
        <v>2425</v>
      </c>
      <c r="AD37" s="52">
        <v>466</v>
      </c>
      <c r="AE37" s="44">
        <v>144</v>
      </c>
      <c r="AF37" s="42">
        <v>15</v>
      </c>
      <c r="AG37" s="42">
        <v>222</v>
      </c>
      <c r="AH37" s="42">
        <v>2</v>
      </c>
      <c r="AI37" s="53">
        <f t="shared" si="37"/>
      </c>
      <c r="AJ37" s="53">
        <f t="shared" si="56"/>
      </c>
      <c r="AK37" s="53">
        <f t="shared" si="38"/>
      </c>
      <c r="AL37" s="54">
        <f t="shared" si="0"/>
      </c>
      <c r="AM37" s="55">
        <f t="shared" si="1"/>
      </c>
      <c r="AN37" s="56"/>
    </row>
    <row hidden="true" r="38">
      <c r="A38" s="40">
        <v>46273</v>
      </c>
      <c r="B38" s="41" t="s">
        <v>117</v>
      </c>
      <c r="C38" s="41" t="s">
        <v>136</v>
      </c>
      <c r="D38" s="41">
        <v>5</v>
      </c>
      <c r="E38" s="44">
        <v>22</v>
      </c>
      <c r="F38" s="68">
        <v>14</v>
      </c>
      <c r="G38" s="44">
        <v>11</v>
      </c>
      <c r="H38" s="42">
        <v>13</v>
      </c>
      <c r="I38" s="44">
        <v>3186.6800000000007</v>
      </c>
      <c r="J38" s="45">
        <v>1</v>
      </c>
      <c r="K38" s="45">
        <v>2649.6</v>
      </c>
      <c r="L38" s="45">
        <v>14</v>
      </c>
      <c r="M38" s="47">
        <v>40889.76000000001</v>
      </c>
      <c r="N38" s="48">
        <v>8</v>
      </c>
      <c r="O38" s="47">
        <v>5046.6</v>
      </c>
      <c r="P38" s="36">
        <f t="shared" si="9"/>
      </c>
      <c r="Q38" s="49">
        <v>15696.21</v>
      </c>
      <c r="R38" s="50">
        <f t="shared" si="33"/>
      </c>
      <c r="S38" s="51">
        <f t="shared" si="34"/>
      </c>
      <c r="T38" s="51">
        <f t="shared" si="35"/>
      </c>
      <c r="U38" s="42" t="s">
        <v>134</v>
      </c>
      <c r="V38" s="42">
        <v>7</v>
      </c>
      <c r="W38" s="44"/>
      <c r="X38" s="44"/>
      <c r="Y38" s="44" t="s">
        <v>123</v>
      </c>
      <c r="Z38" s="42">
        <v>15</v>
      </c>
      <c r="AA38" s="52">
        <v>63015</v>
      </c>
      <c r="AB38" s="52">
        <v>3612</v>
      </c>
      <c r="AC38" s="52">
        <v>5234</v>
      </c>
      <c r="AD38" s="52">
        <v>1090</v>
      </c>
      <c r="AE38" s="44">
        <v>170</v>
      </c>
      <c r="AF38" s="44">
        <v>36</v>
      </c>
      <c r="AG38" s="44">
        <v>311</v>
      </c>
      <c r="AH38" s="44">
        <v>3</v>
      </c>
      <c r="AI38" s="53">
        <f t="shared" si="37"/>
      </c>
      <c r="AJ38" s="53">
        <f t="shared" si="56"/>
      </c>
      <c r="AK38" s="53">
        <f t="shared" si="38"/>
      </c>
      <c r="AL38" s="54">
        <f t="shared" si="0"/>
      </c>
      <c r="AM38" s="55">
        <f t="shared" si="1"/>
      </c>
      <c r="AN38" s="56"/>
    </row>
    <row hidden="true" r="39">
      <c r="A39" s="40">
        <v>46273</v>
      </c>
      <c r="B39" s="41" t="s">
        <v>138</v>
      </c>
      <c r="C39" s="41" t="s">
        <v>139</v>
      </c>
      <c r="D39" s="41">
        <v>2</v>
      </c>
      <c r="E39" s="44">
        <v>5</v>
      </c>
      <c r="F39" s="43">
        <v>1</v>
      </c>
      <c r="G39" s="42">
        <v>1</v>
      </c>
      <c r="H39" s="42">
        <v>1</v>
      </c>
      <c r="I39" s="42">
        <v>101.34</v>
      </c>
      <c r="J39" s="45">
        <v>0</v>
      </c>
      <c r="K39" s="45">
        <v>0</v>
      </c>
      <c r="L39" s="45">
        <v>1</v>
      </c>
      <c r="M39" s="48">
        <v>1216.08</v>
      </c>
      <c r="N39" s="48">
        <v>0</v>
      </c>
      <c r="O39" s="48">
        <v>0</v>
      </c>
      <c r="P39" s="36">
        <f t="shared" si="9"/>
      </c>
      <c r="Q39" s="49">
        <v>5141.26</v>
      </c>
      <c r="R39" s="50">
        <f t="shared" si="33"/>
      </c>
      <c r="S39" s="51">
        <f t="shared" si="34"/>
      </c>
      <c r="T39" s="51">
        <f t="shared" si="35"/>
      </c>
      <c r="U39" s="44" t="s">
        <v>133</v>
      </c>
      <c r="V39" s="44">
        <v>8</v>
      </c>
      <c r="W39" s="44"/>
      <c r="X39" s="44"/>
      <c r="Y39" s="44"/>
      <c r="Z39" s="44"/>
      <c r="AA39" s="44">
        <v>25803</v>
      </c>
      <c r="AB39" s="44">
        <v>1095</v>
      </c>
      <c r="AC39" s="44">
        <v>1685</v>
      </c>
      <c r="AD39" s="44">
        <v>348</v>
      </c>
      <c r="AE39" s="44">
        <v>41</v>
      </c>
      <c r="AF39" s="44">
        <v>13</v>
      </c>
      <c r="AG39" s="44">
        <v>99</v>
      </c>
      <c r="AH39" s="44">
        <v>0</v>
      </c>
      <c r="AI39" s="53">
        <f t="shared" si="37"/>
      </c>
      <c r="AJ39" s="53">
        <f t="shared" si="56"/>
      </c>
      <c r="AK39" s="53">
        <f t="shared" si="38"/>
      </c>
      <c r="AL39" s="54">
        <f t="shared" si="0"/>
      </c>
      <c r="AM39" s="55">
        <f t="shared" si="1"/>
      </c>
      <c r="AN39" s="56"/>
    </row>
    <row hidden="true" r="40">
      <c r="A40" s="40">
        <v>46273</v>
      </c>
      <c r="B40" s="41" t="s">
        <v>124</v>
      </c>
      <c r="C40" s="36" t="s">
        <v>127</v>
      </c>
      <c r="D40" s="36">
        <v>4</v>
      </c>
      <c r="E40" s="44">
        <v>14</v>
      </c>
      <c r="F40" s="68">
        <v>7</v>
      </c>
      <c r="G40" s="44">
        <v>7</v>
      </c>
      <c r="H40" s="42">
        <v>6</v>
      </c>
      <c r="I40" s="44">
        <v>1403.9</v>
      </c>
      <c r="J40" s="45">
        <v>1</v>
      </c>
      <c r="K40" s="45">
        <v>2261.7</v>
      </c>
      <c r="L40" s="45">
        <v>7</v>
      </c>
      <c r="M40" s="47">
        <v>19108.500000000004</v>
      </c>
      <c r="N40" s="48">
        <v>6</v>
      </c>
      <c r="O40" s="47">
        <v>3604.1299999999997</v>
      </c>
      <c r="P40" s="36">
        <f t="shared" si="9"/>
      </c>
      <c r="Q40" s="49">
        <v>13673.39</v>
      </c>
      <c r="R40" s="50">
        <f t="shared" si="33"/>
      </c>
      <c r="S40" s="51">
        <f t="shared" si="34"/>
      </c>
      <c r="T40" s="51">
        <f t="shared" si="35"/>
      </c>
      <c r="U40" s="44"/>
      <c r="V40" s="44"/>
      <c r="W40" s="44"/>
      <c r="X40" s="44"/>
      <c r="Y40" s="44"/>
      <c r="Z40" s="44"/>
      <c r="AA40" s="44">
        <v>61509</v>
      </c>
      <c r="AB40" s="44">
        <v>2837</v>
      </c>
      <c r="AC40" s="44">
        <v>3995</v>
      </c>
      <c r="AD40" s="44">
        <v>755</v>
      </c>
      <c r="AE40" s="44">
        <v>98</v>
      </c>
      <c r="AF40" s="44">
        <v>45</v>
      </c>
      <c r="AG40" s="44">
        <v>240</v>
      </c>
      <c r="AH40" s="44">
        <v>3</v>
      </c>
      <c r="AI40" s="53">
        <f t="shared" si="37"/>
      </c>
      <c r="AJ40" s="53">
        <f t="shared" si="56"/>
      </c>
      <c r="AK40" s="53">
        <f t="shared" si="38"/>
      </c>
      <c r="AL40" s="54">
        <f t="shared" si="0"/>
      </c>
      <c r="AM40" s="55">
        <f t="shared" si="1"/>
      </c>
      <c r="AN40" s="56"/>
    </row>
    <row r="41">
      <c r="A41" s="69">
        <v>46273</v>
      </c>
      <c r="B41" s="60"/>
      <c r="C41" s="60" t="s">
        <v>129</v>
      </c>
      <c r="D41" s="60">
        <f>D37+D38+D39+D40</f>
      </c>
      <c r="E41" s="60">
        <f>E37+E38+E39+E40</f>
      </c>
      <c r="F41" s="60">
        <f>F37+F38+F39+F40</f>
      </c>
      <c r="G41" s="60">
        <f>G37+G38+G39+G40</f>
      </c>
      <c r="H41" s="60">
        <f>H37+H38+H39+H40</f>
      </c>
      <c r="I41" s="60">
        <f>I37+I38+I39+I40</f>
      </c>
      <c r="J41" s="62">
        <f>J37+J38+J39+J40</f>
      </c>
      <c r="K41" s="62">
        <f>K37+K38+K39+K40</f>
      </c>
      <c r="L41" s="62">
        <f>L37+L38+L39+L40</f>
      </c>
      <c r="M41" s="62">
        <f>M37+M38+M39+M40</f>
      </c>
      <c r="N41" s="62">
        <f>N37+N38+N39+N40</f>
      </c>
      <c r="O41" s="62">
        <f>O37+O38+O39+O40</f>
      </c>
      <c r="P41" s="60">
        <f>P37+P38+P39+P40</f>
      </c>
      <c r="Q41" s="60">
        <f>Q37+Q38+Q39+Q40</f>
      </c>
      <c r="R41" s="63">
        <f t="shared" si="33"/>
      </c>
      <c r="S41" s="63">
        <f t="shared" si="34"/>
      </c>
      <c r="T41" s="63">
        <f t="shared" si="35"/>
      </c>
      <c r="U41" s="64"/>
      <c r="V41" s="60">
        <f>V37+V38+V40+V39</f>
      </c>
      <c r="W41" s="64"/>
      <c r="X41" s="60">
        <f>SUM(X37:X38)</f>
      </c>
      <c r="Y41" s="64"/>
      <c r="Z41" s="60">
        <f>Z37+Z38+Z39+Z40</f>
      </c>
      <c r="AA41" s="60">
        <f>AA37+AA38+AA40+AA39</f>
      </c>
      <c r="AB41" s="60">
        <f>AB37+AB38+AB40+AB39</f>
      </c>
      <c r="AC41" s="60">
        <f>AC37+AC38+AC40+AC39</f>
      </c>
      <c r="AD41" s="60">
        <f>AD37+AD38+AD40+AD39</f>
      </c>
      <c r="AE41" s="60">
        <f>AE37+AE38+AE40+AE39</f>
      </c>
      <c r="AF41" s="60">
        <f>AF37+AF38+AF40+AF39</f>
      </c>
      <c r="AG41" s="60">
        <f>AG37+AG38+AG40+AG39</f>
      </c>
      <c r="AH41" s="60">
        <f>AH37+AH38+AH40+AH39</f>
      </c>
      <c r="AI41" s="65">
        <f t="shared" si="37"/>
      </c>
      <c r="AJ41" s="65">
        <f t="shared" si="56"/>
      </c>
      <c r="AK41" s="65">
        <f t="shared" si="38"/>
      </c>
      <c r="AL41" s="65">
        <f t="shared" si="0"/>
      </c>
      <c r="AM41" s="66">
        <f t="shared" si="1"/>
      </c>
      <c r="AN41" s="65">
        <f>F41/AE41</f>
      </c>
    </row>
    <row hidden="true" r="42">
      <c r="A42" s="40">
        <v>46274</v>
      </c>
      <c r="B42" s="41" t="s">
        <v>117</v>
      </c>
      <c r="C42" s="36" t="s">
        <v>118</v>
      </c>
      <c r="D42" s="36">
        <v>4</v>
      </c>
      <c r="E42" s="42">
        <v>14</v>
      </c>
      <c r="F42" s="43">
        <v>7</v>
      </c>
      <c r="G42" s="42">
        <v>5</v>
      </c>
      <c r="H42" s="42">
        <v>7</v>
      </c>
      <c r="I42" s="44">
        <v>1386.71</v>
      </c>
      <c r="J42" s="45">
        <v>0</v>
      </c>
      <c r="K42" s="45">
        <v>0</v>
      </c>
      <c r="L42" s="46">
        <v>7</v>
      </c>
      <c r="M42" s="47">
        <v>16640.52</v>
      </c>
      <c r="N42" s="48">
        <v>2</v>
      </c>
      <c r="O42" s="47">
        <v>1019.8100000000001</v>
      </c>
      <c r="P42" s="36">
        <f t="shared" ref="P42:P45" si="10">I42*12+K42</f>
      </c>
      <c r="Q42" s="49">
        <v>11579.43</v>
      </c>
      <c r="R42" s="50">
        <f t="shared" si="33"/>
      </c>
      <c r="S42" s="51">
        <f t="shared" si="34"/>
      </c>
      <c r="T42" s="51">
        <f t="shared" si="35"/>
      </c>
      <c r="U42" s="44"/>
      <c r="V42" s="44"/>
      <c r="W42" s="44"/>
      <c r="X42" s="44"/>
      <c r="Y42" s="44"/>
      <c r="Z42" s="44"/>
      <c r="AA42" s="52">
        <v>45748</v>
      </c>
      <c r="AB42" s="52">
        <v>2156</v>
      </c>
      <c r="AC42" s="52">
        <v>3586</v>
      </c>
      <c r="AD42" s="52">
        <v>723</v>
      </c>
      <c r="AE42" s="44">
        <v>167</v>
      </c>
      <c r="AF42" s="44">
        <v>22</v>
      </c>
      <c r="AG42" s="44">
        <v>204</v>
      </c>
      <c r="AH42" s="44">
        <v>2</v>
      </c>
      <c r="AI42" s="53">
        <f t="shared" si="37"/>
      </c>
      <c r="AJ42" s="53">
        <f t="shared" si="56"/>
      </c>
      <c r="AK42" s="53">
        <f t="shared" si="38"/>
      </c>
      <c r="AL42" s="54">
        <f t="shared" si="0"/>
      </c>
      <c r="AM42" s="55">
        <f t="shared" si="1"/>
      </c>
      <c r="AN42" s="56"/>
    </row>
    <row hidden="true" r="43">
      <c r="A43" s="40">
        <v>46274</v>
      </c>
      <c r="B43" s="41" t="s">
        <v>140</v>
      </c>
      <c r="C43" s="41" t="s">
        <v>141</v>
      </c>
      <c r="D43" s="41">
        <v>5</v>
      </c>
      <c r="E43" s="44">
        <v>12</v>
      </c>
      <c r="F43" s="68">
        <v>8</v>
      </c>
      <c r="G43" s="44">
        <v>7</v>
      </c>
      <c r="H43" s="42">
        <v>7</v>
      </c>
      <c r="I43" s="44">
        <v>1901.46</v>
      </c>
      <c r="J43" s="45">
        <v>1</v>
      </c>
      <c r="K43" s="46">
        <v>458</v>
      </c>
      <c r="L43" s="45">
        <f t="shared" ref="L43:L45" si="39">H43+J43</f>
      </c>
      <c r="M43" s="48">
        <f t="shared" ref="M43:M45" si="57">P43</f>
      </c>
      <c r="N43" s="48">
        <v>4</v>
      </c>
      <c r="O43" s="47">
        <v>1502.04</v>
      </c>
      <c r="P43" s="36">
        <f t="shared" si="10"/>
      </c>
      <c r="Q43" s="49">
        <v>14692.379999999997</v>
      </c>
      <c r="R43" s="50">
        <f t="shared" si="33"/>
      </c>
      <c r="S43" s="51">
        <f t="shared" si="34"/>
      </c>
      <c r="T43" s="51">
        <f t="shared" si="35"/>
      </c>
      <c r="U43" s="42" t="s">
        <v>142</v>
      </c>
      <c r="V43" s="44">
        <v>8</v>
      </c>
      <c r="W43" s="44"/>
      <c r="X43" s="44"/>
      <c r="Y43" s="44" t="s">
        <v>123</v>
      </c>
      <c r="Z43" s="44">
        <v>16</v>
      </c>
      <c r="AA43" s="52">
        <v>57037</v>
      </c>
      <c r="AB43" s="52">
        <v>2820</v>
      </c>
      <c r="AC43" s="52">
        <v>4771</v>
      </c>
      <c r="AD43" s="52">
        <v>931</v>
      </c>
      <c r="AE43" s="44">
        <v>230</v>
      </c>
      <c r="AF43" s="44">
        <v>30</v>
      </c>
      <c r="AG43" s="44">
        <v>399</v>
      </c>
      <c r="AH43" s="44">
        <v>5</v>
      </c>
      <c r="AI43" s="53">
        <f t="shared" si="37"/>
      </c>
      <c r="AJ43" s="53">
        <f t="shared" si="56"/>
      </c>
      <c r="AK43" s="53">
        <f t="shared" si="38"/>
      </c>
      <c r="AL43" s="54">
        <f t="shared" si="0"/>
      </c>
      <c r="AM43" s="55">
        <f t="shared" si="1"/>
      </c>
      <c r="AN43" s="56"/>
    </row>
    <row hidden="true" r="44">
      <c r="A44" s="40">
        <v>46274</v>
      </c>
      <c r="B44" s="41" t="s">
        <v>124</v>
      </c>
      <c r="C44" s="41" t="s">
        <v>143</v>
      </c>
      <c r="D44" s="41">
        <v>3</v>
      </c>
      <c r="E44" s="44">
        <v>6</v>
      </c>
      <c r="F44" s="68">
        <v>5</v>
      </c>
      <c r="G44" s="42">
        <v>5</v>
      </c>
      <c r="H44" s="42">
        <v>5</v>
      </c>
      <c r="I44" s="44">
        <v>1033.63</v>
      </c>
      <c r="J44" s="45">
        <v>0</v>
      </c>
      <c r="K44" s="45">
        <v>0</v>
      </c>
      <c r="L44" s="45">
        <f t="shared" si="39"/>
      </c>
      <c r="M44" s="48">
        <f t="shared" si="57"/>
      </c>
      <c r="N44" s="48">
        <v>3</v>
      </c>
      <c r="O44" s="47">
        <v>908.26</v>
      </c>
      <c r="P44" s="36">
        <f t="shared" si="10"/>
      </c>
      <c r="Q44" s="49">
        <v>6180.5</v>
      </c>
      <c r="R44" s="50">
        <f t="shared" si="33"/>
      </c>
      <c r="S44" s="51">
        <f t="shared" si="34"/>
      </c>
      <c r="T44" s="51">
        <f t="shared" si="35"/>
      </c>
      <c r="U44" s="44" t="s">
        <v>133</v>
      </c>
      <c r="V44" s="44">
        <v>8</v>
      </c>
      <c r="W44" s="44"/>
      <c r="X44" s="44"/>
      <c r="Y44" s="44"/>
      <c r="Z44" s="44"/>
      <c r="AA44" s="44">
        <v>28999</v>
      </c>
      <c r="AB44" s="44">
        <v>1179</v>
      </c>
      <c r="AC44" s="44">
        <v>1945</v>
      </c>
      <c r="AD44" s="44">
        <v>334</v>
      </c>
      <c r="AE44" s="44">
        <v>86</v>
      </c>
      <c r="AF44" s="44">
        <v>8</v>
      </c>
      <c r="AG44" s="44">
        <v>96</v>
      </c>
      <c r="AH44" s="44">
        <v>1</v>
      </c>
      <c r="AI44" s="53">
        <f t="shared" si="37"/>
      </c>
      <c r="AJ44" s="53">
        <f t="shared" si="56"/>
      </c>
      <c r="AK44" s="53">
        <f t="shared" si="38"/>
      </c>
      <c r="AL44" s="54">
        <f t="shared" si="0"/>
      </c>
      <c r="AM44" s="55">
        <f t="shared" si="1"/>
      </c>
      <c r="AN44" s="56"/>
    </row>
    <row hidden="true" r="45">
      <c r="A45" s="40">
        <v>46274</v>
      </c>
      <c r="B45" s="41" t="s">
        <v>126</v>
      </c>
      <c r="C45" s="36" t="s">
        <v>127</v>
      </c>
      <c r="D45" s="36">
        <v>4</v>
      </c>
      <c r="E45" s="44">
        <v>5</v>
      </c>
      <c r="F45" s="68">
        <v>3</v>
      </c>
      <c r="G45" s="44">
        <v>3</v>
      </c>
      <c r="H45" s="42">
        <v>3</v>
      </c>
      <c r="I45" s="44">
        <v>351.27</v>
      </c>
      <c r="J45" s="45">
        <v>0</v>
      </c>
      <c r="K45" s="45">
        <v>0</v>
      </c>
      <c r="L45" s="45">
        <f t="shared" si="39"/>
      </c>
      <c r="M45" s="48">
        <f t="shared" si="57"/>
      </c>
      <c r="N45" s="48">
        <v>1</v>
      </c>
      <c r="O45" s="47">
        <v>243</v>
      </c>
      <c r="P45" s="36">
        <f t="shared" si="10"/>
      </c>
      <c r="Q45" s="49">
        <v>8401.1</v>
      </c>
      <c r="R45" s="50">
        <f t="shared" si="33"/>
      </c>
      <c r="S45" s="51">
        <f t="shared" si="34"/>
      </c>
      <c r="T45" s="51">
        <f t="shared" si="35"/>
      </c>
      <c r="U45" s="44"/>
      <c r="V45" s="44"/>
      <c r="W45" s="44"/>
      <c r="X45" s="44"/>
      <c r="Y45" s="44"/>
      <c r="Z45" s="44"/>
      <c r="AA45" s="44">
        <v>41338</v>
      </c>
      <c r="AB45" s="44">
        <v>1719</v>
      </c>
      <c r="AC45" s="44">
        <v>2779</v>
      </c>
      <c r="AD45" s="44">
        <v>410</v>
      </c>
      <c r="AE45" s="44">
        <v>123</v>
      </c>
      <c r="AF45" s="44">
        <v>16</v>
      </c>
      <c r="AG45" s="44">
        <v>205</v>
      </c>
      <c r="AH45" s="44">
        <v>2</v>
      </c>
      <c r="AI45" s="53">
        <f t="shared" si="37"/>
      </c>
      <c r="AJ45" s="53">
        <f t="shared" si="56"/>
      </c>
      <c r="AK45" s="53">
        <f t="shared" si="38"/>
      </c>
      <c r="AL45" s="54">
        <f t="shared" si="0"/>
      </c>
      <c r="AM45" s="55">
        <f t="shared" si="1"/>
      </c>
      <c r="AN45" s="56"/>
    </row>
    <row r="46">
      <c r="A46" s="69">
        <v>46274</v>
      </c>
      <c r="B46" s="60"/>
      <c r="C46" s="60" t="s">
        <v>129</v>
      </c>
      <c r="D46" s="60">
        <f>D42+D43+D44+D45</f>
      </c>
      <c r="E46" s="60">
        <f>E42+E43+E44+E45</f>
      </c>
      <c r="F46" s="60">
        <f>F42+F43+F44+F45</f>
      </c>
      <c r="G46" s="60">
        <f>G42+G43+G44+G45</f>
      </c>
      <c r="H46" s="60">
        <f>H42+H43+H44+H45</f>
      </c>
      <c r="I46" s="60">
        <f>I42+I43+I44+I45</f>
      </c>
      <c r="J46" s="62">
        <f>J42+J43+J44+J45</f>
      </c>
      <c r="K46" s="62">
        <f>K42+K43+K44+K45</f>
      </c>
      <c r="L46" s="62">
        <f>L42+L43+L44+L45</f>
      </c>
      <c r="M46" s="62">
        <f>M42+M43+M44+M45</f>
      </c>
      <c r="N46" s="62">
        <f>N42+N43+N44+N45</f>
      </c>
      <c r="O46" s="62">
        <f>O42+O43+O44+O45</f>
      </c>
      <c r="P46" s="60">
        <f>P42+P43+P44+P45</f>
      </c>
      <c r="Q46" s="60">
        <f>Q42+Q43+Q44+Q45</f>
      </c>
      <c r="R46" s="63">
        <f t="shared" si="33"/>
      </c>
      <c r="S46" s="63">
        <f t="shared" si="34"/>
      </c>
      <c r="T46" s="63">
        <f t="shared" si="35"/>
      </c>
      <c r="U46" s="64"/>
      <c r="V46" s="60">
        <f>V42+V43+V45+V44</f>
      </c>
      <c r="W46" s="64"/>
      <c r="X46" s="60">
        <f>SUM(X42:X43)</f>
      </c>
      <c r="Y46" s="64"/>
      <c r="Z46" s="60">
        <f>Z42+Z43+Z44+Z45</f>
      </c>
      <c r="AA46" s="60">
        <f>AA42+AA43+AA45+AA44</f>
      </c>
      <c r="AB46" s="60">
        <f>AB42+AB43+AB45+AB44</f>
      </c>
      <c r="AC46" s="60">
        <f>AC42+AC43+AC45+AC44</f>
      </c>
      <c r="AD46" s="60">
        <f>AD42+AD43+AD45+AD44</f>
      </c>
      <c r="AE46" s="60">
        <f>AE42+AE43+AE45+AE44</f>
      </c>
      <c r="AF46" s="60">
        <f>AF42+AF43+AF45+AF44</f>
      </c>
      <c r="AG46" s="60">
        <f>AG42+AG43+AG45+AG44</f>
      </c>
      <c r="AH46" s="60">
        <f>AH42+AH43+AH45+AH44</f>
      </c>
      <c r="AI46" s="65">
        <f t="shared" si="37"/>
      </c>
      <c r="AJ46" s="65">
        <f t="shared" si="56"/>
      </c>
      <c r="AK46" s="65">
        <f t="shared" si="38"/>
      </c>
      <c r="AL46" s="65">
        <f t="shared" si="0"/>
      </c>
      <c r="AM46" s="66">
        <f t="shared" si="1"/>
      </c>
      <c r="AN46" s="65">
        <f>F46/AE46</f>
      </c>
    </row>
    <row hidden="true" r="47">
      <c r="A47" s="40">
        <v>46275</v>
      </c>
      <c r="B47" s="41" t="s">
        <v>117</v>
      </c>
      <c r="C47" s="36" t="s">
        <v>118</v>
      </c>
      <c r="D47" s="36">
        <v>4</v>
      </c>
      <c r="E47" s="42">
        <v>19</v>
      </c>
      <c r="F47" s="43">
        <v>12</v>
      </c>
      <c r="G47" s="42">
        <v>8</v>
      </c>
      <c r="H47" s="42">
        <v>12</v>
      </c>
      <c r="I47" s="44">
        <v>1986.1</v>
      </c>
      <c r="J47" s="45">
        <v>0</v>
      </c>
      <c r="K47" s="45">
        <v>0</v>
      </c>
      <c r="L47" s="46">
        <v>12</v>
      </c>
      <c r="M47" s="47">
        <v>23833.199999999997</v>
      </c>
      <c r="N47" s="48">
        <v>6</v>
      </c>
      <c r="O47" s="47">
        <v>1481.5200000000002</v>
      </c>
      <c r="P47" s="36">
        <f t="shared" ref="P47:P50" si="11">I47*12+K47</f>
      </c>
      <c r="Q47" s="49">
        <v>14444.039999999999</v>
      </c>
      <c r="R47" s="50">
        <f t="shared" si="33"/>
      </c>
      <c r="S47" s="51">
        <f t="shared" si="34"/>
      </c>
      <c r="T47" s="51">
        <f t="shared" si="35"/>
      </c>
      <c r="U47" s="44"/>
      <c r="V47" s="44"/>
      <c r="W47" s="44"/>
      <c r="X47" s="44"/>
      <c r="Y47" s="44"/>
      <c r="Z47" s="44"/>
      <c r="AA47" s="52">
        <v>49531</v>
      </c>
      <c r="AB47" s="52">
        <v>2255</v>
      </c>
      <c r="AC47" s="52">
        <v>3190</v>
      </c>
      <c r="AD47" s="52">
        <v>689</v>
      </c>
      <c r="AE47" s="44">
        <v>204</v>
      </c>
      <c r="AF47" s="44">
        <v>24</v>
      </c>
      <c r="AG47" s="44">
        <v>323</v>
      </c>
      <c r="AH47" s="44">
        <v>5</v>
      </c>
      <c r="AI47" s="53">
        <f t="shared" si="37"/>
      </c>
      <c r="AJ47" s="53">
        <f t="shared" si="56"/>
      </c>
      <c r="AK47" s="53">
        <f t="shared" si="38"/>
      </c>
      <c r="AL47" s="54">
        <f t="shared" si="0"/>
      </c>
      <c r="AM47" s="55">
        <f t="shared" si="1"/>
      </c>
      <c r="AN47" s="56"/>
    </row>
    <row hidden="true" r="48">
      <c r="A48" s="40">
        <v>46275</v>
      </c>
      <c r="B48" s="41" t="s">
        <v>120</v>
      </c>
      <c r="C48" s="41" t="s">
        <v>141</v>
      </c>
      <c r="D48" s="41">
        <v>5</v>
      </c>
      <c r="E48" s="44">
        <v>18</v>
      </c>
      <c r="F48" s="68">
        <v>13</v>
      </c>
      <c r="G48" s="44">
        <v>12</v>
      </c>
      <c r="H48" s="42">
        <v>13</v>
      </c>
      <c r="I48" s="44">
        <v>3079.82</v>
      </c>
      <c r="J48" s="45">
        <v>0</v>
      </c>
      <c r="K48" s="45">
        <v>0</v>
      </c>
      <c r="L48" s="45">
        <v>13</v>
      </c>
      <c r="M48" s="48">
        <v>36957.840000000004</v>
      </c>
      <c r="N48" s="48">
        <v>6</v>
      </c>
      <c r="O48" s="47">
        <v>1924.0400000000002</v>
      </c>
      <c r="P48" s="36">
        <f t="shared" si="11"/>
      </c>
      <c r="Q48" s="49">
        <v>16966.8</v>
      </c>
      <c r="R48" s="50">
        <f t="shared" si="33"/>
      </c>
      <c r="S48" s="51">
        <f t="shared" si="34"/>
      </c>
      <c r="T48" s="51">
        <f t="shared" si="35"/>
      </c>
      <c r="U48" s="42" t="s">
        <v>134</v>
      </c>
      <c r="V48" s="44">
        <v>8</v>
      </c>
      <c r="W48" s="44"/>
      <c r="X48" s="44"/>
      <c r="Y48" s="44" t="s">
        <v>123</v>
      </c>
      <c r="Z48" s="44">
        <v>16</v>
      </c>
      <c r="AA48" s="52">
        <v>51231</v>
      </c>
      <c r="AB48" s="52">
        <v>2485</v>
      </c>
      <c r="AC48" s="52">
        <v>3137</v>
      </c>
      <c r="AD48" s="52">
        <v>750</v>
      </c>
      <c r="AE48" s="44">
        <v>222</v>
      </c>
      <c r="AF48" s="44">
        <v>27</v>
      </c>
      <c r="AG48" s="44">
        <v>321</v>
      </c>
      <c r="AH48" s="44">
        <v>3</v>
      </c>
      <c r="AI48" s="53">
        <f t="shared" si="37"/>
      </c>
      <c r="AJ48" s="53">
        <f t="shared" si="56"/>
      </c>
      <c r="AK48" s="53">
        <f t="shared" si="38"/>
      </c>
      <c r="AL48" s="54">
        <f t="shared" si="0"/>
      </c>
      <c r="AM48" s="55">
        <f t="shared" si="1"/>
      </c>
      <c r="AN48" s="56"/>
    </row>
    <row hidden="true" r="49">
      <c r="A49" s="40">
        <v>46275</v>
      </c>
      <c r="B49" s="41" t="s">
        <v>124</v>
      </c>
      <c r="C49" s="41" t="s">
        <v>143</v>
      </c>
      <c r="D49" s="41">
        <v>3</v>
      </c>
      <c r="E49" s="44">
        <v>17</v>
      </c>
      <c r="F49" s="68">
        <v>11</v>
      </c>
      <c r="G49" s="42">
        <v>10</v>
      </c>
      <c r="H49" s="42">
        <v>11</v>
      </c>
      <c r="I49" s="44">
        <v>1862.8899999999999</v>
      </c>
      <c r="J49" s="45">
        <v>0</v>
      </c>
      <c r="K49" s="45">
        <v>0</v>
      </c>
      <c r="L49" s="45">
        <f t="shared" ref="L49:L50" si="40">H49+J49</f>
      </c>
      <c r="M49" s="48">
        <f t="shared" ref="M49:M50" si="53">I49+K49</f>
      </c>
      <c r="N49" s="48">
        <v>3</v>
      </c>
      <c r="O49" s="47">
        <v>1121.3799999999999</v>
      </c>
      <c r="P49" s="36">
        <f t="shared" si="11"/>
      </c>
      <c r="Q49" s="49">
        <v>18513.199999999997</v>
      </c>
      <c r="R49" s="50">
        <f t="shared" si="33"/>
      </c>
      <c r="S49" s="51">
        <f t="shared" si="34"/>
      </c>
      <c r="T49" s="51">
        <f t="shared" si="35"/>
      </c>
      <c r="U49" s="44" t="s">
        <v>133</v>
      </c>
      <c r="V49" s="44">
        <v>8</v>
      </c>
      <c r="W49" s="44"/>
      <c r="X49" s="44"/>
      <c r="Y49" s="44"/>
      <c r="Z49" s="44"/>
      <c r="AA49" s="44">
        <v>63669</v>
      </c>
      <c r="AB49" s="44">
        <v>3366</v>
      </c>
      <c r="AC49" s="44">
        <v>5700</v>
      </c>
      <c r="AD49" s="44">
        <v>1191</v>
      </c>
      <c r="AE49" s="44">
        <v>285</v>
      </c>
      <c r="AF49" s="44">
        <v>37</v>
      </c>
      <c r="AG49" s="44">
        <v>328</v>
      </c>
      <c r="AH49" s="44">
        <v>8</v>
      </c>
      <c r="AI49" s="53">
        <f t="shared" si="37"/>
      </c>
      <c r="AJ49" s="53">
        <f t="shared" si="56"/>
      </c>
      <c r="AK49" s="53">
        <f t="shared" si="38"/>
      </c>
      <c r="AL49" s="54">
        <f t="shared" si="0"/>
      </c>
      <c r="AM49" s="55">
        <f t="shared" si="1"/>
      </c>
      <c r="AN49" s="56"/>
    </row>
    <row hidden="true" r="50">
      <c r="A50" s="40">
        <v>46275</v>
      </c>
      <c r="B50" s="41" t="s">
        <v>126</v>
      </c>
      <c r="C50" s="36" t="s">
        <v>127</v>
      </c>
      <c r="D50" s="36">
        <v>4</v>
      </c>
      <c r="E50" s="44">
        <v>16</v>
      </c>
      <c r="F50" s="68">
        <v>12</v>
      </c>
      <c r="G50" s="44">
        <v>6</v>
      </c>
      <c r="H50" s="42">
        <v>10</v>
      </c>
      <c r="I50" s="44">
        <v>1872.03</v>
      </c>
      <c r="J50" s="45">
        <v>2</v>
      </c>
      <c r="K50" s="45">
        <v>3427</v>
      </c>
      <c r="L50" s="45">
        <f t="shared" si="40"/>
      </c>
      <c r="M50" s="48">
        <f t="shared" si="53"/>
      </c>
      <c r="N50" s="48">
        <v>2</v>
      </c>
      <c r="O50" s="48">
        <v>578.5</v>
      </c>
      <c r="P50" s="36">
        <f t="shared" si="11"/>
      </c>
      <c r="Q50" s="49">
        <v>20270.5</v>
      </c>
      <c r="R50" s="50">
        <f t="shared" si="33"/>
      </c>
      <c r="S50" s="51">
        <f t="shared" si="34"/>
      </c>
      <c r="T50" s="51">
        <f t="shared" si="35"/>
      </c>
      <c r="U50" s="44"/>
      <c r="V50" s="44"/>
      <c r="W50" s="44"/>
      <c r="X50" s="44"/>
      <c r="Y50" s="44"/>
      <c r="Z50" s="44"/>
      <c r="AA50" s="44">
        <v>65420</v>
      </c>
      <c r="AB50" s="44">
        <v>3183</v>
      </c>
      <c r="AC50" s="44">
        <v>5206</v>
      </c>
      <c r="AD50" s="44">
        <v>887</v>
      </c>
      <c r="AE50" s="44">
        <v>272</v>
      </c>
      <c r="AF50" s="44">
        <v>30</v>
      </c>
      <c r="AG50" s="44">
        <v>296</v>
      </c>
      <c r="AH50" s="44">
        <v>3</v>
      </c>
      <c r="AI50" s="53">
        <f t="shared" si="37"/>
      </c>
      <c r="AJ50" s="53">
        <f t="shared" si="56"/>
      </c>
      <c r="AK50" s="53">
        <f t="shared" si="38"/>
      </c>
      <c r="AL50" s="54">
        <f t="shared" si="0"/>
      </c>
      <c r="AM50" s="55">
        <f t="shared" si="1"/>
      </c>
      <c r="AN50" s="56"/>
    </row>
    <row r="51">
      <c r="A51" s="69">
        <v>46275</v>
      </c>
      <c r="B51" s="60"/>
      <c r="C51" s="60" t="s">
        <v>129</v>
      </c>
      <c r="D51" s="60">
        <f>D47+D48+D49+D50</f>
      </c>
      <c r="E51" s="60">
        <f>E47+E48+E49+E50</f>
      </c>
      <c r="F51" s="60">
        <f>F47+F48+F49+F50</f>
      </c>
      <c r="G51" s="60">
        <f>G47+G48+G49+G50</f>
      </c>
      <c r="H51" s="60">
        <f>H47+H48+H49+H50</f>
      </c>
      <c r="I51" s="60">
        <f>I47+I48+I49+I50</f>
      </c>
      <c r="J51" s="62">
        <f>J47+J48+J49+J50</f>
      </c>
      <c r="K51" s="62">
        <f>K47+K48+K49+K50</f>
      </c>
      <c r="L51" s="62">
        <f>L47+L48+L49+L50</f>
      </c>
      <c r="M51" s="62">
        <f>M47+M48+M49+M50</f>
      </c>
      <c r="N51" s="62">
        <f>N47+N48+N49+N50</f>
      </c>
      <c r="O51" s="62">
        <f>O47+O48+O49+O50</f>
      </c>
      <c r="P51" s="60">
        <f>P47+P48+P49+P50</f>
      </c>
      <c r="Q51" s="60">
        <f>Q47+Q48+Q49+Q50</f>
      </c>
      <c r="R51" s="63">
        <f t="shared" si="33"/>
      </c>
      <c r="S51" s="63">
        <f t="shared" si="34"/>
      </c>
      <c r="T51" s="63">
        <f t="shared" si="35"/>
      </c>
      <c r="U51" s="64"/>
      <c r="V51" s="60">
        <f>V47+V48+V50+V49</f>
      </c>
      <c r="W51" s="64"/>
      <c r="X51" s="60">
        <f>SUM(X47:X48)</f>
      </c>
      <c r="Y51" s="64"/>
      <c r="Z51" s="60">
        <f>Z47+Z48+Z49+Z50</f>
      </c>
      <c r="AA51" s="60">
        <f>AA47+AA48+AA50+AA49</f>
      </c>
      <c r="AB51" s="60">
        <f>AB47+AB48+AB50+AB49</f>
      </c>
      <c r="AC51" s="60">
        <f>AC47+AC48+AC50+AC49</f>
      </c>
      <c r="AD51" s="60">
        <f>AD47+AD48+AD50+AD49</f>
      </c>
      <c r="AE51" s="60">
        <f>AE47+AE48+AE50+AE49</f>
      </c>
      <c r="AF51" s="60">
        <f>AF47+AF48+AF50+AF49</f>
      </c>
      <c r="AG51" s="60">
        <f>AG47+AG48+AG50+AG49</f>
      </c>
      <c r="AH51" s="60">
        <f>AH47+AH48+AH50+AH49</f>
      </c>
      <c r="AI51" s="65">
        <f t="shared" si="37"/>
      </c>
      <c r="AJ51" s="65">
        <f t="shared" si="56"/>
      </c>
      <c r="AK51" s="65">
        <f t="shared" si="38"/>
      </c>
      <c r="AL51" s="65">
        <f t="shared" si="0"/>
      </c>
      <c r="AM51" s="66">
        <f t="shared" si="1"/>
      </c>
      <c r="AN51" s="65">
        <f>F51/AE51</f>
      </c>
    </row>
    <row hidden="true" r="52">
      <c r="A52" s="40">
        <v>46276</v>
      </c>
      <c r="B52" s="41" t="s">
        <v>120</v>
      </c>
      <c r="C52" s="36" t="s">
        <v>118</v>
      </c>
      <c r="D52" s="36">
        <v>4</v>
      </c>
      <c r="E52" s="42">
        <v>17</v>
      </c>
      <c r="F52" s="43">
        <v>13</v>
      </c>
      <c r="G52" s="42">
        <v>6</v>
      </c>
      <c r="H52" s="42">
        <v>13</v>
      </c>
      <c r="I52" s="42">
        <v>4034.84</v>
      </c>
      <c r="J52" s="45">
        <v>0</v>
      </c>
      <c r="K52" s="45">
        <v>0</v>
      </c>
      <c r="L52" s="46">
        <v>13</v>
      </c>
      <c r="M52" s="47">
        <v>48418.08</v>
      </c>
      <c r="N52" s="48">
        <v>9</v>
      </c>
      <c r="O52" s="47">
        <v>3499.4300000000003</v>
      </c>
      <c r="P52" s="36">
        <f t="shared" ref="P52:P55" si="12">I52*12+K52</f>
      </c>
      <c r="Q52" s="49">
        <v>18086.899999999998</v>
      </c>
      <c r="R52" s="50">
        <f t="shared" si="33"/>
      </c>
      <c r="S52" s="51">
        <f t="shared" si="34"/>
      </c>
      <c r="T52" s="51">
        <f t="shared" si="35"/>
      </c>
      <c r="U52" s="44"/>
      <c r="V52" s="44"/>
      <c r="W52" s="44"/>
      <c r="X52" s="44"/>
      <c r="Y52" s="44"/>
      <c r="Z52" s="44"/>
      <c r="AA52" s="52">
        <v>52784</v>
      </c>
      <c r="AB52" s="52">
        <v>3227</v>
      </c>
      <c r="AC52" s="52">
        <v>5487</v>
      </c>
      <c r="AD52" s="52">
        <v>1076</v>
      </c>
      <c r="AE52" s="44">
        <v>209</v>
      </c>
      <c r="AF52" s="44">
        <v>28</v>
      </c>
      <c r="AG52" s="44">
        <v>399</v>
      </c>
      <c r="AH52" s="44">
        <v>2</v>
      </c>
      <c r="AI52" s="53">
        <f t="shared" si="37"/>
      </c>
      <c r="AJ52" s="53">
        <f t="shared" si="56"/>
      </c>
      <c r="AK52" s="53">
        <f t="shared" si="38"/>
      </c>
      <c r="AL52" s="54">
        <f t="shared" si="0"/>
      </c>
      <c r="AM52" s="55">
        <f t="shared" si="1"/>
      </c>
      <c r="AN52" s="56"/>
    </row>
    <row hidden="true" r="53">
      <c r="A53" s="40">
        <v>46276</v>
      </c>
      <c r="B53" s="41" t="s">
        <v>124</v>
      </c>
      <c r="C53" s="36" t="s">
        <v>121</v>
      </c>
      <c r="D53" s="36">
        <v>4</v>
      </c>
      <c r="E53" s="44">
        <v>12</v>
      </c>
      <c r="F53" s="68">
        <v>7</v>
      </c>
      <c r="G53" s="44">
        <v>7</v>
      </c>
      <c r="H53" s="42">
        <v>5</v>
      </c>
      <c r="I53" s="44">
        <v>2071.04</v>
      </c>
      <c r="J53" s="45">
        <v>2</v>
      </c>
      <c r="K53" s="45">
        <v>3448.6</v>
      </c>
      <c r="L53" s="45">
        <v>7</v>
      </c>
      <c r="M53" s="48">
        <v>28301.079999999998</v>
      </c>
      <c r="N53" s="48">
        <v>4</v>
      </c>
      <c r="O53" s="48">
        <v>4541.17</v>
      </c>
      <c r="P53" s="36">
        <f t="shared" si="12"/>
      </c>
      <c r="Q53" s="49">
        <v>15017.89</v>
      </c>
      <c r="R53" s="50">
        <f t="shared" si="33"/>
      </c>
      <c r="S53" s="51">
        <f t="shared" si="34"/>
      </c>
      <c r="T53" s="51">
        <f t="shared" si="35"/>
      </c>
      <c r="U53" s="42" t="s">
        <v>134</v>
      </c>
      <c r="V53" s="44">
        <v>8</v>
      </c>
      <c r="W53" s="44"/>
      <c r="X53" s="44"/>
      <c r="Y53" s="44" t="s">
        <v>123</v>
      </c>
      <c r="Z53" s="44">
        <v>16</v>
      </c>
      <c r="AA53" s="52">
        <v>50910</v>
      </c>
      <c r="AB53" s="52">
        <v>2147</v>
      </c>
      <c r="AC53" s="52">
        <v>2881</v>
      </c>
      <c r="AD53" s="52">
        <v>632</v>
      </c>
      <c r="AE53" s="44">
        <v>154</v>
      </c>
      <c r="AF53" s="44">
        <v>29</v>
      </c>
      <c r="AG53" s="44">
        <v>286</v>
      </c>
      <c r="AH53" s="44">
        <v>8</v>
      </c>
      <c r="AI53" s="53">
        <f t="shared" si="37"/>
      </c>
      <c r="AJ53" s="53">
        <f t="shared" si="56"/>
      </c>
      <c r="AK53" s="53">
        <f t="shared" si="38"/>
      </c>
      <c r="AL53" s="54">
        <f t="shared" si="0"/>
      </c>
      <c r="AM53" s="55">
        <f t="shared" si="1"/>
      </c>
      <c r="AN53" s="56"/>
    </row>
    <row hidden="true" r="54">
      <c r="A54" s="40">
        <v>46276</v>
      </c>
      <c r="B54" s="41" t="s">
        <v>117</v>
      </c>
      <c r="C54" s="36" t="s">
        <v>125</v>
      </c>
      <c r="D54" s="36">
        <v>4</v>
      </c>
      <c r="E54" s="44">
        <v>20</v>
      </c>
      <c r="F54" s="68">
        <v>12</v>
      </c>
      <c r="G54" s="42">
        <v>11</v>
      </c>
      <c r="H54" s="42">
        <v>12</v>
      </c>
      <c r="I54" s="44">
        <v>2206.2599999999998</v>
      </c>
      <c r="J54" s="45">
        <v>0</v>
      </c>
      <c r="K54" s="45">
        <v>0</v>
      </c>
      <c r="L54" s="45">
        <v>12</v>
      </c>
      <c r="M54" s="48">
        <v>26475.119999999995</v>
      </c>
      <c r="N54" s="48">
        <v>0</v>
      </c>
      <c r="O54" s="48">
        <v>0</v>
      </c>
      <c r="P54" s="36">
        <f t="shared" si="12"/>
      </c>
      <c r="Q54" s="49">
        <v>17068.17</v>
      </c>
      <c r="R54" s="50">
        <f t="shared" si="33"/>
      </c>
      <c r="S54" s="51">
        <f t="shared" si="34"/>
      </c>
      <c r="T54" s="51">
        <f t="shared" si="35"/>
      </c>
      <c r="U54" s="44" t="s">
        <v>133</v>
      </c>
      <c r="V54" s="44">
        <v>8</v>
      </c>
      <c r="W54" s="44"/>
      <c r="X54" s="44"/>
      <c r="Y54" s="44"/>
      <c r="Z54" s="44"/>
      <c r="AA54" s="44">
        <v>67257</v>
      </c>
      <c r="AB54" s="44">
        <v>3348</v>
      </c>
      <c r="AC54" s="44">
        <v>5609</v>
      </c>
      <c r="AD54" s="44">
        <v>1046</v>
      </c>
      <c r="AE54" s="44">
        <v>119</v>
      </c>
      <c r="AF54" s="44">
        <v>36</v>
      </c>
      <c r="AG54" s="44">
        <v>278</v>
      </c>
      <c r="AH54" s="44">
        <v>1</v>
      </c>
      <c r="AI54" s="53">
        <f t="shared" si="37"/>
      </c>
      <c r="AJ54" s="53">
        <f t="shared" si="56"/>
      </c>
      <c r="AK54" s="53">
        <f t="shared" si="38"/>
      </c>
      <c r="AL54" s="54">
        <f t="shared" si="0"/>
      </c>
      <c r="AM54" s="55">
        <f t="shared" si="1"/>
      </c>
      <c r="AN54" s="56"/>
    </row>
    <row hidden="true" r="55">
      <c r="A55" s="40">
        <v>46276</v>
      </c>
      <c r="B55" s="41" t="s">
        <v>126</v>
      </c>
      <c r="C55" s="36" t="s">
        <v>127</v>
      </c>
      <c r="D55" s="36">
        <v>4</v>
      </c>
      <c r="E55" s="44">
        <v>10</v>
      </c>
      <c r="F55" s="68">
        <v>4</v>
      </c>
      <c r="G55" s="44">
        <v>3</v>
      </c>
      <c r="H55" s="42">
        <v>4</v>
      </c>
      <c r="I55" s="44">
        <v>597.13</v>
      </c>
      <c r="J55" s="45">
        <v>0</v>
      </c>
      <c r="K55" s="45">
        <v>0</v>
      </c>
      <c r="L55" s="45">
        <v>4</v>
      </c>
      <c r="M55" s="48">
        <v>7165.5599999999995</v>
      </c>
      <c r="N55" s="48">
        <v>1</v>
      </c>
      <c r="O55" s="48">
        <v>217.42</v>
      </c>
      <c r="P55" s="36">
        <f t="shared" si="12"/>
      </c>
      <c r="Q55" s="49">
        <v>16968.04</v>
      </c>
      <c r="R55" s="50">
        <f t="shared" si="33"/>
      </c>
      <c r="S55" s="51">
        <f t="shared" si="34"/>
      </c>
      <c r="T55" s="51">
        <f t="shared" si="35"/>
      </c>
      <c r="U55" s="44"/>
      <c r="V55" s="44"/>
      <c r="W55" s="44"/>
      <c r="X55" s="44"/>
      <c r="Y55" s="44"/>
      <c r="Z55" s="44"/>
      <c r="AA55" s="44">
        <v>84020</v>
      </c>
      <c r="AB55" s="44">
        <v>2897</v>
      </c>
      <c r="AC55" s="44">
        <v>4781</v>
      </c>
      <c r="AD55" s="44">
        <v>813</v>
      </c>
      <c r="AE55" s="44">
        <v>99</v>
      </c>
      <c r="AF55" s="44">
        <v>40</v>
      </c>
      <c r="AG55" s="44">
        <v>283</v>
      </c>
      <c r="AH55" s="44">
        <v>30</v>
      </c>
      <c r="AI55" s="53">
        <f t="shared" si="37"/>
      </c>
      <c r="AJ55" s="53">
        <f t="shared" si="56"/>
      </c>
      <c r="AK55" s="53">
        <f t="shared" si="38"/>
      </c>
      <c r="AL55" s="54">
        <f t="shared" si="0"/>
      </c>
      <c r="AM55" s="55">
        <f t="shared" si="1"/>
      </c>
      <c r="AN55" s="56"/>
    </row>
    <row r="56">
      <c r="A56" s="69">
        <v>46276</v>
      </c>
      <c r="B56" s="60"/>
      <c r="C56" s="60" t="s">
        <v>129</v>
      </c>
      <c r="D56" s="60">
        <f>D52+D53+D54+D55</f>
      </c>
      <c r="E56" s="60">
        <f>E52+E53+E54+E55</f>
      </c>
      <c r="F56" s="60">
        <f>F52+F53+F54+F55</f>
      </c>
      <c r="G56" s="60">
        <f>G52+G53+G54+G55</f>
      </c>
      <c r="H56" s="60">
        <f>H52+H53+H54+H55</f>
      </c>
      <c r="I56" s="60">
        <f>I52+I53+I54+I55</f>
      </c>
      <c r="J56" s="62">
        <f>J52+J53+J54+J55</f>
      </c>
      <c r="K56" s="62">
        <f>K52+K53+K54+K55</f>
      </c>
      <c r="L56" s="62">
        <f>L52+L53+L54+L55</f>
      </c>
      <c r="M56" s="62">
        <f>M52+M53+M54+M55</f>
      </c>
      <c r="N56" s="62">
        <f>N52+N53+N54+N55</f>
      </c>
      <c r="O56" s="62">
        <f>O52+O53+O54+O55</f>
      </c>
      <c r="P56" s="60">
        <f>P52+P53+P54+P55</f>
      </c>
      <c r="Q56" s="60">
        <f>Q52+Q53+Q54+Q55</f>
      </c>
      <c r="R56" s="63">
        <f t="shared" si="33"/>
      </c>
      <c r="S56" s="63">
        <f t="shared" si="34"/>
      </c>
      <c r="T56" s="63">
        <f t="shared" si="35"/>
      </c>
      <c r="U56" s="64"/>
      <c r="V56" s="60">
        <f>V52+V53+V55+V54</f>
      </c>
      <c r="W56" s="64"/>
      <c r="X56" s="60">
        <f>SUM(X52:X53)</f>
      </c>
      <c r="Y56" s="64"/>
      <c r="Z56" s="60">
        <f>Z52+Z53+Z54+Z55</f>
      </c>
      <c r="AA56" s="60">
        <f>AA52+AA53+AA55+AA54</f>
      </c>
      <c r="AB56" s="60">
        <f>AB52+AB53+AB55+AB54</f>
      </c>
      <c r="AC56" s="60">
        <f>AC52+AC53+AC55+AC54</f>
      </c>
      <c r="AD56" s="60">
        <f>AD52+AD53+AD55+AD54</f>
      </c>
      <c r="AE56" s="60">
        <f>AE52+AE53+AE55+AE54</f>
      </c>
      <c r="AF56" s="60">
        <f>AF52+AF53+AF55+AF54</f>
      </c>
      <c r="AG56" s="60">
        <f>AG52+AG53+AG55+AG54</f>
      </c>
      <c r="AH56" s="60">
        <f>AH52+AH53+AH55+AH54</f>
      </c>
      <c r="AI56" s="65">
        <f t="shared" si="37"/>
      </c>
      <c r="AJ56" s="65">
        <f t="shared" si="56"/>
      </c>
      <c r="AK56" s="65">
        <f t="shared" si="38"/>
      </c>
      <c r="AL56" s="65">
        <f t="shared" si="0"/>
      </c>
      <c r="AM56" s="66">
        <f t="shared" si="1"/>
      </c>
      <c r="AN56" s="65">
        <f>F56/AE56</f>
      </c>
    </row>
    <row hidden="true" r="57">
      <c r="A57" s="57">
        <v>46277</v>
      </c>
      <c r="B57" s="36" t="s">
        <v>124</v>
      </c>
      <c r="C57" s="36" t="s">
        <v>118</v>
      </c>
      <c r="D57" s="36">
        <v>4</v>
      </c>
      <c r="E57" s="44">
        <v>21</v>
      </c>
      <c r="F57" s="68">
        <v>15</v>
      </c>
      <c r="G57" s="44">
        <v>14</v>
      </c>
      <c r="H57" s="44">
        <v>14</v>
      </c>
      <c r="I57" s="44">
        <v>2385.19</v>
      </c>
      <c r="J57" s="46">
        <v>1</v>
      </c>
      <c r="K57" s="46">
        <v>419</v>
      </c>
      <c r="L57" s="46">
        <v>15</v>
      </c>
      <c r="M57" s="47">
        <v>29041.28</v>
      </c>
      <c r="N57" s="47">
        <v>5</v>
      </c>
      <c r="O57" s="47">
        <v>1421.9499999999998</v>
      </c>
      <c r="P57" s="36">
        <f t="shared" ref="P57:P60" si="13">I57*12+K57</f>
      </c>
      <c r="Q57" s="49">
        <v>17526.52</v>
      </c>
      <c r="R57" s="50">
        <f t="shared" si="33"/>
      </c>
      <c r="S57" s="51">
        <f t="shared" si="34"/>
      </c>
      <c r="T57" s="51">
        <f t="shared" si="35"/>
      </c>
      <c r="U57" s="44"/>
      <c r="V57" s="44"/>
      <c r="W57" s="44"/>
      <c r="X57" s="44"/>
      <c r="Y57" s="44"/>
      <c r="Z57" s="44"/>
      <c r="AA57" s="52">
        <v>71820</v>
      </c>
      <c r="AB57" s="52">
        <v>2621</v>
      </c>
      <c r="AC57" s="52">
        <v>3806</v>
      </c>
      <c r="AD57" s="52">
        <v>778</v>
      </c>
      <c r="AE57" s="44">
        <v>214</v>
      </c>
      <c r="AF57" s="44">
        <v>38</v>
      </c>
      <c r="AG57" s="44">
        <v>284</v>
      </c>
      <c r="AH57" s="44">
        <v>7</v>
      </c>
      <c r="AI57" s="53">
        <f t="shared" si="37"/>
      </c>
      <c r="AJ57" s="53">
        <f t="shared" si="56"/>
      </c>
      <c r="AK57" s="53">
        <f t="shared" si="38"/>
      </c>
      <c r="AL57" s="54">
        <f t="shared" si="0"/>
      </c>
      <c r="AM57" s="55">
        <f t="shared" si="1"/>
      </c>
      <c r="AN57" s="56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</row>
    <row hidden="true" r="58">
      <c r="A58" s="57">
        <v>46277</v>
      </c>
      <c r="B58" s="36" t="s">
        <v>117</v>
      </c>
      <c r="C58" s="36" t="s">
        <v>121</v>
      </c>
      <c r="D58" s="36">
        <v>4</v>
      </c>
      <c r="E58" s="44">
        <v>20</v>
      </c>
      <c r="F58" s="68">
        <v>13</v>
      </c>
      <c r="G58" s="44">
        <v>10</v>
      </c>
      <c r="H58" s="44">
        <v>12</v>
      </c>
      <c r="I58" s="44">
        <v>2265.1200000000003</v>
      </c>
      <c r="J58" s="46">
        <v>1</v>
      </c>
      <c r="K58" s="46">
        <v>1126</v>
      </c>
      <c r="L58" s="46">
        <v>13</v>
      </c>
      <c r="M58" s="47">
        <v>28307.440000000002</v>
      </c>
      <c r="N58" s="47">
        <v>2</v>
      </c>
      <c r="O58" s="47">
        <v>830.3299999999999</v>
      </c>
      <c r="P58" s="36">
        <f t="shared" si="13"/>
      </c>
      <c r="Q58" s="49">
        <v>19052.059999999998</v>
      </c>
      <c r="R58" s="50">
        <f t="shared" si="33"/>
      </c>
      <c r="S58" s="51">
        <f t="shared" si="34"/>
      </c>
      <c r="T58" s="51">
        <f t="shared" si="35"/>
      </c>
      <c r="U58" s="44" t="s">
        <v>134</v>
      </c>
      <c r="V58" s="44">
        <v>8</v>
      </c>
      <c r="W58" s="44"/>
      <c r="X58" s="44"/>
      <c r="Y58" s="44" t="s">
        <v>123</v>
      </c>
      <c r="Z58" s="44">
        <v>16</v>
      </c>
      <c r="AA58" s="52">
        <v>71941</v>
      </c>
      <c r="AB58" s="52">
        <v>7144</v>
      </c>
      <c r="AC58" s="52">
        <v>15488</v>
      </c>
      <c r="AD58" s="52">
        <v>3042</v>
      </c>
      <c r="AE58" s="44">
        <v>195</v>
      </c>
      <c r="AF58" s="44">
        <v>48</v>
      </c>
      <c r="AG58" s="44">
        <v>380</v>
      </c>
      <c r="AH58" s="44">
        <v>4</v>
      </c>
      <c r="AI58" s="53">
        <f t="shared" si="37"/>
      </c>
      <c r="AJ58" s="53">
        <f t="shared" si="56"/>
      </c>
      <c r="AK58" s="53">
        <f t="shared" si="38"/>
      </c>
      <c r="AL58" s="54">
        <f t="shared" si="0"/>
      </c>
      <c r="AM58" s="55">
        <f t="shared" si="1"/>
      </c>
      <c r="AN58" s="56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</row>
    <row hidden="true" r="59">
      <c r="A59" s="57">
        <v>46277</v>
      </c>
      <c r="B59" s="36" t="s">
        <v>120</v>
      </c>
      <c r="C59" s="36" t="s">
        <v>125</v>
      </c>
      <c r="D59" s="36">
        <v>4</v>
      </c>
      <c r="E59" s="44">
        <v>11</v>
      </c>
      <c r="F59" s="68">
        <v>8</v>
      </c>
      <c r="G59" s="44">
        <v>7</v>
      </c>
      <c r="H59" s="44">
        <v>7</v>
      </c>
      <c r="I59" s="44">
        <v>950.3100000000001</v>
      </c>
      <c r="J59" s="46">
        <v>1</v>
      </c>
      <c r="K59" s="46">
        <v>2452.8</v>
      </c>
      <c r="L59" s="46">
        <v>8</v>
      </c>
      <c r="M59" s="47">
        <v>13856.52</v>
      </c>
      <c r="N59" s="47">
        <v>1</v>
      </c>
      <c r="O59" s="47">
        <v>2452.8</v>
      </c>
      <c r="P59" s="36">
        <f t="shared" si="13"/>
      </c>
      <c r="Q59" s="49">
        <v>11108.279999999999</v>
      </c>
      <c r="R59" s="50">
        <f t="shared" si="33"/>
      </c>
      <c r="S59" s="51">
        <f t="shared" si="34"/>
      </c>
      <c r="T59" s="51">
        <f t="shared" si="35"/>
      </c>
      <c r="U59" s="44" t="s">
        <v>133</v>
      </c>
      <c r="V59" s="44">
        <v>8</v>
      </c>
      <c r="W59" s="44"/>
      <c r="X59" s="44"/>
      <c r="Y59" s="44"/>
      <c r="Z59" s="44"/>
      <c r="AA59" s="44">
        <v>56567</v>
      </c>
      <c r="AB59" s="44">
        <v>3839</v>
      </c>
      <c r="AC59" s="44">
        <v>7707</v>
      </c>
      <c r="AD59" s="44">
        <v>1428</v>
      </c>
      <c r="AE59" s="44">
        <v>110</v>
      </c>
      <c r="AF59" s="44">
        <v>38</v>
      </c>
      <c r="AG59" s="44">
        <v>317</v>
      </c>
      <c r="AH59" s="44">
        <v>1</v>
      </c>
      <c r="AI59" s="53">
        <f t="shared" si="37"/>
      </c>
      <c r="AJ59" s="53">
        <f t="shared" si="56"/>
      </c>
      <c r="AK59" s="53">
        <f t="shared" si="38"/>
      </c>
      <c r="AL59" s="54">
        <f t="shared" si="0"/>
      </c>
      <c r="AM59" s="55">
        <f t="shared" si="1"/>
      </c>
      <c r="AN59" s="56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</row>
    <row hidden="true" r="60">
      <c r="A60" s="57">
        <v>46277</v>
      </c>
      <c r="B60" s="36" t="s">
        <v>131</v>
      </c>
      <c r="C60" s="36" t="s">
        <v>127</v>
      </c>
      <c r="D60" s="36">
        <v>4</v>
      </c>
      <c r="E60" s="44">
        <v>14</v>
      </c>
      <c r="F60" s="68">
        <v>9</v>
      </c>
      <c r="G60" s="44">
        <v>8</v>
      </c>
      <c r="H60" s="42">
        <v>9</v>
      </c>
      <c r="I60" s="44">
        <v>2576.0900000000006</v>
      </c>
      <c r="J60" s="45">
        <v>0</v>
      </c>
      <c r="K60" s="45">
        <v>0</v>
      </c>
      <c r="L60" s="45">
        <v>9</v>
      </c>
      <c r="M60" s="47">
        <v>30913.08000000001</v>
      </c>
      <c r="N60" s="48">
        <v>4</v>
      </c>
      <c r="O60" s="47">
        <v>1795.88</v>
      </c>
      <c r="P60" s="36">
        <f t="shared" si="13"/>
      </c>
      <c r="Q60" s="49">
        <v>13876.19</v>
      </c>
      <c r="R60" s="50">
        <f t="shared" si="33"/>
      </c>
      <c r="S60" s="51">
        <f t="shared" si="34"/>
      </c>
      <c r="T60" s="51">
        <f t="shared" si="35"/>
      </c>
      <c r="U60" s="44"/>
      <c r="V60" s="44"/>
      <c r="W60" s="44"/>
      <c r="X60" s="44"/>
      <c r="Y60" s="44"/>
      <c r="Z60" s="44"/>
      <c r="AA60" s="44">
        <v>52252</v>
      </c>
      <c r="AB60" s="44">
        <v>3752</v>
      </c>
      <c r="AC60" s="44">
        <v>7360</v>
      </c>
      <c r="AD60" s="44">
        <v>1322</v>
      </c>
      <c r="AE60" s="44">
        <v>175</v>
      </c>
      <c r="AF60" s="44">
        <v>30</v>
      </c>
      <c r="AG60" s="44">
        <v>252</v>
      </c>
      <c r="AH60" s="44">
        <v>0</v>
      </c>
      <c r="AI60" s="53">
        <f t="shared" si="37"/>
      </c>
      <c r="AJ60" s="53">
        <f t="shared" si="56"/>
      </c>
      <c r="AK60" s="53">
        <f t="shared" si="38"/>
      </c>
      <c r="AL60" s="54">
        <f t="shared" si="0"/>
      </c>
      <c r="AM60" s="55">
        <f t="shared" si="1"/>
      </c>
      <c r="AN60" s="56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</row>
    <row r="61">
      <c r="A61" s="59">
        <v>46277</v>
      </c>
      <c r="B61" s="60"/>
      <c r="C61" s="60" t="s">
        <v>129</v>
      </c>
      <c r="D61" s="60">
        <f>D57+D58+D59+D60</f>
      </c>
      <c r="E61" s="60">
        <f>E57+E58+E59+E60</f>
      </c>
      <c r="F61" s="60">
        <f>F57+F58+F59+F60</f>
      </c>
      <c r="G61" s="60">
        <f>G57+G58+G59+G60</f>
      </c>
      <c r="H61" s="60">
        <f>H57+H58+H59+H60</f>
      </c>
      <c r="I61" s="60">
        <f>I57+I58+I59+I60</f>
      </c>
      <c r="J61" s="62">
        <f>J57+J58+J59+J60</f>
      </c>
      <c r="K61" s="62">
        <f>K57+K58+K59+K60</f>
      </c>
      <c r="L61" s="62">
        <f>L57+L58+L59+L60</f>
      </c>
      <c r="M61" s="62">
        <f>M57+M58+M59+M60</f>
      </c>
      <c r="N61" s="62">
        <f>N57+N58+N59+N60</f>
      </c>
      <c r="O61" s="62">
        <f>O57+O58+O59+O60</f>
      </c>
      <c r="P61" s="60">
        <f>P57+P58+P59+P60</f>
      </c>
      <c r="Q61" s="60">
        <f>Q57+Q58+Q59+Q60</f>
      </c>
      <c r="R61" s="63">
        <f t="shared" si="33"/>
      </c>
      <c r="S61" s="63">
        <f t="shared" si="34"/>
      </c>
      <c r="T61" s="63">
        <f t="shared" si="35"/>
      </c>
      <c r="U61" s="64"/>
      <c r="V61" s="60">
        <f>V57+V58+V60+V59</f>
      </c>
      <c r="W61" s="64"/>
      <c r="X61" s="60">
        <f>SUM(X57:X58)</f>
      </c>
      <c r="Y61" s="64"/>
      <c r="Z61" s="60">
        <f>Z57+Z58+Z59+Z60</f>
      </c>
      <c r="AA61" s="60">
        <f>AA57+AA58+AA60+AA59</f>
      </c>
      <c r="AB61" s="60">
        <f>AB57+AB58+AB60+AB59</f>
      </c>
      <c r="AC61" s="60">
        <f>AC57+AC58+AC60+AC59</f>
      </c>
      <c r="AD61" s="60">
        <f>AD57+AD58+AD60+AD59</f>
      </c>
      <c r="AE61" s="60">
        <f>AE57+AE58+AE60+AE59</f>
      </c>
      <c r="AF61" s="60">
        <f>AF57+AF58+AF60+AF59</f>
      </c>
      <c r="AG61" s="60">
        <f>AG57+AG58+AG60+AG59</f>
      </c>
      <c r="AH61" s="60">
        <f>AH57+AH58+AH60+AH59</f>
      </c>
      <c r="AI61" s="65">
        <f t="shared" si="37"/>
      </c>
      <c r="AJ61" s="65">
        <f t="shared" si="56"/>
      </c>
      <c r="AK61" s="65">
        <f t="shared" si="38"/>
      </c>
      <c r="AL61" s="65">
        <f t="shared" si="0"/>
      </c>
      <c r="AM61" s="66">
        <f t="shared" si="1"/>
      </c>
      <c r="AN61" s="65">
        <f>F61/AE61</f>
      </c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</row>
    <row hidden="true" r="62">
      <c r="A62" s="40">
        <v>46278</v>
      </c>
      <c r="B62" s="36" t="s">
        <v>117</v>
      </c>
      <c r="C62" s="36" t="s">
        <v>118</v>
      </c>
      <c r="D62" s="36">
        <v>4</v>
      </c>
      <c r="E62" s="42">
        <v>13</v>
      </c>
      <c r="F62" s="43">
        <v>11</v>
      </c>
      <c r="G62" s="42">
        <v>8</v>
      </c>
      <c r="H62" s="42">
        <v>11</v>
      </c>
      <c r="I62" s="44">
        <v>2615.4000000000005</v>
      </c>
      <c r="J62" s="45">
        <v>0</v>
      </c>
      <c r="K62" s="45">
        <v>0</v>
      </c>
      <c r="L62" s="45">
        <v>11</v>
      </c>
      <c r="M62" s="47">
        <v>31384.800000000007</v>
      </c>
      <c r="N62" s="48">
        <v>7</v>
      </c>
      <c r="O62" s="48">
        <v>2191.2900000000004</v>
      </c>
      <c r="P62" s="36">
        <f t="shared" ref="P62:P65" si="14">I62*12+K62</f>
      </c>
      <c r="Q62" s="49">
        <v>16119.35</v>
      </c>
      <c r="R62" s="50">
        <f t="shared" si="33"/>
      </c>
      <c r="S62" s="51">
        <f t="shared" si="34"/>
      </c>
      <c r="T62" s="51">
        <f t="shared" si="35"/>
      </c>
      <c r="U62" s="44"/>
      <c r="V62" s="44"/>
      <c r="W62" s="44"/>
      <c r="X62" s="44"/>
      <c r="Y62" s="44"/>
      <c r="Z62" s="44"/>
      <c r="AA62" s="52">
        <v>63811</v>
      </c>
      <c r="AB62" s="52">
        <v>3538</v>
      </c>
      <c r="AC62" s="52">
        <v>6295</v>
      </c>
      <c r="AD62" s="52">
        <v>1293</v>
      </c>
      <c r="AE62" s="44">
        <v>142</v>
      </c>
      <c r="AF62" s="44">
        <v>42</v>
      </c>
      <c r="AG62" s="44">
        <v>229</v>
      </c>
      <c r="AH62" s="44">
        <v>2</v>
      </c>
      <c r="AI62" s="53">
        <f t="shared" si="37"/>
      </c>
      <c r="AJ62" s="53">
        <f t="shared" si="56"/>
      </c>
      <c r="AK62" s="53">
        <f t="shared" si="38"/>
      </c>
      <c r="AL62" s="54">
        <f t="shared" si="0"/>
      </c>
      <c r="AM62" s="55">
        <f t="shared" si="1"/>
      </c>
      <c r="AN62" s="56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</row>
    <row hidden="true" r="63">
      <c r="A63" s="40">
        <v>46278</v>
      </c>
      <c r="B63" s="41" t="s">
        <v>124</v>
      </c>
      <c r="C63" s="41" t="s">
        <v>144</v>
      </c>
      <c r="D63" s="41">
        <v>3</v>
      </c>
      <c r="E63" s="42">
        <v>9</v>
      </c>
      <c r="F63" s="43">
        <v>4</v>
      </c>
      <c r="G63" s="42">
        <v>4</v>
      </c>
      <c r="H63" s="42">
        <v>4</v>
      </c>
      <c r="I63" s="42">
        <v>586.8000000000001</v>
      </c>
      <c r="J63" s="45">
        <v>0</v>
      </c>
      <c r="K63" s="45">
        <v>0</v>
      </c>
      <c r="L63" s="45">
        <v>4</v>
      </c>
      <c r="M63" s="47">
        <v>7041.6</v>
      </c>
      <c r="N63" s="48">
        <v>0</v>
      </c>
      <c r="O63" s="48">
        <v>0</v>
      </c>
      <c r="P63" s="36">
        <f t="shared" si="14"/>
      </c>
      <c r="Q63" s="49">
        <v>14022.92</v>
      </c>
      <c r="R63" s="50">
        <f t="shared" si="33"/>
      </c>
      <c r="S63" s="51">
        <f t="shared" si="34"/>
      </c>
      <c r="T63" s="51">
        <f t="shared" si="35"/>
      </c>
      <c r="U63" s="42" t="s">
        <v>145</v>
      </c>
      <c r="V63" s="44">
        <v>8</v>
      </c>
      <c r="W63" s="44"/>
      <c r="X63" s="44"/>
      <c r="Y63" s="44" t="s">
        <v>123</v>
      </c>
      <c r="Z63" s="44">
        <v>16</v>
      </c>
      <c r="AA63" s="52">
        <v>52284</v>
      </c>
      <c r="AB63" s="52">
        <v>5316</v>
      </c>
      <c r="AC63" s="52">
        <v>11890</v>
      </c>
      <c r="AD63" s="52">
        <v>2266</v>
      </c>
      <c r="AE63" s="44">
        <v>133</v>
      </c>
      <c r="AF63" s="44">
        <v>39</v>
      </c>
      <c r="AG63" s="44">
        <v>185</v>
      </c>
      <c r="AH63" s="44">
        <v>0</v>
      </c>
      <c r="AI63" s="53">
        <f t="shared" si="37"/>
      </c>
      <c r="AJ63" s="53">
        <f t="shared" si="56"/>
      </c>
      <c r="AK63" s="53">
        <f t="shared" si="38"/>
      </c>
      <c r="AL63" s="54">
        <f t="shared" si="0"/>
      </c>
      <c r="AM63" s="55">
        <f t="shared" si="1"/>
      </c>
      <c r="AN63" s="56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</row>
    <row hidden="true" r="64">
      <c r="A64" s="40">
        <v>46278</v>
      </c>
      <c r="B64" s="36" t="s">
        <v>120</v>
      </c>
      <c r="C64" s="41" t="s">
        <v>146</v>
      </c>
      <c r="D64" s="41">
        <v>5</v>
      </c>
      <c r="E64" s="44">
        <v>19</v>
      </c>
      <c r="F64" s="68">
        <v>12</v>
      </c>
      <c r="G64" s="44">
        <v>9</v>
      </c>
      <c r="H64" s="42">
        <v>12</v>
      </c>
      <c r="I64" s="42">
        <v>2836.4900000000002</v>
      </c>
      <c r="J64" s="45">
        <v>0</v>
      </c>
      <c r="K64" s="45">
        <v>0</v>
      </c>
      <c r="L64" s="45">
        <v>12</v>
      </c>
      <c r="M64" s="47">
        <v>34037.880000000005</v>
      </c>
      <c r="N64" s="48">
        <v>6</v>
      </c>
      <c r="O64" s="47">
        <v>1941.62</v>
      </c>
      <c r="P64" s="36">
        <f t="shared" si="14"/>
      </c>
      <c r="Q64" s="49">
        <v>19447.14</v>
      </c>
      <c r="R64" s="50">
        <f t="shared" si="33"/>
      </c>
      <c r="S64" s="51">
        <f t="shared" si="34"/>
      </c>
      <c r="T64" s="51">
        <f t="shared" si="35"/>
      </c>
      <c r="U64" s="44" t="s">
        <v>133</v>
      </c>
      <c r="V64" s="44">
        <v>8</v>
      </c>
      <c r="W64" s="44"/>
      <c r="X64" s="44"/>
      <c r="Y64" s="44"/>
      <c r="Z64" s="44"/>
      <c r="AA64" s="44">
        <v>76997</v>
      </c>
      <c r="AB64" s="44">
        <v>4205</v>
      </c>
      <c r="AC64" s="44">
        <v>7843</v>
      </c>
      <c r="AD64" s="44">
        <v>1597</v>
      </c>
      <c r="AE64" s="44">
        <v>185</v>
      </c>
      <c r="AF64" s="44">
        <v>44</v>
      </c>
      <c r="AG64" s="44">
        <v>465</v>
      </c>
      <c r="AH64" s="44">
        <v>3</v>
      </c>
      <c r="AI64" s="53">
        <f t="shared" si="37"/>
      </c>
      <c r="AJ64" s="53">
        <f t="shared" si="56"/>
      </c>
      <c r="AK64" s="53">
        <f t="shared" si="38"/>
      </c>
      <c r="AL64" s="54">
        <f t="shared" si="0"/>
      </c>
      <c r="AM64" s="55">
        <f t="shared" si="1"/>
      </c>
      <c r="AN64" s="56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</row>
    <row hidden="true" r="65">
      <c r="A65" s="40">
        <v>46278</v>
      </c>
      <c r="B65" s="36" t="s">
        <v>131</v>
      </c>
      <c r="C65" s="36" t="s">
        <v>127</v>
      </c>
      <c r="D65" s="36">
        <v>4</v>
      </c>
      <c r="E65" s="44">
        <v>13</v>
      </c>
      <c r="F65" s="68">
        <v>8</v>
      </c>
      <c r="G65" s="44">
        <v>7</v>
      </c>
      <c r="H65" s="42">
        <v>7</v>
      </c>
      <c r="I65" s="44">
        <v>1140.85</v>
      </c>
      <c r="J65" s="45">
        <v>1</v>
      </c>
      <c r="K65" s="45">
        <v>2538.9</v>
      </c>
      <c r="L65" s="45">
        <v>8</v>
      </c>
      <c r="M65" s="47">
        <v>16229.099999999999</v>
      </c>
      <c r="N65" s="48">
        <v>4</v>
      </c>
      <c r="O65" s="47">
        <v>3476.62</v>
      </c>
      <c r="P65" s="36">
        <f t="shared" si="14"/>
      </c>
      <c r="Q65" s="49">
        <v>14407.490000000002</v>
      </c>
      <c r="R65" s="50">
        <f t="shared" si="33"/>
      </c>
      <c r="S65" s="51">
        <f t="shared" si="34"/>
      </c>
      <c r="T65" s="51">
        <f t="shared" si="35"/>
      </c>
      <c r="U65" s="44"/>
      <c r="V65" s="44"/>
      <c r="W65" s="44"/>
      <c r="X65" s="44"/>
      <c r="Y65" s="44"/>
      <c r="Z65" s="44"/>
      <c r="AA65" s="44">
        <v>59285</v>
      </c>
      <c r="AB65" s="44">
        <v>3754</v>
      </c>
      <c r="AC65" s="44">
        <v>7471</v>
      </c>
      <c r="AD65" s="44">
        <v>1434</v>
      </c>
      <c r="AE65" s="44">
        <v>159</v>
      </c>
      <c r="AF65" s="44">
        <v>33</v>
      </c>
      <c r="AG65" s="44">
        <v>306</v>
      </c>
      <c r="AH65" s="44">
        <v>3</v>
      </c>
      <c r="AI65" s="53">
        <f t="shared" si="37"/>
      </c>
      <c r="AJ65" s="53">
        <f t="shared" si="56"/>
      </c>
      <c r="AK65" s="53">
        <f t="shared" si="38"/>
      </c>
      <c r="AL65" s="54">
        <f t="shared" si="0"/>
      </c>
      <c r="AM65" s="55">
        <f t="shared" si="1"/>
      </c>
      <c r="AN65" s="56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</row>
    <row r="66">
      <c r="A66" s="69">
        <v>46278</v>
      </c>
      <c r="B66" s="60"/>
      <c r="C66" s="60" t="s">
        <v>129</v>
      </c>
      <c r="D66" s="60">
        <f>D62+D63+D64+D65</f>
      </c>
      <c r="E66" s="60">
        <f>E62+E63+E64+E65</f>
      </c>
      <c r="F66" s="60">
        <f>F62+F63+F64+F65</f>
      </c>
      <c r="G66" s="60">
        <f>G62+G63+G64+G65</f>
      </c>
      <c r="H66" s="60">
        <f>H62+H63+H64+H65</f>
      </c>
      <c r="I66" s="60">
        <f>I62+I63+I64+I65</f>
      </c>
      <c r="J66" s="62">
        <f>J62+J63+J64+J65</f>
      </c>
      <c r="K66" s="62">
        <f>K62+K63+K64+K65</f>
      </c>
      <c r="L66" s="62">
        <f>L62+L63+L64+L65</f>
      </c>
      <c r="M66" s="62">
        <f>M62+M63+M64+M65</f>
      </c>
      <c r="N66" s="62">
        <f>N62+N63+N64+N65</f>
      </c>
      <c r="O66" s="62">
        <f>O62+O63+O64+O65</f>
      </c>
      <c r="P66" s="60">
        <f>P62+P63+P64+P65</f>
      </c>
      <c r="Q66" s="60">
        <f>Q62+Q63+Q64+Q65</f>
      </c>
      <c r="R66" s="63">
        <f t="shared" si="33"/>
      </c>
      <c r="S66" s="63">
        <f t="shared" si="34"/>
      </c>
      <c r="T66" s="63">
        <f t="shared" si="35"/>
      </c>
      <c r="U66" s="64"/>
      <c r="V66" s="60">
        <f>V62+V63+V65+V64</f>
      </c>
      <c r="W66" s="64"/>
      <c r="X66" s="60">
        <f>SUM(X62:X63)</f>
      </c>
      <c r="Y66" s="64"/>
      <c r="Z66" s="60">
        <f>Z62+Z63+Z64+Z65</f>
      </c>
      <c r="AA66" s="60">
        <f>AA62+AA63+AA65+AA64</f>
      </c>
      <c r="AB66" s="60">
        <f>AB62+AB63+AB65+AB64</f>
      </c>
      <c r="AC66" s="60">
        <f>AC62+AC63+AC65+AC64</f>
      </c>
      <c r="AD66" s="60">
        <f>AD62+AD63+AD65+AD64</f>
      </c>
      <c r="AE66" s="60">
        <f>AE62+AE63+AE65+AE64</f>
      </c>
      <c r="AF66" s="60">
        <f>AF62+AF63+AF65+AF64</f>
      </c>
      <c r="AG66" s="60">
        <f>AG62+AG63+AG65+AG64</f>
      </c>
      <c r="AH66" s="60">
        <f>AH62+AH63+AH65+AH64</f>
      </c>
      <c r="AI66" s="65">
        <f t="shared" si="37"/>
      </c>
      <c r="AJ66" s="65">
        <f t="shared" si="56"/>
      </c>
      <c r="AK66" s="65">
        <f t="shared" si="38"/>
      </c>
      <c r="AL66" s="65">
        <f t="shared" si="0"/>
      </c>
      <c r="AM66" s="66">
        <f t="shared" si="1"/>
      </c>
      <c r="AN66" s="65">
        <f>F66/AE66</f>
      </c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</row>
    <row hidden="true" r="67">
      <c r="A67" s="40">
        <v>46279</v>
      </c>
      <c r="B67" s="41" t="s">
        <v>120</v>
      </c>
      <c r="C67" s="36" t="s">
        <v>118</v>
      </c>
      <c r="D67" s="36">
        <v>4</v>
      </c>
      <c r="E67" s="42">
        <v>24</v>
      </c>
      <c r="F67" s="43">
        <v>19</v>
      </c>
      <c r="G67" s="42">
        <v>14</v>
      </c>
      <c r="H67" s="42">
        <v>17</v>
      </c>
      <c r="I67" s="42">
        <v>3496.289999999999</v>
      </c>
      <c r="J67" s="45">
        <v>2</v>
      </c>
      <c r="K67" s="45">
        <v>1558</v>
      </c>
      <c r="L67" s="46">
        <v>19</v>
      </c>
      <c r="M67" s="47">
        <v>43513.47999999999</v>
      </c>
      <c r="N67" s="48">
        <v>7</v>
      </c>
      <c r="O67" s="47">
        <v>2361.4</v>
      </c>
      <c r="P67" s="36">
        <f t="shared" ref="P67:P71" si="15">I67*12+K67</f>
      </c>
      <c r="Q67" s="49">
        <v>16282.07</v>
      </c>
      <c r="R67" s="50">
        <f t="shared" si="33"/>
      </c>
      <c r="S67" s="51">
        <f t="shared" si="34"/>
      </c>
      <c r="T67" s="51">
        <f t="shared" si="35"/>
      </c>
      <c r="U67" s="44"/>
      <c r="V67" s="44"/>
      <c r="W67" s="44"/>
      <c r="X67" s="44"/>
      <c r="Y67" s="44"/>
      <c r="Z67" s="44"/>
      <c r="AA67" s="52">
        <v>55833</v>
      </c>
      <c r="AB67" s="52">
        <v>3131</v>
      </c>
      <c r="AC67" s="52">
        <v>5533</v>
      </c>
      <c r="AD67" s="52">
        <v>1219</v>
      </c>
      <c r="AE67" s="44">
        <v>131</v>
      </c>
      <c r="AF67" s="44">
        <v>36</v>
      </c>
      <c r="AG67" s="44">
        <v>404</v>
      </c>
      <c r="AH67" s="44">
        <v>4</v>
      </c>
      <c r="AI67" s="53">
        <f t="shared" si="37"/>
      </c>
      <c r="AJ67" s="53">
        <f t="shared" si="56"/>
      </c>
      <c r="AK67" s="53">
        <f t="shared" si="38"/>
      </c>
      <c r="AL67" s="54">
        <f t="shared" si="0"/>
      </c>
      <c r="AM67" s="55">
        <f t="shared" si="1"/>
      </c>
      <c r="AN67" s="56"/>
    </row>
    <row hidden="true" r="68">
      <c r="A68" s="40">
        <v>46279</v>
      </c>
      <c r="B68" s="41" t="s">
        <v>117</v>
      </c>
      <c r="C68" s="36" t="s">
        <v>121</v>
      </c>
      <c r="D68" s="36">
        <v>4</v>
      </c>
      <c r="E68" s="44">
        <v>24</v>
      </c>
      <c r="F68" s="68">
        <v>16</v>
      </c>
      <c r="G68" s="44">
        <v>12</v>
      </c>
      <c r="H68" s="42">
        <v>15</v>
      </c>
      <c r="I68" s="44">
        <v>4457.700000000001</v>
      </c>
      <c r="J68" s="45">
        <v>1</v>
      </c>
      <c r="K68" s="45">
        <v>2557.8</v>
      </c>
      <c r="L68" s="45">
        <v>16</v>
      </c>
      <c r="M68" s="48">
        <v>56050.20000000001</v>
      </c>
      <c r="N68" s="48">
        <v>8</v>
      </c>
      <c r="O68" s="48">
        <v>6103.800000000001</v>
      </c>
      <c r="P68" s="36">
        <f t="shared" si="15"/>
      </c>
      <c r="Q68" s="49">
        <v>21588.38</v>
      </c>
      <c r="R68" s="50">
        <f t="shared" si="33"/>
      </c>
      <c r="S68" s="51">
        <f t="shared" si="34"/>
      </c>
      <c r="T68" s="51">
        <f t="shared" si="35"/>
      </c>
      <c r="U68" s="42" t="s">
        <v>134</v>
      </c>
      <c r="V68" s="44">
        <v>8</v>
      </c>
      <c r="W68" s="44"/>
      <c r="X68" s="44"/>
      <c r="Y68" s="44" t="s">
        <v>123</v>
      </c>
      <c r="Z68" s="44">
        <v>16</v>
      </c>
      <c r="AA68" s="52">
        <v>86762</v>
      </c>
      <c r="AB68" s="52">
        <v>3190</v>
      </c>
      <c r="AC68" s="52">
        <v>4610</v>
      </c>
      <c r="AD68" s="52">
        <v>890</v>
      </c>
      <c r="AE68" s="44">
        <v>252</v>
      </c>
      <c r="AF68" s="44">
        <v>36</v>
      </c>
      <c r="AG68" s="44">
        <v>313</v>
      </c>
      <c r="AH68" s="44">
        <v>2</v>
      </c>
      <c r="AI68" s="53">
        <f t="shared" si="37"/>
      </c>
      <c r="AJ68" s="53">
        <f t="shared" si="56"/>
      </c>
      <c r="AK68" s="53">
        <f t="shared" si="38"/>
      </c>
      <c r="AL68" s="54">
        <f t="shared" si="0"/>
      </c>
      <c r="AM68" s="55">
        <f t="shared" si="1"/>
      </c>
      <c r="AN68" s="56"/>
    </row>
    <row hidden="true" r="69">
      <c r="A69" s="40">
        <v>46279</v>
      </c>
      <c r="B69" s="41" t="s">
        <v>131</v>
      </c>
      <c r="C69" s="41" t="s">
        <v>147</v>
      </c>
      <c r="D69" s="41">
        <v>2</v>
      </c>
      <c r="E69" s="44">
        <v>6</v>
      </c>
      <c r="F69" s="68">
        <v>4</v>
      </c>
      <c r="G69" s="42">
        <v>3</v>
      </c>
      <c r="H69" s="42">
        <v>3</v>
      </c>
      <c r="I69" s="44">
        <v>335.52</v>
      </c>
      <c r="J69" s="45">
        <v>1</v>
      </c>
      <c r="K69" s="45">
        <v>873</v>
      </c>
      <c r="L69" s="45">
        <v>4</v>
      </c>
      <c r="M69" s="48">
        <v>4899.24</v>
      </c>
      <c r="N69" s="48">
        <v>0</v>
      </c>
      <c r="O69" s="48">
        <v>0</v>
      </c>
      <c r="P69" s="36">
        <f t="shared" si="15"/>
      </c>
      <c r="Q69" s="49">
        <v>9044.46</v>
      </c>
      <c r="R69" s="50">
        <f t="shared" si="33"/>
      </c>
      <c r="S69" s="51">
        <f t="shared" si="34"/>
      </c>
      <c r="T69" s="51">
        <f t="shared" si="35"/>
      </c>
      <c r="U69" s="44" t="s">
        <v>133</v>
      </c>
      <c r="V69" s="44">
        <v>8</v>
      </c>
      <c r="W69" s="44"/>
      <c r="X69" s="44"/>
      <c r="Y69" s="44"/>
      <c r="Z69" s="44"/>
      <c r="AA69" s="44">
        <v>38002</v>
      </c>
      <c r="AB69" s="44">
        <v>2380</v>
      </c>
      <c r="AC69" s="44">
        <v>4955</v>
      </c>
      <c r="AD69" s="44">
        <v>928</v>
      </c>
      <c r="AE69" s="44">
        <v>97</v>
      </c>
      <c r="AF69" s="44">
        <v>20</v>
      </c>
      <c r="AG69" s="44">
        <v>161</v>
      </c>
      <c r="AH69" s="44">
        <v>1</v>
      </c>
      <c r="AI69" s="53">
        <f t="shared" si="37"/>
      </c>
      <c r="AJ69" s="53">
        <f t="shared" si="56"/>
      </c>
      <c r="AK69" s="53">
        <f t="shared" si="38"/>
      </c>
      <c r="AL69" s="54">
        <f t="shared" si="0"/>
      </c>
      <c r="AM69" s="55">
        <f t="shared" si="1"/>
      </c>
      <c r="AN69" s="56"/>
    </row>
    <row customHeight="true" hidden="true" ht="16.071428571428573" r="70">
      <c r="A70" s="40">
        <v>46279</v>
      </c>
      <c r="B70" s="41" t="s">
        <v>124</v>
      </c>
      <c r="C70" s="41" t="s">
        <v>139</v>
      </c>
      <c r="D70" s="41">
        <v>2</v>
      </c>
      <c r="E70" s="44">
        <v>2</v>
      </c>
      <c r="F70" s="43">
        <v>1</v>
      </c>
      <c r="G70" s="42">
        <v>1</v>
      </c>
      <c r="H70" s="42">
        <v>0</v>
      </c>
      <c r="I70" s="42">
        <v>0</v>
      </c>
      <c r="J70" s="45">
        <v>1</v>
      </c>
      <c r="K70" s="45">
        <v>2952</v>
      </c>
      <c r="L70" s="45">
        <v>1</v>
      </c>
      <c r="M70" s="48">
        <v>2952</v>
      </c>
      <c r="N70" s="48">
        <v>1</v>
      </c>
      <c r="O70" s="48">
        <v>2952</v>
      </c>
      <c r="P70" s="36">
        <f t="shared" si="15"/>
      </c>
      <c r="Q70" s="49">
        <v>7811.56</v>
      </c>
      <c r="R70" s="50">
        <f t="shared" si="33"/>
      </c>
      <c r="S70" s="51">
        <f t="shared" si="34"/>
      </c>
      <c r="T70" s="51">
        <f t="shared" si="35"/>
      </c>
      <c r="U70" s="44"/>
      <c r="V70" s="44"/>
      <c r="W70" s="44"/>
      <c r="X70" s="44"/>
      <c r="Y70" s="44"/>
      <c r="Z70" s="44"/>
      <c r="AA70" s="44">
        <v>36085</v>
      </c>
      <c r="AB70" s="44">
        <v>1804</v>
      </c>
      <c r="AC70" s="44">
        <v>3772</v>
      </c>
      <c r="AD70" s="44">
        <v>621</v>
      </c>
      <c r="AE70" s="44">
        <v>72</v>
      </c>
      <c r="AF70" s="44">
        <v>15</v>
      </c>
      <c r="AG70" s="44">
        <v>93</v>
      </c>
      <c r="AH70" s="44">
        <v>1</v>
      </c>
      <c r="AI70" s="53">
        <f t="shared" si="37"/>
      </c>
      <c r="AJ70" s="53">
        <f t="shared" si="56"/>
      </c>
      <c r="AK70" s="53">
        <f t="shared" si="38"/>
      </c>
      <c r="AL70" s="54">
        <f t="shared" si="0"/>
      </c>
      <c r="AM70" s="55">
        <f t="shared" si="1"/>
      </c>
      <c r="AN70" s="56"/>
    </row>
    <row hidden="true" r="71">
      <c r="A71" s="40">
        <v>46279</v>
      </c>
      <c r="B71" s="41" t="s">
        <v>126</v>
      </c>
      <c r="C71" s="36" t="s">
        <v>127</v>
      </c>
      <c r="D71" s="36">
        <v>4</v>
      </c>
      <c r="E71" s="44">
        <v>10</v>
      </c>
      <c r="F71" s="68">
        <v>6</v>
      </c>
      <c r="G71" s="44">
        <v>4</v>
      </c>
      <c r="H71" s="42">
        <v>4</v>
      </c>
      <c r="I71" s="44">
        <v>667.3199999999999</v>
      </c>
      <c r="J71" s="45">
        <v>2</v>
      </c>
      <c r="K71" s="45">
        <v>2288.8</v>
      </c>
      <c r="L71" s="45">
        <v>6</v>
      </c>
      <c r="M71" s="48">
        <v>10296.64</v>
      </c>
      <c r="N71" s="48">
        <v>2</v>
      </c>
      <c r="O71" s="48">
        <v>1329.8999999999999</v>
      </c>
      <c r="P71" s="36">
        <f t="shared" si="15"/>
      </c>
      <c r="Q71" s="49">
        <v>10360.419999999998</v>
      </c>
      <c r="R71" s="50">
        <f t="shared" si="33"/>
      </c>
      <c r="S71" s="51">
        <f t="shared" si="34"/>
      </c>
      <c r="T71" s="51">
        <f t="shared" si="35"/>
      </c>
      <c r="U71" s="44"/>
      <c r="V71" s="44"/>
      <c r="W71" s="44"/>
      <c r="X71" s="44"/>
      <c r="Y71" s="44"/>
      <c r="Z71" s="44"/>
      <c r="AA71" s="44">
        <v>42988</v>
      </c>
      <c r="AB71" s="44">
        <v>2405</v>
      </c>
      <c r="AC71" s="44">
        <v>4860</v>
      </c>
      <c r="AD71" s="44">
        <v>814</v>
      </c>
      <c r="AE71" s="44">
        <v>178</v>
      </c>
      <c r="AF71" s="44">
        <v>23</v>
      </c>
      <c r="AG71" s="44">
        <v>214</v>
      </c>
      <c r="AH71" s="44">
        <v>1</v>
      </c>
      <c r="AI71" s="53">
        <f t="shared" si="37"/>
      </c>
      <c r="AJ71" s="53">
        <f t="shared" si="56"/>
      </c>
      <c r="AK71" s="53">
        <f t="shared" si="38"/>
      </c>
      <c r="AL71" s="54">
        <f t="shared" si="0"/>
      </c>
      <c r="AM71" s="55">
        <f t="shared" si="1"/>
      </c>
      <c r="AN71" s="56"/>
    </row>
    <row r="72">
      <c r="A72" s="69">
        <v>46279</v>
      </c>
      <c r="B72" s="60"/>
      <c r="C72" s="60" t="s">
        <v>129</v>
      </c>
      <c r="D72" s="60">
        <f>D67+D68+D69+D71+D70</f>
      </c>
      <c r="E72" s="60">
        <f>E67+E68+E69+E71+E70</f>
      </c>
      <c r="F72" s="60">
        <f>F67+F68+F69+F71+F70</f>
      </c>
      <c r="G72" s="60">
        <f>G67+G68+G69+G71+G70</f>
      </c>
      <c r="H72" s="60">
        <f>H67+H68+H69+H71+H70</f>
      </c>
      <c r="I72" s="60">
        <f>I67+I68+I69+I71+I70</f>
      </c>
      <c r="J72" s="60">
        <f>J67+J68+J69+J71+J70</f>
      </c>
      <c r="K72" s="60">
        <f>K67+K68+K69+K71+K70</f>
      </c>
      <c r="L72" s="60">
        <f>L67+L68+L69+L71+L70</f>
      </c>
      <c r="M72" s="60">
        <f>M67+M68+M69+M71+M70</f>
      </c>
      <c r="N72" s="60">
        <f>N67+N68+N69+N71+N70</f>
      </c>
      <c r="O72" s="60">
        <f>O67+O68+O69+O71+O70</f>
      </c>
      <c r="P72" s="60">
        <f>P67+P68+P69+P71+P70</f>
      </c>
      <c r="Q72" s="60">
        <f>Q67+Q68+Q69+Q71+Q70</f>
      </c>
      <c r="R72" s="63">
        <f t="shared" si="33"/>
      </c>
      <c r="S72" s="63">
        <f t="shared" si="34"/>
      </c>
      <c r="T72" s="63">
        <f t="shared" si="35"/>
      </c>
      <c r="U72" s="64"/>
      <c r="V72" s="60">
        <f>V67+V68+V71+V69</f>
      </c>
      <c r="W72" s="64"/>
      <c r="X72" s="60">
        <f>SUM(X67:X68)</f>
      </c>
      <c r="Y72" s="64"/>
      <c r="Z72" s="60">
        <f>Z67+Z68+Z69+Z71</f>
      </c>
      <c r="AA72" s="60">
        <f>AA67+AA68+AA71+AA69+AA70</f>
      </c>
      <c r="AB72" s="60">
        <f>AB67+AB68+AB71+AB69+AB70</f>
      </c>
      <c r="AC72" s="60">
        <f>AC67+AC68+AC71+AC69+AC70</f>
      </c>
      <c r="AD72" s="60">
        <f>AD67+AD68+AD71+AD69+AD70</f>
      </c>
      <c r="AE72" s="60">
        <f>AE67+AE68+AE71+AE69+AE70</f>
      </c>
      <c r="AF72" s="60">
        <f>AF67+AF68+AF71+AF69+AF70</f>
      </c>
      <c r="AG72" s="60">
        <f>AG67+AG68+AG71+AG69+AG70</f>
      </c>
      <c r="AH72" s="60">
        <f>AH67+AH68+AH71+AH69+AH70</f>
      </c>
      <c r="AI72" s="65">
        <f t="shared" si="37"/>
      </c>
      <c r="AJ72" s="65">
        <f t="shared" si="56"/>
      </c>
      <c r="AK72" s="65">
        <f t="shared" si="38"/>
      </c>
      <c r="AL72" s="65">
        <f t="shared" si="0"/>
      </c>
      <c r="AM72" s="66">
        <f t="shared" si="1"/>
      </c>
      <c r="AN72" s="65">
        <f>F72/AE72</f>
      </c>
    </row>
    <row hidden="true" r="73">
      <c r="A73" s="40">
        <v>46280</v>
      </c>
      <c r="B73" s="41" t="s">
        <v>120</v>
      </c>
      <c r="C73" s="36" t="s">
        <v>118</v>
      </c>
      <c r="D73" s="36">
        <v>4</v>
      </c>
      <c r="E73" s="42">
        <v>12</v>
      </c>
      <c r="F73" s="43">
        <v>6</v>
      </c>
      <c r="G73" s="42">
        <v>5</v>
      </c>
      <c r="H73" s="42">
        <v>4</v>
      </c>
      <c r="I73" s="44">
        <v>730.21</v>
      </c>
      <c r="J73" s="45">
        <v>2</v>
      </c>
      <c r="K73" s="45">
        <v>3163.2</v>
      </c>
      <c r="L73" s="45">
        <f t="shared" ref="L73:L76" si="36">J73+H73</f>
      </c>
      <c r="M73" s="48">
        <f t="shared" ref="M73:M76" si="58">P73</f>
      </c>
      <c r="N73" s="48">
        <v>3</v>
      </c>
      <c r="O73" s="48">
        <v>3076.21</v>
      </c>
      <c r="P73" s="36">
        <f t="shared" ref="P73:P76" si="16">I73*12+K73</f>
      </c>
      <c r="Q73" s="49">
        <v>13403.95</v>
      </c>
      <c r="R73" s="50">
        <f t="shared" si="33"/>
      </c>
      <c r="S73" s="51">
        <f t="shared" si="34"/>
      </c>
      <c r="T73" s="51">
        <f t="shared" si="35"/>
      </c>
      <c r="U73" s="42"/>
      <c r="V73" s="42"/>
      <c r="W73" s="44"/>
      <c r="X73" s="44"/>
      <c r="Y73" s="44"/>
      <c r="Z73" s="44"/>
      <c r="AA73" s="52">
        <v>33468</v>
      </c>
      <c r="AB73" s="52">
        <v>2276</v>
      </c>
      <c r="AC73" s="52">
        <v>4174</v>
      </c>
      <c r="AD73" s="52">
        <v>909</v>
      </c>
      <c r="AE73" s="44">
        <v>152</v>
      </c>
      <c r="AF73" s="44">
        <v>23</v>
      </c>
      <c r="AG73" s="44">
        <v>231</v>
      </c>
      <c r="AH73" s="44">
        <v>7</v>
      </c>
      <c r="AI73" s="53">
        <f t="shared" si="37"/>
      </c>
      <c r="AJ73" s="53">
        <f t="shared" si="56"/>
      </c>
      <c r="AK73" s="53">
        <f t="shared" si="38"/>
      </c>
      <c r="AL73" s="54">
        <f t="shared" si="0"/>
      </c>
      <c r="AM73" s="55">
        <f t="shared" si="1"/>
      </c>
      <c r="AN73" s="56"/>
    </row>
    <row hidden="true" r="74">
      <c r="A74" s="40">
        <v>46280</v>
      </c>
      <c r="B74" s="41" t="s">
        <v>117</v>
      </c>
      <c r="C74" s="36" t="s">
        <v>121</v>
      </c>
      <c r="D74" s="36">
        <v>4</v>
      </c>
      <c r="E74" s="42">
        <v>14</v>
      </c>
      <c r="F74" s="43">
        <v>11</v>
      </c>
      <c r="G74" s="42">
        <v>8</v>
      </c>
      <c r="H74" s="42">
        <v>10</v>
      </c>
      <c r="I74" s="42">
        <v>1706.8799999999999</v>
      </c>
      <c r="J74" s="45">
        <v>1</v>
      </c>
      <c r="K74" s="45">
        <v>419</v>
      </c>
      <c r="L74" s="45">
        <f t="shared" si="36"/>
      </c>
      <c r="M74" s="48">
        <f t="shared" si="58"/>
      </c>
      <c r="N74" s="48">
        <v>1</v>
      </c>
      <c r="O74" s="48">
        <v>128.31</v>
      </c>
      <c r="P74" s="36">
        <f t="shared" si="16"/>
      </c>
      <c r="Q74" s="58">
        <v>11087.3</v>
      </c>
      <c r="R74" s="50">
        <f t="shared" si="33"/>
      </c>
      <c r="S74" s="51">
        <f t="shared" si="34"/>
      </c>
      <c r="T74" s="51">
        <f t="shared" si="35"/>
      </c>
      <c r="U74" s="42" t="s">
        <v>134</v>
      </c>
      <c r="V74" s="44">
        <v>8</v>
      </c>
      <c r="W74" s="44"/>
      <c r="X74" s="44"/>
      <c r="Y74" s="44" t="s">
        <v>123</v>
      </c>
      <c r="Z74" s="42">
        <v>16</v>
      </c>
      <c r="AA74" s="52">
        <v>29115</v>
      </c>
      <c r="AB74" s="52">
        <v>1772</v>
      </c>
      <c r="AC74" s="52">
        <v>3238</v>
      </c>
      <c r="AD74" s="52">
        <v>655</v>
      </c>
      <c r="AE74" s="44">
        <v>193</v>
      </c>
      <c r="AF74" s="44">
        <v>14</v>
      </c>
      <c r="AG74" s="44">
        <v>49</v>
      </c>
      <c r="AH74" s="42">
        <v>1</v>
      </c>
      <c r="AI74" s="53">
        <f t="shared" si="37"/>
      </c>
      <c r="AJ74" s="53">
        <f t="shared" si="56"/>
      </c>
      <c r="AK74" s="53">
        <f t="shared" si="38"/>
      </c>
      <c r="AL74" s="54">
        <f t="shared" si="0"/>
      </c>
      <c r="AM74" s="55">
        <f t="shared" si="1"/>
      </c>
      <c r="AN74" s="56"/>
    </row>
    <row hidden="true" r="75">
      <c r="A75" s="40">
        <v>46280</v>
      </c>
      <c r="B75" s="41" t="s">
        <v>131</v>
      </c>
      <c r="C75" s="36" t="s">
        <v>125</v>
      </c>
      <c r="D75" s="36">
        <v>4</v>
      </c>
      <c r="E75" s="42">
        <v>18</v>
      </c>
      <c r="F75" s="43">
        <v>11</v>
      </c>
      <c r="G75" s="42">
        <v>4</v>
      </c>
      <c r="H75" s="42">
        <v>11</v>
      </c>
      <c r="I75" s="42">
        <v>1491.2700000000004</v>
      </c>
      <c r="J75" s="45">
        <v>0</v>
      </c>
      <c r="K75" s="45">
        <v>0</v>
      </c>
      <c r="L75" s="45">
        <f t="shared" si="36"/>
      </c>
      <c r="M75" s="48">
        <f t="shared" si="58"/>
      </c>
      <c r="N75" s="48">
        <v>3</v>
      </c>
      <c r="O75" s="48">
        <v>879.9100000000001</v>
      </c>
      <c r="P75" s="36">
        <f t="shared" si="16"/>
      </c>
      <c r="Q75" s="58">
        <v>11654.95</v>
      </c>
      <c r="R75" s="50">
        <f t="shared" si="33"/>
      </c>
      <c r="S75" s="51">
        <f t="shared" si="34"/>
      </c>
      <c r="T75" s="51">
        <f t="shared" si="35"/>
      </c>
      <c r="U75" s="42" t="s">
        <v>142</v>
      </c>
      <c r="V75" s="42">
        <v>8</v>
      </c>
      <c r="W75" s="44"/>
      <c r="X75" s="44"/>
      <c r="Y75" s="44"/>
      <c r="Z75" s="44"/>
      <c r="AA75" s="44">
        <v>37911</v>
      </c>
      <c r="AB75" s="44">
        <v>2169</v>
      </c>
      <c r="AC75" s="44">
        <v>3925</v>
      </c>
      <c r="AD75" s="44">
        <v>743</v>
      </c>
      <c r="AE75" s="44">
        <v>151</v>
      </c>
      <c r="AF75" s="44">
        <v>18</v>
      </c>
      <c r="AG75" s="44">
        <v>65</v>
      </c>
      <c r="AH75" s="42">
        <v>3</v>
      </c>
      <c r="AI75" s="53">
        <f t="shared" si="37"/>
      </c>
      <c r="AJ75" s="53">
        <f t="shared" si="56"/>
      </c>
      <c r="AK75" s="53">
        <f t="shared" si="38"/>
      </c>
      <c r="AL75" s="54">
        <f t="shared" si="0"/>
      </c>
      <c r="AM75" s="55">
        <f t="shared" si="1"/>
      </c>
      <c r="AN75" s="56"/>
    </row>
    <row hidden="true" r="76">
      <c r="A76" s="40">
        <v>46280</v>
      </c>
      <c r="B76" s="41" t="s">
        <v>126</v>
      </c>
      <c r="C76" s="36" t="s">
        <v>127</v>
      </c>
      <c r="D76" s="36">
        <v>4</v>
      </c>
      <c r="E76" s="42">
        <v>10</v>
      </c>
      <c r="F76" s="43">
        <v>7</v>
      </c>
      <c r="G76" s="42">
        <v>7</v>
      </c>
      <c r="H76" s="42">
        <v>7</v>
      </c>
      <c r="I76" s="42">
        <v>1762.97</v>
      </c>
      <c r="J76" s="45">
        <v>0</v>
      </c>
      <c r="K76" s="45">
        <v>0</v>
      </c>
      <c r="L76" s="45">
        <f t="shared" si="36"/>
      </c>
      <c r="M76" s="48">
        <f t="shared" si="58"/>
      </c>
      <c r="N76" s="48">
        <v>2</v>
      </c>
      <c r="O76" s="48">
        <v>1043.51</v>
      </c>
      <c r="P76" s="36">
        <f t="shared" si="16"/>
      </c>
      <c r="Q76" s="58">
        <v>8652.73</v>
      </c>
      <c r="R76" s="50">
        <f t="shared" si="33"/>
      </c>
      <c r="S76" s="51">
        <f t="shared" si="34"/>
      </c>
      <c r="T76" s="51">
        <f t="shared" si="35"/>
      </c>
      <c r="U76" s="42"/>
      <c r="V76" s="42"/>
      <c r="W76" s="44"/>
      <c r="X76" s="44"/>
      <c r="Y76" s="44"/>
      <c r="Z76" s="44"/>
      <c r="AA76" s="44">
        <v>25395</v>
      </c>
      <c r="AB76" s="44">
        <v>1564</v>
      </c>
      <c r="AC76" s="44">
        <v>2609</v>
      </c>
      <c r="AD76" s="44">
        <v>394</v>
      </c>
      <c r="AE76" s="44">
        <v>149</v>
      </c>
      <c r="AF76" s="44">
        <v>21</v>
      </c>
      <c r="AG76" s="44">
        <v>194</v>
      </c>
      <c r="AH76" s="44">
        <v>0</v>
      </c>
      <c r="AI76" s="53">
        <f t="shared" si="37"/>
      </c>
      <c r="AJ76" s="53">
        <f t="shared" si="56"/>
      </c>
      <c r="AK76" s="53">
        <f t="shared" si="38"/>
      </c>
      <c r="AL76" s="54">
        <f t="shared" si="0"/>
      </c>
      <c r="AM76" s="55">
        <f t="shared" si="1"/>
      </c>
      <c r="AN76" s="56"/>
    </row>
    <row r="77">
      <c r="A77" s="59">
        <v>46280</v>
      </c>
      <c r="B77" s="60"/>
      <c r="C77" s="61" t="s">
        <v>129</v>
      </c>
      <c r="D77" s="60">
        <f>D73+D74+D75+D76</f>
      </c>
      <c r="E77" s="60">
        <f>E73+E74+E75+E76</f>
      </c>
      <c r="F77" s="60">
        <f>F73+F74+F75+F76</f>
      </c>
      <c r="G77" s="60">
        <f>G73+G74+G75+G76</f>
      </c>
      <c r="H77" s="60">
        <f>H73+H74+H75+H76</f>
      </c>
      <c r="I77" s="60">
        <f>I73+I74+I75+I76</f>
      </c>
      <c r="J77" s="62">
        <f>J73+J74+J75+J76</f>
      </c>
      <c r="K77" s="62">
        <f>K73+K74+K75+K76</f>
      </c>
      <c r="L77" s="62">
        <f>L73+L74+L75+L76</f>
      </c>
      <c r="M77" s="62">
        <f>M73+M74+M75+M76</f>
      </c>
      <c r="N77" s="62">
        <f>N73+N74+N75+N76</f>
      </c>
      <c r="O77" s="62">
        <f>O73+O74+O75+O76</f>
      </c>
      <c r="P77" s="60">
        <f>P73+P74+P75+P76</f>
      </c>
      <c r="Q77" s="60">
        <f>Q73+Q74+Q75+Q76</f>
      </c>
      <c r="R77" s="63">
        <f t="shared" si="33"/>
      </c>
      <c r="S77" s="63">
        <f t="shared" si="34"/>
      </c>
      <c r="T77" s="63">
        <f t="shared" si="35"/>
      </c>
      <c r="U77" s="64"/>
      <c r="V77" s="60">
        <f>V73+V74+V76+V75</f>
      </c>
      <c r="W77" s="64"/>
      <c r="X77" s="60">
        <f>SUM(X73:X74)</f>
      </c>
      <c r="Y77" s="64"/>
      <c r="Z77" s="61">
        <f>Z73+Z74+Z75+Z76</f>
      </c>
      <c r="AA77" s="60">
        <f>AA73+AA74+AA76+AA75</f>
      </c>
      <c r="AB77" s="60">
        <f>AB73+AB74+AB76+AB75</f>
      </c>
      <c r="AC77" s="60">
        <f>AC73+AC74+AC76+AC75</f>
      </c>
      <c r="AD77" s="60">
        <f>AD73+AD74+AD76+AD75</f>
      </c>
      <c r="AE77" s="60">
        <f>AE73+AE74+AE76+AE75</f>
      </c>
      <c r="AF77" s="60">
        <f>AF73+AF74+AF76+AF75</f>
      </c>
      <c r="AG77" s="60">
        <f>AG73+AG74+AG76+AG75</f>
      </c>
      <c r="AH77" s="60">
        <f>AH73+AH74+AH76+AH75</f>
      </c>
      <c r="AI77" s="65">
        <f t="shared" si="37"/>
      </c>
      <c r="AJ77" s="65">
        <f t="shared" si="56"/>
      </c>
      <c r="AK77" s="65">
        <f t="shared" si="38"/>
      </c>
      <c r="AL77" s="65">
        <f t="shared" si="0"/>
      </c>
      <c r="AM77" s="66">
        <f t="shared" si="1"/>
      </c>
      <c r="AN77" s="65">
        <f>F77/AE77</f>
      </c>
    </row>
    <row hidden="true" r="78">
      <c r="A78" s="40">
        <v>46281</v>
      </c>
      <c r="B78" s="41" t="s">
        <v>120</v>
      </c>
      <c r="C78" s="36" t="s">
        <v>118</v>
      </c>
      <c r="D78" s="36">
        <v>4</v>
      </c>
      <c r="E78" s="42">
        <v>12</v>
      </c>
      <c r="F78" s="43">
        <v>5</v>
      </c>
      <c r="G78" s="42">
        <v>5</v>
      </c>
      <c r="H78" s="42">
        <v>3</v>
      </c>
      <c r="I78" s="44">
        <v>290.97</v>
      </c>
      <c r="J78" s="45">
        <v>2</v>
      </c>
      <c r="K78" s="45">
        <v>8708.2</v>
      </c>
      <c r="L78" s="45">
        <f t="shared" ref="L78:L81" si="54">F78</f>
      </c>
      <c r="M78" s="48">
        <f t="shared" ref="M78:M81" si="59">P78</f>
      </c>
      <c r="N78" s="48">
        <v>2</v>
      </c>
      <c r="O78" s="48">
        <v>7983.61</v>
      </c>
      <c r="P78" s="36">
        <f t="shared" ref="P78:P81" si="17">I78*12+K78</f>
      </c>
      <c r="Q78" s="49">
        <v>14985.73</v>
      </c>
      <c r="R78" s="50">
        <f t="shared" si="33"/>
      </c>
      <c r="S78" s="51">
        <f t="shared" si="34"/>
      </c>
      <c r="T78" s="51">
        <f t="shared" si="35"/>
      </c>
      <c r="U78" s="42"/>
      <c r="V78" s="42"/>
      <c r="W78" s="44"/>
      <c r="X78" s="44"/>
      <c r="Y78" s="44"/>
      <c r="Z78" s="44"/>
      <c r="AA78" s="52">
        <v>45586</v>
      </c>
      <c r="AB78" s="52">
        <v>3006</v>
      </c>
      <c r="AC78" s="52">
        <v>5684</v>
      </c>
      <c r="AD78" s="52">
        <v>1183</v>
      </c>
      <c r="AE78" s="44">
        <v>177</v>
      </c>
      <c r="AF78" s="44">
        <v>22</v>
      </c>
      <c r="AG78" s="44">
        <v>328</v>
      </c>
      <c r="AH78" s="44">
        <v>4</v>
      </c>
      <c r="AI78" s="53">
        <f t="shared" si="37"/>
      </c>
      <c r="AJ78" s="53">
        <f t="shared" si="56"/>
      </c>
      <c r="AK78" s="53">
        <f t="shared" si="38"/>
      </c>
      <c r="AL78" s="54">
        <f t="shared" si="0"/>
      </c>
      <c r="AM78" s="55">
        <f t="shared" si="1"/>
      </c>
      <c r="AN78" s="56"/>
    </row>
    <row hidden="true" r="79">
      <c r="A79" s="40">
        <v>46281</v>
      </c>
      <c r="B79" s="41" t="s">
        <v>117</v>
      </c>
      <c r="C79" s="36" t="s">
        <v>121</v>
      </c>
      <c r="D79" s="36">
        <v>4</v>
      </c>
      <c r="E79" s="42">
        <v>8</v>
      </c>
      <c r="F79" s="43">
        <v>4</v>
      </c>
      <c r="G79" s="42">
        <v>1</v>
      </c>
      <c r="H79" s="42">
        <v>4</v>
      </c>
      <c r="I79" s="42">
        <v>1235.23</v>
      </c>
      <c r="J79" s="45">
        <v>0</v>
      </c>
      <c r="K79" s="45">
        <v>0</v>
      </c>
      <c r="L79" s="45">
        <f t="shared" si="54"/>
      </c>
      <c r="M79" s="48">
        <f t="shared" si="59"/>
      </c>
      <c r="N79" s="48">
        <v>2</v>
      </c>
      <c r="O79" s="48">
        <v>1097.22</v>
      </c>
      <c r="P79" s="36">
        <f t="shared" si="17"/>
      </c>
      <c r="Q79" s="58">
        <v>9833.9</v>
      </c>
      <c r="R79" s="50">
        <f t="shared" si="33"/>
      </c>
      <c r="S79" s="51">
        <f t="shared" si="34"/>
      </c>
      <c r="T79" s="51">
        <f t="shared" si="35"/>
      </c>
      <c r="U79" s="42" t="s">
        <v>134</v>
      </c>
      <c r="V79" s="44">
        <v>8</v>
      </c>
      <c r="W79" s="44"/>
      <c r="X79" s="44"/>
      <c r="Y79" s="44" t="s">
        <v>123</v>
      </c>
      <c r="Z79" s="42">
        <v>16</v>
      </c>
      <c r="AA79" s="52">
        <v>38389</v>
      </c>
      <c r="AB79" s="52">
        <v>1736</v>
      </c>
      <c r="AC79" s="52">
        <v>3093</v>
      </c>
      <c r="AD79" s="52">
        <v>618</v>
      </c>
      <c r="AE79" s="44">
        <v>167</v>
      </c>
      <c r="AF79" s="44">
        <v>10</v>
      </c>
      <c r="AG79" s="44">
        <v>202</v>
      </c>
      <c r="AH79" s="42">
        <v>4</v>
      </c>
      <c r="AI79" s="53">
        <f t="shared" si="37"/>
      </c>
      <c r="AJ79" s="53">
        <f t="shared" si="56"/>
      </c>
      <c r="AK79" s="53">
        <f t="shared" si="38"/>
      </c>
      <c r="AL79" s="54">
        <f t="shared" si="0"/>
      </c>
      <c r="AM79" s="55">
        <f t="shared" si="1"/>
      </c>
      <c r="AN79" s="56"/>
    </row>
    <row hidden="true" r="80">
      <c r="A80" s="40">
        <v>46281</v>
      </c>
      <c r="B80" s="41" t="s">
        <v>126</v>
      </c>
      <c r="C80" s="36" t="s">
        <v>125</v>
      </c>
      <c r="D80" s="36">
        <v>4</v>
      </c>
      <c r="E80" s="42">
        <v>10</v>
      </c>
      <c r="F80" s="43">
        <v>2</v>
      </c>
      <c r="G80" s="42">
        <v>1</v>
      </c>
      <c r="H80" s="42">
        <v>2</v>
      </c>
      <c r="I80" s="42">
        <v>425.41999999999996</v>
      </c>
      <c r="J80" s="45">
        <v>0</v>
      </c>
      <c r="K80" s="45">
        <v>0</v>
      </c>
      <c r="L80" s="45">
        <f t="shared" si="54"/>
      </c>
      <c r="M80" s="48">
        <f t="shared" si="59"/>
      </c>
      <c r="N80" s="48">
        <v>1</v>
      </c>
      <c r="O80" s="48">
        <v>324.08</v>
      </c>
      <c r="P80" s="36">
        <f t="shared" si="17"/>
      </c>
      <c r="Q80" s="58">
        <v>10442.369999999999</v>
      </c>
      <c r="R80" s="50">
        <f t="shared" si="33"/>
      </c>
      <c r="S80" s="51">
        <f t="shared" si="34"/>
      </c>
      <c r="T80" s="51">
        <f t="shared" si="35"/>
      </c>
      <c r="U80" s="42" t="s">
        <v>133</v>
      </c>
      <c r="V80" s="42">
        <v>1</v>
      </c>
      <c r="W80" s="44"/>
      <c r="X80" s="44"/>
      <c r="Y80" s="44"/>
      <c r="Z80" s="44"/>
      <c r="AA80" s="44">
        <v>39916</v>
      </c>
      <c r="AB80" s="44">
        <v>2414</v>
      </c>
      <c r="AC80" s="44">
        <v>4162</v>
      </c>
      <c r="AD80" s="44">
        <v>857</v>
      </c>
      <c r="AE80" s="44">
        <v>121</v>
      </c>
      <c r="AF80" s="44">
        <v>16</v>
      </c>
      <c r="AG80" s="44">
        <v>267</v>
      </c>
      <c r="AH80" s="42">
        <v>6</v>
      </c>
      <c r="AI80" s="53">
        <f t="shared" si="37"/>
      </c>
      <c r="AJ80" s="53">
        <f t="shared" si="56"/>
      </c>
      <c r="AK80" s="53">
        <f t="shared" si="38"/>
      </c>
      <c r="AL80" s="54">
        <f t="shared" si="0"/>
      </c>
      <c r="AM80" s="55">
        <f t="shared" si="1"/>
      </c>
      <c r="AN80" s="56"/>
    </row>
    <row hidden="true" r="81">
      <c r="A81" s="40">
        <v>46281</v>
      </c>
      <c r="B81" s="41" t="s">
        <v>140</v>
      </c>
      <c r="C81" s="41" t="s">
        <v>127</v>
      </c>
      <c r="D81" s="41">
        <v>4</v>
      </c>
      <c r="E81" s="42">
        <v>11</v>
      </c>
      <c r="F81" s="43">
        <v>6</v>
      </c>
      <c r="G81" s="42">
        <v>5</v>
      </c>
      <c r="H81" s="42">
        <v>5</v>
      </c>
      <c r="I81" s="42">
        <v>1119.42</v>
      </c>
      <c r="J81" s="45">
        <v>1</v>
      </c>
      <c r="K81" s="45">
        <v>856.8</v>
      </c>
      <c r="L81" s="45">
        <f t="shared" si="54"/>
      </c>
      <c r="M81" s="48">
        <f t="shared" si="59"/>
      </c>
      <c r="N81" s="48">
        <v>4</v>
      </c>
      <c r="O81" s="48">
        <v>1727.28</v>
      </c>
      <c r="P81" s="36">
        <f t="shared" si="17"/>
      </c>
      <c r="Q81" s="58">
        <v>8116.099999999999</v>
      </c>
      <c r="R81" s="50">
        <f t="shared" si="33"/>
      </c>
      <c r="S81" s="51">
        <f t="shared" si="34"/>
      </c>
      <c r="T81" s="51">
        <f t="shared" si="35"/>
      </c>
      <c r="U81" s="42" t="s">
        <v>142</v>
      </c>
      <c r="V81" s="42">
        <v>7</v>
      </c>
      <c r="W81" s="44"/>
      <c r="X81" s="44"/>
      <c r="Y81" s="44"/>
      <c r="Z81" s="44"/>
      <c r="AA81" s="44">
        <v>26943</v>
      </c>
      <c r="AB81" s="44">
        <v>1460</v>
      </c>
      <c r="AC81" s="44">
        <v>2511</v>
      </c>
      <c r="AD81" s="44">
        <v>496</v>
      </c>
      <c r="AE81" s="44">
        <v>95</v>
      </c>
      <c r="AF81" s="44">
        <v>11</v>
      </c>
      <c r="AG81" s="44">
        <v>180</v>
      </c>
      <c r="AH81" s="44">
        <v>2</v>
      </c>
      <c r="AI81" s="53">
        <f t="shared" si="37"/>
      </c>
      <c r="AJ81" s="53">
        <f t="shared" si="56"/>
      </c>
      <c r="AK81" s="53">
        <f t="shared" si="38"/>
      </c>
      <c r="AL81" s="54">
        <f t="shared" si="0"/>
      </c>
      <c r="AM81" s="55">
        <f t="shared" si="1"/>
      </c>
      <c r="AN81" s="56"/>
    </row>
    <row r="82">
      <c r="A82" s="59">
        <v>46281</v>
      </c>
      <c r="B82" s="60"/>
      <c r="C82" s="61" t="s">
        <v>129</v>
      </c>
      <c r="D82" s="60">
        <f>D78+D79+D80+D81</f>
      </c>
      <c r="E82" s="60">
        <f>E78+E79+E80+E81</f>
      </c>
      <c r="F82" s="60">
        <f>F78+F79+F80+F81</f>
      </c>
      <c r="G82" s="60">
        <f>G78+G79+G80+G81</f>
      </c>
      <c r="H82" s="60">
        <f>H78+H79+H80+H81</f>
      </c>
      <c r="I82" s="60">
        <f>I78+I79+I80+I81</f>
      </c>
      <c r="J82" s="62">
        <f>J78+J79+J80+J81</f>
      </c>
      <c r="K82" s="62">
        <f>K78+K79+K80+K81</f>
      </c>
      <c r="L82" s="62">
        <f>L78+L79+L80+L81</f>
      </c>
      <c r="M82" s="62">
        <f>M78+M79+M80+M81</f>
      </c>
      <c r="N82" s="62">
        <f>N78+N79+N80+N81</f>
      </c>
      <c r="O82" s="62">
        <f>O78+O79+O80+O81</f>
      </c>
      <c r="P82" s="60">
        <f>P78+P79+P80+P81</f>
      </c>
      <c r="Q82" s="71">
        <f>Q78+Q79+Q80+Q81</f>
      </c>
      <c r="R82" s="63">
        <f t="shared" si="33"/>
      </c>
      <c r="S82" s="63">
        <f t="shared" si="34"/>
      </c>
      <c r="T82" s="63">
        <f t="shared" si="35"/>
      </c>
      <c r="U82" s="64"/>
      <c r="V82" s="60">
        <f>V78+V79+V81+V80</f>
      </c>
      <c r="W82" s="64"/>
      <c r="X82" s="60">
        <f>SUM(X78:X79)</f>
      </c>
      <c r="Y82" s="64"/>
      <c r="Z82" s="61">
        <f>Z78+Z79+Z80+Z81</f>
      </c>
      <c r="AA82" s="60">
        <f>AA78+AA79+AA81+AA80</f>
      </c>
      <c r="AB82" s="60">
        <f>AB78+AB79+AB81+AB80</f>
      </c>
      <c r="AC82" s="60">
        <f>AC78+AC79+AC81+AC80</f>
      </c>
      <c r="AD82" s="60">
        <f>AD78+AD79+AD81+AD80</f>
      </c>
      <c r="AE82" s="60">
        <f>AE78+AE79+AE81+AE80</f>
      </c>
      <c r="AF82" s="60">
        <f>AF78+AF79+AF81+AF80</f>
      </c>
      <c r="AG82" s="60">
        <f>AG78+AG79+AG81+AG80</f>
      </c>
      <c r="AH82" s="60">
        <f>AH78+AH79+AH81+AH80</f>
      </c>
      <c r="AI82" s="65">
        <f t="shared" si="37"/>
      </c>
      <c r="AJ82" s="65">
        <f t="shared" si="56"/>
      </c>
      <c r="AK82" s="65">
        <f t="shared" si="38"/>
      </c>
      <c r="AL82" s="65">
        <f t="shared" si="0"/>
      </c>
      <c r="AM82" s="66">
        <f t="shared" si="1"/>
      </c>
      <c r="AN82" s="65">
        <f>F82/AE82</f>
      </c>
    </row>
    <row hidden="true" r="83">
      <c r="A83" s="57">
        <v>46282</v>
      </c>
      <c r="B83" s="41" t="s">
        <v>117</v>
      </c>
      <c r="C83" s="36" t="s">
        <v>118</v>
      </c>
      <c r="D83" s="36">
        <v>4</v>
      </c>
      <c r="E83" s="42">
        <v>22</v>
      </c>
      <c r="F83" s="43">
        <v>14</v>
      </c>
      <c r="G83" s="42">
        <v>12</v>
      </c>
      <c r="H83" s="42">
        <v>13</v>
      </c>
      <c r="I83" s="44">
        <v>3408.6700000000005</v>
      </c>
      <c r="J83" s="45">
        <v>1</v>
      </c>
      <c r="K83" s="45">
        <v>520</v>
      </c>
      <c r="L83" s="45">
        <v>14</v>
      </c>
      <c r="M83" s="48">
        <v>41424.04000000001</v>
      </c>
      <c r="N83" s="48">
        <v>6</v>
      </c>
      <c r="O83" s="48">
        <v>2402.92</v>
      </c>
      <c r="P83" s="36">
        <f t="shared" ref="P83:P86" si="18">I83*12+K83</f>
      </c>
      <c r="Q83" s="49">
        <v>15998.18</v>
      </c>
      <c r="R83" s="50">
        <f t="shared" si="33"/>
      </c>
      <c r="S83" s="51">
        <f t="shared" si="34"/>
      </c>
      <c r="T83" s="51">
        <f t="shared" si="35"/>
      </c>
      <c r="U83" s="42"/>
      <c r="V83" s="42"/>
      <c r="W83" s="44"/>
      <c r="X83" s="44"/>
      <c r="Y83" s="44"/>
      <c r="Z83" s="44"/>
      <c r="AA83" s="52">
        <v>43816</v>
      </c>
      <c r="AB83" s="52">
        <v>2848</v>
      </c>
      <c r="AC83" s="52">
        <v>5110</v>
      </c>
      <c r="AD83" s="52">
        <v>1134</v>
      </c>
      <c r="AE83" s="44">
        <v>190</v>
      </c>
      <c r="AF83" s="44">
        <v>33</v>
      </c>
      <c r="AG83" s="44">
        <v>264</v>
      </c>
      <c r="AH83" s="44">
        <v>8</v>
      </c>
      <c r="AI83" s="53">
        <f t="shared" si="37"/>
      </c>
      <c r="AJ83" s="53">
        <f t="shared" si="56"/>
      </c>
      <c r="AK83" s="53">
        <f t="shared" si="38"/>
      </c>
      <c r="AL83" s="54">
        <f t="shared" si="0"/>
      </c>
      <c r="AM83" s="55">
        <f t="shared" si="1"/>
      </c>
      <c r="AN83" s="56"/>
    </row>
    <row hidden="true" r="84">
      <c r="A84" s="57">
        <v>46282</v>
      </c>
      <c r="B84" s="41" t="s">
        <v>120</v>
      </c>
      <c r="C84" s="41" t="s">
        <v>144</v>
      </c>
      <c r="D84" s="41">
        <v>3</v>
      </c>
      <c r="E84" s="42">
        <v>1</v>
      </c>
      <c r="F84" s="43">
        <v>1</v>
      </c>
      <c r="G84" s="42">
        <v>1</v>
      </c>
      <c r="H84" s="42">
        <v>1</v>
      </c>
      <c r="I84" s="42">
        <v>207.09</v>
      </c>
      <c r="J84" s="45">
        <v>0</v>
      </c>
      <c r="K84" s="45">
        <v>0</v>
      </c>
      <c r="L84" s="45">
        <v>1</v>
      </c>
      <c r="M84" s="48">
        <v>2485.08</v>
      </c>
      <c r="N84" s="48">
        <v>0</v>
      </c>
      <c r="O84" s="48">
        <v>0</v>
      </c>
      <c r="P84" s="36">
        <f t="shared" si="18"/>
      </c>
      <c r="Q84" s="58">
        <v>9615.52</v>
      </c>
      <c r="R84" s="50">
        <f t="shared" si="33"/>
      </c>
      <c r="S84" s="51">
        <f t="shared" si="34"/>
      </c>
      <c r="T84" s="51">
        <f t="shared" si="35"/>
      </c>
      <c r="U84" s="42" t="s">
        <v>148</v>
      </c>
      <c r="V84" s="42">
        <v>7</v>
      </c>
      <c r="W84" s="44"/>
      <c r="X84" s="44"/>
      <c r="Y84" s="44" t="s">
        <v>123</v>
      </c>
      <c r="Z84" s="42">
        <v>15</v>
      </c>
      <c r="AA84" s="52">
        <v>37538</v>
      </c>
      <c r="AB84" s="52">
        <v>1886</v>
      </c>
      <c r="AC84" s="52">
        <v>3513</v>
      </c>
      <c r="AD84" s="52">
        <v>624</v>
      </c>
      <c r="AE84" s="44">
        <v>112</v>
      </c>
      <c r="AF84" s="44">
        <v>12</v>
      </c>
      <c r="AG84" s="44">
        <v>134</v>
      </c>
      <c r="AH84" s="42">
        <v>6</v>
      </c>
      <c r="AI84" s="53">
        <f t="shared" si="37"/>
      </c>
      <c r="AJ84" s="53">
        <f t="shared" si="56"/>
      </c>
      <c r="AK84" s="53">
        <f t="shared" si="38"/>
      </c>
      <c r="AL84" s="54">
        <f t="shared" si="0"/>
      </c>
      <c r="AM84" s="55">
        <f t="shared" si="1"/>
      </c>
      <c r="AN84" s="56"/>
    </row>
    <row hidden="true" r="85">
      <c r="A85" s="57">
        <v>46282</v>
      </c>
      <c r="B85" s="41" t="s">
        <v>124</v>
      </c>
      <c r="C85" s="36" t="s">
        <v>125</v>
      </c>
      <c r="D85" s="36">
        <v>4</v>
      </c>
      <c r="E85" s="42">
        <v>5</v>
      </c>
      <c r="F85" s="43">
        <v>4</v>
      </c>
      <c r="G85" s="42">
        <v>3</v>
      </c>
      <c r="H85" s="42">
        <v>4</v>
      </c>
      <c r="I85" s="42">
        <v>257.67</v>
      </c>
      <c r="J85" s="45">
        <v>0</v>
      </c>
      <c r="K85" s="45">
        <v>0</v>
      </c>
      <c r="L85" s="45">
        <f t="shared" ref="L85:L86" si="41">H85+J85</f>
      </c>
      <c r="M85" s="48">
        <f t="shared" ref="M85:M86" si="60">P85</f>
      </c>
      <c r="N85" s="48">
        <v>0</v>
      </c>
      <c r="O85" s="48">
        <v>0</v>
      </c>
      <c r="P85" s="36">
        <f t="shared" si="18"/>
      </c>
      <c r="Q85" s="58">
        <v>11390.22</v>
      </c>
      <c r="R85" s="50">
        <f t="shared" si="33"/>
      </c>
      <c r="S85" s="51">
        <f t="shared" si="34"/>
      </c>
      <c r="T85" s="51">
        <f t="shared" si="35"/>
      </c>
      <c r="U85" s="42" t="s">
        <v>142</v>
      </c>
      <c r="V85" s="42">
        <v>8</v>
      </c>
      <c r="W85" s="44"/>
      <c r="X85" s="44"/>
      <c r="Y85" s="44"/>
      <c r="Z85" s="44"/>
      <c r="AA85" s="44">
        <v>37334</v>
      </c>
      <c r="AB85" s="44">
        <v>1819</v>
      </c>
      <c r="AC85" s="44">
        <v>3044</v>
      </c>
      <c r="AD85" s="44">
        <v>625</v>
      </c>
      <c r="AE85" s="44">
        <v>144</v>
      </c>
      <c r="AF85" s="44">
        <v>23</v>
      </c>
      <c r="AG85" s="44">
        <v>181</v>
      </c>
      <c r="AH85" s="42">
        <v>2</v>
      </c>
      <c r="AI85" s="53">
        <f t="shared" si="37"/>
      </c>
      <c r="AJ85" s="53">
        <f t="shared" si="56"/>
      </c>
      <c r="AK85" s="53">
        <f t="shared" si="38"/>
      </c>
      <c r="AL85" s="54">
        <f t="shared" si="0"/>
      </c>
      <c r="AM85" s="55">
        <f t="shared" si="1"/>
      </c>
      <c r="AN85" s="56"/>
    </row>
    <row hidden="true" r="86">
      <c r="A86" s="57">
        <v>46282</v>
      </c>
      <c r="B86" s="41" t="s">
        <v>131</v>
      </c>
      <c r="C86" s="41" t="s">
        <v>127</v>
      </c>
      <c r="D86" s="72">
        <f>4-0.3</f>
      </c>
      <c r="E86" s="42">
        <v>8</v>
      </c>
      <c r="F86" s="43">
        <v>6</v>
      </c>
      <c r="G86" s="42">
        <v>4</v>
      </c>
      <c r="H86" s="42">
        <v>4</v>
      </c>
      <c r="I86" s="42">
        <v>970.5500000000001</v>
      </c>
      <c r="J86" s="45">
        <v>2</v>
      </c>
      <c r="K86" s="45">
        <v>7052.4</v>
      </c>
      <c r="L86" s="45">
        <f t="shared" si="41"/>
      </c>
      <c r="M86" s="48">
        <f t="shared" si="60"/>
      </c>
      <c r="N86" s="48">
        <v>3</v>
      </c>
      <c r="O86" s="48">
        <v>7844.84</v>
      </c>
      <c r="P86" s="36">
        <f t="shared" si="18"/>
      </c>
      <c r="Q86" s="58">
        <v>10400.95</v>
      </c>
      <c r="R86" s="50">
        <f t="shared" si="33"/>
      </c>
      <c r="S86" s="51">
        <f t="shared" si="34"/>
      </c>
      <c r="T86" s="51">
        <f t="shared" si="35"/>
      </c>
      <c r="U86" s="42"/>
      <c r="V86" s="42"/>
      <c r="W86" s="44"/>
      <c r="X86" s="44"/>
      <c r="Y86" s="44"/>
      <c r="Z86" s="44"/>
      <c r="AA86" s="44">
        <v>31533</v>
      </c>
      <c r="AB86" s="44">
        <v>1569</v>
      </c>
      <c r="AC86" s="44">
        <v>2724</v>
      </c>
      <c r="AD86" s="44">
        <v>538</v>
      </c>
      <c r="AE86" s="44">
        <v>170</v>
      </c>
      <c r="AF86" s="44">
        <v>17</v>
      </c>
      <c r="AG86" s="44">
        <v>137</v>
      </c>
      <c r="AH86" s="44">
        <v>0</v>
      </c>
      <c r="AI86" s="53">
        <f t="shared" si="37"/>
      </c>
      <c r="AJ86" s="53">
        <f t="shared" si="56"/>
      </c>
      <c r="AK86" s="53">
        <f t="shared" si="38"/>
      </c>
      <c r="AL86" s="54">
        <f t="shared" si="0"/>
      </c>
      <c r="AM86" s="55">
        <f t="shared" si="1"/>
      </c>
      <c r="AN86" s="56"/>
    </row>
    <row r="87">
      <c r="A87" s="69">
        <v>46282</v>
      </c>
      <c r="B87" s="60"/>
      <c r="C87" s="61" t="s">
        <v>129</v>
      </c>
      <c r="D87" s="60">
        <f>D83+D84+D85+D86</f>
      </c>
      <c r="E87" s="60">
        <f>E83+E84+E85+E86</f>
      </c>
      <c r="F87" s="60">
        <f>F83+F84+F85+F86</f>
      </c>
      <c r="G87" s="60">
        <f>G83+G84+G85+G86</f>
      </c>
      <c r="H87" s="60">
        <f>H83+H84+H85+H86</f>
      </c>
      <c r="I87" s="60">
        <f>I83+I84+I85+I86</f>
      </c>
      <c r="J87" s="62">
        <f>J83+J84+J85+J86</f>
      </c>
      <c r="K87" s="62">
        <f>K83+K84+K85+K86</f>
      </c>
      <c r="L87" s="62">
        <f>L83+L84+L85+L86</f>
      </c>
      <c r="M87" s="62">
        <f>M83+M84+M85+M86</f>
      </c>
      <c r="N87" s="62">
        <f>N83+N84+N85+N86</f>
      </c>
      <c r="O87" s="62">
        <f>O83+O84+O85+O86</f>
      </c>
      <c r="P87" s="60">
        <f>P83+P84+P85+P86</f>
      </c>
      <c r="Q87" s="71">
        <f>Q83+Q84+Q85+Q86</f>
      </c>
      <c r="R87" s="63">
        <f t="shared" si="33"/>
      </c>
      <c r="S87" s="63">
        <f t="shared" si="34"/>
      </c>
      <c r="T87" s="63">
        <f t="shared" si="35"/>
      </c>
      <c r="U87" s="64"/>
      <c r="V87" s="60">
        <f>V83+V84+V86+V85</f>
      </c>
      <c r="W87" s="64"/>
      <c r="X87" s="60">
        <f>SUM(X83:X84)</f>
      </c>
      <c r="Y87" s="64"/>
      <c r="Z87" s="61">
        <f>Z83+Z84+Z85+Z86</f>
      </c>
      <c r="AA87" s="60">
        <f>AA83+AA84+AA86+AA85</f>
      </c>
      <c r="AB87" s="60">
        <f>AB83+AB84+AB86+AB85</f>
      </c>
      <c r="AC87" s="60">
        <f>AC83+AC84+AC86+AC85</f>
      </c>
      <c r="AD87" s="60">
        <f>AD83+AD84+AD86+AD85</f>
      </c>
      <c r="AE87" s="60">
        <f>AE83+AE84+AE86+AE85</f>
      </c>
      <c r="AF87" s="60">
        <f>AF83+AF84+AF86+AF85</f>
      </c>
      <c r="AG87" s="60">
        <f>AG83+AG84+AG86+AG85</f>
      </c>
      <c r="AH87" s="60">
        <f>AH83+AH84+AH86+AH85</f>
      </c>
      <c r="AI87" s="65">
        <f t="shared" si="37"/>
      </c>
      <c r="AJ87" s="65">
        <f t="shared" si="56"/>
      </c>
      <c r="AK87" s="65">
        <f t="shared" si="38"/>
      </c>
      <c r="AL87" s="65">
        <f t="shared" si="0"/>
      </c>
      <c r="AM87" s="66">
        <f t="shared" si="1"/>
      </c>
      <c r="AN87" s="65">
        <f>F87/AE87</f>
      </c>
    </row>
    <row hidden="true" r="88">
      <c r="A88" s="40">
        <v>46283</v>
      </c>
      <c r="B88" s="41" t="s">
        <v>117</v>
      </c>
      <c r="C88" s="36" t="s">
        <v>118</v>
      </c>
      <c r="D88" s="36">
        <v>4</v>
      </c>
      <c r="E88" s="42">
        <v>12</v>
      </c>
      <c r="F88" s="43">
        <v>8</v>
      </c>
      <c r="G88" s="42">
        <v>5</v>
      </c>
      <c r="H88" s="42">
        <v>8</v>
      </c>
      <c r="I88" s="44">
        <v>2254.71</v>
      </c>
      <c r="J88" s="45">
        <v>0</v>
      </c>
      <c r="K88" s="45">
        <v>0</v>
      </c>
      <c r="L88" s="45">
        <v>8</v>
      </c>
      <c r="M88" s="48">
        <v>27056.52</v>
      </c>
      <c r="N88" s="48">
        <v>2</v>
      </c>
      <c r="O88" s="48">
        <v>1146.48</v>
      </c>
      <c r="P88" s="36">
        <f t="shared" ref="P88:P91" si="19">I88*12+K88</f>
      </c>
      <c r="Q88" s="49">
        <v>13406.86</v>
      </c>
      <c r="R88" s="50">
        <f t="shared" si="33"/>
      </c>
      <c r="S88" s="51">
        <f t="shared" si="34"/>
      </c>
      <c r="T88" s="51">
        <f t="shared" si="35"/>
      </c>
      <c r="U88" s="42"/>
      <c r="V88" s="42"/>
      <c r="W88" s="44"/>
      <c r="X88" s="44"/>
      <c r="Y88" s="44"/>
      <c r="Z88" s="44"/>
      <c r="AA88" s="52">
        <v>40328</v>
      </c>
      <c r="AB88" s="52">
        <v>2790</v>
      </c>
      <c r="AC88" s="52">
        <v>5201</v>
      </c>
      <c r="AD88" s="52">
        <v>1120</v>
      </c>
      <c r="AE88" s="44">
        <v>174</v>
      </c>
      <c r="AF88" s="44">
        <v>27</v>
      </c>
      <c r="AG88" s="44">
        <v>229</v>
      </c>
      <c r="AH88" s="44">
        <v>2</v>
      </c>
      <c r="AI88" s="53">
        <f t="shared" si="37"/>
      </c>
      <c r="AJ88" s="53">
        <f t="shared" si="56"/>
      </c>
      <c r="AK88" s="53">
        <f t="shared" si="38"/>
      </c>
      <c r="AL88" s="54">
        <f t="shared" si="0"/>
      </c>
      <c r="AM88" s="55">
        <f t="shared" si="1"/>
      </c>
      <c r="AN88" s="56"/>
    </row>
    <row hidden="true" r="89">
      <c r="A89" s="40">
        <v>46283</v>
      </c>
      <c r="B89" s="41" t="s">
        <v>120</v>
      </c>
      <c r="C89" s="36" t="s">
        <v>121</v>
      </c>
      <c r="D89" s="41">
        <v>4</v>
      </c>
      <c r="E89" s="42">
        <v>11</v>
      </c>
      <c r="F89" s="43">
        <v>8</v>
      </c>
      <c r="G89" s="42">
        <v>5</v>
      </c>
      <c r="H89" s="42">
        <v>8</v>
      </c>
      <c r="I89" s="42">
        <v>1520.1200000000001</v>
      </c>
      <c r="J89" s="45">
        <v>0</v>
      </c>
      <c r="K89" s="45">
        <v>0</v>
      </c>
      <c r="L89" s="45">
        <f t="shared" ref="L89:L91" si="42">H89+J89</f>
      </c>
      <c r="M89" s="48">
        <f t="shared" ref="M89:M91" si="61">P89</f>
      </c>
      <c r="N89" s="48">
        <v>5</v>
      </c>
      <c r="O89" s="48">
        <v>1294.31</v>
      </c>
      <c r="P89" s="36">
        <f t="shared" si="19"/>
      </c>
      <c r="Q89" s="58">
        <v>11698.580000000002</v>
      </c>
      <c r="R89" s="50">
        <f t="shared" si="33"/>
      </c>
      <c r="S89" s="51">
        <f t="shared" si="34"/>
      </c>
      <c r="T89" s="51">
        <f t="shared" si="35"/>
      </c>
      <c r="U89" s="42" t="s">
        <v>148</v>
      </c>
      <c r="V89" s="42">
        <v>8</v>
      </c>
      <c r="W89" s="44"/>
      <c r="X89" s="44"/>
      <c r="Y89" s="44" t="s">
        <v>123</v>
      </c>
      <c r="Z89" s="42">
        <v>16</v>
      </c>
      <c r="AA89" s="52">
        <v>35361</v>
      </c>
      <c r="AB89" s="52">
        <v>2546</v>
      </c>
      <c r="AC89" s="52">
        <v>4287</v>
      </c>
      <c r="AD89" s="52">
        <v>1016</v>
      </c>
      <c r="AE89" s="44">
        <v>198</v>
      </c>
      <c r="AF89" s="44">
        <v>24</v>
      </c>
      <c r="AG89" s="44">
        <v>230</v>
      </c>
      <c r="AH89" s="42">
        <v>3</v>
      </c>
      <c r="AI89" s="53">
        <f t="shared" si="37"/>
      </c>
      <c r="AJ89" s="53">
        <f t="shared" si="56"/>
      </c>
      <c r="AK89" s="53">
        <f t="shared" si="38"/>
      </c>
      <c r="AL89" s="54">
        <f t="shared" si="0"/>
      </c>
      <c r="AM89" s="55">
        <f t="shared" si="1"/>
      </c>
      <c r="AN89" s="56"/>
    </row>
    <row hidden="true" r="90">
      <c r="A90" s="40">
        <v>46283</v>
      </c>
      <c r="B90" s="41" t="s">
        <v>140</v>
      </c>
      <c r="C90" s="36" t="s">
        <v>125</v>
      </c>
      <c r="D90" s="36">
        <v>4</v>
      </c>
      <c r="E90" s="42">
        <v>9</v>
      </c>
      <c r="F90" s="43">
        <v>4</v>
      </c>
      <c r="G90" s="42">
        <v>3</v>
      </c>
      <c r="H90" s="42">
        <v>4</v>
      </c>
      <c r="I90" s="42">
        <v>1631.15</v>
      </c>
      <c r="J90" s="45">
        <v>0</v>
      </c>
      <c r="K90" s="45">
        <v>0</v>
      </c>
      <c r="L90" s="45">
        <f t="shared" si="42"/>
      </c>
      <c r="M90" s="48">
        <f t="shared" si="61"/>
      </c>
      <c r="N90" s="48">
        <v>4</v>
      </c>
      <c r="O90" s="48">
        <v>1631.15</v>
      </c>
      <c r="P90" s="36">
        <f t="shared" si="19"/>
      </c>
      <c r="Q90" s="58">
        <v>7856.139999999999</v>
      </c>
      <c r="R90" s="50">
        <f t="shared" si="33"/>
      </c>
      <c r="S90" s="51">
        <f t="shared" si="34"/>
      </c>
      <c r="T90" s="51">
        <f t="shared" si="35"/>
      </c>
      <c r="U90" s="42" t="s">
        <v>142</v>
      </c>
      <c r="V90" s="42">
        <v>8</v>
      </c>
      <c r="W90" s="44"/>
      <c r="X90" s="44"/>
      <c r="Y90" s="44"/>
      <c r="Z90" s="44"/>
      <c r="AA90" s="44">
        <v>21683</v>
      </c>
      <c r="AB90" s="44">
        <v>1818</v>
      </c>
      <c r="AC90" s="44">
        <v>3529</v>
      </c>
      <c r="AD90" s="44">
        <v>764</v>
      </c>
      <c r="AE90" s="44">
        <v>110</v>
      </c>
      <c r="AF90" s="44">
        <v>15</v>
      </c>
      <c r="AG90" s="44">
        <v>232</v>
      </c>
      <c r="AH90" s="42">
        <v>0</v>
      </c>
      <c r="AI90" s="53">
        <f t="shared" si="37"/>
      </c>
      <c r="AJ90" s="53">
        <f t="shared" si="56"/>
      </c>
      <c r="AK90" s="53">
        <f t="shared" si="38"/>
      </c>
      <c r="AL90" s="54">
        <f t="shared" si="0"/>
      </c>
      <c r="AM90" s="55">
        <f t="shared" si="1"/>
      </c>
      <c r="AN90" s="56"/>
    </row>
    <row hidden="true" r="91">
      <c r="A91" s="40">
        <v>46283</v>
      </c>
      <c r="B91" s="41" t="s">
        <v>124</v>
      </c>
      <c r="C91" s="41" t="s">
        <v>127</v>
      </c>
      <c r="D91" s="41">
        <v>4</v>
      </c>
      <c r="E91" s="42">
        <v>18</v>
      </c>
      <c r="F91" s="43">
        <v>14</v>
      </c>
      <c r="G91" s="42">
        <v>11</v>
      </c>
      <c r="H91" s="42">
        <v>14</v>
      </c>
      <c r="I91" s="42">
        <v>3794.74</v>
      </c>
      <c r="J91" s="45">
        <v>0</v>
      </c>
      <c r="K91" s="45">
        <v>0</v>
      </c>
      <c r="L91" s="45">
        <f t="shared" si="42"/>
      </c>
      <c r="M91" s="48">
        <f t="shared" si="61"/>
      </c>
      <c r="N91" s="48">
        <v>9</v>
      </c>
      <c r="O91" s="48">
        <v>3237.0199999999995</v>
      </c>
      <c r="P91" s="36">
        <f t="shared" si="19"/>
      </c>
      <c r="Q91" s="58">
        <v>15275.089999999998</v>
      </c>
      <c r="R91" s="50">
        <f t="shared" si="33"/>
      </c>
      <c r="S91" s="51">
        <f t="shared" si="34"/>
      </c>
      <c r="T91" s="51">
        <f t="shared" si="35"/>
      </c>
      <c r="U91" s="42"/>
      <c r="V91" s="42"/>
      <c r="W91" s="44"/>
      <c r="X91" s="44"/>
      <c r="Y91" s="44"/>
      <c r="Z91" s="44"/>
      <c r="AA91" s="44">
        <v>57851</v>
      </c>
      <c r="AB91" s="44">
        <v>4830</v>
      </c>
      <c r="AC91" s="44">
        <v>9396</v>
      </c>
      <c r="AD91" s="44">
        <v>1780</v>
      </c>
      <c r="AE91" s="44">
        <v>233</v>
      </c>
      <c r="AF91" s="44">
        <v>56</v>
      </c>
      <c r="AG91" s="44">
        <v>418</v>
      </c>
      <c r="AH91" s="44">
        <v>4</v>
      </c>
      <c r="AI91" s="53">
        <f t="shared" si="37"/>
      </c>
      <c r="AJ91" s="53">
        <f t="shared" si="56"/>
      </c>
      <c r="AK91" s="53">
        <f t="shared" si="38"/>
      </c>
      <c r="AL91" s="54">
        <f t="shared" si="0"/>
      </c>
      <c r="AM91" s="55">
        <f t="shared" si="1"/>
      </c>
      <c r="AN91" s="56"/>
    </row>
    <row r="92">
      <c r="A92" s="69">
        <v>46283</v>
      </c>
      <c r="B92" s="60"/>
      <c r="C92" s="61" t="s">
        <v>129</v>
      </c>
      <c r="D92" s="60">
        <f>D88+D89+D90+D91</f>
      </c>
      <c r="E92" s="60">
        <f>E88+E89+E90+E91</f>
      </c>
      <c r="F92" s="60">
        <f>F88+F89+F90+F91</f>
      </c>
      <c r="G92" s="60">
        <f>G88+G89+G90+G91</f>
      </c>
      <c r="H92" s="60">
        <f>H88+H89+H90+H91</f>
      </c>
      <c r="I92" s="60">
        <f>I88+I89+I90+I91</f>
      </c>
      <c r="J92" s="62">
        <f>J88+J89+J90+J91</f>
      </c>
      <c r="K92" s="62">
        <f>K88+K89+K90+K91</f>
      </c>
      <c r="L92" s="62">
        <f>L88+L89+L90+L91</f>
      </c>
      <c r="M92" s="62">
        <f>M88+M89+M90+M91</f>
      </c>
      <c r="N92" s="62">
        <f>N88+N89+N90+N91</f>
      </c>
      <c r="O92" s="62">
        <f>O88+O89+O90+O91</f>
      </c>
      <c r="P92" s="60">
        <f>P88+P89+P90+P91</f>
      </c>
      <c r="Q92" s="71">
        <f>Q88+Q89+Q90+Q91</f>
      </c>
      <c r="R92" s="63">
        <f t="shared" si="33"/>
      </c>
      <c r="S92" s="63">
        <f t="shared" si="34"/>
      </c>
      <c r="T92" s="63">
        <f t="shared" si="35"/>
      </c>
      <c r="U92" s="64"/>
      <c r="V92" s="60">
        <f>V88+V89+V91+V90</f>
      </c>
      <c r="W92" s="64"/>
      <c r="X92" s="60">
        <f>SUM(X88:X89)</f>
      </c>
      <c r="Y92" s="64"/>
      <c r="Z92" s="61">
        <f>Z88+Z89+Z90+Z91</f>
      </c>
      <c r="AA92" s="60">
        <f>AA88+AA89+AA91+AA90</f>
      </c>
      <c r="AB92" s="60">
        <f>AB88+AB89+AB91+AB90</f>
      </c>
      <c r="AC92" s="60">
        <f>AC88+AC89+AC91+AC90</f>
      </c>
      <c r="AD92" s="60">
        <f>AD88+AD89+AD91+AD90</f>
      </c>
      <c r="AE92" s="60">
        <f>AE88+AE89+AE91+AE90</f>
      </c>
      <c r="AF92" s="60">
        <f>AF88+AF89+AF91+AF90</f>
      </c>
      <c r="AG92" s="60">
        <f>AG88+AG89+AG91+AG90</f>
      </c>
      <c r="AH92" s="60">
        <f>AH88+AH89+AH91+AH90</f>
      </c>
      <c r="AI92" s="65">
        <f t="shared" si="37"/>
      </c>
      <c r="AJ92" s="65">
        <f t="shared" si="56"/>
      </c>
      <c r="AK92" s="65">
        <f t="shared" si="38"/>
      </c>
      <c r="AL92" s="65">
        <f t="shared" si="0"/>
      </c>
      <c r="AM92" s="66">
        <f t="shared" si="1"/>
      </c>
      <c r="AN92" s="65">
        <f>F92/AE92</f>
      </c>
    </row>
    <row hidden="true" r="93">
      <c r="A93" s="40">
        <v>46284</v>
      </c>
      <c r="B93" s="41" t="s">
        <v>117</v>
      </c>
      <c r="C93" s="36" t="s">
        <v>118</v>
      </c>
      <c r="D93" s="36">
        <v>4</v>
      </c>
      <c r="E93" s="42">
        <v>21</v>
      </c>
      <c r="F93" s="43">
        <v>18</v>
      </c>
      <c r="G93" s="42">
        <v>14</v>
      </c>
      <c r="H93" s="42">
        <v>17</v>
      </c>
      <c r="I93" s="44">
        <v>2880.9</v>
      </c>
      <c r="J93" s="45">
        <v>1</v>
      </c>
      <c r="K93" s="45">
        <v>1425.6</v>
      </c>
      <c r="L93" s="45">
        <f t="shared" ref="L93:L96" si="43">H93+J93</f>
      </c>
      <c r="M93" s="48">
        <f t="shared" ref="M93:M96" si="62">P93</f>
      </c>
      <c r="N93" s="48">
        <v>7</v>
      </c>
      <c r="O93" s="48">
        <v>1311.6399999999999</v>
      </c>
      <c r="P93" s="36">
        <f t="shared" ref="P93:P96" si="20">I93*12+K93</f>
      </c>
      <c r="Q93" s="49">
        <v>14286.68</v>
      </c>
      <c r="R93" s="50">
        <f t="shared" si="33"/>
      </c>
      <c r="S93" s="51">
        <f t="shared" si="34"/>
      </c>
      <c r="T93" s="51">
        <f t="shared" si="35"/>
      </c>
      <c r="U93" s="42"/>
      <c r="V93" s="42"/>
      <c r="W93" s="44"/>
      <c r="X93" s="44"/>
      <c r="Y93" s="44"/>
      <c r="Z93" s="44"/>
      <c r="AA93" s="52">
        <v>45146</v>
      </c>
      <c r="AB93" s="52">
        <v>2379</v>
      </c>
      <c r="AC93" s="52">
        <v>3578</v>
      </c>
      <c r="AD93" s="52">
        <v>768</v>
      </c>
      <c r="AE93" s="44">
        <v>149</v>
      </c>
      <c r="AF93" s="44">
        <v>78</v>
      </c>
      <c r="AG93" s="44">
        <v>381</v>
      </c>
      <c r="AH93" s="44">
        <v>3</v>
      </c>
      <c r="AI93" s="53">
        <f t="shared" si="37"/>
      </c>
      <c r="AJ93" s="53">
        <f t="shared" si="56"/>
      </c>
      <c r="AK93" s="53">
        <f t="shared" si="38"/>
      </c>
      <c r="AL93" s="54">
        <f t="shared" si="0"/>
      </c>
      <c r="AM93" s="55">
        <f t="shared" si="1"/>
      </c>
      <c r="AN93" s="56"/>
    </row>
    <row hidden="true" r="94">
      <c r="A94" s="40">
        <v>46284</v>
      </c>
      <c r="B94" s="41" t="s">
        <v>124</v>
      </c>
      <c r="C94" s="36" t="s">
        <v>121</v>
      </c>
      <c r="D94" s="41">
        <v>4</v>
      </c>
      <c r="E94" s="42">
        <v>19</v>
      </c>
      <c r="F94" s="43">
        <v>11</v>
      </c>
      <c r="G94" s="42">
        <v>10</v>
      </c>
      <c r="H94" s="42">
        <v>9</v>
      </c>
      <c r="I94" s="42">
        <v>1823.44</v>
      </c>
      <c r="J94" s="45">
        <v>2</v>
      </c>
      <c r="K94" s="45">
        <v>2829</v>
      </c>
      <c r="L94" s="45">
        <f t="shared" si="43"/>
      </c>
      <c r="M94" s="48">
        <f t="shared" si="62"/>
      </c>
      <c r="N94" s="48">
        <v>4</v>
      </c>
      <c r="O94" s="48">
        <v>1517.2500000000002</v>
      </c>
      <c r="P94" s="36">
        <f t="shared" si="20"/>
      </c>
      <c r="Q94" s="58">
        <v>16923.4</v>
      </c>
      <c r="R94" s="50">
        <f t="shared" si="33"/>
      </c>
      <c r="S94" s="51">
        <f t="shared" si="34"/>
      </c>
      <c r="T94" s="51">
        <f t="shared" si="35"/>
      </c>
      <c r="U94" s="42" t="s">
        <v>148</v>
      </c>
      <c r="V94" s="42">
        <v>8</v>
      </c>
      <c r="W94" s="44"/>
      <c r="X94" s="44"/>
      <c r="Y94" s="44" t="s">
        <v>123</v>
      </c>
      <c r="Z94" s="42">
        <v>16</v>
      </c>
      <c r="AA94" s="52">
        <v>65581</v>
      </c>
      <c r="AB94" s="52">
        <v>3314</v>
      </c>
      <c r="AC94" s="52">
        <v>4876</v>
      </c>
      <c r="AD94" s="52">
        <v>1209</v>
      </c>
      <c r="AE94" s="44">
        <v>143</v>
      </c>
      <c r="AF94" s="44">
        <v>34</v>
      </c>
      <c r="AG94" s="42">
        <v>262</v>
      </c>
      <c r="AH94" s="42">
        <v>4</v>
      </c>
      <c r="AI94" s="53">
        <f t="shared" si="37"/>
      </c>
      <c r="AJ94" s="53">
        <f t="shared" si="56"/>
      </c>
      <c r="AK94" s="53">
        <f t="shared" si="38"/>
      </c>
      <c r="AL94" s="54">
        <f t="shared" si="0"/>
      </c>
      <c r="AM94" s="55">
        <f t="shared" si="1"/>
      </c>
      <c r="AN94" s="56"/>
    </row>
    <row hidden="true" r="95">
      <c r="A95" s="57">
        <v>46284</v>
      </c>
      <c r="B95" s="41" t="s">
        <v>120</v>
      </c>
      <c r="C95" s="36" t="s">
        <v>125</v>
      </c>
      <c r="D95" s="36">
        <v>4</v>
      </c>
      <c r="E95" s="42">
        <v>12</v>
      </c>
      <c r="F95" s="43">
        <v>9</v>
      </c>
      <c r="G95" s="42">
        <v>7</v>
      </c>
      <c r="H95" s="42">
        <v>9</v>
      </c>
      <c r="I95" s="42">
        <v>1604.18</v>
      </c>
      <c r="J95" s="45">
        <v>0</v>
      </c>
      <c r="K95" s="45">
        <v>0</v>
      </c>
      <c r="L95" s="45">
        <f t="shared" si="43"/>
      </c>
      <c r="M95" s="48">
        <f t="shared" si="62"/>
      </c>
      <c r="N95" s="48">
        <v>3</v>
      </c>
      <c r="O95" s="48">
        <v>707.69</v>
      </c>
      <c r="P95" s="36">
        <f t="shared" si="20"/>
      </c>
      <c r="Q95" s="58">
        <v>16464.96</v>
      </c>
      <c r="R95" s="50">
        <f t="shared" si="33"/>
      </c>
      <c r="S95" s="51">
        <f t="shared" si="34"/>
      </c>
      <c r="T95" s="51">
        <f t="shared" si="35"/>
      </c>
      <c r="U95" s="42" t="s">
        <v>142</v>
      </c>
      <c r="V95" s="42">
        <v>8</v>
      </c>
      <c r="W95" s="44"/>
      <c r="X95" s="44"/>
      <c r="Y95" s="44"/>
      <c r="Z95" s="44"/>
      <c r="AA95" s="44">
        <v>73643</v>
      </c>
      <c r="AB95" s="44">
        <v>2756</v>
      </c>
      <c r="AC95" s="44">
        <v>3668</v>
      </c>
      <c r="AD95" s="44">
        <v>868</v>
      </c>
      <c r="AE95" s="44">
        <v>148</v>
      </c>
      <c r="AF95" s="44">
        <v>41</v>
      </c>
      <c r="AG95" s="44">
        <v>377</v>
      </c>
      <c r="AH95" s="42">
        <v>5</v>
      </c>
      <c r="AI95" s="53">
        <f t="shared" si="37"/>
      </c>
      <c r="AJ95" s="53">
        <f t="shared" si="56"/>
      </c>
      <c r="AK95" s="53">
        <f t="shared" si="38"/>
      </c>
      <c r="AL95" s="54">
        <f t="shared" si="0"/>
      </c>
      <c r="AM95" s="55">
        <f t="shared" si="1"/>
      </c>
      <c r="AN95" s="56"/>
    </row>
    <row hidden="true" r="96">
      <c r="A96" s="57">
        <v>46284</v>
      </c>
      <c r="B96" s="41" t="s">
        <v>140</v>
      </c>
      <c r="C96" s="41" t="s">
        <v>127</v>
      </c>
      <c r="D96" s="41">
        <v>4</v>
      </c>
      <c r="E96" s="42">
        <v>28</v>
      </c>
      <c r="F96" s="43">
        <v>17</v>
      </c>
      <c r="G96" s="42">
        <v>13</v>
      </c>
      <c r="H96" s="42">
        <v>16</v>
      </c>
      <c r="I96" s="42">
        <v>4239.7</v>
      </c>
      <c r="J96" s="45">
        <v>1</v>
      </c>
      <c r="K96" s="45">
        <v>957</v>
      </c>
      <c r="L96" s="45">
        <f t="shared" si="43"/>
      </c>
      <c r="M96" s="48">
        <f t="shared" si="62"/>
      </c>
      <c r="N96" s="48">
        <v>7</v>
      </c>
      <c r="O96" s="48">
        <v>3281.25</v>
      </c>
      <c r="P96" s="36">
        <f t="shared" si="20"/>
      </c>
      <c r="Q96" s="58">
        <v>23173.63</v>
      </c>
      <c r="R96" s="50">
        <f t="shared" si="33"/>
      </c>
      <c r="S96" s="51">
        <f t="shared" si="34"/>
      </c>
      <c r="T96" s="51">
        <f t="shared" si="35"/>
      </c>
      <c r="U96" s="42"/>
      <c r="V96" s="42"/>
      <c r="W96" s="44"/>
      <c r="X96" s="44"/>
      <c r="Y96" s="44"/>
      <c r="Z96" s="44"/>
      <c r="AA96" s="44">
        <v>63362</v>
      </c>
      <c r="AB96" s="44">
        <v>2411</v>
      </c>
      <c r="AC96" s="44">
        <v>3237</v>
      </c>
      <c r="AD96" s="44">
        <v>885</v>
      </c>
      <c r="AE96" s="44">
        <v>233</v>
      </c>
      <c r="AF96" s="42">
        <v>45</v>
      </c>
      <c r="AG96" s="42">
        <v>495</v>
      </c>
      <c r="AH96" s="42">
        <v>6</v>
      </c>
      <c r="AI96" s="53">
        <f t="shared" si="37"/>
      </c>
      <c r="AJ96" s="53">
        <f t="shared" si="56"/>
      </c>
      <c r="AK96" s="53">
        <f t="shared" si="38"/>
      </c>
      <c r="AL96" s="54">
        <f t="shared" si="0"/>
      </c>
      <c r="AM96" s="55">
        <f t="shared" si="1"/>
      </c>
      <c r="AN96" s="56"/>
    </row>
    <row r="97">
      <c r="A97" s="69">
        <v>46284</v>
      </c>
      <c r="B97" s="60"/>
      <c r="C97" s="61" t="s">
        <v>129</v>
      </c>
      <c r="D97" s="60">
        <f>D93+D94+D95+D96</f>
      </c>
      <c r="E97" s="60">
        <f>E93+E94+E95+E96</f>
      </c>
      <c r="F97" s="60">
        <f>F93+F94+F95+F96</f>
      </c>
      <c r="G97" s="60">
        <f>G93+G94+G95+G96</f>
      </c>
      <c r="H97" s="60">
        <f>H93+H94+H95+H96</f>
      </c>
      <c r="I97" s="60">
        <f>I93+I94+I95+I96</f>
      </c>
      <c r="J97" s="62">
        <f>J93+J94+J95+J96</f>
      </c>
      <c r="K97" s="62">
        <f>K93+K94+K95+K96</f>
      </c>
      <c r="L97" s="62">
        <f>L93+L94+L95+L96</f>
      </c>
      <c r="M97" s="62">
        <f>M93+M94+M95+M96</f>
      </c>
      <c r="N97" s="62">
        <f>N93+N94+N95+N96</f>
      </c>
      <c r="O97" s="62">
        <f>O93+O94+O95+O96</f>
      </c>
      <c r="P97" s="60">
        <f>P93+P94+P95+P96</f>
      </c>
      <c r="Q97" s="71">
        <f>Q93+Q94+Q95+Q96</f>
      </c>
      <c r="R97" s="63">
        <f t="shared" si="33"/>
      </c>
      <c r="S97" s="63">
        <f t="shared" si="34"/>
      </c>
      <c r="T97" s="63">
        <f t="shared" si="35"/>
      </c>
      <c r="U97" s="64"/>
      <c r="V97" s="60">
        <f>V93+V94+V96+V95</f>
      </c>
      <c r="W97" s="64"/>
      <c r="X97" s="60">
        <f>SUM(X93:X94)</f>
      </c>
      <c r="Y97" s="64"/>
      <c r="Z97" s="61">
        <f>Z93+Z94+Z95+Z96</f>
      </c>
      <c r="AA97" s="60">
        <f>AA93+AA94+AA96+AA95</f>
      </c>
      <c r="AB97" s="60">
        <f>AB93+AB94+AB96+AB95</f>
      </c>
      <c r="AC97" s="60">
        <f>AC93+AC94+AC96+AC95</f>
      </c>
      <c r="AD97" s="60">
        <f>AD93+AD94+AD96+AD95</f>
      </c>
      <c r="AE97" s="60">
        <f>AE93+AE94+AE96+AE95</f>
      </c>
      <c r="AF97" s="60">
        <f>AF93+AF94+AF96+AF95</f>
      </c>
      <c r="AG97" s="60">
        <f>AG93+AG94+AG96+AG95</f>
      </c>
      <c r="AH97" s="60">
        <f>AH93+AH94+AH96+AH95</f>
      </c>
      <c r="AI97" s="65">
        <f t="shared" si="37"/>
      </c>
      <c r="AJ97" s="65">
        <f t="shared" si="56"/>
      </c>
      <c r="AK97" s="65">
        <f t="shared" si="38"/>
      </c>
      <c r="AL97" s="65">
        <f t="shared" si="0"/>
      </c>
      <c r="AM97" s="66">
        <f t="shared" si="1"/>
      </c>
      <c r="AN97" s="65">
        <f>F97/AE97</f>
      </c>
    </row>
    <row hidden="true" r="98">
      <c r="A98" s="40">
        <v>46285</v>
      </c>
      <c r="B98" s="41" t="s">
        <v>124</v>
      </c>
      <c r="C98" s="36" t="s">
        <v>118</v>
      </c>
      <c r="D98" s="36">
        <v>4</v>
      </c>
      <c r="E98" s="42">
        <v>14</v>
      </c>
      <c r="F98" s="43">
        <v>8</v>
      </c>
      <c r="G98" s="42">
        <v>6</v>
      </c>
      <c r="H98" s="42">
        <v>7</v>
      </c>
      <c r="I98" s="44">
        <v>1743.29</v>
      </c>
      <c r="J98" s="45">
        <v>1</v>
      </c>
      <c r="K98" s="45">
        <v>520</v>
      </c>
      <c r="L98" s="45">
        <f t="shared" ref="L98:L101" si="44">H98+J98</f>
      </c>
      <c r="M98" s="48">
        <f t="shared" ref="M98:M101" si="63">P98</f>
      </c>
      <c r="N98" s="48">
        <v>4</v>
      </c>
      <c r="O98" s="48">
        <v>1571.0300000000002</v>
      </c>
      <c r="P98" s="36">
        <f t="shared" ref="P98:P101" si="21">I98*12+K98</f>
      </c>
      <c r="Q98" s="49">
        <v>15121.8</v>
      </c>
      <c r="R98" s="50">
        <f t="shared" si="33"/>
      </c>
      <c r="S98" s="51">
        <f t="shared" si="34"/>
      </c>
      <c r="T98" s="51">
        <f t="shared" si="35"/>
      </c>
      <c r="U98" s="42"/>
      <c r="V98" s="42"/>
      <c r="W98" s="44"/>
      <c r="X98" s="44"/>
      <c r="Y98" s="44"/>
      <c r="Z98" s="44"/>
      <c r="AA98" s="52">
        <v>55157</v>
      </c>
      <c r="AB98" s="52">
        <v>3489</v>
      </c>
      <c r="AC98" s="52">
        <v>6099</v>
      </c>
      <c r="AD98" s="52">
        <v>1352</v>
      </c>
      <c r="AE98" s="44">
        <v>162</v>
      </c>
      <c r="AF98" s="44">
        <v>43</v>
      </c>
      <c r="AG98" s="44">
        <v>325</v>
      </c>
      <c r="AH98" s="44">
        <v>2</v>
      </c>
      <c r="AI98" s="53">
        <f t="shared" si="37"/>
      </c>
      <c r="AJ98" s="53">
        <f t="shared" si="56"/>
      </c>
      <c r="AK98" s="53">
        <f t="shared" si="38"/>
      </c>
      <c r="AL98" s="54">
        <f t="shared" si="0"/>
      </c>
      <c r="AM98" s="55">
        <f t="shared" si="1"/>
      </c>
      <c r="AN98" s="56"/>
    </row>
    <row hidden="true" r="99">
      <c r="A99" s="40">
        <v>46285</v>
      </c>
      <c r="B99" s="41" t="s">
        <v>120</v>
      </c>
      <c r="C99" s="36" t="s">
        <v>121</v>
      </c>
      <c r="D99" s="41">
        <v>4</v>
      </c>
      <c r="E99" s="42">
        <v>23</v>
      </c>
      <c r="F99" s="43">
        <v>16</v>
      </c>
      <c r="G99" s="42">
        <v>13</v>
      </c>
      <c r="H99" s="42">
        <v>12</v>
      </c>
      <c r="I99" s="42">
        <v>2764.29</v>
      </c>
      <c r="J99" s="45">
        <v>4</v>
      </c>
      <c r="K99" s="45">
        <v>4911.099999999999</v>
      </c>
      <c r="L99" s="45">
        <f t="shared" si="44"/>
      </c>
      <c r="M99" s="48">
        <f t="shared" si="63"/>
      </c>
      <c r="N99" s="48">
        <v>6</v>
      </c>
      <c r="O99" s="48">
        <v>2241.84</v>
      </c>
      <c r="P99" s="36">
        <f t="shared" si="21"/>
      </c>
      <c r="Q99" s="58">
        <v>21119.05</v>
      </c>
      <c r="R99" s="50">
        <f t="shared" si="33"/>
      </c>
      <c r="S99" s="51">
        <f t="shared" si="34"/>
      </c>
      <c r="T99" s="51">
        <f t="shared" si="35"/>
      </c>
      <c r="U99" s="42" t="s">
        <v>133</v>
      </c>
      <c r="V99" s="42">
        <v>8</v>
      </c>
      <c r="W99" s="44"/>
      <c r="X99" s="44"/>
      <c r="Y99" s="44" t="s">
        <v>123</v>
      </c>
      <c r="Z99" s="42">
        <v>16</v>
      </c>
      <c r="AA99" s="52">
        <v>45395</v>
      </c>
      <c r="AB99" s="52">
        <v>2158</v>
      </c>
      <c r="AC99" s="52">
        <v>3243</v>
      </c>
      <c r="AD99" s="52">
        <v>876</v>
      </c>
      <c r="AE99" s="44">
        <v>77</v>
      </c>
      <c r="AF99" s="44">
        <v>29</v>
      </c>
      <c r="AG99" s="42">
        <v>157</v>
      </c>
      <c r="AH99" s="42">
        <v>2</v>
      </c>
      <c r="AI99" s="53">
        <f t="shared" si="37"/>
      </c>
      <c r="AJ99" s="53">
        <f t="shared" si="56"/>
      </c>
      <c r="AK99" s="53">
        <f t="shared" si="38"/>
      </c>
      <c r="AL99" s="54">
        <f t="shared" si="0"/>
      </c>
      <c r="AM99" s="55">
        <f t="shared" si="1"/>
      </c>
      <c r="AN99" s="56"/>
    </row>
    <row hidden="true" r="100">
      <c r="A100" s="40">
        <v>46285</v>
      </c>
      <c r="B100" s="41" t="s">
        <v>117</v>
      </c>
      <c r="C100" s="36" t="s">
        <v>125</v>
      </c>
      <c r="D100" s="36">
        <v>4</v>
      </c>
      <c r="E100" s="42">
        <v>6</v>
      </c>
      <c r="F100" s="43">
        <v>5</v>
      </c>
      <c r="G100" s="42">
        <v>5</v>
      </c>
      <c r="H100" s="42">
        <v>4</v>
      </c>
      <c r="I100" s="42">
        <v>734.93</v>
      </c>
      <c r="J100" s="45">
        <v>1</v>
      </c>
      <c r="K100" s="45">
        <v>6279.8</v>
      </c>
      <c r="L100" s="45">
        <f t="shared" si="44"/>
      </c>
      <c r="M100" s="48">
        <f t="shared" si="63"/>
      </c>
      <c r="N100" s="48">
        <v>3</v>
      </c>
      <c r="O100" s="48">
        <v>6566.71</v>
      </c>
      <c r="P100" s="36">
        <f t="shared" si="21"/>
      </c>
      <c r="Q100" s="58">
        <v>11842.19</v>
      </c>
      <c r="R100" s="50">
        <f t="shared" si="33"/>
      </c>
      <c r="S100" s="51">
        <f t="shared" si="34"/>
      </c>
      <c r="T100" s="51">
        <f t="shared" si="35"/>
      </c>
      <c r="U100" s="42" t="s">
        <v>142</v>
      </c>
      <c r="V100" s="42">
        <v>8</v>
      </c>
      <c r="W100" s="44"/>
      <c r="X100" s="44"/>
      <c r="Y100" s="44"/>
      <c r="Z100" s="44"/>
      <c r="AA100" s="44">
        <v>72534</v>
      </c>
      <c r="AB100" s="44">
        <v>3782</v>
      </c>
      <c r="AC100" s="44">
        <v>6501</v>
      </c>
      <c r="AD100" s="44">
        <v>823</v>
      </c>
      <c r="AE100" s="44">
        <v>273</v>
      </c>
      <c r="AF100" s="44">
        <v>36</v>
      </c>
      <c r="AG100" s="44">
        <v>500</v>
      </c>
      <c r="AH100" s="42">
        <v>6</v>
      </c>
      <c r="AI100" s="53">
        <f t="shared" si="37"/>
      </c>
      <c r="AJ100" s="53">
        <f t="shared" si="56"/>
      </c>
      <c r="AK100" s="53">
        <f t="shared" si="38"/>
      </c>
      <c r="AL100" s="54">
        <f t="shared" si="0"/>
      </c>
      <c r="AM100" s="55">
        <f t="shared" si="1"/>
      </c>
      <c r="AN100" s="56"/>
    </row>
    <row hidden="true" r="101">
      <c r="A101" s="40">
        <v>46285</v>
      </c>
      <c r="B101" s="41" t="s">
        <v>140</v>
      </c>
      <c r="C101" s="41" t="s">
        <v>127</v>
      </c>
      <c r="D101" s="41">
        <v>4</v>
      </c>
      <c r="E101" s="42">
        <v>8</v>
      </c>
      <c r="F101" s="43">
        <v>3</v>
      </c>
      <c r="G101" s="42">
        <v>3</v>
      </c>
      <c r="H101" s="42">
        <v>3</v>
      </c>
      <c r="I101" s="42">
        <v>410.65999999999997</v>
      </c>
      <c r="J101" s="45">
        <v>0</v>
      </c>
      <c r="K101" s="45">
        <v>0</v>
      </c>
      <c r="L101" s="45">
        <f t="shared" si="44"/>
      </c>
      <c r="M101" s="48">
        <f t="shared" si="63"/>
      </c>
      <c r="N101" s="48">
        <v>1</v>
      </c>
      <c r="O101" s="48">
        <v>330.56</v>
      </c>
      <c r="P101" s="36">
        <f t="shared" si="21"/>
      </c>
      <c r="Q101" s="58">
        <v>14655.82</v>
      </c>
      <c r="R101" s="50">
        <f t="shared" si="33"/>
      </c>
      <c r="S101" s="51">
        <f t="shared" si="34"/>
      </c>
      <c r="T101" s="51">
        <f t="shared" si="35"/>
      </c>
      <c r="U101" s="42"/>
      <c r="V101" s="42"/>
      <c r="W101" s="44"/>
      <c r="X101" s="44"/>
      <c r="Y101" s="44"/>
      <c r="Z101" s="44"/>
      <c r="AA101" s="44">
        <v>55093</v>
      </c>
      <c r="AB101" s="44">
        <v>1433</v>
      </c>
      <c r="AC101" s="44">
        <v>2055</v>
      </c>
      <c r="AD101" s="44">
        <v>321</v>
      </c>
      <c r="AE101" s="44">
        <v>150</v>
      </c>
      <c r="AF101" s="42">
        <v>16</v>
      </c>
      <c r="AG101" s="42">
        <v>241</v>
      </c>
      <c r="AH101" s="42">
        <v>2</v>
      </c>
      <c r="AI101" s="53">
        <f t="shared" si="37"/>
      </c>
      <c r="AJ101" s="53">
        <f t="shared" si="56"/>
      </c>
      <c r="AK101" s="53">
        <f t="shared" si="38"/>
      </c>
      <c r="AL101" s="54">
        <f t="shared" si="0"/>
      </c>
      <c r="AM101" s="55">
        <f t="shared" si="1"/>
      </c>
      <c r="AN101" s="56"/>
    </row>
    <row r="102">
      <c r="A102" s="69">
        <v>46285</v>
      </c>
      <c r="B102" s="60"/>
      <c r="C102" s="61" t="s">
        <v>129</v>
      </c>
      <c r="D102" s="60">
        <f>D98+D99+D100+D101</f>
      </c>
      <c r="E102" s="60">
        <f>E98+E99+E100+E101</f>
      </c>
      <c r="F102" s="60">
        <f>F98+F99+F100+F101</f>
      </c>
      <c r="G102" s="60">
        <f>G98+G99+G100+G101</f>
      </c>
      <c r="H102" s="60">
        <f>H98+H99+H100+H101</f>
      </c>
      <c r="I102" s="60">
        <f>I98+I99+I100+I101</f>
      </c>
      <c r="J102" s="62">
        <f>J98+J99+J100+J101</f>
      </c>
      <c r="K102" s="62">
        <f>K98+K99+K100+K101</f>
      </c>
      <c r="L102" s="62">
        <f>L98+L99+L100+L101</f>
      </c>
      <c r="M102" s="62">
        <f>M98+M99+M100+M101</f>
      </c>
      <c r="N102" s="62">
        <f>N98+N99+N100+N101</f>
      </c>
      <c r="O102" s="62">
        <f>O98+O99+O100+O101</f>
      </c>
      <c r="P102" s="60">
        <f>P98+P99+P100+P101</f>
      </c>
      <c r="Q102" s="71">
        <v>62558.86</v>
      </c>
      <c r="R102" s="63">
        <f t="shared" si="33"/>
      </c>
      <c r="S102" s="63">
        <f t="shared" si="34"/>
      </c>
      <c r="T102" s="63">
        <f t="shared" si="35"/>
      </c>
      <c r="U102" s="64"/>
      <c r="V102" s="60">
        <f>V98+V99+V101+V100</f>
      </c>
      <c r="W102" s="64"/>
      <c r="X102" s="60">
        <f>SUM(X98:X99)</f>
      </c>
      <c r="Y102" s="64"/>
      <c r="Z102" s="61">
        <f>Z98+Z99+Z100+Z101</f>
      </c>
      <c r="AA102" s="60">
        <f>AA98+AA99+AA101+AA100</f>
      </c>
      <c r="AB102" s="60">
        <f>AB98+AB99+AB101+AB100</f>
      </c>
      <c r="AC102" s="60">
        <f>AC98+AC99+AC101+AC100</f>
      </c>
      <c r="AD102" s="60">
        <f>AD98+AD99+AD101+AD100</f>
      </c>
      <c r="AE102" s="60">
        <f>AE98+AE99+AE101+AE100</f>
      </c>
      <c r="AF102" s="60">
        <f>AF98+AF99+AF101+AF100</f>
      </c>
      <c r="AG102" s="60">
        <f>AG98+AG99+AG101+AG100</f>
      </c>
      <c r="AH102" s="60">
        <f>AH98+AH99+AH101+AH100</f>
      </c>
      <c r="AI102" s="65">
        <f t="shared" si="37"/>
      </c>
      <c r="AJ102" s="65">
        <f t="shared" si="56"/>
      </c>
      <c r="AK102" s="65">
        <f t="shared" si="38"/>
      </c>
      <c r="AL102" s="65">
        <f t="shared" si="0"/>
      </c>
      <c r="AM102" s="66">
        <f t="shared" si="1"/>
      </c>
      <c r="AN102" s="65">
        <f>F102/AE102</f>
      </c>
    </row>
    <row hidden="true" r="103">
      <c r="A103" s="40">
        <v>46286</v>
      </c>
      <c r="B103" s="41" t="s">
        <v>124</v>
      </c>
      <c r="C103" s="36" t="s">
        <v>118</v>
      </c>
      <c r="D103" s="36">
        <v>4</v>
      </c>
      <c r="E103" s="42">
        <v>16</v>
      </c>
      <c r="F103" s="43">
        <v>10</v>
      </c>
      <c r="G103" s="42">
        <v>9</v>
      </c>
      <c r="H103" s="42">
        <v>10</v>
      </c>
      <c r="I103" s="42">
        <v>1951.35</v>
      </c>
      <c r="J103" s="45">
        <v>0</v>
      </c>
      <c r="K103" s="45">
        <v>0</v>
      </c>
      <c r="L103" s="45">
        <f t="shared" ref="L103:L106" si="45">H103+J103</f>
      </c>
      <c r="M103" s="48">
        <f t="shared" ref="M103:M106" si="64">P103</f>
      </c>
      <c r="N103" s="48">
        <v>7</v>
      </c>
      <c r="O103" s="48">
        <v>1827.2399999999998</v>
      </c>
      <c r="P103" s="36">
        <f t="shared" ref="P103:P106" si="22">I103*12+K103</f>
      </c>
      <c r="Q103" s="49">
        <v>17136.69</v>
      </c>
      <c r="R103" s="50">
        <f t="shared" si="33"/>
      </c>
      <c r="S103" s="51">
        <f t="shared" si="34"/>
      </c>
      <c r="T103" s="51">
        <f t="shared" si="35"/>
      </c>
      <c r="U103" s="42"/>
      <c r="V103" s="42"/>
      <c r="W103" s="44"/>
      <c r="X103" s="44"/>
      <c r="Y103" s="44"/>
      <c r="Z103" s="44"/>
      <c r="AA103" s="52">
        <v>46768</v>
      </c>
      <c r="AB103" s="52">
        <v>2634</v>
      </c>
      <c r="AC103" s="52">
        <v>4048</v>
      </c>
      <c r="AD103" s="52">
        <v>906</v>
      </c>
      <c r="AE103" s="44">
        <v>203</v>
      </c>
      <c r="AF103" s="44">
        <v>37</v>
      </c>
      <c r="AG103" s="44">
        <v>321</v>
      </c>
      <c r="AH103" s="44">
        <v>3</v>
      </c>
      <c r="AI103" s="53">
        <f t="shared" si="37"/>
      </c>
      <c r="AJ103" s="53">
        <f t="shared" si="56"/>
      </c>
      <c r="AK103" s="53">
        <f t="shared" si="38"/>
      </c>
      <c r="AL103" s="54">
        <f t="shared" si="0"/>
      </c>
      <c r="AM103" s="55">
        <f t="shared" si="1"/>
      </c>
      <c r="AN103" s="56"/>
    </row>
    <row hidden="true" r="104">
      <c r="A104" s="57">
        <v>46286</v>
      </c>
      <c r="B104" s="41" t="s">
        <v>117</v>
      </c>
      <c r="C104" s="36" t="s">
        <v>121</v>
      </c>
      <c r="D104" s="41">
        <v>4</v>
      </c>
      <c r="E104" s="42">
        <v>14</v>
      </c>
      <c r="F104" s="43">
        <v>10</v>
      </c>
      <c r="G104" s="42">
        <v>7</v>
      </c>
      <c r="H104" s="42">
        <v>8</v>
      </c>
      <c r="I104" s="42">
        <v>2759.77</v>
      </c>
      <c r="J104" s="45">
        <v>2</v>
      </c>
      <c r="K104" s="45">
        <v>1556</v>
      </c>
      <c r="L104" s="45">
        <f t="shared" si="45"/>
      </c>
      <c r="M104" s="48">
        <f t="shared" si="64"/>
      </c>
      <c r="N104" s="48">
        <v>5</v>
      </c>
      <c r="O104" s="48">
        <v>1700.99</v>
      </c>
      <c r="P104" s="36">
        <f t="shared" si="22"/>
      </c>
      <c r="Q104" s="58">
        <v>18250.800000000003</v>
      </c>
      <c r="R104" s="50">
        <f t="shared" si="33"/>
      </c>
      <c r="S104" s="51">
        <f t="shared" si="34"/>
      </c>
      <c r="T104" s="51">
        <f t="shared" si="35"/>
      </c>
      <c r="U104" s="42" t="s">
        <v>133</v>
      </c>
      <c r="V104" s="42">
        <v>8</v>
      </c>
      <c r="W104" s="44"/>
      <c r="X104" s="44"/>
      <c r="Y104" s="44" t="s">
        <v>123</v>
      </c>
      <c r="Z104" s="42">
        <v>16</v>
      </c>
      <c r="AA104" s="52">
        <v>53326</v>
      </c>
      <c r="AB104" s="52">
        <v>2335</v>
      </c>
      <c r="AC104" s="52">
        <v>3175</v>
      </c>
      <c r="AD104" s="52">
        <v>590</v>
      </c>
      <c r="AE104" s="44">
        <v>209</v>
      </c>
      <c r="AF104" s="44">
        <v>14</v>
      </c>
      <c r="AG104" s="42">
        <v>286</v>
      </c>
      <c r="AH104" s="42">
        <v>2</v>
      </c>
      <c r="AI104" s="53">
        <f t="shared" si="37"/>
      </c>
      <c r="AJ104" s="53">
        <f t="shared" si="56"/>
      </c>
      <c r="AK104" s="53">
        <f t="shared" si="38"/>
      </c>
      <c r="AL104" s="54">
        <f t="shared" si="0"/>
      </c>
      <c r="AM104" s="55">
        <f t="shared" si="1"/>
      </c>
      <c r="AN104" s="56"/>
    </row>
    <row hidden="true" r="105">
      <c r="A105" s="40">
        <v>46286</v>
      </c>
      <c r="B105" s="41" t="s">
        <v>120</v>
      </c>
      <c r="C105" s="36" t="s">
        <v>125</v>
      </c>
      <c r="D105" s="73">
        <f>4-1</f>
      </c>
      <c r="E105" s="42">
        <v>13</v>
      </c>
      <c r="F105" s="43">
        <v>6</v>
      </c>
      <c r="G105" s="42">
        <v>6</v>
      </c>
      <c r="H105" s="42">
        <v>5</v>
      </c>
      <c r="I105" s="42">
        <v>675.31</v>
      </c>
      <c r="J105" s="45">
        <v>1</v>
      </c>
      <c r="K105" s="45">
        <v>873</v>
      </c>
      <c r="L105" s="45">
        <f t="shared" si="45"/>
      </c>
      <c r="M105" s="48">
        <f t="shared" si="64"/>
      </c>
      <c r="N105" s="48">
        <v>2</v>
      </c>
      <c r="O105" s="48">
        <v>503.14</v>
      </c>
      <c r="P105" s="36">
        <f t="shared" si="22"/>
      </c>
      <c r="Q105" s="58">
        <v>12601.83</v>
      </c>
      <c r="R105" s="50">
        <f t="shared" si="33"/>
      </c>
      <c r="S105" s="51">
        <f t="shared" si="34"/>
      </c>
      <c r="T105" s="51">
        <f t="shared" si="35"/>
      </c>
      <c r="U105" s="42" t="s">
        <v>149</v>
      </c>
      <c r="V105" s="42">
        <v>8</v>
      </c>
      <c r="W105" s="44"/>
      <c r="X105" s="44"/>
      <c r="Y105" s="44"/>
      <c r="Z105" s="44"/>
      <c r="AA105" s="44">
        <v>37631</v>
      </c>
      <c r="AB105" s="44">
        <v>2446</v>
      </c>
      <c r="AC105" s="44">
        <v>2945</v>
      </c>
      <c r="AD105" s="44">
        <v>461</v>
      </c>
      <c r="AE105" s="44">
        <v>168</v>
      </c>
      <c r="AF105" s="44">
        <v>48</v>
      </c>
      <c r="AG105" s="44">
        <v>295</v>
      </c>
      <c r="AH105" s="42">
        <v>4</v>
      </c>
      <c r="AI105" s="53">
        <f t="shared" si="37"/>
      </c>
      <c r="AJ105" s="53">
        <f t="shared" si="56"/>
      </c>
      <c r="AK105" s="53">
        <f t="shared" si="38"/>
      </c>
      <c r="AL105" s="54">
        <f t="shared" si="0"/>
      </c>
      <c r="AM105" s="55">
        <f t="shared" si="1"/>
      </c>
      <c r="AN105" s="56"/>
    </row>
    <row hidden="true" r="106">
      <c r="A106" s="57">
        <v>46286</v>
      </c>
      <c r="B106" s="41" t="s">
        <v>126</v>
      </c>
      <c r="C106" s="41" t="s">
        <v>127</v>
      </c>
      <c r="D106" s="41">
        <v>4</v>
      </c>
      <c r="E106" s="42">
        <v>8</v>
      </c>
      <c r="F106" s="43">
        <v>5</v>
      </c>
      <c r="G106" s="42">
        <v>5</v>
      </c>
      <c r="H106" s="42">
        <v>4</v>
      </c>
      <c r="I106" s="42">
        <v>250.29</v>
      </c>
      <c r="J106" s="45">
        <v>1</v>
      </c>
      <c r="K106" s="45">
        <v>873</v>
      </c>
      <c r="L106" s="45">
        <f t="shared" si="45"/>
      </c>
      <c r="M106" s="48">
        <f t="shared" si="64"/>
      </c>
      <c r="N106" s="48">
        <v>0</v>
      </c>
      <c r="O106" s="48">
        <v>0</v>
      </c>
      <c r="P106" s="36">
        <f t="shared" si="22"/>
      </c>
      <c r="Q106" s="58">
        <v>11173.380000000001</v>
      </c>
      <c r="R106" s="50">
        <f t="shared" si="33"/>
      </c>
      <c r="S106" s="51">
        <f t="shared" si="34"/>
      </c>
      <c r="T106" s="51">
        <f t="shared" si="35"/>
      </c>
      <c r="U106" s="42"/>
      <c r="V106" s="42"/>
      <c r="W106" s="44"/>
      <c r="X106" s="44"/>
      <c r="Y106" s="44"/>
      <c r="Z106" s="44"/>
      <c r="AA106" s="44">
        <v>32721</v>
      </c>
      <c r="AB106" s="44">
        <v>1474</v>
      </c>
      <c r="AC106" s="44">
        <v>1830</v>
      </c>
      <c r="AD106" s="44">
        <v>318</v>
      </c>
      <c r="AE106" s="42">
        <v>156</v>
      </c>
      <c r="AF106" s="42">
        <v>12</v>
      </c>
      <c r="AG106" s="42">
        <v>175</v>
      </c>
      <c r="AH106" s="42">
        <v>5</v>
      </c>
      <c r="AI106" s="53">
        <f t="shared" si="37"/>
      </c>
      <c r="AJ106" s="53">
        <f t="shared" si="56"/>
      </c>
      <c r="AK106" s="53">
        <f t="shared" si="38"/>
      </c>
      <c r="AL106" s="54">
        <f t="shared" si="0"/>
      </c>
      <c r="AM106" s="55">
        <f t="shared" si="1"/>
      </c>
      <c r="AN106" s="56"/>
    </row>
    <row r="107">
      <c r="A107" s="69">
        <v>46286</v>
      </c>
      <c r="B107" s="60"/>
      <c r="C107" s="61" t="s">
        <v>129</v>
      </c>
      <c r="D107" s="60">
        <f>D103+D104+D105+D106</f>
      </c>
      <c r="E107" s="60">
        <f>E103+E104+E105+E106</f>
      </c>
      <c r="F107" s="60">
        <f>F103+F104+F105+F106</f>
      </c>
      <c r="G107" s="60">
        <f>G103+G104+G105+G106</f>
      </c>
      <c r="H107" s="60">
        <f>H103+H104+H105+H106</f>
      </c>
      <c r="I107" s="60">
        <f>I103+I104+I105+I106</f>
      </c>
      <c r="J107" s="62">
        <f>J103+J104+J105+J106</f>
      </c>
      <c r="K107" s="62">
        <f>K103+K104+K105+K106</f>
      </c>
      <c r="L107" s="62">
        <f>L103+L104+L105+L106</f>
      </c>
      <c r="M107" s="62">
        <f>M103+M104+M105+M106</f>
      </c>
      <c r="N107" s="62">
        <f>N103+N104+N105+N106</f>
      </c>
      <c r="O107" s="62">
        <f>O103+O104+O105+O106</f>
      </c>
      <c r="P107" s="60">
        <f>P103+P104+P105+P106</f>
      </c>
      <c r="Q107" s="71">
        <v>59062.70000000001</v>
      </c>
      <c r="R107" s="63">
        <f t="shared" si="33"/>
      </c>
      <c r="S107" s="63">
        <f t="shared" si="34"/>
      </c>
      <c r="T107" s="63">
        <f t="shared" si="35"/>
      </c>
      <c r="U107" s="64"/>
      <c r="V107" s="60">
        <f>V103+V104+V106+V105</f>
      </c>
      <c r="W107" s="64"/>
      <c r="X107" s="60">
        <f>SUM(X103:X104)</f>
      </c>
      <c r="Y107" s="64"/>
      <c r="Z107" s="61">
        <f>Z103+Z104+Z105+Z106</f>
      </c>
      <c r="AA107" s="60">
        <f>SUM(AA103:AA106)</f>
      </c>
      <c r="AB107" s="60">
        <f>SUM(AB103:AB106)</f>
      </c>
      <c r="AC107" s="60">
        <f>SUM(AC103:AC106)</f>
      </c>
      <c r="AD107" s="60">
        <f>SUM(AD103:AD106)</f>
      </c>
      <c r="AE107" s="60">
        <f>SUM(AE103:AE106)</f>
      </c>
      <c r="AF107" s="60">
        <f>SUM(AF103:AF106)</f>
      </c>
      <c r="AG107" s="60">
        <f>SUM(AG103:AG106)</f>
      </c>
      <c r="AH107" s="60">
        <f>SUM(AH103:AH106)</f>
      </c>
      <c r="AI107" s="65">
        <f t="shared" si="37"/>
      </c>
      <c r="AJ107" s="65">
        <f t="shared" si="56"/>
      </c>
      <c r="AK107" s="65">
        <f t="shared" si="38"/>
      </c>
      <c r="AL107" s="65">
        <f t="shared" si="0"/>
      </c>
      <c r="AM107" s="66">
        <f t="shared" si="1"/>
      </c>
      <c r="AN107" s="65">
        <f>F107/AE107</f>
      </c>
    </row>
    <row hidden="true" r="108">
      <c r="A108" s="40">
        <v>46287</v>
      </c>
      <c r="B108" s="41" t="s">
        <v>117</v>
      </c>
      <c r="C108" s="36" t="s">
        <v>118</v>
      </c>
      <c r="D108" s="36">
        <v>4</v>
      </c>
      <c r="E108" s="42">
        <v>9</v>
      </c>
      <c r="F108" s="43">
        <v>5</v>
      </c>
      <c r="G108" s="42">
        <v>2</v>
      </c>
      <c r="H108" s="42">
        <v>5</v>
      </c>
      <c r="I108" s="42">
        <v>1045.33</v>
      </c>
      <c r="J108" s="45">
        <v>0</v>
      </c>
      <c r="K108" s="45">
        <v>0</v>
      </c>
      <c r="L108" s="45">
        <f t="shared" ref="L108:L111" si="46">H108+J108</f>
      </c>
      <c r="M108" s="48">
        <f t="shared" ref="M108:M111" si="65">P108</f>
      </c>
      <c r="N108" s="48">
        <v>3</v>
      </c>
      <c r="O108" s="48">
        <v>882.52</v>
      </c>
      <c r="P108" s="36">
        <f t="shared" ref="P108:P111" si="23">I108*12+K108</f>
      </c>
      <c r="Q108" s="49">
        <v>14019.140000000001</v>
      </c>
      <c r="R108" s="50">
        <f t="shared" si="33"/>
      </c>
      <c r="S108" s="51">
        <f t="shared" si="34"/>
      </c>
      <c r="T108" s="51">
        <f t="shared" si="35"/>
      </c>
      <c r="U108" s="42"/>
      <c r="V108" s="42"/>
      <c r="W108" s="44"/>
      <c r="X108" s="44"/>
      <c r="Y108" s="44"/>
      <c r="Z108" s="44"/>
      <c r="AA108" s="52">
        <v>38135</v>
      </c>
      <c r="AB108" s="52">
        <v>2477</v>
      </c>
      <c r="AC108" s="52">
        <v>3629</v>
      </c>
      <c r="AD108" s="52">
        <v>801</v>
      </c>
      <c r="AE108" s="44">
        <v>161</v>
      </c>
      <c r="AF108" s="44">
        <v>35</v>
      </c>
      <c r="AG108" s="44">
        <v>204</v>
      </c>
      <c r="AH108" s="44">
        <v>1</v>
      </c>
      <c r="AI108" s="53">
        <f t="shared" si="37"/>
      </c>
      <c r="AJ108" s="53">
        <f t="shared" si="56"/>
      </c>
      <c r="AK108" s="53">
        <f t="shared" si="38"/>
      </c>
      <c r="AL108" s="54">
        <f t="shared" si="0"/>
      </c>
      <c r="AM108" s="55">
        <f t="shared" si="1"/>
      </c>
      <c r="AN108" s="56"/>
    </row>
    <row hidden="true" r="109">
      <c r="A109" s="40">
        <v>46287</v>
      </c>
      <c r="B109" s="41" t="s">
        <v>124</v>
      </c>
      <c r="C109" s="36" t="s">
        <v>121</v>
      </c>
      <c r="D109" s="41">
        <v>4</v>
      </c>
      <c r="E109" s="42">
        <v>7</v>
      </c>
      <c r="F109" s="43">
        <v>4</v>
      </c>
      <c r="G109" s="42">
        <v>4</v>
      </c>
      <c r="H109" s="42">
        <v>4</v>
      </c>
      <c r="I109" s="42">
        <v>587.0799999999999</v>
      </c>
      <c r="J109" s="45">
        <v>0</v>
      </c>
      <c r="K109" s="45">
        <v>0</v>
      </c>
      <c r="L109" s="45">
        <f t="shared" si="46"/>
      </c>
      <c r="M109" s="48">
        <f t="shared" si="65"/>
      </c>
      <c r="N109" s="48">
        <v>2</v>
      </c>
      <c r="O109" s="48">
        <v>493.48</v>
      </c>
      <c r="P109" s="36">
        <f t="shared" si="23"/>
      </c>
      <c r="Q109" s="58">
        <v>8953.279999999999</v>
      </c>
      <c r="R109" s="50">
        <f t="shared" si="33"/>
      </c>
      <c r="S109" s="51">
        <f t="shared" si="34"/>
      </c>
      <c r="T109" s="51">
        <f t="shared" si="35"/>
      </c>
      <c r="U109" s="42" t="s">
        <v>133</v>
      </c>
      <c r="V109" s="42">
        <v>8</v>
      </c>
      <c r="W109" s="44"/>
      <c r="X109" s="44"/>
      <c r="Y109" s="44" t="s">
        <v>123</v>
      </c>
      <c r="Z109" s="42">
        <v>14</v>
      </c>
      <c r="AA109" s="52">
        <v>19954</v>
      </c>
      <c r="AB109" s="52">
        <v>1471</v>
      </c>
      <c r="AC109" s="52">
        <v>2106</v>
      </c>
      <c r="AD109" s="52">
        <v>525</v>
      </c>
      <c r="AE109" s="44">
        <v>124</v>
      </c>
      <c r="AF109" s="44">
        <v>15</v>
      </c>
      <c r="AG109" s="42">
        <v>257</v>
      </c>
      <c r="AH109" s="42">
        <v>1</v>
      </c>
      <c r="AI109" s="53">
        <f t="shared" si="37"/>
      </c>
      <c r="AJ109" s="53">
        <f t="shared" si="56"/>
      </c>
      <c r="AK109" s="53">
        <f t="shared" si="38"/>
      </c>
      <c r="AL109" s="54">
        <f t="shared" si="0"/>
      </c>
      <c r="AM109" s="55">
        <f t="shared" si="1"/>
      </c>
      <c r="AN109" s="56"/>
    </row>
    <row hidden="true" r="110">
      <c r="A110" s="40">
        <v>46287</v>
      </c>
      <c r="B110" s="41" t="s">
        <v>140</v>
      </c>
      <c r="C110" s="36" t="s">
        <v>125</v>
      </c>
      <c r="D110" s="36">
        <v>4</v>
      </c>
      <c r="E110" s="42">
        <v>10</v>
      </c>
      <c r="F110" s="43">
        <v>6</v>
      </c>
      <c r="G110" s="42">
        <v>3</v>
      </c>
      <c r="H110" s="42">
        <v>6</v>
      </c>
      <c r="I110" s="42">
        <v>827.2300000000001</v>
      </c>
      <c r="J110" s="45">
        <v>0</v>
      </c>
      <c r="K110" s="45">
        <v>0</v>
      </c>
      <c r="L110" s="45">
        <f t="shared" si="46"/>
      </c>
      <c r="M110" s="48">
        <f t="shared" si="65"/>
      </c>
      <c r="N110" s="48">
        <v>1</v>
      </c>
      <c r="O110" s="48">
        <v>522.94</v>
      </c>
      <c r="P110" s="36">
        <f t="shared" si="23"/>
      </c>
      <c r="Q110" s="58">
        <v>8365.32</v>
      </c>
      <c r="R110" s="50">
        <f t="shared" si="33"/>
      </c>
      <c r="S110" s="51">
        <f t="shared" si="34"/>
      </c>
      <c r="T110" s="51">
        <f t="shared" si="35"/>
      </c>
      <c r="U110" s="74" t="s">
        <v>145</v>
      </c>
      <c r="V110" s="42">
        <v>6</v>
      </c>
      <c r="W110" s="44"/>
      <c r="X110" s="44"/>
      <c r="Y110" s="44"/>
      <c r="Z110" s="44"/>
      <c r="AA110" s="44">
        <v>22615</v>
      </c>
      <c r="AB110" s="44">
        <v>1860</v>
      </c>
      <c r="AC110" s="44">
        <v>2982</v>
      </c>
      <c r="AD110" s="44">
        <v>726</v>
      </c>
      <c r="AE110" s="44">
        <v>102</v>
      </c>
      <c r="AF110" s="44">
        <v>16</v>
      </c>
      <c r="AG110" s="44">
        <v>249</v>
      </c>
      <c r="AH110" s="42">
        <v>1</v>
      </c>
      <c r="AI110" s="53">
        <f t="shared" si="37"/>
      </c>
      <c r="AJ110" s="53">
        <f t="shared" si="56"/>
      </c>
      <c r="AK110" s="53">
        <f t="shared" si="38"/>
      </c>
      <c r="AL110" s="54">
        <f t="shared" si="0"/>
      </c>
      <c r="AM110" s="55">
        <f t="shared" si="1"/>
      </c>
      <c r="AN110" s="56"/>
    </row>
    <row hidden="true" r="111">
      <c r="A111" s="40">
        <v>46287</v>
      </c>
      <c r="B111" s="41" t="s">
        <v>126</v>
      </c>
      <c r="C111" s="41" t="s">
        <v>150</v>
      </c>
      <c r="D111" s="41">
        <v>2</v>
      </c>
      <c r="E111" s="42">
        <v>3</v>
      </c>
      <c r="F111" s="43">
        <v>2</v>
      </c>
      <c r="G111" s="42">
        <v>4</v>
      </c>
      <c r="H111" s="42">
        <v>2</v>
      </c>
      <c r="I111" s="42">
        <v>370.21999999999997</v>
      </c>
      <c r="J111" s="45">
        <v>0</v>
      </c>
      <c r="K111" s="45">
        <v>0</v>
      </c>
      <c r="L111" s="45">
        <f t="shared" si="46"/>
      </c>
      <c r="M111" s="48">
        <f t="shared" si="65"/>
      </c>
      <c r="N111" s="48">
        <v>1</v>
      </c>
      <c r="O111" s="48">
        <v>332.51</v>
      </c>
      <c r="P111" s="36">
        <f t="shared" si="23"/>
      </c>
      <c r="Q111" s="58">
        <v>6561.67</v>
      </c>
      <c r="R111" s="50">
        <f t="shared" si="33"/>
      </c>
      <c r="S111" s="51">
        <f t="shared" si="34"/>
      </c>
      <c r="T111" s="51">
        <f t="shared" si="35"/>
      </c>
      <c r="U111" s="42"/>
      <c r="V111" s="42"/>
      <c r="W111" s="44"/>
      <c r="X111" s="44"/>
      <c r="Y111" s="44"/>
      <c r="Z111" s="44"/>
      <c r="AA111" s="44">
        <v>14411</v>
      </c>
      <c r="AB111" s="44">
        <v>1818</v>
      </c>
      <c r="AC111" s="44">
        <v>3028</v>
      </c>
      <c r="AD111" s="44">
        <v>744</v>
      </c>
      <c r="AE111" s="42">
        <v>60</v>
      </c>
      <c r="AF111" s="42">
        <v>18</v>
      </c>
      <c r="AG111" s="42">
        <v>141</v>
      </c>
      <c r="AH111" s="42">
        <v>1</v>
      </c>
      <c r="AI111" s="53">
        <f t="shared" si="37"/>
      </c>
      <c r="AJ111" s="53">
        <f t="shared" si="56"/>
      </c>
      <c r="AK111" s="53">
        <f t="shared" si="38"/>
      </c>
      <c r="AL111" s="54">
        <f t="shared" si="0"/>
      </c>
      <c r="AM111" s="55">
        <f t="shared" si="1"/>
      </c>
      <c r="AN111" s="56"/>
    </row>
    <row r="112">
      <c r="A112" s="69">
        <v>46287</v>
      </c>
      <c r="B112" s="60"/>
      <c r="C112" s="61" t="s">
        <v>151</v>
      </c>
      <c r="D112" s="60">
        <f>D108+D109+D110+D111</f>
      </c>
      <c r="E112" s="60">
        <f>E108+E109+E110+E111</f>
      </c>
      <c r="F112" s="60">
        <f>F108+F109+F110+F111</f>
      </c>
      <c r="G112" s="60">
        <f>G108+G109+G110+G111</f>
      </c>
      <c r="H112" s="60">
        <f>H108+H109+H110+H111</f>
      </c>
      <c r="I112" s="60">
        <f>I108+I109+I110+I111</f>
      </c>
      <c r="J112" s="62">
        <f>J108+J109+J110+J111</f>
      </c>
      <c r="K112" s="62">
        <f>K108+K109+K110+K111</f>
      </c>
      <c r="L112" s="62">
        <f>L108+L109+L110+L111</f>
      </c>
      <c r="M112" s="62">
        <f>M108+M109+M110+M111</f>
      </c>
      <c r="N112" s="62">
        <f>N108+N109+N110+N111</f>
      </c>
      <c r="O112" s="62">
        <f>O108+O109+O110+O111</f>
      </c>
      <c r="P112" s="60">
        <f>P108+P109+P110+P111</f>
      </c>
      <c r="Q112" s="60">
        <f>Q108+Q109+Q110+Q111</f>
      </c>
      <c r="R112" s="63">
        <f t="shared" si="33"/>
      </c>
      <c r="S112" s="63">
        <f t="shared" si="34"/>
      </c>
      <c r="T112" s="63">
        <f t="shared" si="35"/>
      </c>
      <c r="U112" s="64"/>
      <c r="V112" s="60">
        <f>V108+V109+V111+V110</f>
      </c>
      <c r="W112" s="64"/>
      <c r="X112" s="60">
        <f>SUM(X108:X109)</f>
      </c>
      <c r="Y112" s="64"/>
      <c r="Z112" s="61">
        <f>Z108+Z109+Z110+Z111</f>
      </c>
      <c r="AA112" s="60">
        <f>SUM(AA108:AA111)</f>
      </c>
      <c r="AB112" s="60">
        <f>SUM(AB108:AB111)</f>
      </c>
      <c r="AC112" s="60">
        <f>SUM(AC108:AC111)</f>
      </c>
      <c r="AD112" s="60">
        <f>SUM(AD108:AD111)</f>
      </c>
      <c r="AE112" s="60">
        <f>SUM(AE108:AE111)</f>
      </c>
      <c r="AF112" s="60">
        <f>SUM(AF108:AF111)</f>
      </c>
      <c r="AG112" s="60">
        <f>SUM(AG108:AG111)</f>
      </c>
      <c r="AH112" s="60">
        <f>SUM(AH108:AH111)</f>
      </c>
      <c r="AI112" s="65">
        <f t="shared" si="37"/>
      </c>
      <c r="AJ112" s="65">
        <f t="shared" si="56"/>
      </c>
      <c r="AK112" s="65">
        <f t="shared" si="38"/>
      </c>
      <c r="AL112" s="65">
        <f t="shared" si="0"/>
      </c>
      <c r="AM112" s="66">
        <f t="shared" si="1"/>
      </c>
      <c r="AN112" s="65">
        <f>F112/AE112</f>
      </c>
    </row>
    <row hidden="true" r="113">
      <c r="A113" s="40">
        <v>46288</v>
      </c>
      <c r="B113" s="41" t="s">
        <v>117</v>
      </c>
      <c r="C113" s="36" t="s">
        <v>118</v>
      </c>
      <c r="D113" s="36">
        <v>4</v>
      </c>
      <c r="E113" s="42">
        <v>13</v>
      </c>
      <c r="F113" s="43">
        <v>8</v>
      </c>
      <c r="G113" s="42">
        <v>7</v>
      </c>
      <c r="H113" s="42">
        <v>8</v>
      </c>
      <c r="I113" s="42">
        <v>1179.42</v>
      </c>
      <c r="J113" s="45">
        <v>0</v>
      </c>
      <c r="K113" s="45">
        <v>0</v>
      </c>
      <c r="L113" s="45">
        <f t="shared" ref="L113:L116" si="47">H113+J113</f>
      </c>
      <c r="M113" s="48">
        <f t="shared" ref="M113:M116" si="66">P113</f>
      </c>
      <c r="N113" s="48">
        <v>2</v>
      </c>
      <c r="O113" s="48">
        <v>544.65</v>
      </c>
      <c r="P113" s="36">
        <f t="shared" ref="P113:P116" si="24">I113*12+K113</f>
      </c>
      <c r="Q113" s="49">
        <v>13362.38</v>
      </c>
      <c r="R113" s="50">
        <f t="shared" si="33"/>
      </c>
      <c r="S113" s="51">
        <f t="shared" si="34"/>
      </c>
      <c r="T113" s="51">
        <f t="shared" si="35"/>
      </c>
      <c r="U113" s="42"/>
      <c r="V113" s="42"/>
      <c r="W113" s="44"/>
      <c r="X113" s="44"/>
      <c r="Y113" s="44"/>
      <c r="Z113" s="44"/>
      <c r="AA113" s="52">
        <v>37149</v>
      </c>
      <c r="AB113" s="52">
        <v>2748</v>
      </c>
      <c r="AC113" s="52">
        <v>4406</v>
      </c>
      <c r="AD113" s="52">
        <v>1082</v>
      </c>
      <c r="AE113" s="44">
        <v>171</v>
      </c>
      <c r="AF113" s="44">
        <v>25</v>
      </c>
      <c r="AG113" s="44">
        <v>236</v>
      </c>
      <c r="AH113" s="44">
        <v>7</v>
      </c>
      <c r="AI113" s="53">
        <f t="shared" si="37"/>
      </c>
      <c r="AJ113" s="53">
        <f t="shared" si="56"/>
      </c>
      <c r="AK113" s="53">
        <f t="shared" si="38"/>
      </c>
      <c r="AL113" s="54">
        <f t="shared" si="0"/>
      </c>
      <c r="AM113" s="55">
        <f t="shared" si="1"/>
      </c>
      <c r="AN113" s="56"/>
    </row>
    <row hidden="true" r="114">
      <c r="A114" s="40">
        <v>46288</v>
      </c>
      <c r="B114" s="41" t="s">
        <v>124</v>
      </c>
      <c r="C114" s="41" t="s">
        <v>152</v>
      </c>
      <c r="D114" s="41">
        <v>3</v>
      </c>
      <c r="E114" s="42">
        <v>3</v>
      </c>
      <c r="F114" s="43">
        <v>3</v>
      </c>
      <c r="G114" s="42">
        <v>2</v>
      </c>
      <c r="H114" s="42">
        <v>2</v>
      </c>
      <c r="I114" s="42">
        <v>199.57</v>
      </c>
      <c r="J114" s="45">
        <v>1</v>
      </c>
      <c r="K114" s="45">
        <v>1126</v>
      </c>
      <c r="L114" s="45">
        <f t="shared" si="47"/>
      </c>
      <c r="M114" s="48">
        <f t="shared" si="66"/>
      </c>
      <c r="N114" s="48">
        <v>1</v>
      </c>
      <c r="O114" s="48">
        <v>152.77</v>
      </c>
      <c r="P114" s="36">
        <f t="shared" si="24"/>
      </c>
      <c r="Q114" s="58">
        <v>6678.33</v>
      </c>
      <c r="R114" s="50">
        <f t="shared" si="33"/>
      </c>
      <c r="S114" s="51">
        <f t="shared" si="34"/>
      </c>
      <c r="T114" s="51">
        <f t="shared" si="35"/>
      </c>
      <c r="U114" s="42" t="s">
        <v>133</v>
      </c>
      <c r="V114" s="42">
        <v>7</v>
      </c>
      <c r="W114" s="44"/>
      <c r="X114" s="44"/>
      <c r="Y114" s="44" t="s">
        <v>123</v>
      </c>
      <c r="Z114" s="42">
        <v>15</v>
      </c>
      <c r="AA114" s="52">
        <v>19357</v>
      </c>
      <c r="AB114" s="52">
        <v>1355</v>
      </c>
      <c r="AC114" s="52">
        <v>2013</v>
      </c>
      <c r="AD114" s="52">
        <v>528</v>
      </c>
      <c r="AE114" s="44">
        <v>78</v>
      </c>
      <c r="AF114" s="44">
        <v>15</v>
      </c>
      <c r="AG114" s="42">
        <v>118</v>
      </c>
      <c r="AH114" s="42">
        <v>0</v>
      </c>
      <c r="AI114" s="53">
        <f t="shared" si="37"/>
      </c>
      <c r="AJ114" s="53">
        <f t="shared" si="56"/>
      </c>
      <c r="AK114" s="53">
        <f t="shared" si="38"/>
      </c>
      <c r="AL114" s="54">
        <f t="shared" si="0"/>
      </c>
      <c r="AM114" s="55">
        <f t="shared" si="1"/>
      </c>
      <c r="AN114" s="56"/>
    </row>
    <row hidden="true" r="115">
      <c r="A115" s="40">
        <v>46288</v>
      </c>
      <c r="B115" s="41" t="s">
        <v>140</v>
      </c>
      <c r="C115" s="36" t="s">
        <v>125</v>
      </c>
      <c r="D115" s="36">
        <v>4</v>
      </c>
      <c r="E115" s="42">
        <v>10</v>
      </c>
      <c r="F115" s="43">
        <v>8</v>
      </c>
      <c r="G115" s="42">
        <v>7</v>
      </c>
      <c r="H115" s="42">
        <v>8</v>
      </c>
      <c r="I115" s="42">
        <v>1902.08</v>
      </c>
      <c r="J115" s="45">
        <v>0</v>
      </c>
      <c r="K115" s="45">
        <v>0</v>
      </c>
      <c r="L115" s="45">
        <f t="shared" si="47"/>
      </c>
      <c r="M115" s="48">
        <f t="shared" si="66"/>
      </c>
      <c r="N115" s="48">
        <v>1</v>
      </c>
      <c r="O115" s="48">
        <v>225.29</v>
      </c>
      <c r="P115" s="36">
        <f t="shared" si="24"/>
      </c>
      <c r="Q115" s="58">
        <v>11220.509999999998</v>
      </c>
      <c r="R115" s="50">
        <f t="shared" si="33"/>
      </c>
      <c r="S115" s="51">
        <f t="shared" si="34"/>
      </c>
      <c r="T115" s="51">
        <f t="shared" si="35"/>
      </c>
      <c r="U115" s="74" t="s">
        <v>142</v>
      </c>
      <c r="V115" s="42">
        <v>8</v>
      </c>
      <c r="W115" s="44"/>
      <c r="X115" s="44"/>
      <c r="Y115" s="44"/>
      <c r="Z115" s="44"/>
      <c r="AA115" s="44">
        <v>33696</v>
      </c>
      <c r="AB115" s="44">
        <v>2773</v>
      </c>
      <c r="AC115" s="44">
        <v>4402</v>
      </c>
      <c r="AD115" s="44">
        <v>1236</v>
      </c>
      <c r="AE115" s="44">
        <v>116</v>
      </c>
      <c r="AF115" s="44">
        <v>27</v>
      </c>
      <c r="AG115" s="44">
        <v>223</v>
      </c>
      <c r="AH115" s="42">
        <v>1</v>
      </c>
      <c r="AI115" s="53">
        <f t="shared" si="37"/>
      </c>
      <c r="AJ115" s="53">
        <f t="shared" si="56"/>
      </c>
      <c r="AK115" s="53">
        <f t="shared" si="38"/>
      </c>
      <c r="AL115" s="54">
        <f t="shared" si="0"/>
      </c>
      <c r="AM115" s="55">
        <f t="shared" si="1"/>
      </c>
      <c r="AN115" s="56"/>
    </row>
    <row hidden="true" r="116">
      <c r="A116" s="40">
        <v>46288</v>
      </c>
      <c r="B116" s="41" t="s">
        <v>126</v>
      </c>
      <c r="C116" s="41" t="s">
        <v>127</v>
      </c>
      <c r="D116" s="41">
        <v>4</v>
      </c>
      <c r="E116" s="42">
        <v>12</v>
      </c>
      <c r="F116" s="43">
        <v>6</v>
      </c>
      <c r="G116" s="42">
        <v>7</v>
      </c>
      <c r="H116" s="42">
        <v>6</v>
      </c>
      <c r="I116" s="42">
        <v>554.28</v>
      </c>
      <c r="J116" s="45">
        <v>0</v>
      </c>
      <c r="K116" s="45">
        <v>0</v>
      </c>
      <c r="L116" s="45">
        <f t="shared" si="47"/>
      </c>
      <c r="M116" s="48">
        <f t="shared" si="66"/>
      </c>
      <c r="N116" s="48">
        <v>2</v>
      </c>
      <c r="O116" s="48">
        <v>259.53</v>
      </c>
      <c r="P116" s="36">
        <f t="shared" si="24"/>
      </c>
      <c r="Q116" s="58">
        <v>10558.27</v>
      </c>
      <c r="R116" s="50">
        <f t="shared" si="33"/>
      </c>
      <c r="S116" s="51">
        <f t="shared" si="34"/>
      </c>
      <c r="T116" s="51">
        <f t="shared" si="35"/>
      </c>
      <c r="U116" s="42"/>
      <c r="V116" s="42"/>
      <c r="W116" s="44"/>
      <c r="X116" s="44"/>
      <c r="Y116" s="44"/>
      <c r="Z116" s="44"/>
      <c r="AA116" s="44">
        <v>28749</v>
      </c>
      <c r="AB116" s="44">
        <v>2760</v>
      </c>
      <c r="AC116" s="44">
        <v>5004</v>
      </c>
      <c r="AD116" s="44">
        <v>1172</v>
      </c>
      <c r="AE116" s="42">
        <v>90</v>
      </c>
      <c r="AF116" s="42">
        <v>23</v>
      </c>
      <c r="AG116" s="42">
        <v>252</v>
      </c>
      <c r="AH116" s="42">
        <v>4</v>
      </c>
      <c r="AI116" s="53">
        <f t="shared" si="37"/>
      </c>
      <c r="AJ116" s="53">
        <f t="shared" si="56"/>
      </c>
      <c r="AK116" s="53">
        <f t="shared" si="38"/>
      </c>
      <c r="AL116" s="54">
        <f t="shared" si="0"/>
      </c>
      <c r="AM116" s="55">
        <f t="shared" si="1"/>
      </c>
      <c r="AN116" s="56"/>
    </row>
    <row r="117">
      <c r="A117" s="69">
        <v>46288</v>
      </c>
      <c r="B117" s="60"/>
      <c r="C117" s="61" t="s">
        <v>129</v>
      </c>
      <c r="D117" s="60">
        <f>D113+D114+D115+D116</f>
      </c>
      <c r="E117" s="60">
        <f>E113+E114+E115+E116</f>
      </c>
      <c r="F117" s="60">
        <f>F113+F114+F115+F116</f>
      </c>
      <c r="G117" s="60">
        <f>G113+G114+G115+G116</f>
      </c>
      <c r="H117" s="60">
        <f>H113+H114+H115+H116</f>
      </c>
      <c r="I117" s="60">
        <f>I113+I114+I115+I116</f>
      </c>
      <c r="J117" s="62">
        <f>J113+J114+J115+J116</f>
      </c>
      <c r="K117" s="62">
        <f>K113+K114+K115+K116</f>
      </c>
      <c r="L117" s="62">
        <f>L113+L114+L115+L116</f>
      </c>
      <c r="M117" s="62">
        <f>M113+M114+M115+M116</f>
      </c>
      <c r="N117" s="62">
        <f>N113+N114+N115+N116</f>
      </c>
      <c r="O117" s="62">
        <f>O113+O114+O115+O116</f>
      </c>
      <c r="P117" s="60">
        <f>P113+P114+P115+P116</f>
      </c>
      <c r="Q117" s="60">
        <v>41819.49</v>
      </c>
      <c r="R117" s="63">
        <f t="shared" si="33"/>
      </c>
      <c r="S117" s="63">
        <f t="shared" si="34"/>
      </c>
      <c r="T117" s="63">
        <f t="shared" si="35"/>
      </c>
      <c r="U117" s="64"/>
      <c r="V117" s="60">
        <f>V113+V114+V116+V115</f>
      </c>
      <c r="W117" s="64"/>
      <c r="X117" s="60">
        <f>SUM(X113:X114)</f>
      </c>
      <c r="Y117" s="64"/>
      <c r="Z117" s="61">
        <f>Z113+Z114+Z115+Z116</f>
      </c>
      <c r="AA117" s="60">
        <f>SUM(AA113:AA116)</f>
      </c>
      <c r="AB117" s="60">
        <f>SUM(AB113:AB116)</f>
      </c>
      <c r="AC117" s="60">
        <f>SUM(AC113:AC116)</f>
      </c>
      <c r="AD117" s="60">
        <f>SUM(AD113:AD116)</f>
      </c>
      <c r="AE117" s="60">
        <f>SUM(AE113:AE116)</f>
      </c>
      <c r="AF117" s="60">
        <f>SUM(AF113:AF116)</f>
      </c>
      <c r="AG117" s="60">
        <f>SUM(AG113:AG116)</f>
      </c>
      <c r="AH117" s="60">
        <f>SUM(AH113:AH116)</f>
      </c>
      <c r="AI117" s="65">
        <f t="shared" si="37"/>
      </c>
      <c r="AJ117" s="65">
        <f t="shared" si="56"/>
      </c>
      <c r="AK117" s="65">
        <f t="shared" si="38"/>
      </c>
      <c r="AL117" s="65">
        <f t="shared" si="0"/>
      </c>
      <c r="AM117" s="66">
        <f t="shared" si="1"/>
      </c>
      <c r="AN117" s="65">
        <f>F117/AE117</f>
      </c>
    </row>
    <row hidden="true" r="118">
      <c r="A118" s="40">
        <v>46289</v>
      </c>
      <c r="B118" s="41" t="s">
        <v>124</v>
      </c>
      <c r="C118" s="36" t="s">
        <v>118</v>
      </c>
      <c r="D118" s="36">
        <v>4</v>
      </c>
      <c r="E118" s="42">
        <v>14</v>
      </c>
      <c r="F118" s="43">
        <v>6</v>
      </c>
      <c r="G118" s="42">
        <v>6</v>
      </c>
      <c r="H118" s="42">
        <v>6</v>
      </c>
      <c r="I118" s="42">
        <v>933.8399999999999</v>
      </c>
      <c r="J118" s="45">
        <v>0</v>
      </c>
      <c r="K118" s="45">
        <v>0</v>
      </c>
      <c r="L118" s="75">
        <f t="shared" ref="L118:L121" si="48">H118+J118</f>
      </c>
      <c r="M118" s="48">
        <f t="shared" ref="M118:M121" si="67">P118</f>
      </c>
      <c r="N118" s="48">
        <v>4</v>
      </c>
      <c r="O118" s="48">
        <v>808.47</v>
      </c>
      <c r="P118" s="36">
        <f t="shared" ref="P118:P121" si="25">I118*12+K118</f>
      </c>
      <c r="Q118" s="49">
        <v>12475.45</v>
      </c>
      <c r="R118" s="50">
        <f t="shared" si="33"/>
      </c>
      <c r="S118" s="51">
        <f t="shared" si="34"/>
      </c>
      <c r="T118" s="51">
        <f t="shared" si="35"/>
      </c>
      <c r="U118" s="42"/>
      <c r="V118" s="42"/>
      <c r="W118" s="44"/>
      <c r="X118" s="44"/>
      <c r="Y118" s="44"/>
      <c r="Z118" s="44"/>
      <c r="AA118" s="52">
        <v>30709</v>
      </c>
      <c r="AB118" s="52">
        <v>1704</v>
      </c>
      <c r="AC118" s="52">
        <v>2778</v>
      </c>
      <c r="AD118" s="52">
        <v>762</v>
      </c>
      <c r="AE118" s="44">
        <v>169</v>
      </c>
      <c r="AF118" s="44">
        <v>21</v>
      </c>
      <c r="AG118" s="44">
        <v>224</v>
      </c>
      <c r="AH118" s="44">
        <v>1</v>
      </c>
      <c r="AI118" s="53">
        <f t="shared" si="37"/>
      </c>
      <c r="AJ118" s="53">
        <f t="shared" si="56"/>
      </c>
      <c r="AK118" s="53">
        <f t="shared" si="38"/>
      </c>
      <c r="AL118" s="54">
        <f t="shared" si="0"/>
      </c>
      <c r="AM118" s="55">
        <f t="shared" si="1"/>
      </c>
      <c r="AN118" s="56"/>
    </row>
    <row hidden="true" r="119">
      <c r="A119" s="40">
        <v>46289</v>
      </c>
      <c r="B119" s="41" t="s">
        <v>117</v>
      </c>
      <c r="C119" s="41" t="s">
        <v>121</v>
      </c>
      <c r="D119" s="41">
        <v>4</v>
      </c>
      <c r="E119" s="42">
        <v>17</v>
      </c>
      <c r="F119" s="43">
        <v>13</v>
      </c>
      <c r="G119" s="42">
        <v>8</v>
      </c>
      <c r="H119" s="42">
        <v>12</v>
      </c>
      <c r="I119" s="42">
        <v>2196.84</v>
      </c>
      <c r="J119" s="45">
        <v>1</v>
      </c>
      <c r="K119" s="45">
        <v>5286.15</v>
      </c>
      <c r="L119" s="75">
        <f t="shared" si="48"/>
      </c>
      <c r="M119" s="48">
        <f t="shared" si="67"/>
      </c>
      <c r="N119" s="48">
        <v>2</v>
      </c>
      <c r="O119" s="48">
        <v>5390.65</v>
      </c>
      <c r="P119" s="36">
        <f t="shared" si="25"/>
      </c>
      <c r="Q119" s="58">
        <v>12435.690000000002</v>
      </c>
      <c r="R119" s="50">
        <f t="shared" si="33"/>
      </c>
      <c r="S119" s="51">
        <f t="shared" si="34"/>
      </c>
      <c r="T119" s="51">
        <f t="shared" si="35"/>
      </c>
      <c r="U119" s="42" t="s">
        <v>133</v>
      </c>
      <c r="V119" s="42">
        <v>8</v>
      </c>
      <c r="W119" s="44"/>
      <c r="X119" s="44"/>
      <c r="Y119" s="44" t="s">
        <v>123</v>
      </c>
      <c r="Z119" s="42">
        <v>16</v>
      </c>
      <c r="AA119" s="52">
        <v>72609</v>
      </c>
      <c r="AB119" s="52">
        <v>3924</v>
      </c>
      <c r="AC119" s="52">
        <v>6239</v>
      </c>
      <c r="AD119" s="52">
        <v>1761</v>
      </c>
      <c r="AE119" s="44">
        <v>279</v>
      </c>
      <c r="AF119" s="44">
        <v>46</v>
      </c>
      <c r="AG119" s="42">
        <v>439</v>
      </c>
      <c r="AH119" s="42">
        <v>3</v>
      </c>
      <c r="AI119" s="53">
        <f t="shared" si="37"/>
      </c>
      <c r="AJ119" s="53">
        <f t="shared" si="56"/>
      </c>
      <c r="AK119" s="53">
        <f t="shared" si="38"/>
      </c>
      <c r="AL119" s="54">
        <f t="shared" si="0"/>
      </c>
      <c r="AM119" s="55">
        <f t="shared" si="1"/>
      </c>
      <c r="AN119" s="56"/>
    </row>
    <row hidden="true" r="120">
      <c r="A120" s="40">
        <v>46289</v>
      </c>
      <c r="B120" s="41" t="s">
        <v>126</v>
      </c>
      <c r="C120" s="36" t="s">
        <v>125</v>
      </c>
      <c r="D120" s="36">
        <v>4</v>
      </c>
      <c r="E120" s="42">
        <v>9</v>
      </c>
      <c r="F120" s="43">
        <v>3</v>
      </c>
      <c r="G120" s="42">
        <v>2</v>
      </c>
      <c r="H120" s="42">
        <v>3</v>
      </c>
      <c r="I120" s="42">
        <v>634.59</v>
      </c>
      <c r="J120" s="45">
        <v>0</v>
      </c>
      <c r="K120" s="45">
        <v>0</v>
      </c>
      <c r="L120" s="75">
        <f t="shared" si="48"/>
      </c>
      <c r="M120" s="48">
        <f t="shared" si="67"/>
      </c>
      <c r="N120" s="48">
        <v>2</v>
      </c>
      <c r="O120" s="48">
        <v>593.37</v>
      </c>
      <c r="P120" s="36">
        <f t="shared" si="25"/>
      </c>
      <c r="Q120" s="58">
        <v>10290.920000000002</v>
      </c>
      <c r="R120" s="50">
        <f t="shared" si="33"/>
      </c>
      <c r="S120" s="51">
        <f t="shared" si="34"/>
      </c>
      <c r="T120" s="51">
        <f t="shared" si="35"/>
      </c>
      <c r="U120" s="74" t="s">
        <v>142</v>
      </c>
      <c r="V120" s="42">
        <v>8</v>
      </c>
      <c r="W120" s="44"/>
      <c r="X120" s="44"/>
      <c r="Y120" s="44"/>
      <c r="Z120" s="44"/>
      <c r="AA120" s="44">
        <v>104144</v>
      </c>
      <c r="AB120" s="44">
        <v>5834</v>
      </c>
      <c r="AC120" s="44">
        <v>9497</v>
      </c>
      <c r="AD120" s="44">
        <v>2657</v>
      </c>
      <c r="AE120" s="44">
        <v>391</v>
      </c>
      <c r="AF120" s="44">
        <v>66</v>
      </c>
      <c r="AG120" s="44">
        <v>638</v>
      </c>
      <c r="AH120" s="42">
        <v>3</v>
      </c>
      <c r="AI120" s="53">
        <f t="shared" si="37"/>
      </c>
      <c r="AJ120" s="53">
        <f t="shared" si="56"/>
      </c>
      <c r="AK120" s="53">
        <f t="shared" si="38"/>
      </c>
      <c r="AL120" s="54">
        <f t="shared" si="0"/>
      </c>
      <c r="AM120" s="55">
        <f t="shared" si="1"/>
      </c>
      <c r="AN120" s="56"/>
    </row>
    <row hidden="true" r="121">
      <c r="A121" s="40">
        <v>46289</v>
      </c>
      <c r="B121" s="41" t="s">
        <v>140</v>
      </c>
      <c r="C121" s="41" t="s">
        <v>127</v>
      </c>
      <c r="D121" s="41">
        <v>4</v>
      </c>
      <c r="E121" s="42">
        <v>12</v>
      </c>
      <c r="F121" s="43">
        <v>7</v>
      </c>
      <c r="G121" s="42">
        <v>6</v>
      </c>
      <c r="H121" s="42">
        <v>6</v>
      </c>
      <c r="I121" s="42">
        <v>1222.55</v>
      </c>
      <c r="J121" s="45">
        <v>2</v>
      </c>
      <c r="K121" s="45">
        <v>2513</v>
      </c>
      <c r="L121" s="75">
        <f t="shared" si="48"/>
      </c>
      <c r="M121" s="48">
        <f t="shared" si="67"/>
      </c>
      <c r="N121" s="48">
        <v>3</v>
      </c>
      <c r="O121" s="48">
        <v>644.03</v>
      </c>
      <c r="P121" s="36">
        <f t="shared" si="25"/>
      </c>
      <c r="Q121" s="58">
        <v>8087.759999999999</v>
      </c>
      <c r="R121" s="50">
        <f t="shared" si="33"/>
      </c>
      <c r="S121" s="51">
        <f t="shared" si="34"/>
      </c>
      <c r="T121" s="51">
        <f t="shared" si="35"/>
      </c>
      <c r="U121" s="42"/>
      <c r="V121" s="42"/>
      <c r="W121" s="44"/>
      <c r="X121" s="44"/>
      <c r="Y121" s="44"/>
      <c r="Z121" s="44"/>
      <c r="AA121" s="44">
        <v>124733</v>
      </c>
      <c r="AB121" s="44">
        <v>7369</v>
      </c>
      <c r="AC121" s="44">
        <v>12128</v>
      </c>
      <c r="AD121" s="44">
        <v>3350</v>
      </c>
      <c r="AE121" s="42">
        <v>516</v>
      </c>
      <c r="AF121" s="42">
        <v>91</v>
      </c>
      <c r="AG121" s="42">
        <v>791</v>
      </c>
      <c r="AH121" s="42">
        <v>4</v>
      </c>
      <c r="AI121" s="53">
        <f t="shared" si="37"/>
      </c>
      <c r="AJ121" s="53">
        <f t="shared" si="56"/>
      </c>
      <c r="AK121" s="53">
        <f t="shared" si="38"/>
      </c>
      <c r="AL121" s="54">
        <f t="shared" si="0"/>
      </c>
      <c r="AM121" s="55">
        <f t="shared" si="1"/>
      </c>
      <c r="AN121" s="56"/>
    </row>
    <row r="122">
      <c r="A122" s="69">
        <v>46289</v>
      </c>
      <c r="B122" s="60"/>
      <c r="C122" s="61" t="s">
        <v>129</v>
      </c>
      <c r="D122" s="60">
        <f>D118+D119+D120+D121</f>
      </c>
      <c r="E122" s="60">
        <f>E118+E119+E120+E121</f>
      </c>
      <c r="F122" s="60">
        <f>F118+F119+F120+F121</f>
      </c>
      <c r="G122" s="60">
        <f>G118+G119+G120+G121</f>
      </c>
      <c r="H122" s="60">
        <f>H118+H119+H120+H121</f>
      </c>
      <c r="I122" s="60">
        <f>I118+I119+I120+I121</f>
      </c>
      <c r="J122" s="62">
        <f>J118+J119+J120+J121</f>
      </c>
      <c r="K122" s="62">
        <f>K118+K119+K120+K121</f>
      </c>
      <c r="L122" s="62">
        <f>L118+L119+L120+L121</f>
      </c>
      <c r="M122" s="62">
        <f>M118+M119+M120+M121</f>
      </c>
      <c r="N122" s="62">
        <f>N118+N119+N120+N121</f>
      </c>
      <c r="O122" s="62">
        <f>O118+O119+O120+O121</f>
      </c>
      <c r="P122" s="60">
        <f>P118+P119+P120+P121</f>
      </c>
      <c r="Q122" s="60">
        <f>Q118+Q119+Q120+Q121</f>
      </c>
      <c r="R122" s="63">
        <f t="shared" si="33"/>
      </c>
      <c r="S122" s="63">
        <f t="shared" si="34"/>
      </c>
      <c r="T122" s="63">
        <f t="shared" si="35"/>
      </c>
      <c r="U122" s="64"/>
      <c r="V122" s="60">
        <f>V118+V119+V121+V120</f>
      </c>
      <c r="W122" s="64"/>
      <c r="X122" s="60">
        <f>SUM(X118:X119)</f>
      </c>
      <c r="Y122" s="64"/>
      <c r="Z122" s="61">
        <f>Z118+Z119+Z120+Z121</f>
      </c>
      <c r="AA122" s="60">
        <f>SUM(AA118:AA121)</f>
      </c>
      <c r="AB122" s="60">
        <f>SUM(AB118:AB121)</f>
      </c>
      <c r="AC122" s="60">
        <f>SUM(AC118:AC121)</f>
      </c>
      <c r="AD122" s="60">
        <f>SUM(AD118:AD121)</f>
      </c>
      <c r="AE122" s="60">
        <f>SUM(AE118:AE121)</f>
      </c>
      <c r="AF122" s="60">
        <f>SUM(AF118:AF121)</f>
      </c>
      <c r="AG122" s="60">
        <f>SUM(AG118:AG121)</f>
      </c>
      <c r="AH122" s="60">
        <f>SUM(AH118:AH121)</f>
      </c>
      <c r="AI122" s="65">
        <f t="shared" si="37"/>
      </c>
      <c r="AJ122" s="65">
        <f t="shared" si="56"/>
      </c>
      <c r="AK122" s="65">
        <f t="shared" si="38"/>
      </c>
      <c r="AL122" s="65">
        <f t="shared" si="0"/>
      </c>
      <c r="AM122" s="66">
        <f t="shared" si="1"/>
      </c>
      <c r="AN122" s="65">
        <f>F122/AE122</f>
      </c>
    </row>
    <row hidden="true" r="123">
      <c r="A123" s="40">
        <v>46290</v>
      </c>
      <c r="B123" s="41" t="s">
        <v>117</v>
      </c>
      <c r="C123" s="36" t="s">
        <v>118</v>
      </c>
      <c r="D123" s="36">
        <v>4</v>
      </c>
      <c r="E123" s="42">
        <v>18</v>
      </c>
      <c r="F123" s="43">
        <v>12</v>
      </c>
      <c r="G123" s="42">
        <v>9</v>
      </c>
      <c r="H123" s="42">
        <v>11</v>
      </c>
      <c r="I123" s="42">
        <v>2952.57</v>
      </c>
      <c r="J123" s="45">
        <v>1</v>
      </c>
      <c r="K123" s="45">
        <v>873</v>
      </c>
      <c r="L123" s="75">
        <f t="shared" ref="L123:L126" si="49">H123+J123</f>
      </c>
      <c r="M123" s="48">
        <f t="shared" ref="M123:M126" si="68">P123</f>
      </c>
      <c r="N123" s="48">
        <v>4</v>
      </c>
      <c r="O123" s="48">
        <v>2054.37</v>
      </c>
      <c r="P123" s="36">
        <f t="shared" ref="P123:P126" si="26">I123*12+K123</f>
      </c>
      <c r="Q123" s="49">
        <v>15036.71</v>
      </c>
      <c r="R123" s="50">
        <f t="shared" si="33"/>
      </c>
      <c r="S123" s="51">
        <f t="shared" si="34"/>
      </c>
      <c r="T123" s="51">
        <f t="shared" si="35"/>
      </c>
      <c r="U123" s="42"/>
      <c r="V123" s="42"/>
      <c r="W123" s="44"/>
      <c r="X123" s="44"/>
      <c r="Y123" s="44"/>
      <c r="Z123" s="44"/>
      <c r="AA123" s="52">
        <v>57475</v>
      </c>
      <c r="AB123" s="52">
        <v>2156</v>
      </c>
      <c r="AC123" s="52">
        <v>3085</v>
      </c>
      <c r="AD123" s="52">
        <v>779</v>
      </c>
      <c r="AE123" s="44">
        <v>218</v>
      </c>
      <c r="AF123" s="44">
        <v>26</v>
      </c>
      <c r="AG123" s="44">
        <v>287</v>
      </c>
      <c r="AH123" s="44">
        <v>3</v>
      </c>
      <c r="AI123" s="53">
        <f t="shared" si="37"/>
      </c>
      <c r="AJ123" s="53">
        <f t="shared" si="56"/>
      </c>
      <c r="AK123" s="53">
        <f t="shared" si="38"/>
      </c>
      <c r="AL123" s="54">
        <f t="shared" si="0"/>
      </c>
      <c r="AM123" s="55">
        <f t="shared" si="1"/>
      </c>
      <c r="AN123" s="56"/>
    </row>
    <row hidden="true" r="124">
      <c r="A124" s="40">
        <v>46290</v>
      </c>
      <c r="B124" s="41" t="s">
        <v>153</v>
      </c>
      <c r="C124" s="41" t="s">
        <v>121</v>
      </c>
      <c r="D124" s="41">
        <v>4</v>
      </c>
      <c r="E124" s="42">
        <v>15</v>
      </c>
      <c r="F124" s="43">
        <v>9</v>
      </c>
      <c r="G124" s="42">
        <v>8</v>
      </c>
      <c r="H124" s="42">
        <v>8</v>
      </c>
      <c r="I124" s="42">
        <v>3039.0699999999997</v>
      </c>
      <c r="J124" s="45">
        <v>1</v>
      </c>
      <c r="K124" s="45">
        <v>873</v>
      </c>
      <c r="L124" s="75">
        <f t="shared" si="49"/>
      </c>
      <c r="M124" s="48">
        <f t="shared" si="68"/>
      </c>
      <c r="N124" s="48">
        <v>4</v>
      </c>
      <c r="O124" s="48">
        <v>2420.2799999999997</v>
      </c>
      <c r="P124" s="36">
        <f t="shared" si="26"/>
      </c>
      <c r="Q124" s="58">
        <v>18147.15</v>
      </c>
      <c r="R124" s="50">
        <f t="shared" si="33"/>
      </c>
      <c r="S124" s="51">
        <f t="shared" si="34"/>
      </c>
      <c r="T124" s="51">
        <f t="shared" si="35"/>
      </c>
      <c r="U124" s="42" t="s">
        <v>133</v>
      </c>
      <c r="V124" s="42">
        <v>8</v>
      </c>
      <c r="W124" s="44"/>
      <c r="X124" s="44"/>
      <c r="Y124" s="44" t="s">
        <v>123</v>
      </c>
      <c r="Z124" s="42">
        <v>16</v>
      </c>
      <c r="AA124" s="76">
        <v>71190</v>
      </c>
      <c r="AB124" s="76">
        <v>3631</v>
      </c>
      <c r="AC124" s="76">
        <v>5502</v>
      </c>
      <c r="AD124" s="76">
        <v>901</v>
      </c>
      <c r="AE124" s="42">
        <v>167</v>
      </c>
      <c r="AF124" s="42">
        <v>38</v>
      </c>
      <c r="AG124" s="42">
        <v>261</v>
      </c>
      <c r="AH124" s="42">
        <v>4</v>
      </c>
      <c r="AI124" s="53">
        <f t="shared" si="37"/>
      </c>
      <c r="AJ124" s="53">
        <f t="shared" si="56"/>
      </c>
      <c r="AK124" s="53">
        <f t="shared" si="38"/>
      </c>
      <c r="AL124" s="54">
        <f t="shared" si="0"/>
      </c>
      <c r="AM124" s="55">
        <f t="shared" si="1"/>
      </c>
      <c r="AN124" s="56"/>
    </row>
    <row hidden="true" r="125">
      <c r="A125" s="40">
        <v>46290</v>
      </c>
      <c r="B125" s="41" t="s">
        <v>140</v>
      </c>
      <c r="C125" s="36" t="s">
        <v>125</v>
      </c>
      <c r="D125" s="36">
        <v>4</v>
      </c>
      <c r="E125" s="42">
        <v>9</v>
      </c>
      <c r="F125" s="43">
        <v>7</v>
      </c>
      <c r="G125" s="42">
        <v>8</v>
      </c>
      <c r="H125" s="42">
        <v>6</v>
      </c>
      <c r="I125" s="42">
        <v>944.9200000000001</v>
      </c>
      <c r="J125" s="45">
        <v>1</v>
      </c>
      <c r="K125" s="45">
        <v>520</v>
      </c>
      <c r="L125" s="75">
        <f t="shared" si="49"/>
      </c>
      <c r="M125" s="48">
        <f t="shared" si="68"/>
      </c>
      <c r="N125" s="48">
        <v>4</v>
      </c>
      <c r="O125" s="48">
        <v>827.47</v>
      </c>
      <c r="P125" s="36">
        <f t="shared" si="26"/>
      </c>
      <c r="Q125" s="58">
        <v>13856.18</v>
      </c>
      <c r="R125" s="50">
        <f t="shared" si="33"/>
      </c>
      <c r="S125" s="51">
        <f t="shared" si="34"/>
      </c>
      <c r="T125" s="51">
        <f t="shared" si="35"/>
      </c>
      <c r="U125" s="74" t="s">
        <v>142</v>
      </c>
      <c r="V125" s="42">
        <v>8</v>
      </c>
      <c r="W125" s="44"/>
      <c r="X125" s="44"/>
      <c r="Y125" s="44"/>
      <c r="Z125" s="44"/>
      <c r="AA125" s="44">
        <v>42525</v>
      </c>
      <c r="AB125" s="44">
        <v>1844</v>
      </c>
      <c r="AC125" s="44">
        <v>2915</v>
      </c>
      <c r="AD125" s="44">
        <v>1321</v>
      </c>
      <c r="AE125" s="44">
        <v>182</v>
      </c>
      <c r="AF125" s="44">
        <v>23</v>
      </c>
      <c r="AG125" s="44">
        <v>406</v>
      </c>
      <c r="AH125" s="42">
        <v>0</v>
      </c>
      <c r="AI125" s="53">
        <f t="shared" si="37"/>
      </c>
      <c r="AJ125" s="53">
        <f t="shared" si="56"/>
      </c>
      <c r="AK125" s="53">
        <f t="shared" si="38"/>
      </c>
      <c r="AL125" s="54">
        <f t="shared" si="0"/>
      </c>
      <c r="AM125" s="55">
        <f t="shared" si="1"/>
      </c>
      <c r="AN125" s="56"/>
    </row>
    <row hidden="true" r="126">
      <c r="A126" s="40">
        <v>46290</v>
      </c>
      <c r="B126" s="41" t="s">
        <v>126</v>
      </c>
      <c r="C126" s="41" t="s">
        <v>127</v>
      </c>
      <c r="D126" s="41">
        <v>4</v>
      </c>
      <c r="E126" s="42">
        <v>6</v>
      </c>
      <c r="F126" s="43">
        <v>2</v>
      </c>
      <c r="G126" s="42">
        <v>2</v>
      </c>
      <c r="H126" s="42">
        <v>2</v>
      </c>
      <c r="I126" s="42">
        <v>188.21999999999997</v>
      </c>
      <c r="J126" s="45">
        <v>0</v>
      </c>
      <c r="K126" s="45">
        <v>0</v>
      </c>
      <c r="L126" s="75">
        <f t="shared" si="49"/>
      </c>
      <c r="M126" s="48">
        <f t="shared" si="68"/>
      </c>
      <c r="N126" s="48">
        <v>1</v>
      </c>
      <c r="O126" s="48">
        <v>141.42</v>
      </c>
      <c r="P126" s="36">
        <f t="shared" si="26"/>
      </c>
      <c r="Q126" s="58">
        <v>15788.08</v>
      </c>
      <c r="R126" s="50">
        <f t="shared" si="33"/>
      </c>
      <c r="S126" s="51">
        <f t="shared" si="34"/>
      </c>
      <c r="T126" s="51">
        <f t="shared" si="35"/>
      </c>
      <c r="U126" s="42"/>
      <c r="V126" s="42"/>
      <c r="W126" s="44"/>
      <c r="X126" s="44"/>
      <c r="Y126" s="44"/>
      <c r="Z126" s="44"/>
      <c r="AA126" s="44">
        <v>66295</v>
      </c>
      <c r="AB126" s="44">
        <v>2566</v>
      </c>
      <c r="AC126" s="44">
        <v>4216</v>
      </c>
      <c r="AD126" s="44">
        <v>858</v>
      </c>
      <c r="AE126" s="42">
        <v>178</v>
      </c>
      <c r="AF126" s="42">
        <v>28</v>
      </c>
      <c r="AG126" s="42">
        <v>300</v>
      </c>
      <c r="AH126" s="42">
        <v>3</v>
      </c>
      <c r="AI126" s="53">
        <f t="shared" si="37"/>
      </c>
      <c r="AJ126" s="53">
        <f t="shared" si="56"/>
      </c>
      <c r="AK126" s="53">
        <f t="shared" si="38"/>
      </c>
      <c r="AL126" s="54">
        <f t="shared" si="0"/>
      </c>
      <c r="AM126" s="55">
        <f t="shared" si="1"/>
      </c>
      <c r="AN126" s="56"/>
    </row>
    <row r="127">
      <c r="A127" s="69">
        <v>46290</v>
      </c>
      <c r="B127" s="60"/>
      <c r="C127" s="61" t="s">
        <v>129</v>
      </c>
      <c r="D127" s="60">
        <f>D123+D124+D125+D126</f>
      </c>
      <c r="E127" s="60">
        <f>E123+E124+E125+E126</f>
      </c>
      <c r="F127" s="60">
        <f>F123+F124+F125+F126</f>
      </c>
      <c r="G127" s="60">
        <f>G123+G124+G125+G126</f>
      </c>
      <c r="H127" s="60">
        <f>H123+H124+H125+H126</f>
      </c>
      <c r="I127" s="60">
        <f>I123+I124+I125+I126</f>
      </c>
      <c r="J127" s="62">
        <f>J123+J124+J125+J126</f>
      </c>
      <c r="K127" s="62">
        <f>K123+K124+K125+K126</f>
      </c>
      <c r="L127" s="62">
        <f>L123+L124+L125+L126</f>
      </c>
      <c r="M127" s="62">
        <f>M123+M124+M125+M126</f>
      </c>
      <c r="N127" s="62">
        <f>N123+N124+N125+N126</f>
      </c>
      <c r="O127" s="62">
        <f>O123+O124+O125+O126</f>
      </c>
      <c r="P127" s="60">
        <f>P123+P124+P125+P126</f>
      </c>
      <c r="Q127" s="60">
        <f>Q123+Q124+Q125+Q126</f>
      </c>
      <c r="R127" s="63">
        <f t="shared" si="33"/>
      </c>
      <c r="S127" s="63">
        <f t="shared" si="34"/>
      </c>
      <c r="T127" s="63">
        <f t="shared" si="35"/>
      </c>
      <c r="U127" s="64"/>
      <c r="V127" s="60">
        <f>V123+V124+V126+V125</f>
      </c>
      <c r="W127" s="64"/>
      <c r="X127" s="60">
        <f>SUM(X123:X124)</f>
      </c>
      <c r="Y127" s="64"/>
      <c r="Z127" s="61">
        <f>Z123+Z124+Z125+Z126</f>
      </c>
      <c r="AA127" s="60">
        <f>SUM(AA123:AA126)</f>
      </c>
      <c r="AB127" s="60">
        <f>SUM(AB123:AB126)</f>
      </c>
      <c r="AC127" s="60">
        <f>SUM(AC123:AC126)</f>
      </c>
      <c r="AD127" s="60">
        <f>SUM(AD123:AD126)</f>
      </c>
      <c r="AE127" s="60">
        <f>SUM(AE123:AE126)</f>
      </c>
      <c r="AF127" s="60">
        <f>SUM(AF123:AF126)</f>
      </c>
      <c r="AG127" s="60">
        <f>SUM(AG123:AG126)</f>
      </c>
      <c r="AH127" s="60">
        <f>SUM(AH123:AH126)</f>
      </c>
      <c r="AI127" s="65">
        <f t="shared" si="37"/>
      </c>
      <c r="AJ127" s="65">
        <f t="shared" si="56"/>
      </c>
      <c r="AK127" s="65">
        <f t="shared" si="38"/>
      </c>
      <c r="AL127" s="65">
        <f t="shared" si="0"/>
      </c>
      <c r="AM127" s="66">
        <f t="shared" si="1"/>
      </c>
      <c r="AN127" s="65">
        <f>F127/AE127</f>
      </c>
    </row>
    <row hidden="true" r="128">
      <c r="A128" s="40">
        <v>46291</v>
      </c>
      <c r="B128" s="41" t="s">
        <v>117</v>
      </c>
      <c r="C128" s="36" t="s">
        <v>118</v>
      </c>
      <c r="D128" s="36">
        <v>4</v>
      </c>
      <c r="E128" s="42">
        <v>12</v>
      </c>
      <c r="F128" s="43">
        <v>6</v>
      </c>
      <c r="G128" s="42">
        <v>5</v>
      </c>
      <c r="H128" s="42">
        <v>6</v>
      </c>
      <c r="I128" s="42">
        <v>1451.77</v>
      </c>
      <c r="J128" s="45">
        <v>0</v>
      </c>
      <c r="K128" s="45">
        <v>0</v>
      </c>
      <c r="L128" s="75">
        <v>6</v>
      </c>
      <c r="M128" s="48">
        <f t="shared" ref="M128:M131" si="69">P128</f>
      </c>
      <c r="N128" s="48">
        <v>4</v>
      </c>
      <c r="O128" s="48">
        <v>1257.37</v>
      </c>
      <c r="P128" s="36">
        <f t="shared" ref="P128:P131" si="27">I128*12+K128</f>
      </c>
      <c r="Q128" s="49">
        <v>14173.28</v>
      </c>
      <c r="R128" s="50">
        <f t="shared" si="33"/>
      </c>
      <c r="S128" s="51">
        <f t="shared" si="34"/>
      </c>
      <c r="T128" s="51">
        <f t="shared" si="35"/>
      </c>
      <c r="U128" s="42"/>
      <c r="V128" s="42"/>
      <c r="W128" s="44"/>
      <c r="X128" s="44"/>
      <c r="Y128" s="44"/>
      <c r="Z128" s="44"/>
      <c r="AA128" s="52">
        <v>44121</v>
      </c>
      <c r="AB128" s="52">
        <v>2401</v>
      </c>
      <c r="AC128" s="52">
        <v>3526</v>
      </c>
      <c r="AD128" s="52">
        <v>846</v>
      </c>
      <c r="AE128" s="44">
        <v>205</v>
      </c>
      <c r="AF128" s="44">
        <v>32</v>
      </c>
      <c r="AG128" s="44">
        <v>216</v>
      </c>
      <c r="AH128" s="44">
        <v>5</v>
      </c>
      <c r="AI128" s="53">
        <f t="shared" si="37"/>
      </c>
      <c r="AJ128" s="53">
        <f t="shared" si="56"/>
      </c>
      <c r="AK128" s="53">
        <f t="shared" si="38"/>
      </c>
      <c r="AL128" s="54">
        <f t="shared" si="0"/>
      </c>
      <c r="AM128" s="55">
        <f t="shared" si="1"/>
      </c>
      <c r="AN128" s="56"/>
    </row>
    <row hidden="true" r="129">
      <c r="A129" s="40">
        <v>46291</v>
      </c>
      <c r="B129" s="41" t="s">
        <v>124</v>
      </c>
      <c r="C129" s="41" t="s">
        <v>121</v>
      </c>
      <c r="D129" s="41">
        <v>4</v>
      </c>
      <c r="E129" s="42">
        <v>24</v>
      </c>
      <c r="F129" s="43">
        <v>15</v>
      </c>
      <c r="G129" s="42">
        <v>13</v>
      </c>
      <c r="H129" s="42">
        <v>14</v>
      </c>
      <c r="I129" s="42">
        <v>2712.04</v>
      </c>
      <c r="J129" s="45">
        <v>1</v>
      </c>
      <c r="K129" s="45">
        <v>1640</v>
      </c>
      <c r="L129" s="75">
        <f t="shared" ref="L129:L131" si="50">H129+J129</f>
      </c>
      <c r="M129" s="48">
        <f t="shared" si="69"/>
      </c>
      <c r="N129" s="48">
        <v>7</v>
      </c>
      <c r="O129" s="48">
        <v>1509.28</v>
      </c>
      <c r="P129" s="36">
        <f t="shared" si="27"/>
      </c>
      <c r="Q129" s="58">
        <v>17350.31</v>
      </c>
      <c r="R129" s="50">
        <f t="shared" si="33"/>
      </c>
      <c r="S129" s="51">
        <f t="shared" si="34"/>
      </c>
      <c r="T129" s="51">
        <f t="shared" si="35"/>
      </c>
      <c r="U129" s="42" t="s">
        <v>133</v>
      </c>
      <c r="V129" s="42">
        <v>8</v>
      </c>
      <c r="W129" s="44"/>
      <c r="X129" s="44"/>
      <c r="Y129" s="44" t="s">
        <v>123</v>
      </c>
      <c r="Z129" s="42">
        <v>16</v>
      </c>
      <c r="AA129" s="76">
        <v>64081</v>
      </c>
      <c r="AB129" s="76">
        <v>4083</v>
      </c>
      <c r="AC129" s="76">
        <v>5652</v>
      </c>
      <c r="AD129" s="76">
        <v>1604</v>
      </c>
      <c r="AE129" s="42">
        <v>177</v>
      </c>
      <c r="AF129" s="42">
        <v>48</v>
      </c>
      <c r="AG129" s="42">
        <v>454</v>
      </c>
      <c r="AH129" s="42">
        <v>4</v>
      </c>
      <c r="AI129" s="53">
        <f t="shared" si="37"/>
      </c>
      <c r="AJ129" s="53">
        <f t="shared" si="56"/>
      </c>
      <c r="AK129" s="53">
        <f t="shared" si="38"/>
      </c>
      <c r="AL129" s="54">
        <f t="shared" si="0"/>
      </c>
      <c r="AM129" s="55">
        <f t="shared" si="1"/>
      </c>
      <c r="AN129" s="56"/>
    </row>
    <row hidden="true" r="130">
      <c r="A130" s="40">
        <v>46291</v>
      </c>
      <c r="B130" s="41" t="s">
        <v>154</v>
      </c>
      <c r="C130" s="36" t="s">
        <v>125</v>
      </c>
      <c r="D130" s="36">
        <v>4</v>
      </c>
      <c r="E130" s="42">
        <v>16</v>
      </c>
      <c r="F130" s="43">
        <v>10</v>
      </c>
      <c r="G130" s="42">
        <v>6</v>
      </c>
      <c r="H130" s="42">
        <v>9</v>
      </c>
      <c r="I130" s="42">
        <v>1524.1599999999999</v>
      </c>
      <c r="J130" s="45">
        <v>1</v>
      </c>
      <c r="K130" s="45">
        <v>2452.8</v>
      </c>
      <c r="L130" s="75">
        <f t="shared" si="50"/>
      </c>
      <c r="M130" s="48">
        <f t="shared" si="69"/>
      </c>
      <c r="N130" s="48">
        <v>4</v>
      </c>
      <c r="O130" s="48">
        <v>3534.07</v>
      </c>
      <c r="P130" s="36">
        <f t="shared" si="27"/>
      </c>
      <c r="Q130" s="58">
        <v>17037.9</v>
      </c>
      <c r="R130" s="50">
        <f t="shared" si="33"/>
      </c>
      <c r="S130" s="51">
        <f t="shared" si="34"/>
      </c>
      <c r="T130" s="51">
        <f t="shared" si="35"/>
      </c>
      <c r="U130" s="74" t="s">
        <v>142</v>
      </c>
      <c r="V130" s="42">
        <v>8</v>
      </c>
      <c r="W130" s="44"/>
      <c r="X130" s="44"/>
      <c r="Y130" s="44"/>
      <c r="Z130" s="44"/>
      <c r="AA130" s="44">
        <v>53515</v>
      </c>
      <c r="AB130" s="44">
        <v>4414</v>
      </c>
      <c r="AC130" s="44">
        <v>6691</v>
      </c>
      <c r="AD130" s="44">
        <v>1910</v>
      </c>
      <c r="AE130" s="44">
        <v>78</v>
      </c>
      <c r="AF130" s="44">
        <v>72</v>
      </c>
      <c r="AG130" s="44">
        <v>362</v>
      </c>
      <c r="AH130" s="42">
        <v>2</v>
      </c>
      <c r="AI130" s="53">
        <f t="shared" si="37"/>
      </c>
      <c r="AJ130" s="53">
        <f t="shared" si="56"/>
      </c>
      <c r="AK130" s="53">
        <f t="shared" si="38"/>
      </c>
      <c r="AL130" s="54">
        <f t="shared" si="0"/>
      </c>
      <c r="AM130" s="55">
        <f t="shared" si="1"/>
      </c>
      <c r="AN130" s="56"/>
    </row>
    <row hidden="true" r="131">
      <c r="A131" s="40">
        <v>46291</v>
      </c>
      <c r="B131" s="41" t="s">
        <v>140</v>
      </c>
      <c r="C131" s="41" t="s">
        <v>127</v>
      </c>
      <c r="D131" s="41">
        <v>4</v>
      </c>
      <c r="E131" s="42">
        <v>21</v>
      </c>
      <c r="F131" s="43">
        <v>15</v>
      </c>
      <c r="G131" s="42">
        <v>13</v>
      </c>
      <c r="H131" s="42">
        <v>12</v>
      </c>
      <c r="I131" s="42">
        <v>1702.42</v>
      </c>
      <c r="J131" s="45">
        <v>3</v>
      </c>
      <c r="K131" s="45">
        <v>12826.6</v>
      </c>
      <c r="L131" s="75">
        <f t="shared" si="50"/>
      </c>
      <c r="M131" s="48">
        <f t="shared" si="69"/>
      </c>
      <c r="N131" s="48">
        <v>8</v>
      </c>
      <c r="O131" s="48">
        <v>14084.51</v>
      </c>
      <c r="P131" s="36">
        <f t="shared" si="27"/>
      </c>
      <c r="Q131" s="58">
        <v>19856.95</v>
      </c>
      <c r="R131" s="50">
        <f t="shared" si="33"/>
      </c>
      <c r="S131" s="51">
        <f t="shared" si="34"/>
      </c>
      <c r="T131" s="51">
        <f t="shared" si="35"/>
      </c>
      <c r="U131" s="42"/>
      <c r="V131" s="42"/>
      <c r="W131" s="44"/>
      <c r="X131" s="44"/>
      <c r="Y131" s="44"/>
      <c r="Z131" s="44"/>
      <c r="AA131" s="44">
        <v>56586</v>
      </c>
      <c r="AB131" s="44">
        <v>5173</v>
      </c>
      <c r="AC131" s="44">
        <v>8588</v>
      </c>
      <c r="AD131" s="44">
        <v>2201</v>
      </c>
      <c r="AE131" s="42">
        <v>231</v>
      </c>
      <c r="AF131" s="42">
        <v>58</v>
      </c>
      <c r="AG131" s="42">
        <v>484</v>
      </c>
      <c r="AH131" s="42">
        <v>2</v>
      </c>
      <c r="AI131" s="53">
        <f t="shared" si="37"/>
      </c>
      <c r="AJ131" s="53">
        <f t="shared" si="56"/>
      </c>
      <c r="AK131" s="53">
        <f t="shared" si="38"/>
      </c>
      <c r="AL131" s="54">
        <f t="shared" si="0"/>
      </c>
      <c r="AM131" s="55">
        <f t="shared" si="1"/>
      </c>
      <c r="AN131" s="56"/>
    </row>
    <row r="132">
      <c r="A132" s="69">
        <v>46291</v>
      </c>
      <c r="B132" s="60"/>
      <c r="C132" s="61" t="s">
        <v>129</v>
      </c>
      <c r="D132" s="60">
        <f>D128+D129+D130+D131</f>
      </c>
      <c r="E132" s="60">
        <f>E128+E129+E130+E131</f>
      </c>
      <c r="F132" s="60">
        <f>F128+F129+F130+F131</f>
      </c>
      <c r="G132" s="60">
        <f>G128+G129+G130+G131</f>
      </c>
      <c r="H132" s="60">
        <f>H128+H129+H130+H131</f>
      </c>
      <c r="I132" s="60">
        <f>I128+I129+I130+I131</f>
      </c>
      <c r="J132" s="62">
        <f>J128+J129+J130+J131</f>
      </c>
      <c r="K132" s="62">
        <f>K128+K129+K130+K131</f>
      </c>
      <c r="L132" s="62">
        <f>L128+L129+L130+L131</f>
      </c>
      <c r="M132" s="62">
        <f>M128+M129+M130+M131</f>
      </c>
      <c r="N132" s="62">
        <f>N128+N129+N130+N131</f>
      </c>
      <c r="O132" s="62">
        <f>O128+O129+O130+O131</f>
      </c>
      <c r="P132" s="60">
        <f>P128+P129+P130+P131</f>
      </c>
      <c r="Q132" s="60">
        <f>Q128+Q129+Q130+Q131</f>
      </c>
      <c r="R132" s="63">
        <f t="shared" si="33"/>
      </c>
      <c r="S132" s="63">
        <f t="shared" si="34"/>
      </c>
      <c r="T132" s="63">
        <f t="shared" si="35"/>
      </c>
      <c r="U132" s="64"/>
      <c r="V132" s="60">
        <f>V128+V129+V131+V130</f>
      </c>
      <c r="W132" s="64"/>
      <c r="X132" s="60">
        <f>SUM(X128:X129)</f>
      </c>
      <c r="Y132" s="64"/>
      <c r="Z132" s="61">
        <f>Z128+Z129+Z130+Z131</f>
      </c>
      <c r="AA132" s="60">
        <f>SUM(AA128:AA131)</f>
      </c>
      <c r="AB132" s="60">
        <f>SUM(AB128:AB131)</f>
      </c>
      <c r="AC132" s="60">
        <f>SUM(AC128:AC131)</f>
      </c>
      <c r="AD132" s="60">
        <f>SUM(AD128:AD131)</f>
      </c>
      <c r="AE132" s="60">
        <f>SUM(AE128:AE131)</f>
      </c>
      <c r="AF132" s="60">
        <f>SUM(AF128:AF131)</f>
      </c>
      <c r="AG132" s="60">
        <f>SUM(AG128:AG131)</f>
      </c>
      <c r="AH132" s="60">
        <f>SUM(AH128:AH131)</f>
      </c>
      <c r="AI132" s="65">
        <f t="shared" si="37"/>
      </c>
      <c r="AJ132" s="65">
        <f t="shared" si="56"/>
      </c>
      <c r="AK132" s="65">
        <f t="shared" si="38"/>
      </c>
      <c r="AL132" s="65">
        <f t="shared" si="0"/>
      </c>
      <c r="AM132" s="66">
        <f t="shared" si="1"/>
      </c>
      <c r="AN132" s="65">
        <f>F132/AE132</f>
      </c>
    </row>
    <row hidden="true" r="133">
      <c r="A133" s="40">
        <v>46292</v>
      </c>
      <c r="B133" s="41" t="s">
        <v>117</v>
      </c>
      <c r="C133" s="36" t="s">
        <v>118</v>
      </c>
      <c r="D133" s="36">
        <v>4</v>
      </c>
      <c r="E133" s="42">
        <v>13</v>
      </c>
      <c r="F133" s="43">
        <v>5</v>
      </c>
      <c r="G133" s="42">
        <v>5</v>
      </c>
      <c r="H133" s="42">
        <v>4</v>
      </c>
      <c r="I133" s="42">
        <v>483.92999999999995</v>
      </c>
      <c r="J133" s="45">
        <v>1</v>
      </c>
      <c r="K133" s="45">
        <v>873</v>
      </c>
      <c r="L133" s="75">
        <f t="shared" ref="L133:L136" si="51">H133+J133</f>
      </c>
      <c r="M133" s="48">
        <f t="shared" ref="M133:M136" si="70">P133</f>
      </c>
      <c r="N133" s="48">
        <v>0</v>
      </c>
      <c r="O133" s="48">
        <v>0</v>
      </c>
      <c r="P133" s="36">
        <f t="shared" ref="P133:P136" si="28">I133*12+K133</f>
      </c>
      <c r="Q133" s="49">
        <v>14869.240000000002</v>
      </c>
      <c r="R133" s="50">
        <f t="shared" si="33"/>
      </c>
      <c r="S133" s="51">
        <f t="shared" si="34"/>
      </c>
      <c r="T133" s="51">
        <f t="shared" si="35"/>
      </c>
      <c r="U133" s="42"/>
      <c r="V133" s="42"/>
      <c r="W133" s="44"/>
      <c r="X133" s="44"/>
      <c r="Y133" s="44"/>
      <c r="Z133" s="44"/>
      <c r="AA133" s="52">
        <v>46722</v>
      </c>
      <c r="AB133" s="52">
        <v>2800</v>
      </c>
      <c r="AC133" s="52">
        <v>3728</v>
      </c>
      <c r="AD133" s="52">
        <v>1014</v>
      </c>
      <c r="AE133" s="44">
        <v>136</v>
      </c>
      <c r="AF133" s="44">
        <v>37</v>
      </c>
      <c r="AG133" s="44">
        <v>232</v>
      </c>
      <c r="AH133" s="44">
        <v>6</v>
      </c>
      <c r="AI133" s="53">
        <f t="shared" si="37"/>
      </c>
      <c r="AJ133" s="53">
        <f t="shared" si="56"/>
      </c>
      <c r="AK133" s="53">
        <f t="shared" si="38"/>
      </c>
      <c r="AL133" s="54">
        <f t="shared" si="0"/>
      </c>
      <c r="AM133" s="55">
        <f t="shared" si="1"/>
      </c>
      <c r="AN133" s="56"/>
    </row>
    <row hidden="true" r="134">
      <c r="A134" s="40">
        <v>46292</v>
      </c>
      <c r="B134" s="41" t="s">
        <v>140</v>
      </c>
      <c r="C134" s="41" t="s">
        <v>121</v>
      </c>
      <c r="D134" s="41">
        <v>4</v>
      </c>
      <c r="E134" s="42">
        <v>16</v>
      </c>
      <c r="F134" s="43">
        <v>8</v>
      </c>
      <c r="G134" s="42">
        <v>7</v>
      </c>
      <c r="H134" s="42">
        <v>8</v>
      </c>
      <c r="I134" s="42">
        <v>816.48</v>
      </c>
      <c r="J134" s="45">
        <v>0</v>
      </c>
      <c r="K134" s="45">
        <v>0</v>
      </c>
      <c r="L134" s="75">
        <f t="shared" si="51"/>
      </c>
      <c r="M134" s="48">
        <f t="shared" si="70"/>
      </c>
      <c r="N134" s="48">
        <v>1</v>
      </c>
      <c r="O134" s="48">
        <v>140.54</v>
      </c>
      <c r="P134" s="36">
        <f t="shared" si="28"/>
      </c>
      <c r="Q134" s="58">
        <v>15627.14</v>
      </c>
      <c r="R134" s="50">
        <f t="shared" si="33"/>
      </c>
      <c r="S134" s="51">
        <f t="shared" si="34"/>
      </c>
      <c r="T134" s="51">
        <f t="shared" si="35"/>
      </c>
      <c r="U134" s="42" t="s">
        <v>133</v>
      </c>
      <c r="V134" s="42">
        <v>8</v>
      </c>
      <c r="W134" s="44"/>
      <c r="X134" s="44"/>
      <c r="Y134" s="44" t="s">
        <v>123</v>
      </c>
      <c r="Z134" s="42">
        <v>16</v>
      </c>
      <c r="AA134" s="76">
        <v>47908</v>
      </c>
      <c r="AB134" s="76">
        <v>5123</v>
      </c>
      <c r="AC134" s="76">
        <v>7536</v>
      </c>
      <c r="AD134" s="76">
        <v>2186</v>
      </c>
      <c r="AE134" s="42">
        <v>84</v>
      </c>
      <c r="AF134" s="42">
        <v>69</v>
      </c>
      <c r="AG134" s="42">
        <v>363</v>
      </c>
      <c r="AH134" s="42">
        <v>4</v>
      </c>
      <c r="AI134" s="53">
        <f t="shared" si="37"/>
      </c>
      <c r="AJ134" s="53">
        <f t="shared" si="56"/>
      </c>
      <c r="AK134" s="53">
        <f t="shared" si="38"/>
      </c>
      <c r="AL134" s="54">
        <f t="shared" si="0"/>
      </c>
      <c r="AM134" s="55">
        <f t="shared" si="1"/>
      </c>
      <c r="AN134" s="56"/>
    </row>
    <row hidden="true" r="135">
      <c r="A135" s="40">
        <v>46292</v>
      </c>
      <c r="B135" s="41" t="s">
        <v>126</v>
      </c>
      <c r="C135" s="36" t="s">
        <v>125</v>
      </c>
      <c r="D135" s="36">
        <v>4</v>
      </c>
      <c r="E135" s="42">
        <v>7</v>
      </c>
      <c r="F135" s="43">
        <v>4</v>
      </c>
      <c r="G135" s="42">
        <v>3</v>
      </c>
      <c r="H135" s="42">
        <v>4</v>
      </c>
      <c r="I135" s="42">
        <v>959.22</v>
      </c>
      <c r="J135" s="45">
        <v>0</v>
      </c>
      <c r="K135" s="45">
        <v>0</v>
      </c>
      <c r="L135" s="75">
        <f t="shared" si="51"/>
      </c>
      <c r="M135" s="48">
        <f t="shared" si="70"/>
      </c>
      <c r="N135" s="48">
        <v>2</v>
      </c>
      <c r="O135" s="48">
        <v>382.68</v>
      </c>
      <c r="P135" s="36">
        <f t="shared" si="28"/>
      </c>
      <c r="Q135" s="58">
        <v>9192.15</v>
      </c>
      <c r="R135" s="50">
        <f t="shared" si="33"/>
      </c>
      <c r="S135" s="51">
        <f t="shared" si="34"/>
      </c>
      <c r="T135" s="51">
        <f t="shared" si="35"/>
      </c>
      <c r="U135" s="74" t="s">
        <v>142</v>
      </c>
      <c r="V135" s="42">
        <v>8</v>
      </c>
      <c r="W135" s="44"/>
      <c r="X135" s="44"/>
      <c r="Y135" s="44"/>
      <c r="Z135" s="44"/>
      <c r="AA135" s="44">
        <v>23252</v>
      </c>
      <c r="AB135" s="44">
        <v>3600</v>
      </c>
      <c r="AC135" s="44">
        <v>6013</v>
      </c>
      <c r="AD135" s="44">
        <v>1665</v>
      </c>
      <c r="AE135" s="44">
        <v>73</v>
      </c>
      <c r="AF135" s="44">
        <v>35</v>
      </c>
      <c r="AG135" s="44">
        <v>296</v>
      </c>
      <c r="AH135" s="42">
        <v>0</v>
      </c>
      <c r="AI135" s="53">
        <f t="shared" si="37"/>
      </c>
      <c r="AJ135" s="53">
        <f t="shared" si="56"/>
      </c>
      <c r="AK135" s="53">
        <f t="shared" si="38"/>
      </c>
      <c r="AL135" s="54">
        <f t="shared" si="0"/>
      </c>
      <c r="AM135" s="55">
        <f t="shared" si="1"/>
      </c>
      <c r="AN135" s="56"/>
    </row>
    <row hidden="true" r="136">
      <c r="A136" s="40">
        <v>46292</v>
      </c>
      <c r="B136" s="41" t="s">
        <v>154</v>
      </c>
      <c r="C136" s="41" t="s">
        <v>127</v>
      </c>
      <c r="D136" s="41">
        <v>4</v>
      </c>
      <c r="E136" s="42">
        <v>15</v>
      </c>
      <c r="F136" s="43">
        <v>7</v>
      </c>
      <c r="G136" s="42">
        <v>6</v>
      </c>
      <c r="H136" s="42">
        <v>7</v>
      </c>
      <c r="I136" s="42">
        <v>1010.6099999999999</v>
      </c>
      <c r="J136" s="45">
        <v>0</v>
      </c>
      <c r="K136" s="45">
        <v>0</v>
      </c>
      <c r="L136" s="75">
        <f t="shared" si="51"/>
      </c>
      <c r="M136" s="48">
        <f t="shared" si="70"/>
      </c>
      <c r="N136" s="48">
        <v>1</v>
      </c>
      <c r="O136" s="48">
        <v>133.88</v>
      </c>
      <c r="P136" s="36">
        <f t="shared" si="28"/>
      </c>
      <c r="Q136" s="58">
        <v>11711.03</v>
      </c>
      <c r="R136" s="50">
        <f t="shared" si="33"/>
      </c>
      <c r="S136" s="51">
        <f t="shared" si="34"/>
      </c>
      <c r="T136" s="51">
        <f t="shared" si="35"/>
      </c>
      <c r="U136" s="42"/>
      <c r="V136" s="42"/>
      <c r="W136" s="44"/>
      <c r="X136" s="44"/>
      <c r="Y136" s="44"/>
      <c r="Z136" s="44"/>
      <c r="AA136" s="42">
        <v>33135</v>
      </c>
      <c r="AB136" s="44">
        <v>2782</v>
      </c>
      <c r="AC136" s="44">
        <v>4484</v>
      </c>
      <c r="AD136" s="44">
        <v>1070</v>
      </c>
      <c r="AE136" s="42">
        <v>71</v>
      </c>
      <c r="AF136" s="42">
        <v>41</v>
      </c>
      <c r="AG136" s="42">
        <v>232</v>
      </c>
      <c r="AH136" s="42">
        <v>3</v>
      </c>
      <c r="AI136" s="53">
        <f t="shared" si="37"/>
      </c>
      <c r="AJ136" s="53">
        <f t="shared" si="56"/>
      </c>
      <c r="AK136" s="53">
        <f t="shared" si="38"/>
      </c>
      <c r="AL136" s="54">
        <f t="shared" si="0"/>
      </c>
      <c r="AM136" s="55">
        <f t="shared" si="1"/>
      </c>
      <c r="AN136" s="56"/>
    </row>
    <row r="137">
      <c r="A137" s="69">
        <v>46292</v>
      </c>
      <c r="B137" s="60"/>
      <c r="C137" s="61" t="s">
        <v>129</v>
      </c>
      <c r="D137" s="60">
        <f>D133+D134+D135+D136</f>
      </c>
      <c r="E137" s="60">
        <f>E133+E134+E135+E136</f>
      </c>
      <c r="F137" s="60">
        <f>F133+F134+F135+F136</f>
      </c>
      <c r="G137" s="60">
        <f>G133+G134+G135+G136</f>
      </c>
      <c r="H137" s="60">
        <f>H133+H134+H135+H136</f>
      </c>
      <c r="I137" s="60">
        <f>I133+I134+I135+I136</f>
      </c>
      <c r="J137" s="62">
        <f>J133+J134+J135+J136</f>
      </c>
      <c r="K137" s="62">
        <f>K133+K134+K135+K136</f>
      </c>
      <c r="L137" s="62">
        <f>L133+L134+L135+L136</f>
      </c>
      <c r="M137" s="62">
        <f>M133+M134+M135+M136</f>
      </c>
      <c r="N137" s="62">
        <f>N133+N134+N135+N136</f>
      </c>
      <c r="O137" s="62">
        <f>O133+O134+O135+O136</f>
      </c>
      <c r="P137" s="60">
        <f>P133+P134+P135+P136</f>
      </c>
      <c r="Q137" s="60">
        <f>Q133+Q134+Q135+Q136</f>
      </c>
      <c r="R137" s="63">
        <f t="shared" si="33"/>
      </c>
      <c r="S137" s="63">
        <f t="shared" si="34"/>
      </c>
      <c r="T137" s="63">
        <f t="shared" si="35"/>
      </c>
      <c r="U137" s="64"/>
      <c r="V137" s="60">
        <f>V133+V134+V136+V135</f>
      </c>
      <c r="W137" s="64"/>
      <c r="X137" s="60">
        <f>SUM(X133:X134)</f>
      </c>
      <c r="Y137" s="64"/>
      <c r="Z137" s="61">
        <f>Z133+Z134+Z135+Z136</f>
      </c>
      <c r="AA137" s="60">
        <f>SUM(AA133:AA136)</f>
      </c>
      <c r="AB137" s="60">
        <f>SUM(AB133:AB136)</f>
      </c>
      <c r="AC137" s="60">
        <f>SUM(AC133:AC136)</f>
      </c>
      <c r="AD137" s="60">
        <f>SUM(AD133:AD136)</f>
      </c>
      <c r="AE137" s="60">
        <f>SUM(AE133:AE136)</f>
      </c>
      <c r="AF137" s="60">
        <f>SUM(AF133:AF136)</f>
      </c>
      <c r="AG137" s="60">
        <f>SUM(AG133:AG136)</f>
      </c>
      <c r="AH137" s="60">
        <f>SUM(AH133:AH136)</f>
      </c>
      <c r="AI137" s="65">
        <f t="shared" si="37"/>
      </c>
      <c r="AJ137" s="65">
        <f t="shared" si="56"/>
      </c>
      <c r="AK137" s="65">
        <f t="shared" si="38"/>
      </c>
      <c r="AL137" s="65">
        <f t="shared" si="0"/>
      </c>
      <c r="AM137" s="66">
        <f t="shared" si="1"/>
      </c>
      <c r="AN137" s="65">
        <f>F137/AE137</f>
      </c>
    </row>
    <row hidden="true" r="138">
      <c r="A138" s="40">
        <v>46293</v>
      </c>
      <c r="B138" s="41" t="s">
        <v>124</v>
      </c>
      <c r="C138" s="36" t="s">
        <v>118</v>
      </c>
      <c r="D138" s="36">
        <v>4</v>
      </c>
      <c r="E138" s="42">
        <v>8</v>
      </c>
      <c r="F138" s="43">
        <v>4</v>
      </c>
      <c r="G138" s="42">
        <v>3</v>
      </c>
      <c r="H138" s="42">
        <v>4</v>
      </c>
      <c r="I138" s="42">
        <v>815.82</v>
      </c>
      <c r="J138" s="45">
        <v>0</v>
      </c>
      <c r="K138" s="45">
        <v>0</v>
      </c>
      <c r="L138" s="75">
        <f t="shared" ref="L138:L141" si="52">H138+J138</f>
      </c>
      <c r="M138" s="48">
        <f t="shared" ref="M138:M141" si="71">P138</f>
      </c>
      <c r="N138" s="48">
        <v>1</v>
      </c>
      <c r="O138" s="48">
        <v>265.92</v>
      </c>
      <c r="P138" s="36">
        <f t="shared" ref="P138:P140" si="29">I138*12+K138</f>
      </c>
      <c r="Q138" s="49">
        <v>17540.92</v>
      </c>
      <c r="R138" s="50">
        <f t="shared" si="33"/>
      </c>
      <c r="S138" s="51">
        <f t="shared" si="34"/>
      </c>
      <c r="T138" s="51">
        <f t="shared" si="35"/>
      </c>
      <c r="U138" s="42" t="s">
        <v>122</v>
      </c>
      <c r="V138" s="42">
        <v>1</v>
      </c>
      <c r="W138" s="44"/>
      <c r="X138" s="44"/>
      <c r="Y138" s="44"/>
      <c r="Z138" s="44"/>
      <c r="AA138" s="52">
        <v>50975</v>
      </c>
      <c r="AB138" s="52">
        <v>3288</v>
      </c>
      <c r="AC138" s="52">
        <v>5007</v>
      </c>
      <c r="AD138" s="52">
        <v>1360</v>
      </c>
      <c r="AE138" s="44">
        <v>162</v>
      </c>
      <c r="AF138" s="44">
        <v>41</v>
      </c>
      <c r="AG138" s="44">
        <v>251</v>
      </c>
      <c r="AH138" s="44">
        <v>4</v>
      </c>
      <c r="AI138" s="53">
        <f t="shared" si="37"/>
      </c>
      <c r="AJ138" s="53">
        <f t="shared" si="56"/>
      </c>
      <c r="AK138" s="53">
        <f t="shared" si="38"/>
      </c>
      <c r="AL138" s="54">
        <f t="shared" si="0"/>
      </c>
      <c r="AM138" s="55">
        <f t="shared" si="1"/>
      </c>
      <c r="AN138" s="56"/>
    </row>
    <row hidden="true" r="139">
      <c r="A139" s="40">
        <v>46293</v>
      </c>
      <c r="B139" s="41" t="s">
        <v>117</v>
      </c>
      <c r="C139" s="41" t="s">
        <v>121</v>
      </c>
      <c r="D139" s="41">
        <v>4</v>
      </c>
      <c r="E139" s="42">
        <v>12</v>
      </c>
      <c r="F139" s="43">
        <v>8</v>
      </c>
      <c r="G139" s="42">
        <v>6</v>
      </c>
      <c r="H139" s="42">
        <v>8</v>
      </c>
      <c r="I139" s="42">
        <v>836.23</v>
      </c>
      <c r="J139" s="45">
        <v>0</v>
      </c>
      <c r="K139" s="45">
        <v>0</v>
      </c>
      <c r="L139" s="75">
        <f t="shared" si="52"/>
      </c>
      <c r="M139" s="48">
        <f t="shared" si="71"/>
      </c>
      <c r="N139" s="48">
        <v>0</v>
      </c>
      <c r="O139" s="48">
        <v>0</v>
      </c>
      <c r="P139" s="36">
        <f t="shared" si="29"/>
      </c>
      <c r="Q139" s="58">
        <v>11805.810000000001</v>
      </c>
      <c r="R139" s="50">
        <f t="shared" si="33"/>
      </c>
      <c r="S139" s="51">
        <f t="shared" si="34"/>
      </c>
      <c r="T139" s="51">
        <f t="shared" si="35"/>
      </c>
      <c r="U139" s="42" t="s">
        <v>119</v>
      </c>
      <c r="V139" s="42">
        <v>7</v>
      </c>
      <c r="W139" s="44"/>
      <c r="X139" s="44"/>
      <c r="Y139" s="44" t="s">
        <v>123</v>
      </c>
      <c r="Z139" s="42">
        <v>16</v>
      </c>
      <c r="AA139" s="76">
        <v>34394</v>
      </c>
      <c r="AB139" s="76">
        <v>2782</v>
      </c>
      <c r="AC139" s="76">
        <v>4322</v>
      </c>
      <c r="AD139" s="76">
        <v>1174</v>
      </c>
      <c r="AE139" s="42">
        <v>145</v>
      </c>
      <c r="AF139" s="42">
        <v>16</v>
      </c>
      <c r="AG139" s="42">
        <v>252</v>
      </c>
      <c r="AH139" s="42">
        <v>2</v>
      </c>
      <c r="AI139" s="53">
        <f t="shared" si="37"/>
      </c>
      <c r="AJ139" s="53">
        <f t="shared" si="56"/>
      </c>
      <c r="AK139" s="53">
        <f t="shared" si="38"/>
      </c>
      <c r="AL139" s="54">
        <f t="shared" si="0"/>
      </c>
      <c r="AM139" s="55">
        <f t="shared" si="1"/>
      </c>
      <c r="AN139" s="56"/>
    </row>
    <row hidden="true" r="140">
      <c r="A140" s="40">
        <v>46293</v>
      </c>
      <c r="B140" s="41" t="s">
        <v>126</v>
      </c>
      <c r="C140" s="36" t="s">
        <v>125</v>
      </c>
      <c r="D140" s="36">
        <v>4</v>
      </c>
      <c r="E140" s="42">
        <v>7</v>
      </c>
      <c r="F140" s="43">
        <v>6</v>
      </c>
      <c r="G140" s="42">
        <v>5</v>
      </c>
      <c r="H140" s="42">
        <v>6</v>
      </c>
      <c r="I140" s="42">
        <v>405.11</v>
      </c>
      <c r="J140" s="45">
        <v>0</v>
      </c>
      <c r="K140" s="45">
        <v>0</v>
      </c>
      <c r="L140" s="75">
        <f t="shared" si="52"/>
      </c>
      <c r="M140" s="48">
        <f t="shared" si="71"/>
      </c>
      <c r="N140" s="48">
        <v>2</v>
      </c>
      <c r="O140" s="48">
        <v>215.73000000000002</v>
      </c>
      <c r="P140" s="36">
        <f t="shared" si="29"/>
      </c>
      <c r="Q140" s="58">
        <v>12850.05</v>
      </c>
      <c r="R140" s="50">
        <f t="shared" si="33"/>
      </c>
      <c r="S140" s="51">
        <f t="shared" si="34"/>
      </c>
      <c r="T140" s="51">
        <f t="shared" si="35"/>
      </c>
      <c r="U140" s="74" t="s">
        <v>142</v>
      </c>
      <c r="V140" s="42">
        <v>7</v>
      </c>
      <c r="W140" s="44"/>
      <c r="X140" s="44"/>
      <c r="Y140" s="44"/>
      <c r="Z140" s="44"/>
      <c r="AA140" s="44">
        <v>23027</v>
      </c>
      <c r="AB140" s="44">
        <v>4725</v>
      </c>
      <c r="AC140" s="44">
        <v>7758</v>
      </c>
      <c r="AD140" s="44">
        <v>2191</v>
      </c>
      <c r="AE140" s="44">
        <v>77</v>
      </c>
      <c r="AF140" s="44">
        <v>29</v>
      </c>
      <c r="AG140" s="44">
        <v>359</v>
      </c>
      <c r="AH140" s="42">
        <v>1</v>
      </c>
      <c r="AI140" s="53">
        <f t="shared" si="37"/>
      </c>
      <c r="AJ140" s="53">
        <f t="shared" si="56"/>
      </c>
      <c r="AK140" s="53">
        <f t="shared" si="38"/>
      </c>
      <c r="AL140" s="54">
        <f t="shared" si="0"/>
      </c>
      <c r="AM140" s="55">
        <f t="shared" si="1"/>
      </c>
      <c r="AN140" s="56"/>
    </row>
    <row hidden="true" r="141">
      <c r="A141" s="40">
        <v>46293</v>
      </c>
      <c r="B141" s="41" t="s">
        <v>140</v>
      </c>
      <c r="C141" s="41" t="s">
        <v>127</v>
      </c>
      <c r="D141" s="41">
        <v>4</v>
      </c>
      <c r="E141" s="42">
        <v>14</v>
      </c>
      <c r="F141" s="43">
        <v>7</v>
      </c>
      <c r="G141" s="42">
        <v>4</v>
      </c>
      <c r="H141" s="42">
        <v>7</v>
      </c>
      <c r="I141" s="42">
        <v>1079.51</v>
      </c>
      <c r="J141" s="45">
        <v>0</v>
      </c>
      <c r="K141" s="45">
        <v>0</v>
      </c>
      <c r="L141" s="75">
        <f t="shared" si="52"/>
      </c>
      <c r="M141" s="48">
        <f t="shared" si="71"/>
      </c>
      <c r="N141" s="48">
        <v>0</v>
      </c>
      <c r="O141" s="48">
        <v>107.81</v>
      </c>
      <c r="P141" s="41">
        <v>12954.12</v>
      </c>
      <c r="Q141" s="58">
        <v>9691.61</v>
      </c>
      <c r="R141" s="50">
        <f t="shared" si="33"/>
      </c>
      <c r="S141" s="51">
        <f t="shared" si="34"/>
      </c>
      <c r="T141" s="51">
        <f t="shared" si="35"/>
      </c>
      <c r="U141" s="42" t="s">
        <v>155</v>
      </c>
      <c r="V141" s="42">
        <v>1</v>
      </c>
      <c r="W141" s="44"/>
      <c r="X141" s="44"/>
      <c r="Y141" s="44"/>
      <c r="Z141" s="44"/>
      <c r="AA141" s="42">
        <v>18714</v>
      </c>
      <c r="AB141" s="44">
        <v>3258</v>
      </c>
      <c r="AC141" s="44">
        <v>5466</v>
      </c>
      <c r="AD141" s="44">
        <v>1451</v>
      </c>
      <c r="AE141" s="42">
        <v>115</v>
      </c>
      <c r="AF141" s="42">
        <v>33</v>
      </c>
      <c r="AG141" s="42">
        <v>221</v>
      </c>
      <c r="AH141" s="42">
        <v>4</v>
      </c>
      <c r="AI141" s="53">
        <f t="shared" si="37"/>
      </c>
      <c r="AJ141" s="53">
        <f t="shared" si="56"/>
      </c>
      <c r="AK141" s="53">
        <f t="shared" si="38"/>
      </c>
      <c r="AL141" s="54">
        <f t="shared" si="0"/>
      </c>
      <c r="AM141" s="55">
        <f t="shared" si="1"/>
      </c>
      <c r="AN141" s="56"/>
    </row>
    <row r="142">
      <c r="A142" s="69">
        <v>46293</v>
      </c>
      <c r="B142" s="60"/>
      <c r="C142" s="61" t="s">
        <v>129</v>
      </c>
      <c r="D142" s="60">
        <f>D138+D139+D140+D141</f>
      </c>
      <c r="E142" s="60">
        <f>E138+E139+E140+E141</f>
      </c>
      <c r="F142" s="60">
        <f>F138+F139+F140+F141</f>
      </c>
      <c r="G142" s="60">
        <f>G138+G139+G140+G141</f>
      </c>
      <c r="H142" s="60">
        <f>H138+H139+H140+H141</f>
      </c>
      <c r="I142" s="60">
        <f>I138+I139+I140+I141</f>
      </c>
      <c r="J142" s="62">
        <f>J138+J139+J140+J141</f>
      </c>
      <c r="K142" s="62">
        <f>K138+K139+K140+K141</f>
      </c>
      <c r="L142" s="62">
        <f>L138+L139+L140+L141</f>
      </c>
      <c r="M142" s="62">
        <f>M138+M139+M140+M141</f>
      </c>
      <c r="N142" s="62">
        <f>N138+N139+N140+N141</f>
      </c>
      <c r="O142" s="62">
        <f>O138+O139+O140+O141</f>
      </c>
      <c r="P142" s="60">
        <f>P138+P139+P140+P141</f>
      </c>
      <c r="Q142" s="60">
        <f>Q138+Q139+Q140+Q141</f>
      </c>
      <c r="R142" s="63">
        <f t="shared" si="33"/>
      </c>
      <c r="S142" s="63">
        <f t="shared" si="34"/>
      </c>
      <c r="T142" s="63">
        <f t="shared" si="35"/>
      </c>
      <c r="U142" s="64"/>
      <c r="V142" s="60">
        <f>V138+V139+V141+V140</f>
      </c>
      <c r="W142" s="64"/>
      <c r="X142" s="60">
        <f>SUM(X138:X139)</f>
      </c>
      <c r="Y142" s="64"/>
      <c r="Z142" s="61">
        <f>Z138+Z139+Z140+Z141</f>
      </c>
      <c r="AA142" s="60">
        <f>SUM(AA138:AA141)</f>
      </c>
      <c r="AB142" s="60">
        <f>SUM(AB138:AB141)</f>
      </c>
      <c r="AC142" s="60">
        <f>SUM(AC138:AC141)</f>
      </c>
      <c r="AD142" s="60">
        <f>SUM(AD138:AD141)</f>
      </c>
      <c r="AE142" s="60">
        <f>SUM(AE138:AE141)</f>
      </c>
      <c r="AF142" s="60">
        <f>SUM(AF138:AF141)</f>
      </c>
      <c r="AG142" s="60">
        <f>SUM(AG138:AG141)</f>
      </c>
      <c r="AH142" s="60">
        <f>SUM(AH138:AH141)</f>
      </c>
      <c r="AI142" s="65">
        <f t="shared" si="37"/>
      </c>
      <c r="AJ142" s="65">
        <f t="shared" si="56"/>
      </c>
      <c r="AK142" s="65">
        <f t="shared" si="38"/>
      </c>
      <c r="AL142" s="65">
        <f t="shared" si="0"/>
      </c>
      <c r="AM142" s="66">
        <f t="shared" si="1"/>
      </c>
      <c r="AN142" s="65">
        <f>F142/AE142</f>
      </c>
    </row>
    <row hidden="true" r="143">
      <c r="A143" s="40">
        <v>46294</v>
      </c>
      <c r="B143" s="41" t="s">
        <v>117</v>
      </c>
      <c r="C143" s="36" t="s">
        <v>118</v>
      </c>
      <c r="D143" s="73">
        <f>4-1.5</f>
      </c>
      <c r="E143" s="42">
        <v>13</v>
      </c>
      <c r="F143" s="43">
        <v>10</v>
      </c>
      <c r="G143" s="42">
        <v>9</v>
      </c>
      <c r="H143" s="42">
        <v>8</v>
      </c>
      <c r="I143" s="42">
        <v>2194.4300000000003</v>
      </c>
      <c r="J143" s="45">
        <v>2</v>
      </c>
      <c r="K143" s="45">
        <v>2999.4</v>
      </c>
      <c r="L143" s="75">
        <v>10</v>
      </c>
      <c r="M143" s="48">
        <v>29332.560000000005</v>
      </c>
      <c r="N143" s="48">
        <v>2</v>
      </c>
      <c r="O143" s="48">
        <v>2263.82</v>
      </c>
      <c r="P143" s="36">
        <f t="shared" ref="P143:P146" si="30">I143*12+K143</f>
      </c>
      <c r="Q143" s="49">
        <v>14231.02</v>
      </c>
      <c r="R143" s="50">
        <f t="shared" si="33"/>
      </c>
      <c r="S143" s="51">
        <f t="shared" si="34"/>
      </c>
      <c r="T143" s="51">
        <f t="shared" si="35"/>
      </c>
      <c r="U143" s="42" t="s">
        <v>122</v>
      </c>
      <c r="V143" s="42">
        <v>1</v>
      </c>
      <c r="W143" s="44"/>
      <c r="X143" s="44"/>
      <c r="Y143" s="44"/>
      <c r="Z143" s="44"/>
      <c r="AA143" s="52">
        <v>31575</v>
      </c>
      <c r="AB143" s="52">
        <v>4329</v>
      </c>
      <c r="AC143" s="52">
        <v>6402</v>
      </c>
      <c r="AD143" s="52">
        <v>1906</v>
      </c>
      <c r="AE143" s="44">
        <v>103</v>
      </c>
      <c r="AF143" s="44">
        <v>35</v>
      </c>
      <c r="AG143" s="44">
        <v>307</v>
      </c>
      <c r="AH143" s="44">
        <v>1</v>
      </c>
      <c r="AI143" s="53">
        <f t="shared" si="37"/>
      </c>
      <c r="AJ143" s="53">
        <f t="shared" si="56"/>
      </c>
      <c r="AK143" s="53">
        <f t="shared" si="38"/>
      </c>
      <c r="AL143" s="54">
        <f t="shared" si="0"/>
      </c>
      <c r="AM143" s="55">
        <f t="shared" si="1"/>
      </c>
      <c r="AN143" s="56"/>
    </row>
    <row hidden="true" r="144">
      <c r="A144" s="40">
        <v>46294</v>
      </c>
      <c r="B144" s="41" t="s">
        <v>124</v>
      </c>
      <c r="C144" s="41" t="s">
        <v>121</v>
      </c>
      <c r="D144" s="41">
        <v>4</v>
      </c>
      <c r="E144" s="42">
        <v>12</v>
      </c>
      <c r="F144" s="43">
        <v>6</v>
      </c>
      <c r="G144" s="42">
        <v>6</v>
      </c>
      <c r="H144" s="42">
        <v>5</v>
      </c>
      <c r="I144" s="42">
        <v>824.01</v>
      </c>
      <c r="J144" s="45">
        <v>1</v>
      </c>
      <c r="K144" s="45">
        <v>683</v>
      </c>
      <c r="L144" s="75">
        <v>6</v>
      </c>
      <c r="M144" s="48">
        <v>10571.119999999999</v>
      </c>
      <c r="N144" s="48">
        <v>1</v>
      </c>
      <c r="O144" s="48">
        <v>180.15</v>
      </c>
      <c r="P144" s="36">
        <f t="shared" si="30"/>
      </c>
      <c r="Q144" s="58">
        <v>12825.38</v>
      </c>
      <c r="R144" s="50">
        <f t="shared" si="33"/>
      </c>
      <c r="S144" s="51">
        <f t="shared" si="34"/>
      </c>
      <c r="T144" s="51">
        <f t="shared" si="35"/>
      </c>
      <c r="U144" s="42" t="s">
        <v>119</v>
      </c>
      <c r="V144" s="42">
        <v>7</v>
      </c>
      <c r="W144" s="44"/>
      <c r="X144" s="44"/>
      <c r="Y144" s="44" t="s">
        <v>123</v>
      </c>
      <c r="Z144" s="42">
        <v>16</v>
      </c>
      <c r="AA144" s="76">
        <v>27211</v>
      </c>
      <c r="AB144" s="76">
        <v>3983</v>
      </c>
      <c r="AC144" s="76">
        <v>5443</v>
      </c>
      <c r="AD144" s="76">
        <v>1727</v>
      </c>
      <c r="AE144" s="42">
        <v>87</v>
      </c>
      <c r="AF144" s="42">
        <v>38</v>
      </c>
      <c r="AG144" s="42">
        <v>313</v>
      </c>
      <c r="AH144" s="42">
        <v>2</v>
      </c>
      <c r="AI144" s="53">
        <f t="shared" si="37"/>
      </c>
      <c r="AJ144" s="53">
        <f t="shared" si="56"/>
      </c>
      <c r="AK144" s="53">
        <f t="shared" si="38"/>
      </c>
      <c r="AL144" s="54">
        <f t="shared" si="0"/>
      </c>
      <c r="AM144" s="55">
        <f t="shared" si="1"/>
      </c>
      <c r="AN144" s="56"/>
    </row>
    <row hidden="true" r="145">
      <c r="A145" s="40">
        <v>46294</v>
      </c>
      <c r="B145" s="41" t="s">
        <v>140</v>
      </c>
      <c r="C145" s="36" t="s">
        <v>125</v>
      </c>
      <c r="D145" s="36">
        <v>4</v>
      </c>
      <c r="E145" s="42">
        <v>15</v>
      </c>
      <c r="F145" s="43">
        <v>7</v>
      </c>
      <c r="G145" s="42">
        <v>4</v>
      </c>
      <c r="H145" s="42">
        <v>7</v>
      </c>
      <c r="I145" s="42">
        <v>1004.6399999999999</v>
      </c>
      <c r="J145" s="45">
        <v>0</v>
      </c>
      <c r="K145" s="45">
        <v>0</v>
      </c>
      <c r="L145" s="75">
        <v>7</v>
      </c>
      <c r="M145" s="48">
        <v>12055.679999999998</v>
      </c>
      <c r="N145" s="48">
        <v>2</v>
      </c>
      <c r="O145" s="48">
        <v>466.49</v>
      </c>
      <c r="P145" s="36">
        <f t="shared" si="30"/>
      </c>
      <c r="Q145" s="58">
        <v>13801.93</v>
      </c>
      <c r="R145" s="50">
        <f t="shared" si="33"/>
      </c>
      <c r="S145" s="51">
        <f t="shared" si="34"/>
      </c>
      <c r="T145" s="51">
        <f t="shared" si="35"/>
      </c>
      <c r="U145" s="42" t="s">
        <v>133</v>
      </c>
      <c r="V145" s="42">
        <v>8</v>
      </c>
      <c r="W145" s="44"/>
      <c r="X145" s="44"/>
      <c r="Y145" s="44"/>
      <c r="Z145" s="44"/>
      <c r="AA145" s="44">
        <v>30447</v>
      </c>
      <c r="AB145" s="44">
        <v>3871</v>
      </c>
      <c r="AC145" s="44">
        <v>5256</v>
      </c>
      <c r="AD145" s="44">
        <v>1595</v>
      </c>
      <c r="AE145" s="44">
        <v>108</v>
      </c>
      <c r="AF145" s="44">
        <v>33</v>
      </c>
      <c r="AG145" s="44">
        <v>406</v>
      </c>
      <c r="AH145" s="42">
        <v>0</v>
      </c>
      <c r="AI145" s="53">
        <f t="shared" si="37"/>
      </c>
      <c r="AJ145" s="53">
        <f t="shared" si="56"/>
      </c>
      <c r="AK145" s="53">
        <f t="shared" si="38"/>
      </c>
      <c r="AL145" s="54">
        <f t="shared" si="0"/>
      </c>
      <c r="AM145" s="55">
        <f t="shared" si="1"/>
      </c>
      <c r="AN145" s="56"/>
    </row>
    <row hidden="true" r="146">
      <c r="A146" s="40">
        <v>46294</v>
      </c>
      <c r="B146" s="41" t="s">
        <v>126</v>
      </c>
      <c r="C146" s="41" t="s">
        <v>127</v>
      </c>
      <c r="D146" s="41">
        <v>4</v>
      </c>
      <c r="E146" s="42">
        <v>7</v>
      </c>
      <c r="F146" s="43">
        <v>4</v>
      </c>
      <c r="G146" s="42">
        <v>3</v>
      </c>
      <c r="H146" s="42">
        <v>4</v>
      </c>
      <c r="I146" s="42">
        <v>796.53</v>
      </c>
      <c r="J146" s="45">
        <v>0</v>
      </c>
      <c r="K146" s="45">
        <v>0</v>
      </c>
      <c r="L146" s="75">
        <v>4</v>
      </c>
      <c r="M146" s="48">
        <v>9558.36</v>
      </c>
      <c r="N146" s="48">
        <v>1</v>
      </c>
      <c r="O146" s="48">
        <v>141.42</v>
      </c>
      <c r="P146" s="36">
        <f t="shared" si="30"/>
      </c>
      <c r="Q146" s="58">
        <v>9239.78</v>
      </c>
      <c r="R146" s="50">
        <f t="shared" si="33"/>
      </c>
      <c r="S146" s="51">
        <f t="shared" si="34"/>
      </c>
      <c r="T146" s="51">
        <f t="shared" si="35"/>
      </c>
      <c r="U146" s="42"/>
      <c r="V146" s="42"/>
      <c r="W146" s="44"/>
      <c r="X146" s="44"/>
      <c r="Y146" s="44"/>
      <c r="Z146" s="44"/>
      <c r="AA146" s="42">
        <v>25366</v>
      </c>
      <c r="AB146" s="44">
        <v>2285</v>
      </c>
      <c r="AC146" s="44">
        <v>3343</v>
      </c>
      <c r="AD146" s="44">
        <v>817</v>
      </c>
      <c r="AE146" s="42">
        <v>81</v>
      </c>
      <c r="AF146" s="42">
        <v>26</v>
      </c>
      <c r="AG146" s="42">
        <v>246</v>
      </c>
      <c r="AH146" s="42">
        <v>3</v>
      </c>
      <c r="AI146" s="53">
        <f t="shared" si="37"/>
      </c>
      <c r="AJ146" s="53">
        <f t="shared" si="56"/>
      </c>
      <c r="AK146" s="53">
        <f t="shared" si="38"/>
      </c>
      <c r="AL146" s="54">
        <f t="shared" si="0"/>
      </c>
      <c r="AM146" s="55">
        <f t="shared" si="1"/>
      </c>
      <c r="AN146" s="56"/>
    </row>
    <row r="147">
      <c r="A147" s="69">
        <v>46294</v>
      </c>
      <c r="B147" s="60"/>
      <c r="C147" s="61" t="s">
        <v>129</v>
      </c>
      <c r="D147" s="60">
        <f>D143+D144+D145+D146</f>
      </c>
      <c r="E147" s="60">
        <f>E143+E144+E145+E146</f>
      </c>
      <c r="F147" s="60">
        <f>F143+F144+F145+F146</f>
      </c>
      <c r="G147" s="60">
        <f>G143+G144+G145+G146</f>
      </c>
      <c r="H147" s="60">
        <f>H143+H144+H145+H146</f>
      </c>
      <c r="I147" s="60">
        <f>I143+I144+I145+I146</f>
      </c>
      <c r="J147" s="62">
        <f>J143+J144+J145+J146</f>
      </c>
      <c r="K147" s="62">
        <f>K143+K144+K145+K146</f>
      </c>
      <c r="L147" s="62">
        <f>L143+L144+L145+L146</f>
      </c>
      <c r="M147" s="62">
        <f>M143+M144+M145+M146</f>
      </c>
      <c r="N147" s="62">
        <f>N143+N144+N145+N146</f>
      </c>
      <c r="O147" s="62">
        <f>O143+O144+O145+O146</f>
      </c>
      <c r="P147" s="60">
        <f>P143+P144+P145+P146</f>
      </c>
      <c r="Q147" s="60">
        <f>Q143+Q144+Q145+Q146</f>
      </c>
      <c r="R147" s="63">
        <f t="shared" si="33"/>
      </c>
      <c r="S147" s="63">
        <f t="shared" si="34"/>
      </c>
      <c r="T147" s="63">
        <f t="shared" si="35"/>
      </c>
      <c r="U147" s="64"/>
      <c r="V147" s="60">
        <f>V143+V144+V146+V145</f>
      </c>
      <c r="W147" s="64"/>
      <c r="X147" s="60">
        <f>SUM(X143:X144)</f>
      </c>
      <c r="Y147" s="64"/>
      <c r="Z147" s="61">
        <f>Z143+Z144+Z145+Z146</f>
      </c>
      <c r="AA147" s="60">
        <f>SUM(AA143:AA146)</f>
      </c>
      <c r="AB147" s="60">
        <f>SUM(AB143:AB146)</f>
      </c>
      <c r="AC147" s="60">
        <f>SUM(AC143:AC146)</f>
      </c>
      <c r="AD147" s="60">
        <f>SUM(AD143:AD146)</f>
      </c>
      <c r="AE147" s="60">
        <f>SUM(AE143:AE146)</f>
      </c>
      <c r="AF147" s="60">
        <f>SUM(AF143:AF146)</f>
      </c>
      <c r="AG147" s="60">
        <f>SUM(AG143:AG146)</f>
      </c>
      <c r="AH147" s="60">
        <f>SUM(AH143:AH146)</f>
      </c>
      <c r="AI147" s="65">
        <f t="shared" si="37"/>
      </c>
      <c r="AJ147" s="65">
        <f t="shared" si="56"/>
      </c>
      <c r="AK147" s="65">
        <f t="shared" si="38"/>
      </c>
      <c r="AL147" s="65">
        <f t="shared" si="0"/>
      </c>
      <c r="AM147" s="66">
        <f t="shared" si="1"/>
      </c>
      <c r="AN147" s="65">
        <f>F147/AE147</f>
      </c>
    </row>
    <row hidden="true" r="148">
      <c r="A148" s="40">
        <v>46295</v>
      </c>
      <c r="B148" s="41" t="s">
        <v>124</v>
      </c>
      <c r="C148" s="36" t="s">
        <v>118</v>
      </c>
      <c r="D148" s="73">
        <f>4-1.5</f>
      </c>
      <c r="E148" s="42">
        <v>16</v>
      </c>
      <c r="F148" s="43">
        <v>9</v>
      </c>
      <c r="G148" s="42">
        <v>9</v>
      </c>
      <c r="H148" s="42">
        <v>8</v>
      </c>
      <c r="I148" s="42">
        <v>1402.6499999999999</v>
      </c>
      <c r="J148" s="45">
        <v>1</v>
      </c>
      <c r="K148" s="45">
        <v>2297.55</v>
      </c>
      <c r="L148" s="75">
        <v>9</v>
      </c>
      <c r="M148" s="48">
        <v>19129.35</v>
      </c>
      <c r="N148" s="48">
        <v>4</v>
      </c>
      <c r="O148" s="48">
        <v>3113.8500000000004</v>
      </c>
      <c r="P148" s="36">
        <f t="shared" ref="P148:P151" si="31">I148*12+K148</f>
      </c>
      <c r="Q148" s="49">
        <v>11577.150000000001</v>
      </c>
      <c r="R148" s="50">
        <f t="shared" si="33"/>
      </c>
      <c r="S148" s="51">
        <f t="shared" si="34"/>
      </c>
      <c r="T148" s="51">
        <f t="shared" si="35"/>
      </c>
      <c r="U148" s="42"/>
      <c r="V148" s="42"/>
      <c r="W148" s="44"/>
      <c r="X148" s="44"/>
      <c r="Y148" s="44"/>
      <c r="Z148" s="44"/>
      <c r="AA148" s="52">
        <v>31786</v>
      </c>
      <c r="AB148" s="52">
        <v>2429</v>
      </c>
      <c r="AC148" s="52">
        <v>3696</v>
      </c>
      <c r="AD148" s="52">
        <v>1112</v>
      </c>
      <c r="AE148" s="44">
        <v>170</v>
      </c>
      <c r="AF148" s="44">
        <v>25</v>
      </c>
      <c r="AG148" s="44">
        <v>260</v>
      </c>
      <c r="AH148" s="44">
        <v>0</v>
      </c>
      <c r="AI148" s="53">
        <f t="shared" si="37"/>
      </c>
      <c r="AJ148" s="53">
        <f t="shared" si="56"/>
      </c>
      <c r="AK148" s="53">
        <f t="shared" si="38"/>
      </c>
      <c r="AL148" s="54">
        <f t="shared" si="0"/>
      </c>
      <c r="AM148" s="55">
        <f t="shared" si="1"/>
      </c>
      <c r="AN148" s="56"/>
    </row>
    <row hidden="true" r="149">
      <c r="A149" s="40">
        <v>46295</v>
      </c>
      <c r="B149" s="41" t="s">
        <v>140</v>
      </c>
      <c r="C149" s="41" t="s">
        <v>121</v>
      </c>
      <c r="D149" s="72">
        <f>4-0.5</f>
      </c>
      <c r="E149" s="42">
        <v>15</v>
      </c>
      <c r="F149" s="43">
        <v>10</v>
      </c>
      <c r="G149" s="42">
        <v>7</v>
      </c>
      <c r="H149" s="42">
        <v>9</v>
      </c>
      <c r="I149" s="42">
        <v>1253.08</v>
      </c>
      <c r="J149" s="45">
        <v>1</v>
      </c>
      <c r="K149" s="45">
        <v>1126</v>
      </c>
      <c r="L149" s="75">
        <v>10</v>
      </c>
      <c r="M149" s="48">
        <v>16162.96</v>
      </c>
      <c r="N149" s="48">
        <v>3</v>
      </c>
      <c r="O149" s="48">
        <v>890.46</v>
      </c>
      <c r="P149" s="36">
        <f t="shared" si="31"/>
      </c>
      <c r="Q149" s="58">
        <v>13001.1</v>
      </c>
      <c r="R149" s="50">
        <f t="shared" si="33"/>
      </c>
      <c r="S149" s="51">
        <f t="shared" si="34"/>
      </c>
      <c r="T149" s="51">
        <f t="shared" si="35"/>
      </c>
      <c r="U149" s="42" t="s">
        <v>137</v>
      </c>
      <c r="V149" s="42">
        <v>7</v>
      </c>
      <c r="W149" s="44"/>
      <c r="X149" s="44"/>
      <c r="Y149" s="44" t="s">
        <v>123</v>
      </c>
      <c r="Z149" s="42">
        <v>16</v>
      </c>
      <c r="AA149" s="76">
        <v>46443</v>
      </c>
      <c r="AB149" s="76">
        <v>2366</v>
      </c>
      <c r="AC149" s="76">
        <v>3698</v>
      </c>
      <c r="AD149" s="76">
        <v>900</v>
      </c>
      <c r="AE149" s="42">
        <v>205</v>
      </c>
      <c r="AF149" s="42">
        <v>20</v>
      </c>
      <c r="AG149" s="42">
        <v>329</v>
      </c>
      <c r="AH149" s="42">
        <v>1</v>
      </c>
      <c r="AI149" s="53">
        <f t="shared" si="37"/>
      </c>
      <c r="AJ149" s="53">
        <f t="shared" si="56"/>
      </c>
      <c r="AK149" s="53">
        <f t="shared" si="38"/>
      </c>
      <c r="AL149" s="54">
        <f t="shared" si="0"/>
      </c>
      <c r="AM149" s="55">
        <f t="shared" si="1"/>
      </c>
      <c r="AN149" s="56"/>
    </row>
    <row hidden="true" r="150">
      <c r="A150" s="40">
        <v>46295</v>
      </c>
      <c r="B150" s="41" t="s">
        <v>154</v>
      </c>
      <c r="C150" s="36" t="s">
        <v>125</v>
      </c>
      <c r="D150" s="36">
        <v>4</v>
      </c>
      <c r="E150" s="42">
        <v>21</v>
      </c>
      <c r="F150" s="43">
        <v>13</v>
      </c>
      <c r="G150" s="42">
        <v>10</v>
      </c>
      <c r="H150" s="42">
        <v>11</v>
      </c>
      <c r="I150" s="42">
        <v>1818.1699999999998</v>
      </c>
      <c r="J150" s="45">
        <v>2</v>
      </c>
      <c r="K150" s="45">
        <v>5850</v>
      </c>
      <c r="L150" s="75">
        <v>13</v>
      </c>
      <c r="M150" s="48">
        <v>27668.039999999997</v>
      </c>
      <c r="N150" s="48">
        <v>2</v>
      </c>
      <c r="O150" s="48">
        <v>869.93</v>
      </c>
      <c r="P150" s="36">
        <f t="shared" si="31"/>
      </c>
      <c r="Q150" s="58">
        <v>10193.45</v>
      </c>
      <c r="R150" s="50">
        <f t="shared" si="33"/>
      </c>
      <c r="S150" s="51">
        <f t="shared" si="34"/>
      </c>
      <c r="T150" s="51">
        <f t="shared" si="35"/>
      </c>
      <c r="U150" s="42" t="s">
        <v>133</v>
      </c>
      <c r="V150" s="42">
        <v>9</v>
      </c>
      <c r="W150" s="44"/>
      <c r="X150" s="44"/>
      <c r="Y150" s="44"/>
      <c r="Z150" s="44"/>
      <c r="AA150" s="44">
        <v>34061</v>
      </c>
      <c r="AB150" s="44">
        <v>2108</v>
      </c>
      <c r="AC150" s="44">
        <v>3110</v>
      </c>
      <c r="AD150" s="44">
        <v>755</v>
      </c>
      <c r="AE150" s="44">
        <v>155</v>
      </c>
      <c r="AF150" s="44">
        <v>19</v>
      </c>
      <c r="AG150" s="44">
        <v>255</v>
      </c>
      <c r="AH150" s="42">
        <v>3</v>
      </c>
      <c r="AI150" s="53">
        <f t="shared" si="37"/>
      </c>
      <c r="AJ150" s="53">
        <f t="shared" si="56"/>
      </c>
      <c r="AK150" s="53">
        <f t="shared" si="38"/>
      </c>
      <c r="AL150" s="54">
        <f t="shared" si="0"/>
      </c>
      <c r="AM150" s="55">
        <f t="shared" si="1"/>
      </c>
      <c r="AN150" s="56"/>
    </row>
    <row hidden="true" r="151">
      <c r="A151" s="40">
        <v>46295</v>
      </c>
      <c r="B151" s="41" t="s">
        <v>126</v>
      </c>
      <c r="C151" s="41" t="s">
        <v>127</v>
      </c>
      <c r="D151" s="72">
        <f>4-0.25</f>
      </c>
      <c r="E151" s="42">
        <v>6</v>
      </c>
      <c r="F151" s="43">
        <v>5</v>
      </c>
      <c r="G151" s="42">
        <v>5</v>
      </c>
      <c r="H151" s="42">
        <v>4</v>
      </c>
      <c r="I151" s="42">
        <v>721.14</v>
      </c>
      <c r="J151" s="45">
        <v>1</v>
      </c>
      <c r="K151" s="45">
        <v>458</v>
      </c>
      <c r="L151" s="75">
        <v>5</v>
      </c>
      <c r="M151" s="48">
        <v>9111.68</v>
      </c>
      <c r="N151" s="48">
        <v>1</v>
      </c>
      <c r="O151" s="48">
        <v>453.75</v>
      </c>
      <c r="P151" s="36">
        <f t="shared" si="31"/>
      </c>
      <c r="Q151" s="58">
        <v>11472.18</v>
      </c>
      <c r="R151" s="50">
        <f t="shared" si="33"/>
      </c>
      <c r="S151" s="51">
        <f t="shared" si="34"/>
      </c>
      <c r="T151" s="51">
        <f t="shared" si="35"/>
      </c>
      <c r="U151" s="42"/>
      <c r="V151" s="42"/>
      <c r="W151" s="44"/>
      <c r="X151" s="44"/>
      <c r="Y151" s="44"/>
      <c r="Z151" s="44"/>
      <c r="AA151" s="42">
        <v>33866</v>
      </c>
      <c r="AB151" s="44">
        <v>2107</v>
      </c>
      <c r="AC151" s="44">
        <v>3488</v>
      </c>
      <c r="AD151" s="44">
        <v>764</v>
      </c>
      <c r="AE151" s="42">
        <v>194</v>
      </c>
      <c r="AF151" s="42">
        <v>21</v>
      </c>
      <c r="AG151" s="42">
        <v>236</v>
      </c>
      <c r="AH151" s="42">
        <v>2</v>
      </c>
      <c r="AI151" s="53">
        <f t="shared" si="37"/>
      </c>
      <c r="AJ151" s="53">
        <f t="shared" si="56"/>
      </c>
      <c r="AK151" s="53">
        <f t="shared" si="38"/>
      </c>
      <c r="AL151" s="54">
        <f t="shared" si="0"/>
      </c>
      <c r="AM151" s="55">
        <f t="shared" si="1"/>
      </c>
      <c r="AN151" s="56"/>
    </row>
    <row r="152">
      <c r="A152" s="69">
        <v>46295</v>
      </c>
      <c r="B152" s="60"/>
      <c r="C152" s="61" t="s">
        <v>129</v>
      </c>
      <c r="D152" s="60">
        <f>D148+D149+D150+D151</f>
      </c>
      <c r="E152" s="60">
        <f>E148+E149+E150+E151</f>
      </c>
      <c r="F152" s="60">
        <f>F148+F149+F150+F151</f>
      </c>
      <c r="G152" s="60">
        <f>G148+G149+G150+G151</f>
      </c>
      <c r="H152" s="60">
        <f>H148+H149+H150+H151</f>
      </c>
      <c r="I152" s="60">
        <f>I148+I149+I150+I151</f>
      </c>
      <c r="J152" s="62">
        <f>J148+J149+J150+J151</f>
      </c>
      <c r="K152" s="62">
        <f>K148+K149+K150+K151</f>
      </c>
      <c r="L152" s="62">
        <f>L148+L149+L150+L151</f>
      </c>
      <c r="M152" s="62">
        <f>M148+M149+M150+M151</f>
      </c>
      <c r="N152" s="62">
        <f>N148+N149+N150+N151</f>
      </c>
      <c r="O152" s="62">
        <f>O148+O149+O150+O151</f>
      </c>
      <c r="P152" s="60">
        <f>P148+P149+P150+P151</f>
      </c>
      <c r="Q152" s="60">
        <f>Q148+Q149+Q150+Q151</f>
      </c>
      <c r="R152" s="63">
        <f t="shared" si="33"/>
      </c>
      <c r="S152" s="63">
        <f t="shared" si="34"/>
      </c>
      <c r="T152" s="63">
        <f t="shared" si="35"/>
      </c>
      <c r="U152" s="64"/>
      <c r="V152" s="60">
        <f>V148+V149+V151+V150</f>
      </c>
      <c r="W152" s="64"/>
      <c r="X152" s="60">
        <f>SUM(X148:X149)</f>
      </c>
      <c r="Y152" s="64"/>
      <c r="Z152" s="61">
        <f>Z148+Z149+Z150+Z151</f>
      </c>
      <c r="AA152" s="60">
        <f>SUM(AA148:AA151)</f>
      </c>
      <c r="AB152" s="60">
        <f>SUM(AB148:AB151)</f>
      </c>
      <c r="AC152" s="60">
        <f>SUM(AC148:AC151)</f>
      </c>
      <c r="AD152" s="60">
        <f>SUM(AD148:AD151)</f>
      </c>
      <c r="AE152" s="60">
        <f>SUM(AE148:AE151)</f>
      </c>
      <c r="AF152" s="60">
        <f>SUM(AF148:AF151)</f>
      </c>
      <c r="AG152" s="60">
        <f>SUM(AG148:AG151)</f>
      </c>
      <c r="AH152" s="60">
        <f>SUM(AH148:AH151)</f>
      </c>
      <c r="AI152" s="65">
        <f t="shared" si="37"/>
      </c>
      <c r="AJ152" s="65">
        <f t="shared" si="56"/>
      </c>
      <c r="AK152" s="65">
        <f t="shared" si="38"/>
      </c>
      <c r="AL152" s="65">
        <f t="shared" si="0"/>
      </c>
      <c r="AM152" s="66">
        <f t="shared" si="1"/>
      </c>
      <c r="AN152" s="65">
        <f>F152/AE152</f>
      </c>
    </row>
    <row r="153">
      <c r="L153" s="77"/>
      <c r="AA153">
        <f>AA154-AA152</f>
      </c>
      <c r="AB153">
        <f>AB154-AB152</f>
      </c>
      <c r="AC153">
        <f>AC154-AC152</f>
      </c>
      <c r="AD153">
        <f>AD154-AD152</f>
      </c>
      <c r="AE153">
        <f>AE154-AE152</f>
      </c>
      <c r="AF153">
        <f>AF154-AF152</f>
      </c>
      <c r="AG153">
        <f>AG154-AG152</f>
      </c>
      <c r="AH153">
        <f>AH154-AH152</f>
      </c>
    </row>
    <row r="154">
      <c r="L154" s="77"/>
      <c r="AA154">
        <v>146156</v>
      </c>
      <c r="AB154">
        <v>9010</v>
      </c>
      <c r="AC154">
        <v>13992</v>
      </c>
      <c r="AD154">
        <v>3531</v>
      </c>
      <c r="AE154">
        <v>724</v>
      </c>
      <c r="AF154">
        <v>85</v>
      </c>
      <c r="AG154">
        <v>1080</v>
      </c>
      <c r="AH154">
        <v>6</v>
      </c>
    </row>
    <row r="155">
      <c r="L155" s="77"/>
    </row>
    <row r="156">
      <c r="H156" s="78" t="s">
        <v>156</v>
      </c>
      <c r="I156" s="78" t="s">
        <v>157</v>
      </c>
      <c r="K156" t="s">
        <v>99</v>
      </c>
      <c r="L156" s="77" t="s">
        <v>158</v>
      </c>
    </row>
    <row r="157">
      <c r="H157" s="79">
        <f t="shared" ref="H157:H166" si="32">F157/G157</f>
      </c>
      <c r="I157" s="79">
        <f t="shared" ref="I157:I166" si="55">G157/E157</f>
      </c>
      <c r="K157" t="s">
        <v>142</v>
      </c>
      <c r="L157" s="77">
        <v>102</v>
      </c>
    </row>
    <row r="158">
      <c r="H158" s="79">
        <f t="shared" si="32"/>
      </c>
      <c r="I158" s="79">
        <f t="shared" si="55"/>
      </c>
      <c r="K158" t="s">
        <v>145</v>
      </c>
      <c r="L158" s="77">
        <v>14</v>
      </c>
      <c r="AC158" s="80"/>
    </row>
    <row r="159">
      <c r="H159" s="79">
        <f t="shared" si="32"/>
      </c>
      <c r="I159" s="79">
        <f t="shared" si="55"/>
      </c>
      <c r="K159" t="s">
        <v>132</v>
      </c>
      <c r="L159" s="77">
        <v>16</v>
      </c>
    </row>
    <row r="160">
      <c r="H160" s="79">
        <f t="shared" si="32"/>
      </c>
      <c r="I160" s="79">
        <f t="shared" si="55"/>
      </c>
      <c r="K160" t="s">
        <v>134</v>
      </c>
      <c r="L160" s="77">
        <v>71</v>
      </c>
    </row>
    <row r="161">
      <c r="H161" s="79">
        <f t="shared" si="32"/>
      </c>
      <c r="I161" s="79">
        <f t="shared" si="55"/>
      </c>
      <c r="K161" t="s">
        <v>149</v>
      </c>
      <c r="L161" s="77">
        <v>8</v>
      </c>
    </row>
    <row r="162">
      <c r="H162" s="79">
        <f t="shared" si="32"/>
      </c>
      <c r="I162" s="79">
        <f t="shared" si="55"/>
      </c>
      <c r="K162" t="s">
        <v>133</v>
      </c>
      <c r="L162" s="77">
        <v>177</v>
      </c>
    </row>
    <row r="163">
      <c r="H163" s="79">
        <f t="shared" si="32"/>
      </c>
      <c r="I163" s="79">
        <f t="shared" si="55"/>
      </c>
      <c r="K163" t="s">
        <v>148</v>
      </c>
      <c r="L163" s="77">
        <v>23</v>
      </c>
    </row>
    <row r="164">
      <c r="H164" s="79">
        <f t="shared" si="32"/>
      </c>
      <c r="I164" s="79">
        <f t="shared" si="55"/>
      </c>
      <c r="K164" t="s">
        <v>137</v>
      </c>
      <c r="L164" s="77">
        <v>15</v>
      </c>
    </row>
    <row r="165">
      <c r="H165" s="79">
        <f t="shared" si="32"/>
      </c>
      <c r="I165" s="79">
        <f t="shared" si="55"/>
      </c>
      <c r="K165" t="s">
        <v>128</v>
      </c>
      <c r="L165" s="77">
        <v>15</v>
      </c>
    </row>
    <row r="166">
      <c r="H166" s="79">
        <f t="shared" si="32"/>
      </c>
      <c r="I166" s="79">
        <f t="shared" si="55"/>
      </c>
      <c r="K166" t="s">
        <v>130</v>
      </c>
      <c r="L166" s="77">
        <v>1</v>
      </c>
    </row>
    <row r="167">
      <c r="K167" t="s">
        <v>155</v>
      </c>
      <c r="L167" s="77">
        <v>1</v>
      </c>
    </row>
    <row r="168">
      <c r="K168" t="s">
        <v>122</v>
      </c>
      <c r="L168" s="77">
        <v>4</v>
      </c>
    </row>
    <row r="169">
      <c r="K169" t="s">
        <v>119</v>
      </c>
      <c r="L169" s="77">
        <v>28</v>
      </c>
    </row>
    <row r="170">
      <c r="K170" t="s">
        <v>159</v>
      </c>
      <c r="L170" s="77">
        <v>475</v>
      </c>
    </row>
    <row r="171">
      <c r="L171" s="77"/>
    </row>
    <row r="172">
      <c r="L172" s="77"/>
    </row>
    <row r="173">
      <c r="L173" s="77"/>
    </row>
    <row r="174">
      <c r="L174" s="77"/>
    </row>
    <row r="175">
      <c r="L175" s="77"/>
    </row>
    <row r="176">
      <c r="L176" s="77"/>
    </row>
    <row r="177">
      <c r="L177" s="77"/>
    </row>
    <row r="178">
      <c r="L178" s="77"/>
      <c r="AC178" s="81"/>
    </row>
    <row r="179">
      <c r="L179" s="77"/>
    </row>
    <row r="180">
      <c r="L180" s="77"/>
    </row>
    <row r="181">
      <c r="L181" s="77"/>
    </row>
    <row r="182">
      <c r="L182" s="77"/>
    </row>
    <row r="183">
      <c r="L183" s="77"/>
    </row>
    <row r="184">
      <c r="L184" s="77"/>
    </row>
    <row r="185">
      <c r="L185" s="77"/>
    </row>
    <row r="186">
      <c r="L186" s="77"/>
    </row>
    <row r="187">
      <c r="L187" s="77"/>
    </row>
    <row r="188">
      <c r="L188" s="77"/>
    </row>
    <row r="189">
      <c r="L189" s="77"/>
    </row>
    <row r="190">
      <c r="L190" s="77"/>
    </row>
    <row r="191">
      <c r="L191" s="77"/>
    </row>
    <row r="192">
      <c r="L192" s="77"/>
    </row>
    <row r="193">
      <c r="L193" s="77"/>
    </row>
    <row r="194">
      <c r="L194" s="77"/>
    </row>
    <row r="195">
      <c r="L195" s="77"/>
      <c r="AC195" s="81">
        <v>0.076247</v>
      </c>
    </row>
    <row r="196">
      <c r="L196" s="77"/>
    </row>
    <row r="197">
      <c r="L197" s="77"/>
    </row>
    <row r="198">
      <c r="L198" s="77"/>
    </row>
    <row r="199">
      <c r="L199" s="77"/>
      <c r="Z199" s="82"/>
      <c r="AA199" s="82"/>
      <c r="AB199" s="82"/>
      <c r="AC199" s="82"/>
      <c r="AD199" s="82"/>
      <c r="AE199" s="82"/>
      <c r="AF199" s="82"/>
      <c r="AG199" s="82"/>
      <c r="AH199" s="82"/>
      <c r="AI199" s="82"/>
    </row>
    <row r="200">
      <c r="L200" s="77"/>
      <c r="Y200" s="82"/>
      <c r="Z200" s="82"/>
      <c r="AA200" s="82"/>
      <c r="AB200" s="82"/>
      <c r="AC200" s="82"/>
      <c r="AD200" s="82"/>
      <c r="AE200" s="82"/>
      <c r="AF200" s="82"/>
      <c r="AG200" s="82"/>
      <c r="AH200" s="82"/>
      <c r="AI200" s="82"/>
      <c r="AJ200" s="82"/>
    </row>
    <row r="201">
      <c r="L201" s="77"/>
      <c r="Y201" s="82"/>
      <c r="Z201" s="82"/>
      <c r="AA201" s="82"/>
      <c r="AB201" s="82"/>
      <c r="AC201" s="82"/>
      <c r="AD201" s="82"/>
      <c r="AE201" s="82"/>
      <c r="AF201" s="82"/>
      <c r="AG201" s="82"/>
      <c r="AH201" s="82"/>
      <c r="AI201" s="82"/>
      <c r="AJ201" s="82"/>
    </row>
    <row r="202">
      <c r="L202" s="77"/>
      <c r="Y202" s="82"/>
      <c r="Z202" s="82"/>
      <c r="AA202" s="82"/>
      <c r="AB202" s="82"/>
      <c r="AC202" s="82"/>
      <c r="AD202" s="82"/>
      <c r="AE202" s="82"/>
      <c r="AF202" s="82"/>
      <c r="AG202" s="82"/>
      <c r="AH202" s="82"/>
      <c r="AI202" s="82"/>
      <c r="AJ202" s="82"/>
    </row>
    <row r="203">
      <c r="L203" s="77"/>
      <c r="Y203" s="82"/>
      <c r="Z203" s="82"/>
      <c r="AA203" s="82"/>
      <c r="AB203" s="82"/>
      <c r="AC203" s="82"/>
      <c r="AD203" s="82"/>
      <c r="AE203" s="82"/>
      <c r="AF203" s="82"/>
      <c r="AG203" s="82"/>
      <c r="AH203" s="82"/>
      <c r="AI203" s="82"/>
      <c r="AJ203" s="82"/>
    </row>
    <row r="204">
      <c r="L204" s="77"/>
      <c r="Y204" s="82"/>
      <c r="Z204" s="82"/>
      <c r="AA204" s="82"/>
      <c r="AB204" s="82"/>
      <c r="AC204" s="82"/>
      <c r="AD204" s="82"/>
      <c r="AE204" s="82"/>
      <c r="AF204" s="82"/>
      <c r="AG204" s="82"/>
      <c r="AH204" s="82"/>
      <c r="AI204" s="82"/>
      <c r="AJ204" s="82"/>
    </row>
    <row r="205">
      <c r="L205" s="77"/>
      <c r="Y205" s="82"/>
      <c r="Z205" s="82"/>
      <c r="AA205" s="82"/>
      <c r="AB205" s="82"/>
      <c r="AC205" s="82"/>
      <c r="AD205" s="82"/>
      <c r="AE205" s="82"/>
      <c r="AF205" s="82"/>
      <c r="AG205" s="82"/>
      <c r="AH205" s="82"/>
      <c r="AI205" s="82"/>
      <c r="AJ205" s="82"/>
    </row>
    <row r="206">
      <c r="L206" s="77"/>
      <c r="Y206" s="82"/>
      <c r="Z206" s="82"/>
      <c r="AA206" s="82"/>
      <c r="AB206" s="82"/>
      <c r="AC206" s="82"/>
      <c r="AD206" s="82"/>
      <c r="AE206" s="82"/>
      <c r="AF206" s="82"/>
      <c r="AG206" s="82"/>
      <c r="AH206" s="82"/>
      <c r="AI206" s="82"/>
      <c r="AJ206" s="82"/>
    </row>
    <row r="207">
      <c r="L207" s="77"/>
      <c r="Y207" s="82"/>
      <c r="Z207" s="82"/>
      <c r="AA207" s="82"/>
      <c r="AB207" s="82"/>
      <c r="AC207" s="82"/>
      <c r="AD207" s="82"/>
      <c r="AE207" s="82"/>
      <c r="AF207" s="82"/>
      <c r="AG207" s="82"/>
      <c r="AH207" s="82"/>
      <c r="AI207" s="82"/>
      <c r="AJ207" s="82"/>
    </row>
    <row r="208">
      <c r="L208" s="77"/>
      <c r="Y208" s="82"/>
      <c r="Z208" s="82"/>
      <c r="AA208" s="82"/>
      <c r="AB208" s="82"/>
      <c r="AC208" s="82"/>
      <c r="AD208" s="82"/>
      <c r="AE208" s="82"/>
      <c r="AF208" s="82"/>
      <c r="AG208" s="82"/>
      <c r="AH208" s="82"/>
      <c r="AI208" s="82"/>
      <c r="AJ208" s="82"/>
    </row>
    <row r="209">
      <c r="L209" s="77"/>
      <c r="Y209" s="82"/>
      <c r="Z209" s="82"/>
      <c r="AA209" s="82"/>
      <c r="AB209" s="82"/>
      <c r="AC209" s="82"/>
      <c r="AD209" s="82"/>
      <c r="AE209" s="82"/>
      <c r="AF209" s="82"/>
      <c r="AG209" s="82"/>
      <c r="AH209" s="82"/>
      <c r="AI209" s="82"/>
      <c r="AJ209" s="82"/>
    </row>
    <row r="210">
      <c r="L210" s="77"/>
      <c r="Y210" s="82"/>
      <c r="Z210" s="82"/>
      <c r="AA210" s="82"/>
      <c r="AB210" s="82"/>
      <c r="AC210" s="82"/>
      <c r="AD210" s="82"/>
      <c r="AE210" s="82"/>
      <c r="AF210" s="82"/>
      <c r="AG210" s="82"/>
      <c r="AH210" s="82"/>
      <c r="AI210" s="82"/>
      <c r="AJ210" s="82"/>
    </row>
    <row r="211">
      <c r="L211" s="77"/>
      <c r="Y211" s="82"/>
      <c r="Z211" s="82"/>
      <c r="AA211" s="82"/>
      <c r="AB211" s="82"/>
      <c r="AC211" s="82"/>
      <c r="AD211" s="82"/>
      <c r="AE211" s="82"/>
      <c r="AF211" s="82"/>
      <c r="AG211" s="82"/>
      <c r="AH211" s="82"/>
      <c r="AI211" s="82"/>
      <c r="AJ211" s="82"/>
    </row>
    <row r="212">
      <c r="L212" s="77"/>
      <c r="Y212" s="82"/>
      <c r="Z212" s="82"/>
      <c r="AA212" s="82"/>
      <c r="AB212" s="82"/>
      <c r="AC212" s="82"/>
      <c r="AD212" s="82"/>
      <c r="AE212" s="82"/>
      <c r="AF212" s="82"/>
      <c r="AG212" s="82"/>
      <c r="AH212" s="82"/>
      <c r="AI212" s="82"/>
      <c r="AJ212" s="82"/>
    </row>
    <row r="213">
      <c r="B213" s="83"/>
      <c r="I213" s="83"/>
      <c r="L213" s="77"/>
      <c r="Y213" s="82"/>
      <c r="Z213" s="82"/>
      <c r="AA213" s="84"/>
      <c r="AB213" s="84"/>
      <c r="AC213" s="84"/>
      <c r="AD213" s="84"/>
      <c r="AE213" s="84"/>
      <c r="AF213" s="84"/>
      <c r="AG213" s="84"/>
      <c r="AH213" s="84"/>
      <c r="AI213" s="82"/>
      <c r="AJ213" s="82"/>
    </row>
    <row r="214">
      <c r="B214" s="83"/>
      <c r="I214" s="83"/>
      <c r="L214" s="77"/>
      <c r="Y214" s="82"/>
      <c r="Z214" s="82"/>
      <c r="AA214" s="82"/>
      <c r="AB214" s="82"/>
      <c r="AC214" s="82"/>
      <c r="AD214" s="82"/>
      <c r="AE214" s="82"/>
      <c r="AF214" s="82"/>
      <c r="AG214" s="82"/>
      <c r="AH214" s="82"/>
      <c r="AI214" s="82"/>
      <c r="AJ214" s="82"/>
    </row>
    <row r="215">
      <c r="L215" s="77"/>
      <c r="Y215" s="82"/>
      <c r="Z215" s="82"/>
      <c r="AA215" s="82"/>
      <c r="AB215" s="82"/>
      <c r="AC215" s="82"/>
      <c r="AD215" s="82"/>
      <c r="AE215" s="82"/>
      <c r="AF215" s="82"/>
      <c r="AG215" s="82"/>
      <c r="AH215" s="82"/>
      <c r="AI215" s="82"/>
      <c r="AJ215" s="82"/>
    </row>
    <row r="216">
      <c r="L216" s="77"/>
      <c r="Y216" s="82"/>
      <c r="Z216" s="82"/>
      <c r="AA216" s="82"/>
      <c r="AB216" s="82"/>
      <c r="AC216" s="82"/>
      <c r="AD216" s="82"/>
      <c r="AE216" s="82"/>
      <c r="AF216" s="82"/>
      <c r="AG216" s="82"/>
      <c r="AH216" s="82"/>
      <c r="AI216" s="82"/>
      <c r="AJ216" s="82"/>
    </row>
    <row customHeight="true" ht="16.666666666666668" r="217">
      <c r="L217" s="77"/>
      <c r="Y217" s="82"/>
      <c r="Z217" s="82"/>
      <c r="AA217" s="82"/>
      <c r="AB217" s="82"/>
      <c r="AC217" s="82"/>
      <c r="AD217" s="82"/>
      <c r="AE217" s="82"/>
      <c r="AF217" s="82"/>
      <c r="AG217" s="82"/>
      <c r="AH217" s="82"/>
      <c r="AI217" s="82"/>
      <c r="AJ217" s="82"/>
    </row>
    <row r="218">
      <c r="L218" s="77"/>
      <c r="Y218" s="82"/>
      <c r="Z218" s="82"/>
      <c r="AA218" s="82"/>
      <c r="AB218" s="82"/>
      <c r="AC218" s="82"/>
      <c r="AD218" s="82"/>
      <c r="AE218" s="82"/>
      <c r="AF218" s="82"/>
      <c r="AG218" s="82"/>
      <c r="AH218" s="82"/>
      <c r="AI218" s="82"/>
      <c r="AJ218" s="82"/>
    </row>
    <row r="219">
      <c r="L219" s="77"/>
      <c r="Y219" s="82"/>
      <c r="Z219" s="82"/>
      <c r="AA219" s="82"/>
      <c r="AB219" s="82"/>
      <c r="AC219" s="82"/>
      <c r="AD219" s="82"/>
      <c r="AE219" s="82"/>
      <c r="AF219" s="82"/>
      <c r="AG219" s="82"/>
      <c r="AH219" s="82"/>
      <c r="AI219" s="82"/>
      <c r="AJ219" s="82"/>
    </row>
    <row r="220">
      <c r="L220" s="77"/>
      <c r="Y220" s="82"/>
      <c r="Z220" s="82"/>
      <c r="AA220" s="82"/>
      <c r="AB220" s="82"/>
      <c r="AC220" s="82"/>
      <c r="AD220" s="82"/>
      <c r="AE220" s="82"/>
      <c r="AF220" s="82"/>
      <c r="AG220" s="82"/>
      <c r="AH220" s="82"/>
      <c r="AI220" s="82"/>
      <c r="AJ220" s="82"/>
    </row>
    <row r="221">
      <c r="L221" s="77"/>
      <c r="Y221" s="82"/>
      <c r="Z221" s="82"/>
      <c r="AA221" s="82"/>
      <c r="AB221" s="82"/>
      <c r="AC221" s="82"/>
      <c r="AD221" s="82"/>
      <c r="AE221" s="82"/>
      <c r="AF221" s="82"/>
      <c r="AG221" s="82"/>
      <c r="AH221" s="82"/>
      <c r="AI221" s="82"/>
      <c r="AJ221" s="82"/>
    </row>
    <row r="222">
      <c r="L222" s="77"/>
      <c r="Y222" s="82"/>
      <c r="Z222" s="82"/>
      <c r="AA222" s="82"/>
      <c r="AB222" s="82"/>
      <c r="AC222" s="82"/>
      <c r="AD222" s="82"/>
      <c r="AE222" s="82"/>
      <c r="AF222" s="82"/>
      <c r="AG222" s="82"/>
      <c r="AH222" s="82"/>
      <c r="AI222" s="82"/>
      <c r="AJ222" s="82"/>
    </row>
    <row r="223">
      <c r="L223" s="77"/>
      <c r="Y223" s="82"/>
      <c r="Z223" s="82"/>
      <c r="AA223" s="82"/>
      <c r="AB223" s="82"/>
      <c r="AC223" s="82"/>
      <c r="AD223" s="82"/>
      <c r="AE223" s="82"/>
      <c r="AF223" s="82"/>
      <c r="AG223" s="82"/>
      <c r="AH223" s="82"/>
      <c r="AI223" s="82"/>
      <c r="AJ223" s="82"/>
    </row>
    <row r="224">
      <c r="L224" s="77"/>
      <c r="Y224" s="82"/>
      <c r="Z224" s="82"/>
      <c r="AA224" s="82"/>
      <c r="AB224" s="82"/>
      <c r="AC224" s="82"/>
      <c r="AD224" s="82"/>
      <c r="AE224" s="82"/>
      <c r="AF224" s="82"/>
      <c r="AG224" s="82"/>
      <c r="AH224" s="82"/>
      <c r="AI224" s="82"/>
      <c r="AJ224" s="82"/>
    </row>
    <row r="225">
      <c r="L225" s="77"/>
      <c r="Y225" s="82"/>
      <c r="Z225" s="82"/>
      <c r="AA225" s="82"/>
      <c r="AB225" s="82"/>
      <c r="AC225" s="82"/>
      <c r="AD225" s="82"/>
      <c r="AE225" s="82"/>
      <c r="AF225" s="82"/>
      <c r="AG225" s="82"/>
      <c r="AH225" s="82"/>
      <c r="AI225" s="82"/>
      <c r="AJ225" s="82"/>
    </row>
    <row r="226">
      <c r="L226" s="77"/>
      <c r="Y226" s="82"/>
      <c r="Z226" s="82"/>
      <c r="AA226" s="82"/>
      <c r="AB226" s="82"/>
      <c r="AC226" s="82"/>
      <c r="AD226" s="82"/>
      <c r="AE226" s="82"/>
      <c r="AF226" s="82"/>
      <c r="AG226" s="82"/>
      <c r="AH226" s="82"/>
      <c r="AI226" s="82"/>
      <c r="AJ226" s="82"/>
    </row>
    <row r="227">
      <c r="L227" s="77"/>
      <c r="Y227" s="82"/>
      <c r="Z227" s="82"/>
      <c r="AA227" s="82"/>
      <c r="AB227" s="82"/>
      <c r="AC227" s="82"/>
      <c r="AD227" s="82"/>
      <c r="AE227" s="82"/>
      <c r="AF227" s="82"/>
      <c r="AG227" s="82"/>
      <c r="AH227" s="82"/>
      <c r="AI227" s="82"/>
      <c r="AJ227" s="82"/>
    </row>
    <row r="228">
      <c r="L228" s="77"/>
      <c r="Y228" s="82"/>
      <c r="Z228" s="82"/>
      <c r="AA228" s="82"/>
      <c r="AB228" s="82"/>
      <c r="AC228" s="82"/>
      <c r="AD228" s="82"/>
      <c r="AE228" s="82"/>
      <c r="AF228" s="82"/>
      <c r="AG228" s="82"/>
      <c r="AH228" s="82"/>
      <c r="AI228" s="82"/>
      <c r="AJ228" s="82"/>
    </row>
    <row r="229">
      <c r="L229" s="77"/>
      <c r="Y229" s="82"/>
      <c r="Z229" s="82"/>
      <c r="AA229" s="82"/>
      <c r="AB229" s="82"/>
      <c r="AC229" s="82"/>
      <c r="AD229" s="82"/>
      <c r="AE229" s="82"/>
      <c r="AF229" s="82"/>
      <c r="AG229" s="82"/>
      <c r="AH229" s="82"/>
      <c r="AI229" s="82"/>
      <c r="AJ229" s="82"/>
    </row>
    <row r="230">
      <c r="L230" s="77"/>
      <c r="Y230" s="82"/>
      <c r="Z230" s="82"/>
      <c r="AA230" s="82"/>
      <c r="AB230" s="82"/>
      <c r="AC230" s="82"/>
      <c r="AD230" s="82"/>
      <c r="AE230" s="82"/>
      <c r="AF230" s="82"/>
      <c r="AG230" s="82"/>
      <c r="AH230" s="82"/>
      <c r="AI230" s="82"/>
      <c r="AJ230" s="82"/>
    </row>
    <row r="231">
      <c r="L231" s="77"/>
      <c r="Y231" s="82"/>
      <c r="Z231" s="82"/>
      <c r="AA231" s="82"/>
      <c r="AB231" s="82"/>
      <c r="AC231" s="82"/>
      <c r="AD231" s="82"/>
      <c r="AE231" s="82"/>
      <c r="AF231" s="82"/>
      <c r="AG231" s="82"/>
      <c r="AH231" s="82"/>
      <c r="AI231" s="82"/>
      <c r="AJ231" s="82"/>
    </row>
    <row r="232">
      <c r="L232" s="77"/>
      <c r="Y232" s="82"/>
      <c r="Z232" s="82"/>
      <c r="AA232" s="82"/>
      <c r="AB232" s="82"/>
      <c r="AC232" s="82"/>
      <c r="AD232" s="82"/>
      <c r="AE232" s="82"/>
      <c r="AF232" s="82"/>
      <c r="AG232" s="82"/>
      <c r="AH232" s="82"/>
      <c r="AI232" s="82"/>
      <c r="AJ232" s="82"/>
    </row>
    <row r="233">
      <c r="L233" s="77"/>
      <c r="Y233" s="82"/>
      <c r="Z233" s="82"/>
      <c r="AA233" s="82"/>
      <c r="AB233" s="82"/>
      <c r="AC233" s="82"/>
      <c r="AD233" s="82"/>
      <c r="AE233" s="82"/>
      <c r="AF233" s="82"/>
      <c r="AG233" s="82"/>
      <c r="AH233" s="82"/>
      <c r="AI233" s="82"/>
      <c r="AJ233" s="82"/>
    </row>
    <row r="234">
      <c r="L234" s="77"/>
      <c r="Y234" s="82"/>
      <c r="Z234" s="82"/>
      <c r="AA234" s="82"/>
      <c r="AB234" s="82"/>
      <c r="AC234" s="82"/>
      <c r="AD234" s="82"/>
      <c r="AE234" s="82"/>
      <c r="AF234" s="82"/>
      <c r="AG234" s="82"/>
      <c r="AH234" s="82"/>
      <c r="AI234" s="82"/>
      <c r="AJ234" s="82"/>
    </row>
    <row r="235">
      <c r="L235" s="77"/>
      <c r="Y235" s="82"/>
      <c r="Z235" s="82"/>
      <c r="AA235" s="82"/>
      <c r="AB235" s="82"/>
      <c r="AC235" s="82"/>
      <c r="AD235" s="82"/>
      <c r="AE235" s="82"/>
      <c r="AF235" s="82"/>
      <c r="AG235" s="82"/>
      <c r="AH235" s="82"/>
      <c r="AI235" s="82"/>
      <c r="AJ235" s="82"/>
    </row>
    <row r="236">
      <c r="L236" s="77"/>
      <c r="Y236" s="82"/>
      <c r="Z236" s="85"/>
      <c r="AA236" s="82"/>
      <c r="AB236" s="82"/>
      <c r="AC236" s="82"/>
      <c r="AD236" s="82"/>
      <c r="AE236" s="82"/>
      <c r="AF236" s="82"/>
      <c r="AG236" s="82"/>
      <c r="AH236" s="82"/>
      <c r="AI236" s="82"/>
      <c r="AJ236" s="82"/>
    </row>
    <row r="237">
      <c r="L237" s="77"/>
      <c r="Y237" s="82"/>
      <c r="Z237" s="85"/>
      <c r="AA237" s="82"/>
      <c r="AB237" s="82"/>
      <c r="AC237" s="82"/>
      <c r="AD237" s="82"/>
      <c r="AE237" s="82"/>
      <c r="AF237" s="82"/>
      <c r="AG237" s="85"/>
      <c r="AH237" s="82"/>
      <c r="AI237" s="82"/>
      <c r="AJ237" s="82"/>
    </row>
    <row r="238">
      <c r="L238" s="77"/>
      <c r="Y238" s="82"/>
      <c r="Z238" s="85"/>
      <c r="AA238" s="86"/>
      <c r="AB238" s="86"/>
      <c r="AC238" s="86"/>
      <c r="AD238" s="82"/>
      <c r="AE238" s="85"/>
      <c r="AF238" s="85"/>
      <c r="AG238" s="85"/>
      <c r="AH238" s="85"/>
      <c r="AI238" s="82"/>
      <c r="AJ238" s="82"/>
    </row>
    <row r="239">
      <c r="L239" s="77"/>
      <c r="Y239" s="82"/>
      <c r="Z239" s="85"/>
      <c r="AA239" s="82"/>
      <c r="AB239" s="82"/>
      <c r="AC239" s="82"/>
      <c r="AD239" s="82"/>
      <c r="AE239" s="82"/>
      <c r="AF239" s="82"/>
      <c r="AG239" s="82"/>
      <c r="AH239" s="82"/>
      <c r="AI239" s="82"/>
      <c r="AJ239" s="82"/>
    </row>
    <row r="240">
      <c r="L240" s="77"/>
      <c r="Y240" s="82"/>
      <c r="Z240" s="85"/>
      <c r="AA240" s="85"/>
      <c r="AB240" s="85"/>
      <c r="AC240" s="85"/>
      <c r="AD240" s="85"/>
      <c r="AE240" s="85"/>
      <c r="AF240" s="85"/>
      <c r="AG240" s="85"/>
      <c r="AH240" s="85"/>
      <c r="AI240" s="82"/>
      <c r="AJ240" s="82"/>
    </row>
    <row r="241">
      <c r="L241" s="77"/>
      <c r="Y241" s="82"/>
      <c r="Z241" s="85"/>
      <c r="AA241" s="85"/>
      <c r="AB241" s="85"/>
      <c r="AC241" s="85"/>
      <c r="AD241" s="85"/>
      <c r="AE241" s="85"/>
      <c r="AF241" s="85"/>
      <c r="AG241" s="85"/>
      <c r="AH241" s="85"/>
      <c r="AI241" s="82"/>
      <c r="AJ241" s="82"/>
    </row>
    <row r="242">
      <c r="L242" s="77"/>
      <c r="Y242" s="82"/>
      <c r="Z242" s="85"/>
      <c r="AA242" s="82"/>
      <c r="AB242" s="82"/>
      <c r="AC242" s="82"/>
      <c r="AD242" s="82"/>
      <c r="AE242" s="82"/>
      <c r="AF242" s="82"/>
      <c r="AG242" s="82"/>
      <c r="AH242" s="82"/>
      <c r="AI242" s="82"/>
      <c r="AJ242" s="82"/>
    </row>
    <row r="243">
      <c r="L243" s="77"/>
      <c r="Y243" s="82"/>
      <c r="Z243" s="82"/>
      <c r="AA243" s="82"/>
      <c r="AB243" s="82"/>
      <c r="AC243" s="82"/>
      <c r="AD243" s="82"/>
      <c r="AE243" s="82"/>
      <c r="AF243" s="82"/>
      <c r="AG243" s="82"/>
      <c r="AH243" s="82"/>
      <c r="AI243" s="82"/>
      <c r="AJ243" s="82"/>
    </row>
    <row r="244">
      <c r="L244" s="77"/>
      <c r="Y244" s="82"/>
      <c r="Z244" s="82"/>
      <c r="AA244" s="85"/>
      <c r="AB244" s="85"/>
      <c r="AC244" s="85"/>
      <c r="AD244" s="85"/>
      <c r="AE244" s="85"/>
      <c r="AF244" s="85"/>
      <c r="AG244" s="85"/>
      <c r="AH244" s="85"/>
      <c r="AI244" s="82"/>
      <c r="AJ244" s="82"/>
    </row>
    <row r="245">
      <c r="L245" s="77"/>
      <c r="Y245" s="82"/>
      <c r="Z245" s="82"/>
      <c r="AA245" s="82"/>
      <c r="AB245" s="82"/>
      <c r="AC245" s="82"/>
      <c r="AD245" s="82"/>
      <c r="AE245" s="82"/>
      <c r="AF245" s="82"/>
      <c r="AG245" s="82"/>
      <c r="AH245" s="82"/>
      <c r="AI245" s="82"/>
      <c r="AJ245" s="82"/>
    </row>
    <row r="246">
      <c r="L246" s="77"/>
      <c r="Y246" s="82"/>
      <c r="Z246" s="82"/>
      <c r="AA246" s="82"/>
      <c r="AB246" s="82"/>
      <c r="AC246" s="82"/>
      <c r="AD246" s="82"/>
      <c r="AE246" s="82"/>
      <c r="AF246" s="82"/>
      <c r="AG246" s="82"/>
      <c r="AH246" s="82"/>
      <c r="AI246" s="82"/>
      <c r="AJ246" s="82"/>
    </row>
    <row r="247">
      <c r="L247" s="77"/>
      <c r="Y247" s="82"/>
      <c r="Z247" s="82"/>
      <c r="AA247" s="85"/>
      <c r="AB247" s="85"/>
      <c r="AC247" s="85"/>
      <c r="AD247" s="85"/>
      <c r="AE247" s="85"/>
      <c r="AF247" s="85"/>
      <c r="AG247" s="85"/>
      <c r="AH247" s="85"/>
      <c r="AI247" s="82"/>
      <c r="AJ247" s="82"/>
    </row>
    <row r="248">
      <c r="L248" s="77"/>
      <c r="Y248" s="82"/>
      <c r="Z248" s="82"/>
      <c r="AA248" s="82"/>
      <c r="AB248" s="82"/>
      <c r="AC248" s="82"/>
      <c r="AD248" s="82"/>
      <c r="AE248" s="82"/>
      <c r="AF248" s="82"/>
      <c r="AG248" s="82"/>
      <c r="AH248" s="82"/>
      <c r="AI248" s="82"/>
      <c r="AJ248" s="82"/>
    </row>
    <row r="249">
      <c r="L249" s="77"/>
      <c r="Y249" s="82"/>
      <c r="Z249" s="82"/>
      <c r="AA249" s="82"/>
      <c r="AB249" s="82"/>
      <c r="AC249" s="82"/>
      <c r="AD249" s="82"/>
      <c r="AE249" s="82"/>
      <c r="AF249" s="82"/>
      <c r="AG249" s="82"/>
      <c r="AH249" s="82"/>
      <c r="AI249" s="82"/>
      <c r="AJ249" s="82"/>
    </row>
    <row r="250">
      <c r="L250" s="77"/>
      <c r="Y250" s="82"/>
      <c r="Z250" s="82"/>
      <c r="AA250" s="85"/>
      <c r="AB250" s="85"/>
      <c r="AC250" s="85"/>
      <c r="AD250" s="85"/>
      <c r="AE250" s="85"/>
      <c r="AF250" s="85"/>
      <c r="AG250" s="85"/>
      <c r="AH250" s="85"/>
      <c r="AI250" s="82"/>
      <c r="AJ250" s="82"/>
    </row>
    <row r="251">
      <c r="L251" s="77"/>
      <c r="Y251" s="82"/>
      <c r="Z251" s="82"/>
      <c r="AA251" s="82"/>
      <c r="AB251" s="82"/>
      <c r="AC251" s="82"/>
      <c r="AD251" s="82"/>
      <c r="AE251" s="82"/>
      <c r="AF251" s="82"/>
      <c r="AG251" s="82"/>
      <c r="AH251" s="82"/>
      <c r="AI251" s="82"/>
      <c r="AJ251" s="82"/>
    </row>
    <row r="252">
      <c r="L252" s="77"/>
      <c r="Y252" s="82"/>
      <c r="Z252" s="82"/>
      <c r="AA252" s="82"/>
      <c r="AB252" s="82"/>
      <c r="AC252" s="82"/>
      <c r="AD252" s="82"/>
      <c r="AE252" s="82"/>
      <c r="AF252" s="82"/>
      <c r="AG252" s="82"/>
      <c r="AH252" s="82"/>
      <c r="AI252" s="82"/>
      <c r="AJ252" s="82"/>
    </row>
    <row r="253">
      <c r="L253" s="77"/>
      <c r="Y253" s="82"/>
      <c r="Z253" s="82"/>
      <c r="AA253" s="82"/>
      <c r="AB253" s="82"/>
      <c r="AC253" s="82"/>
      <c r="AD253" s="82"/>
      <c r="AE253" s="82"/>
      <c r="AF253" s="82"/>
      <c r="AG253" s="82"/>
      <c r="AH253" s="82"/>
      <c r="AI253" s="82"/>
      <c r="AJ253" s="82"/>
    </row>
    <row r="254">
      <c r="L254" s="77"/>
      <c r="Y254" s="82"/>
      <c r="Z254" s="82"/>
      <c r="AA254" s="82"/>
      <c r="AB254" s="82"/>
      <c r="AC254" s="82"/>
      <c r="AD254" s="82"/>
      <c r="AE254" s="82"/>
      <c r="AF254" s="82"/>
      <c r="AG254" s="82"/>
      <c r="AH254" s="82"/>
      <c r="AI254" s="82"/>
      <c r="AJ254" s="82"/>
    </row>
    <row r="255">
      <c r="L255" s="77"/>
      <c r="Y255" s="82"/>
      <c r="Z255" s="82"/>
      <c r="AA255" s="82"/>
      <c r="AB255" s="82"/>
      <c r="AC255" s="82"/>
      <c r="AD255" s="82"/>
      <c r="AE255" s="82"/>
      <c r="AF255" s="82"/>
      <c r="AG255" s="82"/>
      <c r="AH255" s="82"/>
      <c r="AI255" s="82"/>
      <c r="AJ255" s="82"/>
    </row>
    <row r="256">
      <c r="L256" s="77"/>
      <c r="Y256" s="82"/>
      <c r="Z256" s="82"/>
      <c r="AA256" s="82"/>
      <c r="AB256" s="82"/>
      <c r="AC256" s="82"/>
      <c r="AD256" s="82"/>
      <c r="AE256" s="82"/>
      <c r="AF256" s="82"/>
      <c r="AG256" s="82"/>
      <c r="AH256" s="82"/>
      <c r="AI256" s="82"/>
      <c r="AJ256" s="82"/>
    </row>
    <row r="257">
      <c r="L257" s="77"/>
      <c r="Y257" s="82"/>
      <c r="Z257" s="82"/>
      <c r="AA257" s="82"/>
      <c r="AB257" s="82"/>
      <c r="AC257" s="82"/>
      <c r="AD257" s="82"/>
      <c r="AE257" s="82"/>
      <c r="AF257" s="82"/>
      <c r="AG257" s="82"/>
      <c r="AH257" s="82"/>
      <c r="AI257" s="82"/>
      <c r="AJ257" s="82"/>
    </row>
    <row r="258">
      <c r="H258" s="87"/>
      <c r="L258" s="77"/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82"/>
      <c r="AJ258" s="82"/>
    </row>
    <row r="259">
      <c r="L259" s="77"/>
      <c r="Y259" s="82"/>
      <c r="Z259" s="82"/>
      <c r="AA259" s="82"/>
      <c r="AB259" s="82"/>
      <c r="AC259" s="82"/>
      <c r="AD259" s="82"/>
      <c r="AE259" s="82"/>
      <c r="AF259" s="82"/>
      <c r="AG259" s="82"/>
      <c r="AH259" s="82"/>
      <c r="AI259" s="82"/>
      <c r="AJ259" s="82"/>
    </row>
    <row r="260">
      <c r="L260" s="77"/>
      <c r="Y260" s="82"/>
      <c r="Z260" s="82"/>
      <c r="AA260" s="82"/>
      <c r="AB260" s="82"/>
      <c r="AC260" s="82"/>
      <c r="AD260" s="82"/>
      <c r="AE260" s="82"/>
      <c r="AF260" s="82"/>
      <c r="AG260" s="82"/>
      <c r="AH260" s="82"/>
      <c r="AI260" s="82"/>
      <c r="AJ260" s="82"/>
    </row>
    <row r="261">
      <c r="L261" s="77"/>
      <c r="Y261" s="82"/>
      <c r="Z261" s="82"/>
      <c r="AA261" s="82"/>
      <c r="AB261" s="82"/>
      <c r="AC261" s="82"/>
      <c r="AD261" s="82"/>
      <c r="AE261" s="82"/>
      <c r="AF261" s="82"/>
      <c r="AG261" s="82"/>
      <c r="AH261" s="82"/>
      <c r="AI261" s="82"/>
      <c r="AJ261" s="82"/>
    </row>
    <row r="262">
      <c r="L262" s="77"/>
      <c r="Y262" s="82"/>
      <c r="Z262" s="82"/>
      <c r="AA262" s="82"/>
      <c r="AB262" s="82"/>
      <c r="AC262" s="88"/>
      <c r="AD262" s="88"/>
      <c r="AE262" s="88"/>
      <c r="AF262" s="88"/>
      <c r="AG262" s="88"/>
      <c r="AH262" s="88"/>
      <c r="AI262" s="88"/>
      <c r="AJ262" s="82"/>
    </row>
    <row r="263">
      <c r="L263" s="77"/>
      <c r="Y263" s="82"/>
      <c r="Z263" s="82"/>
      <c r="AA263" s="82"/>
      <c r="AB263" s="82"/>
      <c r="AC263" s="88"/>
      <c r="AD263" s="88"/>
      <c r="AE263" s="88"/>
      <c r="AF263" s="88"/>
      <c r="AG263" s="88"/>
      <c r="AH263" s="88"/>
      <c r="AI263" s="88"/>
      <c r="AJ263" s="82"/>
    </row>
    <row r="264">
      <c r="L264" s="77"/>
      <c r="Y264" s="82"/>
      <c r="Z264" s="82"/>
      <c r="AA264" s="82"/>
      <c r="AB264" s="82"/>
      <c r="AC264" s="82"/>
      <c r="AD264" s="82"/>
      <c r="AE264" s="82"/>
      <c r="AF264" s="82"/>
      <c r="AG264" s="82"/>
      <c r="AH264" s="82"/>
      <c r="AI264" s="82"/>
      <c r="AJ264" s="82"/>
    </row>
    <row r="265">
      <c r="L265" s="77"/>
      <c r="Y265" s="82"/>
      <c r="Z265" s="82"/>
      <c r="AA265" s="82"/>
      <c r="AB265" s="82"/>
      <c r="AC265" s="82"/>
      <c r="AD265" s="82"/>
      <c r="AE265" s="82"/>
      <c r="AF265" s="82"/>
      <c r="AG265" s="82"/>
      <c r="AH265" s="82"/>
      <c r="AI265" s="82"/>
      <c r="AJ265" s="82"/>
    </row>
    <row r="266">
      <c r="L266" s="77"/>
      <c r="Y266" s="82"/>
      <c r="Z266" s="82"/>
      <c r="AA266" s="82"/>
      <c r="AB266" s="82"/>
      <c r="AC266" s="82"/>
      <c r="AD266" s="82"/>
      <c r="AE266" s="82"/>
      <c r="AF266" s="82"/>
      <c r="AG266" s="82"/>
      <c r="AH266" s="82"/>
      <c r="AI266" s="82"/>
      <c r="AJ266" s="82"/>
    </row>
    <row r="267">
      <c r="L267" s="77"/>
      <c r="Y267" s="82"/>
      <c r="Z267" s="82"/>
      <c r="AA267" s="82"/>
      <c r="AB267" s="82"/>
      <c r="AC267" s="82"/>
      <c r="AD267" s="82"/>
      <c r="AE267" s="82"/>
      <c r="AF267" s="82"/>
      <c r="AG267" s="82"/>
      <c r="AH267" s="82"/>
      <c r="AI267" s="82"/>
      <c r="AJ267" s="82"/>
    </row>
    <row r="268">
      <c r="L268" s="77"/>
      <c r="Y268" s="82"/>
      <c r="Z268" s="82"/>
      <c r="AA268" s="82"/>
      <c r="AB268" s="82"/>
      <c r="AC268" s="82"/>
      <c r="AD268" s="82"/>
      <c r="AE268" s="82"/>
      <c r="AF268" s="82"/>
      <c r="AG268" s="82"/>
      <c r="AH268" s="82"/>
      <c r="AI268" s="82"/>
      <c r="AJ268" s="82"/>
    </row>
    <row r="269">
      <c r="L269" s="77"/>
      <c r="Z269" s="82"/>
      <c r="AA269" s="82"/>
      <c r="AB269" s="82"/>
      <c r="AC269" s="82"/>
      <c r="AD269" s="82"/>
      <c r="AE269" s="82"/>
      <c r="AF269" s="82"/>
      <c r="AG269" s="82"/>
      <c r="AH269" s="82"/>
      <c r="AI269" s="82"/>
    </row>
    <row r="270">
      <c r="L270" s="77"/>
    </row>
    <row r="271">
      <c r="L271" s="77"/>
    </row>
    <row r="272">
      <c r="L272" s="77"/>
    </row>
    <row r="273">
      <c r="L273" s="77"/>
    </row>
    <row r="274">
      <c r="L274" s="77"/>
    </row>
    <row r="275">
      <c r="L275" s="77"/>
    </row>
    <row r="276">
      <c r="L276" s="77"/>
    </row>
    <row r="277">
      <c r="L277" s="77"/>
    </row>
    <row r="278">
      <c r="L278" s="77"/>
    </row>
    <row r="279">
      <c r="L279" s="77"/>
    </row>
    <row r="280">
      <c r="L280" s="77"/>
    </row>
    <row r="281">
      <c r="L281" s="77"/>
    </row>
    <row r="282">
      <c r="L282" s="77"/>
    </row>
    <row r="283">
      <c r="L283" s="77"/>
    </row>
    <row r="284">
      <c r="L284" s="77"/>
    </row>
    <row r="285">
      <c r="L285" s="77"/>
    </row>
    <row r="286">
      <c r="L286" s="77"/>
    </row>
    <row r="287">
      <c r="L287" s="77"/>
    </row>
    <row r="288">
      <c r="L288" s="77"/>
    </row>
    <row r="289">
      <c r="L289" s="77"/>
    </row>
    <row r="290">
      <c r="L290" s="77"/>
    </row>
    <row r="291">
      <c r="L291" s="77"/>
    </row>
    <row r="292">
      <c r="L292" s="77"/>
    </row>
    <row r="293">
      <c r="L293" s="77"/>
    </row>
    <row r="294">
      <c r="L294" s="77"/>
    </row>
    <row r="295">
      <c r="L295" s="77"/>
    </row>
    <row r="296">
      <c r="L296" s="77"/>
    </row>
    <row r="297">
      <c r="L297" s="77"/>
    </row>
    <row r="298">
      <c r="L298" s="77"/>
    </row>
    <row r="299">
      <c r="L299" s="77"/>
    </row>
    <row r="300">
      <c r="L300" s="77"/>
    </row>
    <row r="301">
      <c r="L301" s="77"/>
    </row>
    <row r="302">
      <c r="L302" s="77"/>
    </row>
    <row r="303">
      <c r="L303" s="77"/>
    </row>
    <row r="304">
      <c r="L304" s="77"/>
    </row>
    <row r="305">
      <c r="L305" s="77"/>
    </row>
    <row r="306">
      <c r="L306" s="77"/>
    </row>
    <row r="307">
      <c r="L307" s="77"/>
    </row>
    <row r="308">
      <c r="L308" s="77"/>
    </row>
    <row r="309">
      <c r="L309" s="77"/>
    </row>
    <row r="310">
      <c r="L310" s="77"/>
    </row>
    <row r="311">
      <c r="L311" s="77"/>
    </row>
    <row r="312">
      <c r="L312" s="77"/>
    </row>
    <row r="313">
      <c r="L313" s="77"/>
    </row>
    <row r="314">
      <c r="L314" s="77"/>
    </row>
    <row r="315">
      <c r="L315" s="77"/>
    </row>
    <row r="316">
      <c r="L316" s="77"/>
    </row>
    <row r="317">
      <c r="L317" s="77"/>
    </row>
    <row r="318">
      <c r="L318" s="77"/>
    </row>
    <row r="319">
      <c r="L319" s="77"/>
    </row>
    <row r="320">
      <c r="L320" s="77"/>
    </row>
    <row r="321">
      <c r="L321" s="77"/>
    </row>
    <row r="322">
      <c r="L322" s="77"/>
    </row>
    <row r="323">
      <c r="L323" s="77"/>
    </row>
    <row r="324">
      <c r="L324" s="77"/>
    </row>
    <row r="325">
      <c r="L325" s="77"/>
    </row>
    <row r="326">
      <c r="L326" s="77"/>
    </row>
    <row r="327">
      <c r="L327" s="77"/>
    </row>
    <row r="328">
      <c r="L328" s="77"/>
    </row>
    <row r="329">
      <c r="L329" s="77"/>
    </row>
    <row r="330">
      <c r="L330" s="77"/>
    </row>
    <row r="331">
      <c r="L331" s="77"/>
    </row>
    <row r="332">
      <c r="L332" s="77"/>
    </row>
    <row r="333">
      <c r="L333" s="77"/>
    </row>
    <row r="334">
      <c r="L334" s="77"/>
    </row>
    <row r="335">
      <c r="L335" s="77"/>
    </row>
    <row r="336">
      <c r="L336" s="77"/>
    </row>
    <row r="337">
      <c r="L337" s="77"/>
    </row>
    <row r="338">
      <c r="L338" s="77"/>
    </row>
    <row r="339">
      <c r="L339" s="77"/>
    </row>
    <row r="340">
      <c r="L340" s="77"/>
    </row>
    <row r="341">
      <c r="L341" s="77"/>
    </row>
    <row r="342">
      <c r="L342" s="77"/>
    </row>
    <row r="343">
      <c r="L343" s="77"/>
    </row>
    <row r="344">
      <c r="L344" s="77"/>
    </row>
    <row r="345">
      <c r="L345" s="77"/>
    </row>
    <row r="346">
      <c r="L346" s="77"/>
    </row>
    <row r="347">
      <c r="L347" s="77"/>
    </row>
    <row r="348">
      <c r="L348" s="77"/>
    </row>
    <row r="349">
      <c r="L349" s="77"/>
    </row>
    <row r="350">
      <c r="L350" s="77"/>
    </row>
    <row r="351">
      <c r="L351" s="77"/>
    </row>
    <row r="352">
      <c r="L352" s="77"/>
    </row>
    <row r="353">
      <c r="L353" s="77"/>
    </row>
    <row r="354">
      <c r="L354" s="77"/>
    </row>
    <row r="355">
      <c r="L355" s="77"/>
    </row>
    <row r="356">
      <c r="L356" s="77"/>
    </row>
    <row r="357">
      <c r="L357" s="77"/>
    </row>
    <row r="358">
      <c r="L358" s="77"/>
    </row>
    <row r="359">
      <c r="L359" s="77"/>
    </row>
    <row r="360">
      <c r="L360" s="77"/>
    </row>
    <row r="361">
      <c r="L361" s="77"/>
    </row>
    <row r="362">
      <c r="L362" s="77"/>
    </row>
    <row r="363">
      <c r="L363" s="77"/>
    </row>
    <row r="364">
      <c r="L364" s="77"/>
    </row>
    <row r="365">
      <c r="L365" s="77"/>
    </row>
    <row r="366">
      <c r="L366" s="77"/>
    </row>
    <row r="367">
      <c r="L367" s="77"/>
    </row>
    <row r="368">
      <c r="L368" s="77"/>
    </row>
    <row r="369">
      <c r="L369" s="77"/>
    </row>
    <row r="370">
      <c r="L370" s="77"/>
    </row>
    <row r="371">
      <c r="L371" s="77"/>
    </row>
    <row r="372">
      <c r="L372" s="77"/>
    </row>
    <row r="373">
      <c r="L373" s="77"/>
    </row>
    <row r="374">
      <c r="L374" s="77"/>
    </row>
    <row r="375">
      <c r="L375" s="77"/>
    </row>
    <row r="376">
      <c r="L376" s="77"/>
    </row>
    <row r="377">
      <c r="L377" s="77"/>
    </row>
    <row r="378">
      <c r="L378" s="77"/>
    </row>
    <row r="379">
      <c r="L379" s="77"/>
    </row>
    <row r="380">
      <c r="L380" s="77"/>
    </row>
    <row r="381">
      <c r="L381" s="77"/>
    </row>
    <row r="382">
      <c r="L382" s="77"/>
    </row>
    <row r="383">
      <c r="L383" s="77"/>
    </row>
  </sheetData>
  <autoFilter ref="A1:BA383">
    <filterColumn colId="1">
      <filters blank="true"/>
    </filterColumn>
  </autoFilter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10" min="10" style="0" width="12.64480633802817"/>
    <col collapsed="false" customWidth="true" hidden="false" max="13" min="13" style="0" width="11.211267605633802"/>
    <col collapsed="false" customWidth="true" hidden="false" max="15" min="15" style="0" width="12.64480633802817"/>
    <col collapsed="false" customWidth="true" hidden="false" max="14" min="14" style="0" width="12.64480633802817"/>
    <col collapsed="false" customWidth="true" hidden="false" max="16" min="16" style="0" width="12.64480633802817"/>
    <col collapsed="false" customWidth="true" hidden="false" max="4" min="4" style="0" width="11.211267605633802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9" min="9" style="0" width="11.211267605633802"/>
    <col collapsed="false" customWidth="true" hidden="false" max="11" min="11" style="0" width="11.211267605633802"/>
    <col collapsed="false" customWidth="true" hidden="false" max="12" min="12" style="0" width="11.211267605633802"/>
  </cols>
  <sheetData>
    <row r="1">
      <c r="A1" s="89" t="s">
        <v>160</v>
      </c>
      <c r="B1" s="89" t="s">
        <v>161</v>
      </c>
      <c r="C1" s="89" t="s">
        <v>162</v>
      </c>
      <c r="D1" s="89" t="s">
        <v>163</v>
      </c>
      <c r="E1" s="89" t="s">
        <v>164</v>
      </c>
      <c r="F1" s="89" t="s">
        <v>165</v>
      </c>
      <c r="G1" s="89" t="s">
        <v>166</v>
      </c>
      <c r="H1" s="90" t="s">
        <v>167</v>
      </c>
      <c r="I1" s="90" t="s">
        <v>168</v>
      </c>
      <c r="J1" s="90" t="s">
        <v>169</v>
      </c>
      <c r="K1" s="90" t="s">
        <v>170</v>
      </c>
      <c r="L1" s="89" t="s">
        <v>171</v>
      </c>
      <c r="M1" s="89" t="s">
        <v>172</v>
      </c>
      <c r="N1" s="90" t="s">
        <v>173</v>
      </c>
      <c r="O1" s="89" t="s">
        <v>174</v>
      </c>
      <c r="P1" s="89" t="s">
        <v>175</v>
      </c>
      <c r="Q1" s="89" t="s">
        <v>176</v>
      </c>
      <c r="R1" s="89" t="s">
        <v>177</v>
      </c>
      <c r="S1" s="89" t="s">
        <v>178</v>
      </c>
      <c r="T1" s="89" t="s">
        <v>179</v>
      </c>
      <c r="U1" s="89" t="s">
        <v>180</v>
      </c>
      <c r="V1" s="89" t="s">
        <v>181</v>
      </c>
      <c r="W1" s="89" t="s">
        <v>182</v>
      </c>
      <c r="X1" s="89" t="s">
        <v>181</v>
      </c>
      <c r="Y1" s="89" t="s">
        <v>183</v>
      </c>
      <c r="Z1" s="89" t="s">
        <v>163</v>
      </c>
      <c r="AA1" s="91" t="s">
        <v>184</v>
      </c>
      <c r="AB1" s="91" t="s">
        <v>185</v>
      </c>
      <c r="AC1" s="91" t="s">
        <v>186</v>
      </c>
      <c r="AD1" s="91" t="s">
        <v>187</v>
      </c>
      <c r="AE1" s="91" t="s">
        <v>188</v>
      </c>
      <c r="AF1" s="91" t="s">
        <v>189</v>
      </c>
      <c r="AG1" s="91" t="s">
        <v>190</v>
      </c>
      <c r="AH1" s="91" t="s">
        <v>191</v>
      </c>
      <c r="AI1" s="92" t="s">
        <v>192</v>
      </c>
      <c r="AJ1" s="92" t="s">
        <v>193</v>
      </c>
      <c r="AK1" s="92" t="s">
        <v>194</v>
      </c>
      <c r="AL1" s="92" t="s">
        <v>195</v>
      </c>
      <c r="AM1" s="92" t="s">
        <v>196</v>
      </c>
      <c r="AN1" s="92" t="s">
        <v>197</v>
      </c>
    </row>
    <row r="2">
      <c r="A2" s="93">
        <v>46240</v>
      </c>
      <c r="B2" s="89" t="s">
        <v>198</v>
      </c>
      <c r="C2" s="89" t="s">
        <v>199</v>
      </c>
      <c r="D2" s="89">
        <v>3</v>
      </c>
      <c r="E2" s="94">
        <v>0</v>
      </c>
      <c r="F2" s="95">
        <v>0</v>
      </c>
      <c r="G2" s="94">
        <v>0</v>
      </c>
      <c r="H2" s="94">
        <v>0</v>
      </c>
      <c r="I2" s="94">
        <v>0</v>
      </c>
      <c r="J2" s="94">
        <v>0</v>
      </c>
      <c r="K2" s="94">
        <v>0</v>
      </c>
      <c r="L2" s="94">
        <v>0</v>
      </c>
      <c r="M2" s="96">
        <v>0</v>
      </c>
      <c r="N2" s="96">
        <v>0</v>
      </c>
      <c r="O2" s="96">
        <v>0</v>
      </c>
      <c r="P2" s="89">
        <f t="shared" ref="P2:P3" si="6">I2*12+K2</f>
      </c>
      <c r="Q2" s="97">
        <v>1256.46</v>
      </c>
      <c r="R2" s="98">
        <f t="shared" ref="R2:R116" si="4">P2/Q2</f>
      </c>
      <c r="S2" s="99">
        <f t="shared" ref="S2:S116" si="2">P2/F2</f>
      </c>
      <c r="T2" s="99">
        <f t="shared" ref="T2:T116" si="0">Q2/F2</f>
      </c>
      <c r="U2" s="94" t="s">
        <v>200</v>
      </c>
      <c r="V2" s="94">
        <v>7</v>
      </c>
      <c r="W2" s="94"/>
      <c r="X2" s="94"/>
      <c r="Y2" s="94" t="s">
        <v>201</v>
      </c>
      <c r="Z2" s="94">
        <v>7</v>
      </c>
      <c r="AA2" s="100">
        <v>5942</v>
      </c>
      <c r="AB2" s="100">
        <v>431</v>
      </c>
      <c r="AC2" s="100">
        <v>696</v>
      </c>
      <c r="AD2" s="100">
        <v>133</v>
      </c>
      <c r="AE2" s="94">
        <v>20</v>
      </c>
      <c r="AF2" s="94">
        <v>5</v>
      </c>
      <c r="AG2" s="94">
        <v>26</v>
      </c>
      <c r="AH2" s="94">
        <v>1</v>
      </c>
      <c r="AI2" s="101">
        <f t="shared" ref="AI2:AI116" si="32">AB2/AA2</f>
      </c>
      <c r="AJ2" s="101">
        <f t="shared" ref="AJ2:AJ116" si="5">(AF2+AG2+AH2)/AC2</f>
      </c>
      <c r="AK2" s="101">
        <f t="shared" ref="AK2:AK116" si="33">AD2/AC2</f>
      </c>
      <c r="AL2" s="102">
        <f t="shared" ref="AL2:AL116" si="3">AG2/AC2</f>
      </c>
      <c r="AM2" s="103">
        <f t="shared" ref="AM2:AM116" si="1">Q2/AE2</f>
      </c>
      <c r="AN2" s="104"/>
    </row>
    <row r="3">
      <c r="A3" s="93">
        <v>46240</v>
      </c>
      <c r="B3" s="89" t="s">
        <v>202</v>
      </c>
      <c r="C3" s="89" t="s">
        <v>203</v>
      </c>
      <c r="D3" s="89">
        <v>4</v>
      </c>
      <c r="E3" s="94">
        <v>1</v>
      </c>
      <c r="F3" s="95">
        <v>1</v>
      </c>
      <c r="G3" s="94">
        <v>0</v>
      </c>
      <c r="H3" s="94">
        <v>1</v>
      </c>
      <c r="I3" s="94">
        <v>241.54</v>
      </c>
      <c r="J3" s="94">
        <v>0</v>
      </c>
      <c r="K3" s="94">
        <v>0</v>
      </c>
      <c r="L3" s="94">
        <v>1</v>
      </c>
      <c r="M3" s="96">
        <v>2898.48</v>
      </c>
      <c r="N3" s="96">
        <v>1</v>
      </c>
      <c r="O3" s="96">
        <v>241.54</v>
      </c>
      <c r="P3" s="89">
        <f t="shared" si="6"/>
      </c>
      <c r="Q3" s="97">
        <v>1761.9699999999998</v>
      </c>
      <c r="R3" s="98">
        <f t="shared" si="4"/>
      </c>
      <c r="S3" s="99">
        <f t="shared" si="2"/>
      </c>
      <c r="T3" s="99">
        <f t="shared" si="0"/>
      </c>
      <c r="U3" s="94"/>
      <c r="V3" s="94"/>
      <c r="W3" s="94"/>
      <c r="X3" s="94"/>
      <c r="Y3" s="94"/>
      <c r="Z3" s="94"/>
      <c r="AA3" s="94">
        <v>6773</v>
      </c>
      <c r="AB3" s="94">
        <v>736</v>
      </c>
      <c r="AC3" s="94">
        <v>1284</v>
      </c>
      <c r="AD3" s="94">
        <v>190</v>
      </c>
      <c r="AE3" s="94">
        <v>22</v>
      </c>
      <c r="AF3" s="94">
        <v>5</v>
      </c>
      <c r="AG3" s="94">
        <v>28</v>
      </c>
      <c r="AH3" s="94">
        <v>0</v>
      </c>
      <c r="AI3" s="101">
        <f t="shared" si="32"/>
      </c>
      <c r="AJ3" s="101">
        <f t="shared" si="5"/>
      </c>
      <c r="AK3" s="101">
        <f t="shared" si="33"/>
      </c>
      <c r="AL3" s="102">
        <f t="shared" si="3"/>
      </c>
      <c r="AM3" s="103">
        <f t="shared" si="1"/>
      </c>
      <c r="AN3" s="104"/>
    </row>
    <row r="4">
      <c r="A4" s="105">
        <v>46240</v>
      </c>
      <c r="B4" s="106"/>
      <c r="C4" s="106" t="s">
        <v>204</v>
      </c>
      <c r="D4" s="106">
        <f>D2+D3</f>
      </c>
      <c r="E4" s="106">
        <f>E2+E3</f>
      </c>
      <c r="F4" s="106">
        <f>F2+F3</f>
      </c>
      <c r="G4" s="106">
        <f>G2+G3</f>
      </c>
      <c r="H4" s="106">
        <f>H2+H3</f>
      </c>
      <c r="I4" s="106">
        <f>I2+I3</f>
      </c>
      <c r="J4" s="106">
        <f>J2+J3</f>
      </c>
      <c r="K4" s="106">
        <f>K2+K3</f>
      </c>
      <c r="L4" s="106">
        <f>L2+L3</f>
      </c>
      <c r="M4" s="106">
        <f>M2+M3</f>
      </c>
      <c r="N4" s="106">
        <f>N2+N3</f>
      </c>
      <c r="O4" s="106">
        <f>O2+O3</f>
      </c>
      <c r="P4" s="106">
        <f>P2+P3</f>
      </c>
      <c r="Q4" s="106">
        <f>Q2+Q3</f>
      </c>
      <c r="R4" s="107">
        <f t="shared" si="4"/>
      </c>
      <c r="S4" s="107">
        <f t="shared" si="2"/>
      </c>
      <c r="T4" s="107">
        <f t="shared" si="0"/>
      </c>
      <c r="U4" s="108"/>
      <c r="V4" s="106">
        <f>SUM(V2:V3)</f>
      </c>
      <c r="W4" s="108"/>
      <c r="X4" s="106">
        <f>SUM(X2:X3)</f>
      </c>
      <c r="Y4" s="108"/>
      <c r="Z4" s="106">
        <f>Z2+Z3</f>
      </c>
      <c r="AA4" s="106">
        <f>SUM(AA2:AA3)</f>
      </c>
      <c r="AB4" s="106">
        <f>SUM(AB2:AB3)</f>
      </c>
      <c r="AC4" s="106">
        <f>SUM(AC2:AC3)</f>
      </c>
      <c r="AD4" s="106">
        <f>SUM(AD2:AD3)</f>
      </c>
      <c r="AE4" s="106">
        <f>SUM(AE2:AE3)</f>
      </c>
      <c r="AF4" s="106">
        <f>SUM(AF2:AF3)</f>
      </c>
      <c r="AG4" s="106">
        <f>SUM(AG2:AG3)</f>
      </c>
      <c r="AH4" s="106">
        <f>SUM(AH2:AH3)</f>
      </c>
      <c r="AI4" s="109">
        <f t="shared" si="32"/>
      </c>
      <c r="AJ4" s="109">
        <f t="shared" si="5"/>
      </c>
      <c r="AK4" s="109">
        <f t="shared" si="33"/>
      </c>
      <c r="AL4" s="109">
        <f t="shared" si="3"/>
      </c>
      <c r="AM4" s="110">
        <f t="shared" si="1"/>
      </c>
      <c r="AN4" s="109">
        <f>F4/AE4</f>
      </c>
    </row>
    <row r="5">
      <c r="A5" s="93">
        <v>46241</v>
      </c>
      <c r="B5" s="89" t="s">
        <v>198</v>
      </c>
      <c r="C5" s="89" t="s">
        <v>205</v>
      </c>
      <c r="D5" s="89">
        <v>4</v>
      </c>
      <c r="E5" s="94">
        <v>9</v>
      </c>
      <c r="F5" s="95">
        <v>7</v>
      </c>
      <c r="G5" s="94">
        <v>5</v>
      </c>
      <c r="H5" s="94">
        <v>6</v>
      </c>
      <c r="I5" s="94">
        <v>1463.7499999999998</v>
      </c>
      <c r="J5" s="94">
        <v>1</v>
      </c>
      <c r="K5" s="94">
        <v>750</v>
      </c>
      <c r="L5" s="94">
        <v>7</v>
      </c>
      <c r="M5" s="96">
        <v>18314.999999999996</v>
      </c>
      <c r="N5" s="96">
        <v>2</v>
      </c>
      <c r="O5" s="96">
        <v>1017.9799999999999</v>
      </c>
      <c r="P5" s="89">
        <f t="shared" ref="P5:P6" si="7">I5*12+K5</f>
      </c>
      <c r="Q5" s="97">
        <v>7182.02</v>
      </c>
      <c r="R5" s="98">
        <f t="shared" si="4"/>
      </c>
      <c r="S5" s="99">
        <f t="shared" si="2"/>
      </c>
      <c r="T5" s="99">
        <f t="shared" si="0"/>
      </c>
      <c r="U5" s="94" t="s">
        <v>206</v>
      </c>
      <c r="V5" s="94">
        <v>8</v>
      </c>
      <c r="W5" s="94"/>
      <c r="X5" s="94"/>
      <c r="Y5" s="94" t="s">
        <v>201</v>
      </c>
      <c r="Z5" s="94">
        <v>8</v>
      </c>
      <c r="AA5" s="100">
        <v>25084</v>
      </c>
      <c r="AB5" s="100">
        <v>1612</v>
      </c>
      <c r="AC5" s="100">
        <v>2811</v>
      </c>
      <c r="AD5" s="100">
        <v>546</v>
      </c>
      <c r="AE5" s="94">
        <v>131</v>
      </c>
      <c r="AF5" s="94">
        <v>16</v>
      </c>
      <c r="AG5" s="94">
        <v>183</v>
      </c>
      <c r="AH5" s="94">
        <v>2</v>
      </c>
      <c r="AI5" s="101">
        <f t="shared" si="32"/>
      </c>
      <c r="AJ5" s="101">
        <f t="shared" si="5"/>
      </c>
      <c r="AK5" s="101">
        <f t="shared" si="33"/>
      </c>
      <c r="AL5" s="102">
        <f t="shared" si="3"/>
      </c>
      <c r="AM5" s="103">
        <f t="shared" si="1"/>
      </c>
      <c r="AN5" s="104"/>
    </row>
    <row r="6">
      <c r="A6" s="93">
        <v>46241</v>
      </c>
      <c r="B6" s="89" t="s">
        <v>207</v>
      </c>
      <c r="C6" s="89" t="s">
        <v>203</v>
      </c>
      <c r="D6" s="89">
        <v>4</v>
      </c>
      <c r="E6" s="94">
        <v>11</v>
      </c>
      <c r="F6" s="95">
        <v>10</v>
      </c>
      <c r="G6" s="94">
        <v>9</v>
      </c>
      <c r="H6" s="94">
        <v>9</v>
      </c>
      <c r="I6" s="94">
        <v>1276.23</v>
      </c>
      <c r="J6" s="94">
        <v>1</v>
      </c>
      <c r="K6" s="94">
        <v>750</v>
      </c>
      <c r="L6" s="94">
        <v>17</v>
      </c>
      <c r="M6" s="96">
        <v>16064.76</v>
      </c>
      <c r="N6" s="96">
        <v>1</v>
      </c>
      <c r="O6" s="96">
        <v>292.17</v>
      </c>
      <c r="P6" s="89">
        <f t="shared" si="7"/>
      </c>
      <c r="Q6" s="97">
        <v>14179.9</v>
      </c>
      <c r="R6" s="98">
        <f t="shared" si="4"/>
      </c>
      <c r="S6" s="99">
        <f t="shared" si="2"/>
      </c>
      <c r="T6" s="99">
        <f t="shared" si="0"/>
      </c>
      <c r="U6" s="94"/>
      <c r="V6" s="94"/>
      <c r="W6" s="94"/>
      <c r="X6" s="94"/>
      <c r="Y6" s="94"/>
      <c r="Z6" s="94"/>
      <c r="AA6" s="94">
        <v>55176</v>
      </c>
      <c r="AB6" s="94">
        <v>2986</v>
      </c>
      <c r="AC6" s="94">
        <v>5188</v>
      </c>
      <c r="AD6" s="94">
        <v>899</v>
      </c>
      <c r="AE6" s="94">
        <v>250</v>
      </c>
      <c r="AF6" s="94">
        <v>34</v>
      </c>
      <c r="AG6" s="94">
        <v>266</v>
      </c>
      <c r="AH6" s="94">
        <v>1</v>
      </c>
      <c r="AI6" s="101">
        <f t="shared" si="32"/>
      </c>
      <c r="AJ6" s="101">
        <f t="shared" si="5"/>
      </c>
      <c r="AK6" s="101">
        <f t="shared" si="33"/>
      </c>
      <c r="AL6" s="102">
        <f t="shared" si="3"/>
      </c>
      <c r="AM6" s="103">
        <f t="shared" si="1"/>
      </c>
      <c r="AN6" s="104"/>
    </row>
    <row r="7">
      <c r="A7" s="105">
        <v>46241</v>
      </c>
      <c r="B7" s="106"/>
      <c r="C7" s="106" t="s">
        <v>208</v>
      </c>
      <c r="D7" s="106">
        <f>D5+D6</f>
      </c>
      <c r="E7" s="106">
        <f>E5+E6</f>
      </c>
      <c r="F7" s="106">
        <f>F5+F6</f>
      </c>
      <c r="G7" s="106">
        <f>G5+G6</f>
      </c>
      <c r="H7" s="106">
        <f>H5+H6</f>
      </c>
      <c r="I7" s="106">
        <f>I5+I6</f>
      </c>
      <c r="J7" s="106">
        <f>J5+J6</f>
      </c>
      <c r="K7" s="106">
        <f>K5+K6</f>
      </c>
      <c r="L7" s="106">
        <f>L5+L6</f>
      </c>
      <c r="M7" s="106">
        <f>M5+M6</f>
      </c>
      <c r="N7" s="106">
        <f>N5+N6</f>
      </c>
      <c r="O7" s="106">
        <f>O5+O6</f>
      </c>
      <c r="P7" s="106">
        <f>P5+P6</f>
      </c>
      <c r="Q7" s="106">
        <f>Q5+Q6</f>
      </c>
      <c r="R7" s="107">
        <f t="shared" si="4"/>
      </c>
      <c r="S7" s="107">
        <f t="shared" si="2"/>
      </c>
      <c r="T7" s="107">
        <f t="shared" si="0"/>
      </c>
      <c r="U7" s="108"/>
      <c r="V7" s="106">
        <v>8</v>
      </c>
      <c r="W7" s="108"/>
      <c r="X7" s="106">
        <f>SUM(X5:X6)</f>
      </c>
      <c r="Y7" s="108"/>
      <c r="Z7" s="106">
        <f>Z5+Z6</f>
      </c>
      <c r="AA7" s="106">
        <f>SUM(AA5:AA6)</f>
      </c>
      <c r="AB7" s="106">
        <f>SUM(AB5:AB6)</f>
      </c>
      <c r="AC7" s="106">
        <f>SUM(AC5:AC6)</f>
      </c>
      <c r="AD7" s="106">
        <f>SUM(AD5:AD6)</f>
      </c>
      <c r="AE7" s="106">
        <f>SUM(AE5:AE6)</f>
      </c>
      <c r="AF7" s="106">
        <f>SUM(AF5:AF6)</f>
      </c>
      <c r="AG7" s="106">
        <f>SUM(AG5:AG6)</f>
      </c>
      <c r="AH7" s="106">
        <f>SUM(AH5:AH6)</f>
      </c>
      <c r="AI7" s="109">
        <f t="shared" si="32"/>
      </c>
      <c r="AJ7" s="109">
        <f t="shared" si="5"/>
      </c>
      <c r="AK7" s="109">
        <f t="shared" si="33"/>
      </c>
      <c r="AL7" s="109">
        <f t="shared" si="3"/>
      </c>
      <c r="AM7" s="110">
        <f t="shared" si="1"/>
      </c>
      <c r="AN7" s="109">
        <f>F7/AE7</f>
      </c>
    </row>
    <row r="8">
      <c r="A8" s="111">
        <v>46242</v>
      </c>
      <c r="B8" s="89" t="s">
        <v>198</v>
      </c>
      <c r="C8" s="89" t="s">
        <v>205</v>
      </c>
      <c r="D8" s="89">
        <v>4</v>
      </c>
      <c r="E8" s="94">
        <v>6</v>
      </c>
      <c r="F8" s="95">
        <v>3</v>
      </c>
      <c r="G8" s="94">
        <v>3</v>
      </c>
      <c r="H8" s="112">
        <v>3</v>
      </c>
      <c r="I8" s="94">
        <v>754.4200000000001</v>
      </c>
      <c r="J8" s="112">
        <v>0</v>
      </c>
      <c r="K8" s="112">
        <v>0</v>
      </c>
      <c r="L8" s="112">
        <v>3</v>
      </c>
      <c r="M8" s="96">
        <v>9053.04</v>
      </c>
      <c r="N8" s="113">
        <v>2</v>
      </c>
      <c r="O8" s="96">
        <v>599.53</v>
      </c>
      <c r="P8" s="89">
        <f t="shared" ref="P8:P9" si="8">I8*12+K8</f>
      </c>
      <c r="Q8" s="97">
        <v>10619.93</v>
      </c>
      <c r="R8" s="98">
        <f t="shared" si="4"/>
      </c>
      <c r="S8" s="99">
        <f t="shared" si="2"/>
      </c>
      <c r="T8" s="99">
        <f t="shared" si="0"/>
      </c>
      <c r="U8" s="94" t="s">
        <v>206</v>
      </c>
      <c r="V8" s="94">
        <v>8</v>
      </c>
      <c r="W8" s="94"/>
      <c r="X8" s="94"/>
      <c r="Y8" s="94" t="s">
        <v>201</v>
      </c>
      <c r="Z8" s="94">
        <v>8</v>
      </c>
      <c r="AA8" s="100">
        <v>45453</v>
      </c>
      <c r="AB8" s="100">
        <v>2118</v>
      </c>
      <c r="AC8" s="100">
        <v>3537</v>
      </c>
      <c r="AD8" s="100">
        <v>666</v>
      </c>
      <c r="AE8" s="94">
        <v>238</v>
      </c>
      <c r="AF8" s="94">
        <v>33</v>
      </c>
      <c r="AG8" s="94">
        <v>285</v>
      </c>
      <c r="AH8" s="94">
        <v>4</v>
      </c>
      <c r="AI8" s="101">
        <f t="shared" si="32"/>
      </c>
      <c r="AJ8" s="101">
        <f t="shared" si="5"/>
      </c>
      <c r="AK8" s="101">
        <f t="shared" si="33"/>
      </c>
      <c r="AL8" s="102">
        <f t="shared" si="3"/>
      </c>
      <c r="AM8" s="103">
        <f t="shared" si="1"/>
      </c>
      <c r="AN8" s="104"/>
    </row>
    <row r="9">
      <c r="A9" s="111">
        <v>46242</v>
      </c>
      <c r="B9" s="114" t="s">
        <v>209</v>
      </c>
      <c r="C9" s="89" t="s">
        <v>203</v>
      </c>
      <c r="D9" s="89">
        <v>4</v>
      </c>
      <c r="E9" s="94">
        <v>8</v>
      </c>
      <c r="F9" s="95">
        <v>5</v>
      </c>
      <c r="G9" s="94">
        <v>4</v>
      </c>
      <c r="H9" s="112">
        <v>4</v>
      </c>
      <c r="I9" s="94">
        <v>1424.57</v>
      </c>
      <c r="J9" s="112">
        <v>1</v>
      </c>
      <c r="K9" s="94">
        <v>1091</v>
      </c>
      <c r="L9" s="112">
        <v>8</v>
      </c>
      <c r="M9" s="96">
        <v>18185.84</v>
      </c>
      <c r="N9" s="113">
        <v>1</v>
      </c>
      <c r="O9" s="96">
        <v>711.91</v>
      </c>
      <c r="P9" s="89">
        <f t="shared" si="8"/>
      </c>
      <c r="Q9" s="97">
        <v>11374.98</v>
      </c>
      <c r="R9" s="98">
        <f t="shared" si="4"/>
      </c>
      <c r="S9" s="99">
        <f t="shared" si="2"/>
      </c>
      <c r="T9" s="99">
        <f t="shared" si="0"/>
      </c>
      <c r="U9" s="94"/>
      <c r="V9" s="94"/>
      <c r="W9" s="94"/>
      <c r="X9" s="94"/>
      <c r="Y9" s="94"/>
      <c r="Z9" s="94"/>
      <c r="AA9" s="94">
        <v>49214</v>
      </c>
      <c r="AB9" s="94">
        <v>1687</v>
      </c>
      <c r="AC9" s="94">
        <v>2800</v>
      </c>
      <c r="AD9" s="94">
        <v>543</v>
      </c>
      <c r="AE9" s="94">
        <v>340</v>
      </c>
      <c r="AF9" s="94">
        <v>26</v>
      </c>
      <c r="AG9" s="94">
        <v>442</v>
      </c>
      <c r="AH9" s="94">
        <v>4</v>
      </c>
      <c r="AI9" s="101">
        <f t="shared" si="32"/>
      </c>
      <c r="AJ9" s="101">
        <f t="shared" si="5"/>
      </c>
      <c r="AK9" s="101">
        <f t="shared" si="33"/>
      </c>
      <c r="AL9" s="102">
        <f t="shared" si="3"/>
      </c>
      <c r="AM9" s="103">
        <f t="shared" si="1"/>
      </c>
      <c r="AN9" s="104"/>
    </row>
    <row r="10">
      <c r="A10" s="115">
        <v>46242</v>
      </c>
      <c r="B10" s="106"/>
      <c r="C10" s="106" t="s">
        <v>208</v>
      </c>
      <c r="D10" s="106">
        <f>D8+D9</f>
      </c>
      <c r="E10" s="106">
        <f>E8+E9</f>
      </c>
      <c r="F10" s="106">
        <f>F8+F9</f>
      </c>
      <c r="G10" s="106">
        <f>G8+G9</f>
      </c>
      <c r="H10" s="106">
        <f>H8+H9</f>
      </c>
      <c r="I10" s="106">
        <f>I8+I9</f>
      </c>
      <c r="J10" s="106">
        <f>J8+J9</f>
      </c>
      <c r="K10" s="106">
        <f>K8+K9</f>
      </c>
      <c r="L10" s="106">
        <f>L8+L9</f>
      </c>
      <c r="M10" s="106">
        <f>M8+M9</f>
      </c>
      <c r="N10" s="106">
        <f>N8+N9</f>
      </c>
      <c r="O10" s="106">
        <f>O8+O9</f>
      </c>
      <c r="P10" s="106">
        <f>P8+P9</f>
      </c>
      <c r="Q10" s="106">
        <f>Q8+Q9</f>
      </c>
      <c r="R10" s="107">
        <f t="shared" si="4"/>
      </c>
      <c r="S10" s="107">
        <f t="shared" si="2"/>
      </c>
      <c r="T10" s="107">
        <f t="shared" si="0"/>
      </c>
      <c r="U10" s="108"/>
      <c r="V10" s="106">
        <v>8</v>
      </c>
      <c r="W10" s="108"/>
      <c r="X10" s="106">
        <f>SUM(X8:X9)</f>
      </c>
      <c r="Y10" s="108"/>
      <c r="Z10" s="106">
        <f>Z8+Z9</f>
      </c>
      <c r="AA10" s="106">
        <f>SUM(AA8:AA9)</f>
      </c>
      <c r="AB10" s="106">
        <f>SUM(AB8:AB9)</f>
      </c>
      <c r="AC10" s="106">
        <f>SUM(AC8:AC9)</f>
      </c>
      <c r="AD10" s="106">
        <f>SUM(AD8:AD9)</f>
      </c>
      <c r="AE10" s="106">
        <f>SUM(AE8:AE9)</f>
      </c>
      <c r="AF10" s="106">
        <f>SUM(AF8:AF9)</f>
      </c>
      <c r="AG10" s="106">
        <f>SUM(AG8:AG9)</f>
      </c>
      <c r="AH10" s="106">
        <f>SUM(AH8:AH9)</f>
      </c>
      <c r="AI10" s="109">
        <f t="shared" si="32"/>
      </c>
      <c r="AJ10" s="109">
        <f t="shared" si="5"/>
      </c>
      <c r="AK10" s="109">
        <f t="shared" si="33"/>
      </c>
      <c r="AL10" s="109">
        <f t="shared" si="3"/>
      </c>
      <c r="AM10" s="110">
        <f t="shared" si="1"/>
      </c>
      <c r="AN10" s="109">
        <f>F10/AE10</f>
      </c>
    </row>
    <row r="11">
      <c r="A11" s="111">
        <v>46243</v>
      </c>
      <c r="B11" s="89" t="s">
        <v>198</v>
      </c>
      <c r="C11" s="89" t="s">
        <v>205</v>
      </c>
      <c r="D11" s="89">
        <v>4</v>
      </c>
      <c r="E11" s="94">
        <v>7</v>
      </c>
      <c r="F11" s="95">
        <v>4</v>
      </c>
      <c r="G11" s="94">
        <v>3</v>
      </c>
      <c r="H11" s="112">
        <v>4</v>
      </c>
      <c r="I11" s="94">
        <v>1086.86</v>
      </c>
      <c r="J11" s="112">
        <v>0</v>
      </c>
      <c r="K11" s="112">
        <v>0</v>
      </c>
      <c r="L11" s="112">
        <v>4</v>
      </c>
      <c r="M11" s="96">
        <v>13042.32</v>
      </c>
      <c r="N11" s="113">
        <v>2</v>
      </c>
      <c r="O11" s="96">
        <v>906.41</v>
      </c>
      <c r="P11" s="89">
        <f t="shared" ref="P11:P12" si="9">I11*12+K11</f>
      </c>
      <c r="Q11" s="97">
        <v>10252.66</v>
      </c>
      <c r="R11" s="98">
        <f t="shared" si="4"/>
      </c>
      <c r="S11" s="99">
        <f t="shared" si="2"/>
      </c>
      <c r="T11" s="99">
        <f t="shared" si="0"/>
      </c>
      <c r="U11" s="94" t="s">
        <v>206</v>
      </c>
      <c r="V11" s="94">
        <v>8</v>
      </c>
      <c r="W11" s="94"/>
      <c r="X11" s="94"/>
      <c r="Y11" s="94" t="s">
        <v>201</v>
      </c>
      <c r="Z11" s="94">
        <v>8</v>
      </c>
      <c r="AA11" s="100">
        <v>38412</v>
      </c>
      <c r="AB11" s="100">
        <v>1494</v>
      </c>
      <c r="AC11" s="100">
        <v>2350</v>
      </c>
      <c r="AD11" s="100">
        <v>479</v>
      </c>
      <c r="AE11" s="94">
        <v>231</v>
      </c>
      <c r="AF11" s="94">
        <v>27</v>
      </c>
      <c r="AG11" s="94">
        <v>185</v>
      </c>
      <c r="AH11" s="94">
        <v>3</v>
      </c>
      <c r="AI11" s="101">
        <f t="shared" si="32"/>
      </c>
      <c r="AJ11" s="101">
        <f t="shared" si="5"/>
      </c>
      <c r="AK11" s="101">
        <f t="shared" si="33"/>
      </c>
      <c r="AL11" s="102">
        <f t="shared" si="3"/>
      </c>
      <c r="AM11" s="103">
        <f t="shared" si="1"/>
      </c>
      <c r="AN11" s="104"/>
    </row>
    <row r="12">
      <c r="A12" s="111">
        <v>46243</v>
      </c>
      <c r="B12" s="114" t="s">
        <v>207</v>
      </c>
      <c r="C12" s="89" t="s">
        <v>203</v>
      </c>
      <c r="D12" s="89">
        <v>4</v>
      </c>
      <c r="E12" s="94">
        <v>5</v>
      </c>
      <c r="F12" s="95">
        <v>4</v>
      </c>
      <c r="G12" s="94">
        <v>4</v>
      </c>
      <c r="H12" s="112">
        <v>4</v>
      </c>
      <c r="I12" s="94">
        <v>762.49</v>
      </c>
      <c r="J12" s="112">
        <v>0</v>
      </c>
      <c r="K12" s="112">
        <v>0</v>
      </c>
      <c r="L12" s="112">
        <v>4</v>
      </c>
      <c r="M12" s="96">
        <v>9149.880000000001</v>
      </c>
      <c r="N12" s="113">
        <v>2</v>
      </c>
      <c r="O12" s="96">
        <v>596.8</v>
      </c>
      <c r="P12" s="89">
        <f t="shared" si="9"/>
      </c>
      <c r="Q12" s="97">
        <v>9600.15</v>
      </c>
      <c r="R12" s="98">
        <f t="shared" si="4"/>
      </c>
      <c r="S12" s="99">
        <f t="shared" si="2"/>
      </c>
      <c r="T12" s="99">
        <f t="shared" si="0"/>
      </c>
      <c r="U12" s="94"/>
      <c r="V12" s="94"/>
      <c r="W12" s="94"/>
      <c r="X12" s="94"/>
      <c r="Y12" s="94"/>
      <c r="Z12" s="94"/>
      <c r="AA12" s="94">
        <v>33154</v>
      </c>
      <c r="AB12" s="94">
        <v>1768</v>
      </c>
      <c r="AC12" s="94">
        <v>2697</v>
      </c>
      <c r="AD12" s="94">
        <v>497</v>
      </c>
      <c r="AE12" s="94">
        <v>237</v>
      </c>
      <c r="AF12" s="94">
        <v>27</v>
      </c>
      <c r="AG12" s="94">
        <v>182</v>
      </c>
      <c r="AH12" s="94">
        <v>2</v>
      </c>
      <c r="AI12" s="101">
        <f t="shared" si="32"/>
      </c>
      <c r="AJ12" s="101">
        <f t="shared" si="5"/>
      </c>
      <c r="AK12" s="101">
        <f t="shared" si="33"/>
      </c>
      <c r="AL12" s="102">
        <f t="shared" si="3"/>
      </c>
      <c r="AM12" s="103">
        <f t="shared" si="1"/>
      </c>
      <c r="AN12" s="104"/>
    </row>
    <row r="13">
      <c r="A13" s="115">
        <v>46243</v>
      </c>
      <c r="B13" s="106"/>
      <c r="C13" s="106" t="s">
        <v>208</v>
      </c>
      <c r="D13" s="106">
        <f>D11+D12</f>
      </c>
      <c r="E13" s="106">
        <f>E11+E12</f>
      </c>
      <c r="F13" s="106">
        <f>F11+F12</f>
      </c>
      <c r="G13" s="106">
        <f>G11+G12</f>
      </c>
      <c r="H13" s="106">
        <f>H11+H12</f>
      </c>
      <c r="I13" s="106">
        <f>I11+I12</f>
      </c>
      <c r="J13" s="106">
        <f>J11+J12</f>
      </c>
      <c r="K13" s="106">
        <f>K11+K12</f>
      </c>
      <c r="L13" s="106">
        <f>L11+L12</f>
      </c>
      <c r="M13" s="106">
        <f>M11+M12</f>
      </c>
      <c r="N13" s="106">
        <f>N11+N12</f>
      </c>
      <c r="O13" s="106">
        <f>O11+O12</f>
      </c>
      <c r="P13" s="106">
        <f>P11+P12</f>
      </c>
      <c r="Q13" s="106">
        <f>Q11+Q12</f>
      </c>
      <c r="R13" s="107">
        <f t="shared" si="4"/>
      </c>
      <c r="S13" s="107">
        <f t="shared" si="2"/>
      </c>
      <c r="T13" s="107">
        <f t="shared" si="0"/>
      </c>
      <c r="U13" s="108"/>
      <c r="V13" s="106">
        <v>8</v>
      </c>
      <c r="W13" s="108"/>
      <c r="X13" s="106">
        <f>SUM(X11:X12)</f>
      </c>
      <c r="Y13" s="108"/>
      <c r="Z13" s="106">
        <f>Z11+Z12</f>
      </c>
      <c r="AA13" s="106">
        <f>SUM(AA11:AA12)</f>
      </c>
      <c r="AB13" s="106">
        <f>SUM(AB11:AB12)</f>
      </c>
      <c r="AC13" s="106">
        <f>SUM(AC11:AC12)</f>
      </c>
      <c r="AD13" s="106">
        <f>SUM(AD11:AD12)</f>
      </c>
      <c r="AE13" s="106">
        <f>SUM(AE11:AE12)</f>
      </c>
      <c r="AF13" s="106">
        <f>SUM(AF11:AF12)</f>
      </c>
      <c r="AG13" s="106">
        <f>SUM(AG11:AG12)</f>
      </c>
      <c r="AH13" s="106">
        <f>SUM(AH11:AH12)</f>
      </c>
      <c r="AI13" s="109">
        <f t="shared" si="32"/>
      </c>
      <c r="AJ13" s="109">
        <f t="shared" si="5"/>
      </c>
      <c r="AK13" s="109">
        <f t="shared" si="33"/>
      </c>
      <c r="AL13" s="109">
        <f t="shared" si="3"/>
      </c>
      <c r="AM13" s="110">
        <f t="shared" si="1"/>
      </c>
      <c r="AN13" s="109">
        <f>F13/AE13</f>
      </c>
    </row>
    <row r="14">
      <c r="A14" s="111">
        <v>46244</v>
      </c>
      <c r="B14" s="89" t="s">
        <v>198</v>
      </c>
      <c r="C14" s="114" t="s">
        <v>210</v>
      </c>
      <c r="D14" s="89">
        <v>4</v>
      </c>
      <c r="E14" s="94">
        <v>6</v>
      </c>
      <c r="F14" s="95">
        <v>5</v>
      </c>
      <c r="G14" s="94">
        <v>5</v>
      </c>
      <c r="H14" s="112">
        <v>5</v>
      </c>
      <c r="I14" s="94">
        <v>1519.17</v>
      </c>
      <c r="J14" s="112">
        <v>0</v>
      </c>
      <c r="K14" s="112">
        <v>0</v>
      </c>
      <c r="L14" s="112">
        <v>5</v>
      </c>
      <c r="M14" s="96">
        <v>18230.04</v>
      </c>
      <c r="N14" s="113">
        <v>3</v>
      </c>
      <c r="O14" s="96">
        <v>1239.09</v>
      </c>
      <c r="P14" s="89">
        <f t="shared" ref="P14:P16" si="10">I14*12+K14</f>
      </c>
      <c r="Q14" s="97">
        <v>10204.28</v>
      </c>
      <c r="R14" s="98">
        <f t="shared" si="4"/>
      </c>
      <c r="S14" s="99">
        <f t="shared" si="2"/>
      </c>
      <c r="T14" s="99">
        <f t="shared" si="0"/>
      </c>
      <c r="U14" s="112"/>
      <c r="V14" s="112"/>
      <c r="W14" s="94"/>
      <c r="X14" s="94"/>
      <c r="Y14" s="94"/>
      <c r="Z14" s="112"/>
      <c r="AA14" s="100">
        <v>38058</v>
      </c>
      <c r="AB14" s="100">
        <v>1530</v>
      </c>
      <c r="AC14" s="100">
        <v>2517</v>
      </c>
      <c r="AD14" s="100">
        <v>558</v>
      </c>
      <c r="AE14" s="94">
        <v>188</v>
      </c>
      <c r="AF14" s="94">
        <v>2</v>
      </c>
      <c r="AG14" s="94">
        <v>279</v>
      </c>
      <c r="AH14" s="94">
        <v>24</v>
      </c>
      <c r="AI14" s="101">
        <f t="shared" si="32"/>
      </c>
      <c r="AJ14" s="101">
        <f t="shared" si="5"/>
      </c>
      <c r="AK14" s="101">
        <f t="shared" si="33"/>
      </c>
      <c r="AL14" s="102">
        <f t="shared" si="3"/>
      </c>
      <c r="AM14" s="103">
        <f t="shared" si="1"/>
      </c>
      <c r="AN14" s="104"/>
    </row>
    <row r="15">
      <c r="A15" s="111">
        <v>46244</v>
      </c>
      <c r="B15" s="114" t="s">
        <v>209</v>
      </c>
      <c r="C15" s="114" t="s">
        <v>211</v>
      </c>
      <c r="D15" s="114">
        <v>3</v>
      </c>
      <c r="E15" s="94">
        <v>1</v>
      </c>
      <c r="F15" s="95">
        <v>0</v>
      </c>
      <c r="G15" s="94">
        <v>0</v>
      </c>
      <c r="H15" s="112">
        <v>0</v>
      </c>
      <c r="I15" s="112">
        <v>0</v>
      </c>
      <c r="J15" s="112">
        <v>0</v>
      </c>
      <c r="K15" s="112">
        <v>0</v>
      </c>
      <c r="L15" s="112">
        <v>0</v>
      </c>
      <c r="M15" s="113">
        <v>0</v>
      </c>
      <c r="N15" s="113">
        <v>0</v>
      </c>
      <c r="O15" s="113">
        <v>0</v>
      </c>
      <c r="P15" s="89">
        <f t="shared" si="10"/>
      </c>
      <c r="Q15" s="97">
        <v>4901.36</v>
      </c>
      <c r="R15" s="98">
        <f t="shared" si="4"/>
      </c>
      <c r="S15" s="99">
        <f t="shared" si="2"/>
      </c>
      <c r="T15" s="99">
        <f t="shared" si="0"/>
      </c>
      <c r="U15" s="112" t="s">
        <v>200</v>
      </c>
      <c r="V15" s="112">
        <v>11</v>
      </c>
      <c r="W15" s="94"/>
      <c r="X15" s="94"/>
      <c r="Y15" s="94" t="s">
        <v>201</v>
      </c>
      <c r="Z15" s="112">
        <v>11</v>
      </c>
      <c r="AA15" s="94">
        <v>18315</v>
      </c>
      <c r="AB15" s="94">
        <v>770</v>
      </c>
      <c r="AC15" s="94">
        <v>1438</v>
      </c>
      <c r="AD15" s="94">
        <v>267</v>
      </c>
      <c r="AE15" s="94">
        <v>83</v>
      </c>
      <c r="AF15" s="94">
        <v>2</v>
      </c>
      <c r="AG15" s="94">
        <v>45</v>
      </c>
      <c r="AH15" s="94">
        <v>5</v>
      </c>
      <c r="AI15" s="101">
        <f t="shared" si="32"/>
      </c>
      <c r="AJ15" s="101">
        <f t="shared" si="5"/>
      </c>
      <c r="AK15" s="101">
        <f t="shared" si="33"/>
      </c>
      <c r="AL15" s="102">
        <f t="shared" si="3"/>
      </c>
      <c r="AM15" s="103">
        <f t="shared" si="1"/>
      </c>
      <c r="AN15" s="104"/>
    </row>
    <row r="16">
      <c r="A16" s="111">
        <v>46244</v>
      </c>
      <c r="B16" s="114" t="s">
        <v>207</v>
      </c>
      <c r="C16" s="114" t="s">
        <v>212</v>
      </c>
      <c r="D16" s="89">
        <v>4</v>
      </c>
      <c r="E16" s="94">
        <v>11</v>
      </c>
      <c r="F16" s="95">
        <v>9</v>
      </c>
      <c r="G16" s="94">
        <v>6</v>
      </c>
      <c r="H16" s="112">
        <v>9</v>
      </c>
      <c r="I16" s="94">
        <v>2824.47</v>
      </c>
      <c r="J16" s="112">
        <v>0</v>
      </c>
      <c r="K16" s="112">
        <v>0</v>
      </c>
      <c r="L16" s="112">
        <v>9</v>
      </c>
      <c r="M16" s="96">
        <v>33893.64</v>
      </c>
      <c r="N16" s="113">
        <v>3</v>
      </c>
      <c r="O16" s="96">
        <v>1802.0299999999997</v>
      </c>
      <c r="P16" s="89">
        <f t="shared" si="10"/>
      </c>
      <c r="Q16" s="97">
        <v>8546.25</v>
      </c>
      <c r="R16" s="98">
        <f t="shared" si="4"/>
      </c>
      <c r="S16" s="99">
        <f t="shared" si="2"/>
      </c>
      <c r="T16" s="99">
        <f t="shared" si="0"/>
      </c>
      <c r="U16" s="94"/>
      <c r="V16" s="94"/>
      <c r="W16" s="94"/>
      <c r="X16" s="94"/>
      <c r="Y16" s="94"/>
      <c r="Z16" s="94"/>
      <c r="AA16" s="94">
        <v>29682</v>
      </c>
      <c r="AB16" s="94">
        <v>1579</v>
      </c>
      <c r="AC16" s="94">
        <v>2760</v>
      </c>
      <c r="AD16" s="94">
        <v>558</v>
      </c>
      <c r="AE16" s="94">
        <v>164</v>
      </c>
      <c r="AF16" s="94">
        <v>6</v>
      </c>
      <c r="AG16" s="94">
        <v>235</v>
      </c>
      <c r="AH16" s="94">
        <v>20</v>
      </c>
      <c r="AI16" s="101">
        <f t="shared" si="32"/>
      </c>
      <c r="AJ16" s="101">
        <f t="shared" si="5"/>
      </c>
      <c r="AK16" s="101">
        <f t="shared" si="33"/>
      </c>
      <c r="AL16" s="102">
        <f t="shared" si="3"/>
      </c>
      <c r="AM16" s="103">
        <f t="shared" si="1"/>
      </c>
      <c r="AN16" s="104"/>
    </row>
    <row r="17">
      <c r="A17" s="115">
        <v>46244</v>
      </c>
      <c r="B17" s="106"/>
      <c r="C17" s="116" t="s">
        <v>213</v>
      </c>
      <c r="D17" s="106">
        <f>D14+D15+D16</f>
      </c>
      <c r="E17" s="106">
        <f>E14+E15+E16</f>
      </c>
      <c r="F17" s="106">
        <f>F14+F15+F16</f>
      </c>
      <c r="G17" s="106">
        <f>G14+G15+G16</f>
      </c>
      <c r="H17" s="106">
        <f>H14+H15+H16</f>
      </c>
      <c r="I17" s="106">
        <f>I14+I15+I16</f>
      </c>
      <c r="J17" s="106">
        <f>J14+J15+J16</f>
      </c>
      <c r="K17" s="106">
        <f>K14+K15+K16</f>
      </c>
      <c r="L17" s="106">
        <f>L14+L15+L16</f>
      </c>
      <c r="M17" s="106">
        <f>M14+M15+M16</f>
      </c>
      <c r="N17" s="106">
        <f>N14+N15+N16</f>
      </c>
      <c r="O17" s="106">
        <f>O14+O15+O16</f>
      </c>
      <c r="P17" s="106">
        <f>P14+P15+P16</f>
      </c>
      <c r="Q17" s="106">
        <f>Q14+Q15+Q16</f>
      </c>
      <c r="R17" s="107">
        <f t="shared" si="4"/>
      </c>
      <c r="S17" s="107">
        <f t="shared" si="2"/>
      </c>
      <c r="T17" s="107">
        <f t="shared" si="0"/>
      </c>
      <c r="U17" s="108"/>
      <c r="V17" s="116">
        <v>11</v>
      </c>
      <c r="W17" s="108"/>
      <c r="X17" s="106">
        <f>SUM(X14:X15)</f>
      </c>
      <c r="Y17" s="108"/>
      <c r="Z17" s="106">
        <f>Z14+Z15+Z1929</f>
      </c>
      <c r="AA17" s="106">
        <f>AA14+AA15+AA16</f>
      </c>
      <c r="AB17" s="106">
        <f>AB14+AB15+AB16</f>
      </c>
      <c r="AC17" s="106">
        <f>AC14+AC15+AC16</f>
      </c>
      <c r="AD17" s="106">
        <f>AD14+AD15+AD16</f>
      </c>
      <c r="AE17" s="106">
        <f>AE14+AE15+AE16</f>
      </c>
      <c r="AF17" s="106">
        <f>AF14+AF15+AF16</f>
      </c>
      <c r="AG17" s="106">
        <f>AG14+AG15+AG16</f>
      </c>
      <c r="AH17" s="106">
        <f>AH14+AH15+AH16</f>
      </c>
      <c r="AI17" s="109">
        <f t="shared" si="32"/>
      </c>
      <c r="AJ17" s="109">
        <f t="shared" si="5"/>
      </c>
      <c r="AK17" s="109">
        <f t="shared" si="33"/>
      </c>
      <c r="AL17" s="109">
        <f t="shared" si="3"/>
      </c>
      <c r="AM17" s="110">
        <f t="shared" si="1"/>
      </c>
      <c r="AN17" s="109">
        <f>F17/AE17</f>
      </c>
    </row>
    <row r="18">
      <c r="A18" s="111">
        <v>46245</v>
      </c>
      <c r="B18" s="114" t="s">
        <v>207</v>
      </c>
      <c r="C18" s="114" t="s">
        <v>210</v>
      </c>
      <c r="D18" s="89">
        <v>4</v>
      </c>
      <c r="E18" s="94">
        <v>9</v>
      </c>
      <c r="F18" s="95">
        <v>5</v>
      </c>
      <c r="G18" s="94">
        <v>4</v>
      </c>
      <c r="H18" s="112">
        <v>5</v>
      </c>
      <c r="I18" s="94">
        <v>371.02</v>
      </c>
      <c r="J18" s="112">
        <v>0</v>
      </c>
      <c r="K18" s="112">
        <v>0</v>
      </c>
      <c r="L18" s="112">
        <v>5</v>
      </c>
      <c r="M18" s="96">
        <v>4452.24</v>
      </c>
      <c r="N18" s="113">
        <v>0</v>
      </c>
      <c r="O18" s="113">
        <v>0</v>
      </c>
      <c r="P18" s="89">
        <f t="shared" ref="P18:P20" si="11">I18*12+K18</f>
      </c>
      <c r="Q18" s="97">
        <v>7548.860000000001</v>
      </c>
      <c r="R18" s="98">
        <f t="shared" si="4"/>
      </c>
      <c r="S18" s="99">
        <f t="shared" si="2"/>
      </c>
      <c r="T18" s="99">
        <f t="shared" si="0"/>
      </c>
      <c r="U18" s="112"/>
      <c r="V18" s="112"/>
      <c r="W18" s="94"/>
      <c r="X18" s="94"/>
      <c r="Y18" s="94"/>
      <c r="Z18" s="112"/>
      <c r="AA18" s="100">
        <v>21218</v>
      </c>
      <c r="AB18" s="100">
        <v>1384</v>
      </c>
      <c r="AC18" s="100">
        <v>2229</v>
      </c>
      <c r="AD18" s="100">
        <v>506</v>
      </c>
      <c r="AE18" s="94">
        <v>108</v>
      </c>
      <c r="AF18" s="94">
        <v>24</v>
      </c>
      <c r="AG18" s="94">
        <v>164</v>
      </c>
      <c r="AH18" s="94">
        <v>1</v>
      </c>
      <c r="AI18" s="101">
        <f t="shared" si="32"/>
      </c>
      <c r="AJ18" s="101">
        <f t="shared" si="5"/>
      </c>
      <c r="AK18" s="101">
        <f t="shared" si="33"/>
      </c>
      <c r="AL18" s="102">
        <f t="shared" si="3"/>
      </c>
      <c r="AM18" s="103">
        <f t="shared" si="1"/>
      </c>
      <c r="AN18" s="104"/>
    </row>
    <row r="19">
      <c r="A19" s="111">
        <v>46245</v>
      </c>
      <c r="B19" s="114" t="s">
        <v>198</v>
      </c>
      <c r="C19" s="114" t="s">
        <v>214</v>
      </c>
      <c r="D19" s="114">
        <v>4</v>
      </c>
      <c r="E19" s="94">
        <v>5</v>
      </c>
      <c r="F19" s="95">
        <v>4</v>
      </c>
      <c r="G19" s="94">
        <v>3</v>
      </c>
      <c r="H19" s="112">
        <v>4</v>
      </c>
      <c r="I19" s="112">
        <v>679.36</v>
      </c>
      <c r="J19" s="112">
        <v>0</v>
      </c>
      <c r="K19" s="112">
        <v>0</v>
      </c>
      <c r="L19" s="112">
        <v>4</v>
      </c>
      <c r="M19" s="113">
        <v>8152.32</v>
      </c>
      <c r="N19" s="113">
        <v>1</v>
      </c>
      <c r="O19" s="113">
        <v>260.86</v>
      </c>
      <c r="P19" s="89">
        <f t="shared" si="11"/>
      </c>
      <c r="Q19" s="97">
        <v>8794.44</v>
      </c>
      <c r="R19" s="98">
        <f t="shared" si="4"/>
      </c>
      <c r="S19" s="99">
        <f t="shared" si="2"/>
      </c>
      <c r="T19" s="99">
        <f t="shared" si="0"/>
      </c>
      <c r="U19" s="112" t="s">
        <v>200</v>
      </c>
      <c r="V19" s="112">
        <v>12</v>
      </c>
      <c r="W19" s="94"/>
      <c r="X19" s="94"/>
      <c r="Y19" s="94" t="s">
        <v>201</v>
      </c>
      <c r="Z19" s="112">
        <v>12</v>
      </c>
      <c r="AA19" s="94">
        <v>30489</v>
      </c>
      <c r="AB19" s="94">
        <v>1800</v>
      </c>
      <c r="AC19" s="94">
        <v>2769</v>
      </c>
      <c r="AD19" s="94">
        <v>461</v>
      </c>
      <c r="AE19" s="94">
        <v>156</v>
      </c>
      <c r="AF19" s="94">
        <v>21</v>
      </c>
      <c r="AG19" s="94">
        <v>188</v>
      </c>
      <c r="AH19" s="94">
        <v>2</v>
      </c>
      <c r="AI19" s="101">
        <f t="shared" si="32"/>
      </c>
      <c r="AJ19" s="101">
        <f t="shared" si="5"/>
      </c>
      <c r="AK19" s="101">
        <f t="shared" si="33"/>
      </c>
      <c r="AL19" s="102">
        <f t="shared" si="3"/>
      </c>
      <c r="AM19" s="103">
        <f t="shared" si="1"/>
      </c>
      <c r="AN19" s="104"/>
    </row>
    <row r="20">
      <c r="A20" s="111">
        <v>46245</v>
      </c>
      <c r="B20" s="114" t="s">
        <v>202</v>
      </c>
      <c r="C20" s="114" t="s">
        <v>212</v>
      </c>
      <c r="D20" s="89">
        <v>4</v>
      </c>
      <c r="E20" s="94">
        <v>5</v>
      </c>
      <c r="F20" s="95">
        <v>4</v>
      </c>
      <c r="G20" s="94">
        <v>4</v>
      </c>
      <c r="H20" s="112">
        <v>4</v>
      </c>
      <c r="I20" s="94">
        <v>1307.03</v>
      </c>
      <c r="J20" s="112">
        <v>0</v>
      </c>
      <c r="K20" s="112">
        <v>0</v>
      </c>
      <c r="L20" s="112">
        <v>4</v>
      </c>
      <c r="M20" s="96">
        <v>15684.36</v>
      </c>
      <c r="N20" s="113">
        <v>2</v>
      </c>
      <c r="O20" s="96">
        <v>907.25</v>
      </c>
      <c r="P20" s="89">
        <f t="shared" si="11"/>
      </c>
      <c r="Q20" s="97">
        <v>5453.97</v>
      </c>
      <c r="R20" s="98">
        <f t="shared" si="4"/>
      </c>
      <c r="S20" s="99">
        <f t="shared" si="2"/>
      </c>
      <c r="T20" s="99">
        <f t="shared" si="0"/>
      </c>
      <c r="U20" s="94"/>
      <c r="V20" s="94"/>
      <c r="W20" s="94"/>
      <c r="X20" s="94"/>
      <c r="Y20" s="94"/>
      <c r="Z20" s="94"/>
      <c r="AA20" s="94">
        <v>19856</v>
      </c>
      <c r="AB20" s="94">
        <v>1365</v>
      </c>
      <c r="AC20" s="94">
        <v>2269</v>
      </c>
      <c r="AD20" s="94">
        <v>333</v>
      </c>
      <c r="AE20" s="94">
        <v>95</v>
      </c>
      <c r="AF20" s="94">
        <v>11</v>
      </c>
      <c r="AG20" s="94">
        <v>81</v>
      </c>
      <c r="AH20" s="94">
        <v>0</v>
      </c>
      <c r="AI20" s="101">
        <f t="shared" si="32"/>
      </c>
      <c r="AJ20" s="101">
        <f t="shared" si="5"/>
      </c>
      <c r="AK20" s="101">
        <f t="shared" si="33"/>
      </c>
      <c r="AL20" s="102">
        <f t="shared" si="3"/>
      </c>
      <c r="AM20" s="103">
        <f t="shared" si="1"/>
      </c>
      <c r="AN20" s="104"/>
    </row>
    <row r="21">
      <c r="A21" s="115">
        <v>46245</v>
      </c>
      <c r="B21" s="106"/>
      <c r="C21" s="116" t="s">
        <v>215</v>
      </c>
      <c r="D21" s="106">
        <f>D18+D19+D20</f>
      </c>
      <c r="E21" s="106">
        <f>E18+E19+E20</f>
      </c>
      <c r="F21" s="106">
        <f>F18+F19+F20</f>
      </c>
      <c r="G21" s="106">
        <f>G18+G19+G20</f>
      </c>
      <c r="H21" s="106">
        <f>H18+H19+H20</f>
      </c>
      <c r="I21" s="106">
        <f>I18+I19+I20</f>
      </c>
      <c r="J21" s="106">
        <f>J18+J19+J20</f>
      </c>
      <c r="K21" s="106">
        <f>K18+K19+K20</f>
      </c>
      <c r="L21" s="106">
        <f>L18+L19+L20</f>
      </c>
      <c r="M21" s="106">
        <f>M18+M19+M20</f>
      </c>
      <c r="N21" s="106">
        <f>N18+N19+N20</f>
      </c>
      <c r="O21" s="106">
        <f>O18+O19+O20</f>
      </c>
      <c r="P21" s="106">
        <f>P18+P19+P20</f>
      </c>
      <c r="Q21" s="106">
        <f>Q18+Q19+Q20</f>
      </c>
      <c r="R21" s="107">
        <f t="shared" si="4"/>
      </c>
      <c r="S21" s="107">
        <f t="shared" si="2"/>
      </c>
      <c r="T21" s="107">
        <f t="shared" si="0"/>
      </c>
      <c r="U21" s="108"/>
      <c r="V21" s="116">
        <f>V18+V19+V20</f>
      </c>
      <c r="W21" s="108"/>
      <c r="X21" s="106">
        <f>SUM(X18:X19)</f>
      </c>
      <c r="Y21" s="108"/>
      <c r="Z21" s="106">
        <f>Z18+Z19+Z1933</f>
      </c>
      <c r="AA21" s="106">
        <f>AA18+AA19+AA20</f>
      </c>
      <c r="AB21" s="106">
        <f>AB18+AB19+AB20</f>
      </c>
      <c r="AC21" s="106">
        <f>AC18+AC19+AC20</f>
      </c>
      <c r="AD21" s="106">
        <f>AD18+AD19+AD20</f>
      </c>
      <c r="AE21" s="106">
        <f>AE18+AE19+AE20</f>
      </c>
      <c r="AF21" s="106">
        <f>AF18+AF19+AF20</f>
      </c>
      <c r="AG21" s="106">
        <f>AG18+AG19+AG20</f>
      </c>
      <c r="AH21" s="106">
        <f>AH18+AH19+AH20</f>
      </c>
      <c r="AI21" s="109">
        <f t="shared" si="32"/>
      </c>
      <c r="AJ21" s="109">
        <f t="shared" si="5"/>
      </c>
      <c r="AK21" s="109">
        <f t="shared" si="33"/>
      </c>
      <c r="AL21" s="109">
        <f t="shared" si="3"/>
      </c>
      <c r="AM21" s="110">
        <f t="shared" si="1"/>
      </c>
      <c r="AN21" s="109">
        <f>F21/AE21</f>
      </c>
    </row>
    <row r="22">
      <c r="A22" s="111">
        <v>46246</v>
      </c>
      <c r="B22" s="114" t="s">
        <v>198</v>
      </c>
      <c r="C22" s="114" t="s">
        <v>210</v>
      </c>
      <c r="D22" s="89">
        <v>4</v>
      </c>
      <c r="E22" s="94">
        <v>7</v>
      </c>
      <c r="F22" s="95">
        <v>5</v>
      </c>
      <c r="G22" s="94">
        <v>3</v>
      </c>
      <c r="H22" s="112">
        <v>5</v>
      </c>
      <c r="I22" s="94">
        <v>546.63</v>
      </c>
      <c r="J22" s="112">
        <v>0</v>
      </c>
      <c r="K22" s="112">
        <v>0</v>
      </c>
      <c r="L22" s="112">
        <v>5</v>
      </c>
      <c r="M22" s="96">
        <v>6559.5599999999995</v>
      </c>
      <c r="N22" s="113">
        <v>0</v>
      </c>
      <c r="O22" s="113">
        <v>0</v>
      </c>
      <c r="P22" s="89">
        <f t="shared" ref="P22:P24" si="12">I22*12+K22</f>
      </c>
      <c r="Q22" s="97">
        <v>8849.45</v>
      </c>
      <c r="R22" s="98">
        <f t="shared" si="4"/>
      </c>
      <c r="S22" s="99">
        <f t="shared" si="2"/>
      </c>
      <c r="T22" s="99">
        <f t="shared" si="0"/>
      </c>
      <c r="U22" s="112" t="s">
        <v>216</v>
      </c>
      <c r="V22" s="112">
        <v>3</v>
      </c>
      <c r="W22" s="94"/>
      <c r="X22" s="94"/>
      <c r="Y22" s="94"/>
      <c r="Z22" s="112"/>
      <c r="AA22" s="100">
        <v>29159</v>
      </c>
      <c r="AB22" s="100">
        <v>1196</v>
      </c>
      <c r="AC22" s="100">
        <v>1774</v>
      </c>
      <c r="AD22" s="100">
        <v>328</v>
      </c>
      <c r="AE22" s="94">
        <v>118</v>
      </c>
      <c r="AF22" s="94">
        <v>13</v>
      </c>
      <c r="AG22" s="94">
        <v>185</v>
      </c>
      <c r="AH22" s="94">
        <v>2</v>
      </c>
      <c r="AI22" s="101">
        <f t="shared" si="32"/>
      </c>
      <c r="AJ22" s="101">
        <f t="shared" si="5"/>
      </c>
      <c r="AK22" s="101">
        <f t="shared" si="33"/>
      </c>
      <c r="AL22" s="102">
        <f t="shared" si="3"/>
      </c>
      <c r="AM22" s="103">
        <f t="shared" si="1"/>
      </c>
      <c r="AN22" s="104"/>
    </row>
    <row r="23">
      <c r="A23" s="111">
        <v>46246</v>
      </c>
      <c r="B23" s="114" t="s">
        <v>207</v>
      </c>
      <c r="C23" s="114" t="s">
        <v>214</v>
      </c>
      <c r="D23" s="114">
        <v>4</v>
      </c>
      <c r="E23" s="94">
        <v>5</v>
      </c>
      <c r="F23" s="95">
        <v>3</v>
      </c>
      <c r="G23" s="94">
        <v>2</v>
      </c>
      <c r="H23" s="112">
        <v>3</v>
      </c>
      <c r="I23" s="112">
        <v>624.6899999999999</v>
      </c>
      <c r="J23" s="112">
        <v>0</v>
      </c>
      <c r="K23" s="112">
        <v>0</v>
      </c>
      <c r="L23" s="112">
        <v>3</v>
      </c>
      <c r="M23" s="113">
        <v>7496.279999999999</v>
      </c>
      <c r="N23" s="113">
        <v>0</v>
      </c>
      <c r="O23" s="113">
        <v>0</v>
      </c>
      <c r="P23" s="89">
        <f t="shared" si="12"/>
      </c>
      <c r="Q23" s="97">
        <v>4082.17</v>
      </c>
      <c r="R23" s="98">
        <f t="shared" si="4"/>
      </c>
      <c r="S23" s="99">
        <f t="shared" si="2"/>
      </c>
      <c r="T23" s="99">
        <f t="shared" si="0"/>
      </c>
      <c r="U23" s="112" t="s">
        <v>200</v>
      </c>
      <c r="V23" s="112">
        <v>9</v>
      </c>
      <c r="W23" s="94"/>
      <c r="X23" s="94"/>
      <c r="Y23" s="94" t="s">
        <v>201</v>
      </c>
      <c r="Z23" s="112">
        <v>12</v>
      </c>
      <c r="AA23" s="94">
        <v>13694</v>
      </c>
      <c r="AB23" s="94">
        <v>857</v>
      </c>
      <c r="AC23" s="94">
        <v>1362</v>
      </c>
      <c r="AD23" s="94">
        <v>278</v>
      </c>
      <c r="AE23" s="94">
        <v>85</v>
      </c>
      <c r="AF23" s="94">
        <v>12</v>
      </c>
      <c r="AG23" s="94">
        <v>125</v>
      </c>
      <c r="AH23" s="94">
        <v>1</v>
      </c>
      <c r="AI23" s="101">
        <f t="shared" si="32"/>
      </c>
      <c r="AJ23" s="101">
        <f t="shared" si="5"/>
      </c>
      <c r="AK23" s="101">
        <f t="shared" si="33"/>
      </c>
      <c r="AL23" s="102">
        <f t="shared" si="3"/>
      </c>
      <c r="AM23" s="103">
        <f t="shared" si="1"/>
      </c>
      <c r="AN23" s="104"/>
    </row>
    <row r="24">
      <c r="A24" s="111">
        <v>46246</v>
      </c>
      <c r="B24" s="114" t="s">
        <v>209</v>
      </c>
      <c r="C24" s="114" t="s">
        <v>212</v>
      </c>
      <c r="D24" s="89">
        <v>4</v>
      </c>
      <c r="E24" s="94">
        <v>2</v>
      </c>
      <c r="F24" s="117">
        <v>1</v>
      </c>
      <c r="G24" s="94">
        <v>1</v>
      </c>
      <c r="H24" s="112">
        <v>1</v>
      </c>
      <c r="I24" s="94">
        <v>55.26</v>
      </c>
      <c r="J24" s="112">
        <v>0</v>
      </c>
      <c r="K24" s="112">
        <v>0</v>
      </c>
      <c r="L24" s="112">
        <v>1</v>
      </c>
      <c r="M24" s="96">
        <v>663.12</v>
      </c>
      <c r="N24" s="113">
        <v>0</v>
      </c>
      <c r="O24" s="113">
        <v>0</v>
      </c>
      <c r="P24" s="89">
        <f t="shared" si="12"/>
      </c>
      <c r="Q24" s="97">
        <v>2527.4900000000002</v>
      </c>
      <c r="R24" s="98">
        <f t="shared" si="4"/>
      </c>
      <c r="S24" s="99">
        <f t="shared" si="2"/>
      </c>
      <c r="T24" s="99">
        <f t="shared" si="0"/>
      </c>
      <c r="U24" s="94"/>
      <c r="V24" s="94"/>
      <c r="W24" s="94"/>
      <c r="X24" s="94"/>
      <c r="Y24" s="94"/>
      <c r="Z24" s="94"/>
      <c r="AA24" s="94">
        <v>11404</v>
      </c>
      <c r="AB24" s="94">
        <v>740</v>
      </c>
      <c r="AC24" s="94">
        <v>1166</v>
      </c>
      <c r="AD24" s="94">
        <v>192</v>
      </c>
      <c r="AE24" s="94">
        <v>50</v>
      </c>
      <c r="AF24" s="94">
        <v>10</v>
      </c>
      <c r="AG24" s="94">
        <v>43</v>
      </c>
      <c r="AH24" s="94">
        <v>0</v>
      </c>
      <c r="AI24" s="101">
        <f t="shared" si="32"/>
      </c>
      <c r="AJ24" s="101">
        <f t="shared" si="5"/>
      </c>
      <c r="AK24" s="101">
        <f t="shared" si="33"/>
      </c>
      <c r="AL24" s="102">
        <f t="shared" si="3"/>
      </c>
      <c r="AM24" s="103">
        <f t="shared" si="1"/>
      </c>
      <c r="AN24" s="104"/>
    </row>
    <row r="25">
      <c r="A25" s="115">
        <v>46246</v>
      </c>
      <c r="B25" s="106"/>
      <c r="C25" s="116" t="s">
        <v>215</v>
      </c>
      <c r="D25" s="106">
        <f>D22+D23+D24</f>
      </c>
      <c r="E25" s="106">
        <f>E22+E23+E24</f>
      </c>
      <c r="F25" s="106">
        <f>F22+F23+F24</f>
      </c>
      <c r="G25" s="106">
        <f>G22+G23+G24</f>
      </c>
      <c r="H25" s="106">
        <f>H22+H23+H24</f>
      </c>
      <c r="I25" s="106">
        <f>I22+I23+I24</f>
      </c>
      <c r="J25" s="106">
        <f>J22+J23+J24</f>
      </c>
      <c r="K25" s="106">
        <f>K22+K23+K24</f>
      </c>
      <c r="L25" s="106">
        <f>L22+L23+L24</f>
      </c>
      <c r="M25" s="106">
        <f>M22+M23+M24</f>
      </c>
      <c r="N25" s="106">
        <f>N22+N23+N24</f>
      </c>
      <c r="O25" s="106">
        <f>O22+O23+O24</f>
      </c>
      <c r="P25" s="106">
        <f>P22+P23+P24</f>
      </c>
      <c r="Q25" s="106">
        <f>Q22+Q23+Q24</f>
      </c>
      <c r="R25" s="107">
        <f t="shared" si="4"/>
      </c>
      <c r="S25" s="107">
        <f t="shared" si="2"/>
      </c>
      <c r="T25" s="107">
        <f t="shared" si="0"/>
      </c>
      <c r="U25" s="108"/>
      <c r="V25" s="116">
        <f>V22+V23+V24</f>
      </c>
      <c r="W25" s="108"/>
      <c r="X25" s="106">
        <f>SUM(X22:X23)</f>
      </c>
      <c r="Y25" s="108"/>
      <c r="Z25" s="106">
        <f>Z22+Z23+Z1742</f>
      </c>
      <c r="AA25" s="106">
        <f>AA22+AA23+AA24</f>
      </c>
      <c r="AB25" s="106">
        <f>AB22+AB23+AB24</f>
      </c>
      <c r="AC25" s="106">
        <f>AC22+AC23+AC24</f>
      </c>
      <c r="AD25" s="106">
        <f>AD22+AD23+AD24</f>
      </c>
      <c r="AE25" s="106">
        <f>AE22+AE23+AE24</f>
      </c>
      <c r="AF25" s="106">
        <f>AF22+AF23+AF24</f>
      </c>
      <c r="AG25" s="106">
        <f>AG22+AG23+AG24</f>
      </c>
      <c r="AH25" s="106">
        <f>AH22+AH23+AH24</f>
      </c>
      <c r="AI25" s="109">
        <f t="shared" si="32"/>
      </c>
      <c r="AJ25" s="109">
        <f t="shared" si="5"/>
      </c>
      <c r="AK25" s="109">
        <f t="shared" si="33"/>
      </c>
      <c r="AL25" s="109">
        <f t="shared" si="3"/>
      </c>
      <c r="AM25" s="110">
        <f t="shared" si="1"/>
      </c>
      <c r="AN25" s="109">
        <f>F25/AE25</f>
      </c>
    </row>
    <row r="26">
      <c r="A26" s="111">
        <v>46247</v>
      </c>
      <c r="B26" s="114" t="s">
        <v>198</v>
      </c>
      <c r="C26" s="114" t="s">
        <v>212</v>
      </c>
      <c r="D26" s="89">
        <v>4</v>
      </c>
      <c r="E26" s="94">
        <v>3</v>
      </c>
      <c r="F26" s="95">
        <v>1</v>
      </c>
      <c r="G26" s="94">
        <v>1</v>
      </c>
      <c r="H26" s="112">
        <v>1</v>
      </c>
      <c r="I26" s="94">
        <v>208.89</v>
      </c>
      <c r="J26" s="112">
        <v>0</v>
      </c>
      <c r="K26" s="112">
        <v>0</v>
      </c>
      <c r="L26" s="112">
        <v>1</v>
      </c>
      <c r="M26" s="96">
        <v>2506.68</v>
      </c>
      <c r="N26" s="113">
        <v>0</v>
      </c>
      <c r="O26" s="113">
        <v>0</v>
      </c>
      <c r="P26" s="89">
        <f t="shared" ref="P26:P27" si="13">I26*12+K26</f>
      </c>
      <c r="Q26" s="97">
        <v>5207.0599999999995</v>
      </c>
      <c r="R26" s="98">
        <f t="shared" si="4"/>
      </c>
      <c r="S26" s="99">
        <f t="shared" si="2"/>
      </c>
      <c r="T26" s="99">
        <f t="shared" si="0"/>
      </c>
      <c r="U26" s="112"/>
      <c r="V26" s="112"/>
      <c r="W26" s="94"/>
      <c r="X26" s="94"/>
      <c r="Y26" s="94"/>
      <c r="Z26" s="112"/>
      <c r="AA26" s="100">
        <v>22852</v>
      </c>
      <c r="AB26" s="100">
        <v>949</v>
      </c>
      <c r="AC26" s="100">
        <v>1451</v>
      </c>
      <c r="AD26" s="100">
        <v>228</v>
      </c>
      <c r="AE26" s="94">
        <v>103</v>
      </c>
      <c r="AF26" s="94">
        <v>11</v>
      </c>
      <c r="AG26" s="94">
        <v>155</v>
      </c>
      <c r="AH26" s="94">
        <v>3</v>
      </c>
      <c r="AI26" s="101">
        <f t="shared" si="32"/>
      </c>
      <c r="AJ26" s="101">
        <f t="shared" si="5"/>
      </c>
      <c r="AK26" s="101">
        <f t="shared" si="33"/>
      </c>
      <c r="AL26" s="102">
        <f t="shared" si="3"/>
      </c>
      <c r="AM26" s="103">
        <f t="shared" si="1"/>
      </c>
      <c r="AN26" s="104"/>
    </row>
    <row r="27">
      <c r="A27" s="111">
        <v>46247</v>
      </c>
      <c r="B27" s="114" t="s">
        <v>202</v>
      </c>
      <c r="C27" s="114" t="s">
        <v>217</v>
      </c>
      <c r="D27" s="114">
        <v>3</v>
      </c>
      <c r="E27" s="94">
        <v>12</v>
      </c>
      <c r="F27" s="95">
        <v>9</v>
      </c>
      <c r="G27" s="94">
        <v>9</v>
      </c>
      <c r="H27" s="112">
        <v>9</v>
      </c>
      <c r="I27" s="112">
        <v>1463.33</v>
      </c>
      <c r="J27" s="112">
        <v>0</v>
      </c>
      <c r="K27" s="112">
        <v>0</v>
      </c>
      <c r="L27" s="112">
        <v>9</v>
      </c>
      <c r="M27" s="113">
        <v>17559.96</v>
      </c>
      <c r="N27" s="113">
        <v>2</v>
      </c>
      <c r="O27" s="113">
        <v>519.86</v>
      </c>
      <c r="P27" s="89">
        <f t="shared" si="13"/>
      </c>
      <c r="Q27" s="97">
        <v>9841.41</v>
      </c>
      <c r="R27" s="98">
        <f t="shared" si="4"/>
      </c>
      <c r="S27" s="99">
        <f t="shared" si="2"/>
      </c>
      <c r="T27" s="99">
        <f t="shared" si="0"/>
      </c>
      <c r="U27" s="112" t="s">
        <v>200</v>
      </c>
      <c r="V27" s="112">
        <v>7</v>
      </c>
      <c r="W27" s="94"/>
      <c r="X27" s="94"/>
      <c r="Y27" s="94" t="s">
        <v>201</v>
      </c>
      <c r="Z27" s="112">
        <v>7</v>
      </c>
      <c r="AA27" s="94">
        <v>34430</v>
      </c>
      <c r="AB27" s="94">
        <v>2066</v>
      </c>
      <c r="AC27" s="94">
        <v>3381</v>
      </c>
      <c r="AD27" s="94">
        <v>685</v>
      </c>
      <c r="AE27" s="94">
        <v>195</v>
      </c>
      <c r="AF27" s="94">
        <v>37</v>
      </c>
      <c r="AG27" s="94">
        <v>291</v>
      </c>
      <c r="AH27" s="94">
        <v>3</v>
      </c>
      <c r="AI27" s="101">
        <f t="shared" si="32"/>
      </c>
      <c r="AJ27" s="101">
        <f t="shared" si="5"/>
      </c>
      <c r="AK27" s="101">
        <f t="shared" si="33"/>
      </c>
      <c r="AL27" s="102">
        <f t="shared" si="3"/>
      </c>
      <c r="AM27" s="103">
        <f t="shared" si="1"/>
      </c>
      <c r="AN27" s="104"/>
    </row>
    <row r="28">
      <c r="A28" s="115">
        <v>46247</v>
      </c>
      <c r="B28" s="106"/>
      <c r="C28" s="116" t="s">
        <v>218</v>
      </c>
      <c r="D28" s="106">
        <f>D26+D27</f>
      </c>
      <c r="E28" s="106">
        <f>E26+E27</f>
      </c>
      <c r="F28" s="106">
        <f>F26+F27</f>
      </c>
      <c r="G28" s="106">
        <f>G26+G27</f>
      </c>
      <c r="H28" s="106">
        <f>H26+H27</f>
      </c>
      <c r="I28" s="106">
        <f>I26+I27</f>
      </c>
      <c r="J28" s="106">
        <f>J26+J27</f>
      </c>
      <c r="K28" s="106">
        <f>K26+K27</f>
      </c>
      <c r="L28" s="106">
        <f>L26+L27</f>
      </c>
      <c r="M28" s="106">
        <f>M26+M27</f>
      </c>
      <c r="N28" s="106">
        <f>N26+N27</f>
      </c>
      <c r="O28" s="106">
        <f>O26+O27</f>
      </c>
      <c r="P28" s="106">
        <f>P26+P27</f>
      </c>
      <c r="Q28" s="106">
        <f>Q26+Q27</f>
      </c>
      <c r="R28" s="107">
        <f t="shared" si="4"/>
      </c>
      <c r="S28" s="107">
        <f t="shared" si="2"/>
      </c>
      <c r="T28" s="107">
        <f t="shared" si="0"/>
      </c>
      <c r="U28" s="108"/>
      <c r="V28" s="116">
        <f>V26+V27</f>
      </c>
      <c r="W28" s="108"/>
      <c r="X28" s="106">
        <f>SUM(X26:X27)</f>
      </c>
      <c r="Y28" s="108"/>
      <c r="Z28" s="116">
        <v>7</v>
      </c>
      <c r="AA28" s="106">
        <f>AA26+AA27</f>
      </c>
      <c r="AB28" s="106">
        <f>AB26+AB27</f>
      </c>
      <c r="AC28" s="106">
        <f>AC26+AC27</f>
      </c>
      <c r="AD28" s="106">
        <f>AD26+AD27</f>
      </c>
      <c r="AE28" s="106">
        <f>AE26+AE27</f>
      </c>
      <c r="AF28" s="106">
        <f>AF26+AF27</f>
      </c>
      <c r="AG28" s="106">
        <f>AG26+AG27</f>
      </c>
      <c r="AH28" s="106">
        <f>AH26+AH27</f>
      </c>
      <c r="AI28" s="109">
        <f t="shared" si="32"/>
      </c>
      <c r="AJ28" s="109">
        <f t="shared" si="5"/>
      </c>
      <c r="AK28" s="109">
        <f t="shared" si="33"/>
      </c>
      <c r="AL28" s="109">
        <f t="shared" si="3"/>
      </c>
      <c r="AM28" s="110">
        <f t="shared" si="1"/>
      </c>
      <c r="AN28" s="109">
        <f>F28/AE28</f>
      </c>
    </row>
    <row r="29">
      <c r="A29" s="111">
        <v>46248</v>
      </c>
      <c r="B29" s="114" t="s">
        <v>198</v>
      </c>
      <c r="C29" s="114" t="s">
        <v>210</v>
      </c>
      <c r="D29" s="89">
        <v>4</v>
      </c>
      <c r="E29" s="112">
        <v>16</v>
      </c>
      <c r="F29" s="117">
        <v>11</v>
      </c>
      <c r="G29" s="112">
        <v>8</v>
      </c>
      <c r="H29" s="112">
        <v>12</v>
      </c>
      <c r="I29" s="94">
        <v>2257.07</v>
      </c>
      <c r="J29" s="112">
        <v>0</v>
      </c>
      <c r="K29" s="112">
        <v>0</v>
      </c>
      <c r="L29" s="112">
        <v>11</v>
      </c>
      <c r="M29" s="96">
        <v>27084.840000000004</v>
      </c>
      <c r="N29" s="113">
        <v>3</v>
      </c>
      <c r="O29" s="113">
        <v>886.9300000000001</v>
      </c>
      <c r="P29" s="89">
        <f t="shared" ref="P29:P32" si="14">I29*12+K29</f>
      </c>
      <c r="Q29" s="97">
        <v>13168.77</v>
      </c>
      <c r="R29" s="98">
        <f t="shared" si="4"/>
      </c>
      <c r="S29" s="99">
        <f t="shared" si="2"/>
      </c>
      <c r="T29" s="99">
        <f t="shared" si="0"/>
      </c>
      <c r="U29" s="112" t="s">
        <v>219</v>
      </c>
      <c r="V29" s="112">
        <v>6</v>
      </c>
      <c r="W29" s="94"/>
      <c r="X29" s="94"/>
      <c r="Y29" s="94"/>
      <c r="Z29" s="112"/>
      <c r="AA29" s="100">
        <v>44945</v>
      </c>
      <c r="AB29" s="100">
        <v>3400</v>
      </c>
      <c r="AC29" s="100">
        <v>5606</v>
      </c>
      <c r="AD29" s="100">
        <v>1354</v>
      </c>
      <c r="AE29" s="94">
        <v>236</v>
      </c>
      <c r="AF29" s="94">
        <v>39</v>
      </c>
      <c r="AG29" s="94">
        <v>318</v>
      </c>
      <c r="AH29" s="94">
        <v>0</v>
      </c>
      <c r="AI29" s="101">
        <f t="shared" si="32"/>
      </c>
      <c r="AJ29" s="101">
        <f t="shared" si="5"/>
      </c>
      <c r="AK29" s="101">
        <f t="shared" si="33"/>
      </c>
      <c r="AL29" s="102">
        <f t="shared" si="3"/>
      </c>
      <c r="AM29" s="103">
        <f t="shared" si="1"/>
      </c>
      <c r="AN29" s="104"/>
    </row>
    <row r="30">
      <c r="A30" s="111">
        <v>46248</v>
      </c>
      <c r="B30" s="114" t="s">
        <v>207</v>
      </c>
      <c r="C30" s="114" t="s">
        <v>214</v>
      </c>
      <c r="D30" s="114">
        <v>4</v>
      </c>
      <c r="E30" s="94">
        <v>11</v>
      </c>
      <c r="F30" s="95">
        <v>7</v>
      </c>
      <c r="G30" s="94">
        <v>3</v>
      </c>
      <c r="H30" s="112">
        <v>7</v>
      </c>
      <c r="I30" s="112">
        <v>1418.4199999999998</v>
      </c>
      <c r="J30" s="112">
        <v>0</v>
      </c>
      <c r="K30" s="112">
        <v>0</v>
      </c>
      <c r="L30" s="112">
        <v>7</v>
      </c>
      <c r="M30" s="113">
        <v>17021.039999999997</v>
      </c>
      <c r="N30" s="113">
        <v>3</v>
      </c>
      <c r="O30" s="113">
        <v>897.1000000000001</v>
      </c>
      <c r="P30" s="89">
        <f t="shared" si="14"/>
      </c>
      <c r="Q30" s="97">
        <v>12681.92</v>
      </c>
      <c r="R30" s="98">
        <f t="shared" si="4"/>
      </c>
      <c r="S30" s="99">
        <f t="shared" si="2"/>
      </c>
      <c r="T30" s="99">
        <f t="shared" si="0"/>
      </c>
      <c r="U30" s="112" t="s">
        <v>200</v>
      </c>
      <c r="V30" s="112">
        <v>1</v>
      </c>
      <c r="W30" s="94"/>
      <c r="X30" s="94"/>
      <c r="Y30" s="94" t="s">
        <v>201</v>
      </c>
      <c r="Z30" s="112">
        <v>15</v>
      </c>
      <c r="AA30" s="94">
        <v>37916</v>
      </c>
      <c r="AB30" s="94">
        <v>3897</v>
      </c>
      <c r="AC30" s="94">
        <v>6167</v>
      </c>
      <c r="AD30" s="94">
        <v>1591</v>
      </c>
      <c r="AE30" s="94">
        <v>231</v>
      </c>
      <c r="AF30" s="94">
        <v>48</v>
      </c>
      <c r="AG30" s="94">
        <v>350</v>
      </c>
      <c r="AH30" s="94">
        <v>5</v>
      </c>
      <c r="AI30" s="101">
        <f t="shared" si="32"/>
      </c>
      <c r="AJ30" s="101">
        <f t="shared" si="5"/>
      </c>
      <c r="AK30" s="101">
        <f t="shared" si="33"/>
      </c>
      <c r="AL30" s="102">
        <f t="shared" si="3"/>
      </c>
      <c r="AM30" s="103">
        <f t="shared" si="1"/>
      </c>
      <c r="AN30" s="104"/>
    </row>
    <row customHeight="true" ht="16.071428571428573" r="31">
      <c r="A31" s="111">
        <v>46248</v>
      </c>
      <c r="B31" s="114" t="s">
        <v>209</v>
      </c>
      <c r="C31" s="114" t="s">
        <v>212</v>
      </c>
      <c r="D31" s="114">
        <v>4</v>
      </c>
      <c r="E31" s="94">
        <v>13</v>
      </c>
      <c r="F31" s="117">
        <v>9</v>
      </c>
      <c r="G31" s="94">
        <v>8</v>
      </c>
      <c r="H31" s="112">
        <v>9</v>
      </c>
      <c r="I31" s="94">
        <v>1191.92</v>
      </c>
      <c r="J31" s="112">
        <v>0</v>
      </c>
      <c r="K31" s="112">
        <v>0</v>
      </c>
      <c r="L31" s="112">
        <v>9</v>
      </c>
      <c r="M31" s="96">
        <v>14303.04</v>
      </c>
      <c r="N31" s="113">
        <v>3</v>
      </c>
      <c r="O31" s="113">
        <v>684.86</v>
      </c>
      <c r="P31" s="89">
        <f t="shared" si="14"/>
      </c>
      <c r="Q31" s="97">
        <v>14777.779999999999</v>
      </c>
      <c r="R31" s="98">
        <f t="shared" si="4"/>
      </c>
      <c r="S31" s="99">
        <f t="shared" si="2"/>
      </c>
      <c r="T31" s="99">
        <f t="shared" si="0"/>
      </c>
      <c r="U31" s="112" t="s">
        <v>206</v>
      </c>
      <c r="V31" s="112">
        <v>8</v>
      </c>
      <c r="W31" s="94"/>
      <c r="X31" s="94"/>
      <c r="Y31" s="94"/>
      <c r="Z31" s="94"/>
      <c r="AA31" s="94">
        <v>44438</v>
      </c>
      <c r="AB31" s="94">
        <v>6500</v>
      </c>
      <c r="AC31" s="94">
        <v>12076</v>
      </c>
      <c r="AD31" s="94">
        <v>3215</v>
      </c>
      <c r="AE31" s="94">
        <v>131</v>
      </c>
      <c r="AF31" s="94">
        <v>70</v>
      </c>
      <c r="AG31" s="94">
        <v>369</v>
      </c>
      <c r="AH31" s="94">
        <v>2</v>
      </c>
      <c r="AI31" s="101">
        <f t="shared" si="32"/>
      </c>
      <c r="AJ31" s="101">
        <f t="shared" si="5"/>
      </c>
      <c r="AK31" s="101">
        <f t="shared" si="33"/>
      </c>
      <c r="AL31" s="102">
        <f t="shared" si="3"/>
      </c>
      <c r="AM31" s="103">
        <f t="shared" si="1"/>
      </c>
      <c r="AN31" s="104"/>
    </row>
    <row r="32">
      <c r="A32" s="111">
        <v>46248</v>
      </c>
      <c r="B32" s="114" t="s">
        <v>220</v>
      </c>
      <c r="C32" s="114" t="s">
        <v>217</v>
      </c>
      <c r="D32" s="114">
        <v>3</v>
      </c>
      <c r="E32" s="94">
        <v>6</v>
      </c>
      <c r="F32" s="117">
        <v>4</v>
      </c>
      <c r="G32" s="94">
        <v>4</v>
      </c>
      <c r="H32" s="112">
        <v>3</v>
      </c>
      <c r="I32" s="94">
        <v>517.69</v>
      </c>
      <c r="J32" s="112">
        <v>1</v>
      </c>
      <c r="K32" s="112">
        <v>1026</v>
      </c>
      <c r="L32" s="112">
        <v>4</v>
      </c>
      <c r="M32" s="96">
        <v>7238.280000000001</v>
      </c>
      <c r="N32" s="113">
        <v>2</v>
      </c>
      <c r="O32" s="113">
        <v>470.71000000000004</v>
      </c>
      <c r="P32" s="89">
        <f t="shared" si="14"/>
      </c>
      <c r="Q32" s="97">
        <v>9211.65</v>
      </c>
      <c r="R32" s="98">
        <f t="shared" si="4"/>
      </c>
      <c r="S32" s="99">
        <f t="shared" si="2"/>
      </c>
      <c r="T32" s="99">
        <f t="shared" si="0"/>
      </c>
      <c r="U32" s="94"/>
      <c r="V32" s="94"/>
      <c r="W32" s="94"/>
      <c r="X32" s="94"/>
      <c r="Y32" s="94"/>
      <c r="Z32" s="94"/>
      <c r="AA32" s="94">
        <v>36052</v>
      </c>
      <c r="AB32" s="94">
        <v>3587</v>
      </c>
      <c r="AC32" s="94">
        <v>7002</v>
      </c>
      <c r="AD32" s="94">
        <v>1657</v>
      </c>
      <c r="AE32" s="94">
        <v>123</v>
      </c>
      <c r="AF32" s="94">
        <v>51</v>
      </c>
      <c r="AG32" s="94">
        <v>251</v>
      </c>
      <c r="AH32" s="94">
        <v>2</v>
      </c>
      <c r="AI32" s="101">
        <f t="shared" si="32"/>
      </c>
      <c r="AJ32" s="101">
        <f t="shared" si="5"/>
      </c>
      <c r="AK32" s="101">
        <f t="shared" si="33"/>
      </c>
      <c r="AL32" s="102">
        <f t="shared" si="3"/>
      </c>
      <c r="AM32" s="103">
        <f t="shared" si="1"/>
      </c>
      <c r="AN32" s="104"/>
    </row>
    <row r="33">
      <c r="A33" s="115">
        <v>46248</v>
      </c>
      <c r="B33" s="106"/>
      <c r="C33" s="116" t="s">
        <v>221</v>
      </c>
      <c r="D33" s="106">
        <f>D29+D30+D31+D32</f>
      </c>
      <c r="E33" s="106">
        <f>E29+E30+E31+E32</f>
      </c>
      <c r="F33" s="106">
        <f>F29+F30+F31+F32</f>
      </c>
      <c r="G33" s="106">
        <f>G29+G30+G31+G32</f>
      </c>
      <c r="H33" s="106">
        <f>H29+H30+H31+H32</f>
      </c>
      <c r="I33" s="106">
        <f>I29+I30+I31+I32</f>
      </c>
      <c r="J33" s="106">
        <f>J29+J30+J31+J32</f>
      </c>
      <c r="K33" s="106">
        <f>K29+K30+K31+K32</f>
      </c>
      <c r="L33" s="106">
        <f>L29+L30+L31+L32</f>
      </c>
      <c r="M33" s="106">
        <f>M29+M30+M31+M32</f>
      </c>
      <c r="N33" s="106">
        <f>N29+N30+N31+N32</f>
      </c>
      <c r="O33" s="106">
        <f>O29+O30+O31+O32</f>
      </c>
      <c r="P33" s="106">
        <f>P29+P30+P31+P32</f>
      </c>
      <c r="Q33" s="106">
        <f>Q29+Q30+Q31+Q32</f>
      </c>
      <c r="R33" s="107">
        <f t="shared" si="4"/>
      </c>
      <c r="S33" s="107">
        <f t="shared" si="2"/>
      </c>
      <c r="T33" s="107">
        <f t="shared" si="0"/>
      </c>
      <c r="U33" s="108"/>
      <c r="V33" s="116">
        <f>V29+V30+V32+V31</f>
      </c>
      <c r="W33" s="108"/>
      <c r="X33" s="106">
        <f>SUM(X29:X30)</f>
      </c>
      <c r="Y33" s="108"/>
      <c r="Z33" s="116">
        <v>15</v>
      </c>
      <c r="AA33" s="106">
        <f>AA29+AA30+AA32+AA31</f>
      </c>
      <c r="AB33" s="106">
        <f>AB29+AB30+AB32+AB31</f>
      </c>
      <c r="AC33" s="106">
        <f>AC29+AC30+AC32+AC31</f>
      </c>
      <c r="AD33" s="106">
        <f>AD29+AD30+AD32+AD31</f>
      </c>
      <c r="AE33" s="106">
        <f>AE29+AE30+AE32+AE31</f>
      </c>
      <c r="AF33" s="106">
        <f>AF29+AF30+AF32+AF31</f>
      </c>
      <c r="AG33" s="106">
        <f>AG29+AG30+AG32+AG31</f>
      </c>
      <c r="AH33" s="106">
        <f>AH29+AH30+AH32+AH31</f>
      </c>
      <c r="AI33" s="109">
        <f t="shared" si="32"/>
      </c>
      <c r="AJ33" s="109">
        <f t="shared" si="5"/>
      </c>
      <c r="AK33" s="109">
        <f t="shared" si="33"/>
      </c>
      <c r="AL33" s="109">
        <f t="shared" si="3"/>
      </c>
      <c r="AM33" s="110">
        <f t="shared" si="1"/>
      </c>
      <c r="AN33" s="109">
        <f>F33/AE33</f>
      </c>
    </row>
    <row r="34">
      <c r="A34" s="111">
        <v>46249</v>
      </c>
      <c r="B34" s="114" t="s">
        <v>198</v>
      </c>
      <c r="C34" s="114" t="s">
        <v>210</v>
      </c>
      <c r="D34" s="89">
        <v>4</v>
      </c>
      <c r="E34" s="112">
        <v>12</v>
      </c>
      <c r="F34" s="117">
        <v>5</v>
      </c>
      <c r="G34" s="112">
        <v>3</v>
      </c>
      <c r="H34" s="112">
        <v>5</v>
      </c>
      <c r="I34" s="94">
        <v>948.98</v>
      </c>
      <c r="J34" s="112">
        <v>0</v>
      </c>
      <c r="K34" s="112">
        <v>0</v>
      </c>
      <c r="L34" s="112">
        <v>5</v>
      </c>
      <c r="M34" s="96">
        <v>11387.76</v>
      </c>
      <c r="N34" s="113">
        <v>3</v>
      </c>
      <c r="O34" s="113">
        <v>585.38</v>
      </c>
      <c r="P34" s="89">
        <f t="shared" ref="P34:P37" si="15">I34*12+K34</f>
      </c>
      <c r="Q34" s="97">
        <v>12364.529999999999</v>
      </c>
      <c r="R34" s="98">
        <f t="shared" si="4"/>
      </c>
      <c r="S34" s="99">
        <f t="shared" si="2"/>
      </c>
      <c r="T34" s="99">
        <f t="shared" si="0"/>
      </c>
      <c r="U34" s="112" t="s">
        <v>219</v>
      </c>
      <c r="V34" s="112">
        <v>6</v>
      </c>
      <c r="W34" s="94"/>
      <c r="X34" s="94"/>
      <c r="Y34" s="94"/>
      <c r="Z34" s="112"/>
      <c r="AA34" s="100">
        <v>39466</v>
      </c>
      <c r="AB34" s="100">
        <v>2640</v>
      </c>
      <c r="AC34" s="100">
        <v>4014</v>
      </c>
      <c r="AD34" s="100">
        <v>1054</v>
      </c>
      <c r="AE34" s="94">
        <v>189</v>
      </c>
      <c r="AF34" s="94">
        <v>29</v>
      </c>
      <c r="AG34" s="94">
        <v>258</v>
      </c>
      <c r="AH34" s="94">
        <v>3</v>
      </c>
      <c r="AI34" s="101">
        <f t="shared" si="32"/>
      </c>
      <c r="AJ34" s="101">
        <f t="shared" si="5"/>
      </c>
      <c r="AK34" s="101">
        <f t="shared" si="33"/>
      </c>
      <c r="AL34" s="102">
        <f t="shared" si="3"/>
      </c>
      <c r="AM34" s="103">
        <f t="shared" si="1"/>
      </c>
      <c r="AN34" s="104"/>
    </row>
    <row r="35">
      <c r="A35" s="111">
        <v>46249</v>
      </c>
      <c r="B35" s="114" t="s">
        <v>207</v>
      </c>
      <c r="C35" s="114" t="s">
        <v>214</v>
      </c>
      <c r="D35" s="114">
        <v>4</v>
      </c>
      <c r="E35" s="94">
        <v>7</v>
      </c>
      <c r="F35" s="95">
        <v>4</v>
      </c>
      <c r="G35" s="94">
        <v>3</v>
      </c>
      <c r="H35" s="112">
        <v>3</v>
      </c>
      <c r="I35" s="112">
        <v>439.64</v>
      </c>
      <c r="J35" s="112">
        <v>1</v>
      </c>
      <c r="K35" s="112">
        <v>1233</v>
      </c>
      <c r="L35" s="112">
        <v>4</v>
      </c>
      <c r="M35" s="113">
        <v>6508.68</v>
      </c>
      <c r="N35" s="113">
        <v>2</v>
      </c>
      <c r="O35" s="113">
        <v>1414.08</v>
      </c>
      <c r="P35" s="89">
        <f t="shared" si="15"/>
      </c>
      <c r="Q35" s="97">
        <v>7945.200000000001</v>
      </c>
      <c r="R35" s="98">
        <f t="shared" si="4"/>
      </c>
      <c r="S35" s="99">
        <f t="shared" si="2"/>
      </c>
      <c r="T35" s="99">
        <f t="shared" si="0"/>
      </c>
      <c r="U35" s="112"/>
      <c r="V35" s="112"/>
      <c r="W35" s="94"/>
      <c r="X35" s="94"/>
      <c r="Y35" s="94" t="s">
        <v>201</v>
      </c>
      <c r="Z35" s="112">
        <v>15</v>
      </c>
      <c r="AA35" s="94">
        <v>20047</v>
      </c>
      <c r="AB35" s="94">
        <v>1767</v>
      </c>
      <c r="AC35" s="94">
        <v>2736</v>
      </c>
      <c r="AD35" s="94">
        <v>680</v>
      </c>
      <c r="AE35" s="94">
        <v>127</v>
      </c>
      <c r="AF35" s="94">
        <v>23</v>
      </c>
      <c r="AG35" s="94">
        <v>207</v>
      </c>
      <c r="AH35" s="94">
        <v>0</v>
      </c>
      <c r="AI35" s="101">
        <f t="shared" si="32"/>
      </c>
      <c r="AJ35" s="101">
        <f t="shared" si="5"/>
      </c>
      <c r="AK35" s="101">
        <f t="shared" si="33"/>
      </c>
      <c r="AL35" s="102">
        <f t="shared" si="3"/>
      </c>
      <c r="AM35" s="103">
        <f t="shared" si="1"/>
      </c>
      <c r="AN35" s="104"/>
    </row>
    <row r="36">
      <c r="A36" s="111">
        <v>46249</v>
      </c>
      <c r="B36" s="114" t="s">
        <v>209</v>
      </c>
      <c r="C36" s="114" t="s">
        <v>199</v>
      </c>
      <c r="D36" s="114">
        <v>3</v>
      </c>
      <c r="E36" s="94">
        <v>1</v>
      </c>
      <c r="F36" s="117">
        <v>1</v>
      </c>
      <c r="G36" s="94">
        <v>0</v>
      </c>
      <c r="H36" s="112">
        <v>0</v>
      </c>
      <c r="I36" s="112">
        <v>0</v>
      </c>
      <c r="J36" s="112">
        <v>1</v>
      </c>
      <c r="K36" s="112">
        <v>1401.3</v>
      </c>
      <c r="L36" s="112">
        <v>1</v>
      </c>
      <c r="M36" s="96">
        <v>1401.3</v>
      </c>
      <c r="N36" s="113">
        <v>1</v>
      </c>
      <c r="O36" s="113">
        <v>1401.3</v>
      </c>
      <c r="P36" s="89">
        <f t="shared" si="15"/>
      </c>
      <c r="Q36" s="97">
        <v>3131.45</v>
      </c>
      <c r="R36" s="98">
        <f t="shared" si="4"/>
      </c>
      <c r="S36" s="99">
        <f t="shared" si="2"/>
      </c>
      <c r="T36" s="99">
        <f t="shared" si="0"/>
      </c>
      <c r="U36" s="112"/>
      <c r="V36" s="112"/>
      <c r="W36" s="94"/>
      <c r="X36" s="94"/>
      <c r="Y36" s="94"/>
      <c r="Z36" s="94"/>
      <c r="AA36" s="94">
        <v>10537</v>
      </c>
      <c r="AB36" s="94">
        <v>957</v>
      </c>
      <c r="AC36" s="94">
        <v>1750</v>
      </c>
      <c r="AD36" s="94">
        <v>341</v>
      </c>
      <c r="AE36" s="94">
        <v>39</v>
      </c>
      <c r="AF36" s="94">
        <v>12</v>
      </c>
      <c r="AG36" s="94">
        <v>47</v>
      </c>
      <c r="AH36" s="94">
        <v>1</v>
      </c>
      <c r="AI36" s="101">
        <f t="shared" si="32"/>
      </c>
      <c r="AJ36" s="101">
        <f t="shared" si="5"/>
      </c>
      <c r="AK36" s="101">
        <f t="shared" si="33"/>
      </c>
      <c r="AL36" s="102">
        <f t="shared" si="3"/>
      </c>
      <c r="AM36" s="103">
        <f t="shared" si="1"/>
      </c>
      <c r="AN36" s="104"/>
    </row>
    <row r="37">
      <c r="A37" s="111">
        <v>46249</v>
      </c>
      <c r="B37" s="114" t="s">
        <v>220</v>
      </c>
      <c r="C37" s="114" t="s">
        <v>203</v>
      </c>
      <c r="D37" s="114">
        <v>4</v>
      </c>
      <c r="E37" s="94">
        <v>3</v>
      </c>
      <c r="F37" s="117">
        <v>3</v>
      </c>
      <c r="G37" s="94">
        <v>3</v>
      </c>
      <c r="H37" s="112">
        <v>3</v>
      </c>
      <c r="I37" s="94">
        <v>436.5</v>
      </c>
      <c r="J37" s="112">
        <v>0</v>
      </c>
      <c r="K37" s="112">
        <v>0</v>
      </c>
      <c r="L37" s="112">
        <v>3</v>
      </c>
      <c r="M37" s="96">
        <v>5238</v>
      </c>
      <c r="N37" s="113">
        <v>0</v>
      </c>
      <c r="O37" s="113">
        <v>0</v>
      </c>
      <c r="P37" s="89">
        <f t="shared" si="15"/>
      </c>
      <c r="Q37" s="97">
        <v>4526.5</v>
      </c>
      <c r="R37" s="98">
        <f t="shared" si="4"/>
      </c>
      <c r="S37" s="99">
        <f t="shared" si="2"/>
      </c>
      <c r="T37" s="99">
        <f t="shared" si="0"/>
      </c>
      <c r="U37" s="112" t="s">
        <v>200</v>
      </c>
      <c r="V37" s="112">
        <v>9</v>
      </c>
      <c r="W37" s="94"/>
      <c r="X37" s="94"/>
      <c r="Y37" s="94"/>
      <c r="Z37" s="94"/>
      <c r="AA37" s="94">
        <v>15561</v>
      </c>
      <c r="AB37" s="94">
        <v>1678</v>
      </c>
      <c r="AC37" s="94">
        <v>3025</v>
      </c>
      <c r="AD37" s="94">
        <v>606</v>
      </c>
      <c r="AE37" s="94">
        <v>61</v>
      </c>
      <c r="AF37" s="94">
        <v>22</v>
      </c>
      <c r="AG37" s="94">
        <v>181</v>
      </c>
      <c r="AH37" s="94">
        <v>0</v>
      </c>
      <c r="AI37" s="101">
        <f t="shared" si="32"/>
      </c>
      <c r="AJ37" s="101">
        <f t="shared" si="5"/>
      </c>
      <c r="AK37" s="101">
        <f t="shared" si="33"/>
      </c>
      <c r="AL37" s="102">
        <f t="shared" si="3"/>
      </c>
      <c r="AM37" s="103">
        <f t="shared" si="1"/>
      </c>
      <c r="AN37" s="104"/>
    </row>
    <row r="38">
      <c r="A38" s="115">
        <v>46249</v>
      </c>
      <c r="B38" s="106"/>
      <c r="C38" s="116" t="s">
        <v>221</v>
      </c>
      <c r="D38" s="106">
        <f>D34+D35+D36+D37</f>
      </c>
      <c r="E38" s="106">
        <f>E34+E35+E36+E37</f>
      </c>
      <c r="F38" s="106">
        <f>F34+F35+F36+F37</f>
      </c>
      <c r="G38" s="106">
        <f>G34+G35+G36+G37</f>
      </c>
      <c r="H38" s="106">
        <f>H34+H35+H36+H37</f>
      </c>
      <c r="I38" s="106">
        <f>I34+I35+I36+I37</f>
      </c>
      <c r="J38" s="106">
        <f>J34+J35+J36+J37</f>
      </c>
      <c r="K38" s="106">
        <f>K34+K35+K36+K37</f>
      </c>
      <c r="L38" s="106">
        <f>L34+L35+L36+L37</f>
      </c>
      <c r="M38" s="106">
        <f>M34+M35+M36+M37</f>
      </c>
      <c r="N38" s="106">
        <f>N34+N35+N36+N37</f>
      </c>
      <c r="O38" s="106">
        <f>O34+O35+O36+O37</f>
      </c>
      <c r="P38" s="106">
        <f>P34+P35+P36+P37</f>
      </c>
      <c r="Q38" s="106">
        <f>Q34+Q35+Q36+Q37</f>
      </c>
      <c r="R38" s="107">
        <f t="shared" si="4"/>
      </c>
      <c r="S38" s="107">
        <f t="shared" si="2"/>
      </c>
      <c r="T38" s="107">
        <f t="shared" si="0"/>
      </c>
      <c r="U38" s="108"/>
      <c r="V38" s="116">
        <f>V34+V35+V37+V36</f>
      </c>
      <c r="W38" s="108"/>
      <c r="X38" s="106">
        <f>SUM(X34:X35)</f>
      </c>
      <c r="Y38" s="108"/>
      <c r="Z38" s="116">
        <v>15</v>
      </c>
      <c r="AA38" s="106">
        <f>AA34+AA35+AA37+AA36</f>
      </c>
      <c r="AB38" s="106">
        <f>AB34+AB35+AB37+AB36</f>
      </c>
      <c r="AC38" s="106">
        <f>AC34+AC35+AC37+AC36</f>
      </c>
      <c r="AD38" s="106">
        <f>AD34+AD35+AD37+AD36</f>
      </c>
      <c r="AE38" s="106">
        <f>AE34+AE35+AE37+AE36</f>
      </c>
      <c r="AF38" s="106">
        <f>AF34+AF35+AF37+AF36</f>
      </c>
      <c r="AG38" s="106">
        <f>AG34+AG35+AG37+AG36</f>
      </c>
      <c r="AH38" s="106">
        <f>AH34+AH35+AH37+AH36</f>
      </c>
      <c r="AI38" s="109">
        <f t="shared" si="32"/>
      </c>
      <c r="AJ38" s="109">
        <f t="shared" si="5"/>
      </c>
      <c r="AK38" s="109">
        <f t="shared" si="33"/>
      </c>
      <c r="AL38" s="109">
        <f t="shared" si="3"/>
      </c>
      <c r="AM38" s="110">
        <f t="shared" si="1"/>
      </c>
      <c r="AN38" s="109">
        <f>F38/AE38</f>
      </c>
    </row>
    <row r="39">
      <c r="A39" s="111">
        <v>46250</v>
      </c>
      <c r="B39" s="114" t="s">
        <v>207</v>
      </c>
      <c r="C39" s="114" t="s">
        <v>210</v>
      </c>
      <c r="D39" s="89">
        <v>4</v>
      </c>
      <c r="E39" s="112">
        <v>13</v>
      </c>
      <c r="F39" s="117">
        <v>7</v>
      </c>
      <c r="G39" s="112">
        <v>7</v>
      </c>
      <c r="H39" s="112">
        <v>6</v>
      </c>
      <c r="I39" s="94">
        <v>971.87</v>
      </c>
      <c r="J39" s="112">
        <v>1</v>
      </c>
      <c r="K39" s="112">
        <v>4389.4</v>
      </c>
      <c r="L39" s="112">
        <v>7</v>
      </c>
      <c r="M39" s="96">
        <v>16051.84</v>
      </c>
      <c r="N39" s="113">
        <v>2</v>
      </c>
      <c r="O39" s="113">
        <v>4691.94</v>
      </c>
      <c r="P39" s="89">
        <f t="shared" ref="P39:P42" si="16">I39*12+K39</f>
      </c>
      <c r="Q39" s="97">
        <v>11057.87</v>
      </c>
      <c r="R39" s="98">
        <f t="shared" si="4"/>
      </c>
      <c r="S39" s="99">
        <f t="shared" si="2"/>
      </c>
      <c r="T39" s="99">
        <f t="shared" si="0"/>
      </c>
      <c r="U39" s="112" t="s">
        <v>219</v>
      </c>
      <c r="V39" s="112">
        <v>5</v>
      </c>
      <c r="W39" s="94"/>
      <c r="X39" s="94"/>
      <c r="Y39" s="94"/>
      <c r="Z39" s="112"/>
      <c r="AA39" s="100">
        <v>38332</v>
      </c>
      <c r="AB39" s="100">
        <v>5743</v>
      </c>
      <c r="AC39" s="100">
        <v>9935</v>
      </c>
      <c r="AD39" s="100">
        <v>2436</v>
      </c>
      <c r="AE39" s="94">
        <v>152</v>
      </c>
      <c r="AF39" s="94">
        <v>38</v>
      </c>
      <c r="AG39" s="94">
        <v>287</v>
      </c>
      <c r="AH39" s="94">
        <v>3</v>
      </c>
      <c r="AI39" s="101">
        <f t="shared" si="32"/>
      </c>
      <c r="AJ39" s="101">
        <f t="shared" si="5"/>
      </c>
      <c r="AK39" s="101">
        <f t="shared" si="33"/>
      </c>
      <c r="AL39" s="102">
        <f t="shared" si="3"/>
      </c>
      <c r="AM39" s="103">
        <f t="shared" si="1"/>
      </c>
      <c r="AN39" s="104"/>
    </row>
    <row r="40">
      <c r="A40" s="111">
        <v>46250</v>
      </c>
      <c r="B40" s="114" t="s">
        <v>198</v>
      </c>
      <c r="C40" s="114" t="s">
        <v>214</v>
      </c>
      <c r="D40" s="114">
        <v>4</v>
      </c>
      <c r="E40" s="94">
        <v>7</v>
      </c>
      <c r="F40" s="95">
        <v>1</v>
      </c>
      <c r="G40" s="94">
        <v>1</v>
      </c>
      <c r="H40" s="112">
        <v>1</v>
      </c>
      <c r="I40" s="112">
        <v>38.97</v>
      </c>
      <c r="J40" s="112">
        <v>0</v>
      </c>
      <c r="K40" s="112">
        <v>0</v>
      </c>
      <c r="L40" s="112">
        <v>1</v>
      </c>
      <c r="M40" s="113">
        <v>467.64</v>
      </c>
      <c r="N40" s="113">
        <v>0</v>
      </c>
      <c r="O40" s="113">
        <v>0</v>
      </c>
      <c r="P40" s="89">
        <f t="shared" si="16"/>
      </c>
      <c r="Q40" s="97">
        <v>8462.83</v>
      </c>
      <c r="R40" s="98">
        <f t="shared" si="4"/>
      </c>
      <c r="S40" s="99">
        <f t="shared" si="2"/>
      </c>
      <c r="T40" s="99">
        <f t="shared" si="0"/>
      </c>
      <c r="U40" s="112" t="s">
        <v>222</v>
      </c>
      <c r="V40" s="112">
        <v>1</v>
      </c>
      <c r="W40" s="94"/>
      <c r="X40" s="94"/>
      <c r="Y40" s="94" t="s">
        <v>201</v>
      </c>
      <c r="Z40" s="112">
        <v>15</v>
      </c>
      <c r="AA40" s="94">
        <v>18183</v>
      </c>
      <c r="AB40" s="94">
        <v>2822</v>
      </c>
      <c r="AC40" s="94">
        <v>5206</v>
      </c>
      <c r="AD40" s="94">
        <v>1341</v>
      </c>
      <c r="AE40" s="94">
        <v>70</v>
      </c>
      <c r="AF40" s="94">
        <v>23</v>
      </c>
      <c r="AG40" s="94">
        <v>153</v>
      </c>
      <c r="AH40" s="94">
        <v>1</v>
      </c>
      <c r="AI40" s="101">
        <f t="shared" si="32"/>
      </c>
      <c r="AJ40" s="101">
        <f t="shared" si="5"/>
      </c>
      <c r="AK40" s="101">
        <f t="shared" si="33"/>
      </c>
      <c r="AL40" s="102">
        <f t="shared" si="3"/>
      </c>
      <c r="AM40" s="103">
        <f t="shared" si="1"/>
      </c>
      <c r="AN40" s="104"/>
    </row>
    <row r="41">
      <c r="A41" s="111">
        <v>46250</v>
      </c>
      <c r="B41" s="114" t="s">
        <v>209</v>
      </c>
      <c r="C41" s="114" t="s">
        <v>212</v>
      </c>
      <c r="D41" s="114">
        <v>4</v>
      </c>
      <c r="E41" s="94">
        <v>4</v>
      </c>
      <c r="F41" s="117">
        <v>2</v>
      </c>
      <c r="G41" s="112">
        <v>1</v>
      </c>
      <c r="H41" s="112">
        <v>1</v>
      </c>
      <c r="I41" s="112">
        <v>148.59</v>
      </c>
      <c r="J41" s="112">
        <v>1</v>
      </c>
      <c r="K41" s="112">
        <v>878</v>
      </c>
      <c r="L41" s="112">
        <v>2</v>
      </c>
      <c r="M41" s="96">
        <v>2661.08</v>
      </c>
      <c r="N41" s="113">
        <v>0</v>
      </c>
      <c r="O41" s="113">
        <v>0</v>
      </c>
      <c r="P41" s="89">
        <f t="shared" si="16"/>
      </c>
      <c r="Q41" s="97">
        <v>4812.530000000001</v>
      </c>
      <c r="R41" s="98">
        <f t="shared" si="4"/>
      </c>
      <c r="S41" s="99">
        <f t="shared" si="2"/>
      </c>
      <c r="T41" s="99">
        <f t="shared" si="0"/>
      </c>
      <c r="U41" s="112"/>
      <c r="V41" s="112"/>
      <c r="W41" s="94"/>
      <c r="X41" s="94"/>
      <c r="Y41" s="94"/>
      <c r="Z41" s="94"/>
      <c r="AA41" s="94">
        <v>13633</v>
      </c>
      <c r="AB41" s="94">
        <v>2091</v>
      </c>
      <c r="AC41" s="94">
        <v>4050</v>
      </c>
      <c r="AD41" s="94">
        <v>857</v>
      </c>
      <c r="AE41" s="94">
        <v>44</v>
      </c>
      <c r="AF41" s="94">
        <v>9</v>
      </c>
      <c r="AG41" s="94">
        <v>106</v>
      </c>
      <c r="AH41" s="94">
        <v>3</v>
      </c>
      <c r="AI41" s="101">
        <f t="shared" si="32"/>
      </c>
      <c r="AJ41" s="101">
        <f t="shared" si="5"/>
      </c>
      <c r="AK41" s="101">
        <f t="shared" si="33"/>
      </c>
      <c r="AL41" s="102">
        <f t="shared" si="3"/>
      </c>
      <c r="AM41" s="103">
        <f t="shared" si="1"/>
      </c>
      <c r="AN41" s="104"/>
    </row>
    <row r="42">
      <c r="A42" s="111">
        <v>46250</v>
      </c>
      <c r="B42" s="114" t="s">
        <v>220</v>
      </c>
      <c r="C42" s="114" t="s">
        <v>217</v>
      </c>
      <c r="D42" s="114">
        <v>3</v>
      </c>
      <c r="E42" s="112">
        <v>3</v>
      </c>
      <c r="F42" s="117">
        <v>1</v>
      </c>
      <c r="G42" s="112">
        <v>1</v>
      </c>
      <c r="H42" s="112">
        <v>1</v>
      </c>
      <c r="I42" s="94">
        <v>79.02</v>
      </c>
      <c r="J42" s="112">
        <v>0</v>
      </c>
      <c r="K42" s="112">
        <v>0</v>
      </c>
      <c r="L42" s="112">
        <v>1</v>
      </c>
      <c r="M42" s="96">
        <v>948.24</v>
      </c>
      <c r="N42" s="113">
        <v>0</v>
      </c>
      <c r="O42" s="113">
        <v>0</v>
      </c>
      <c r="P42" s="89">
        <f t="shared" si="16"/>
      </c>
      <c r="Q42" s="97">
        <v>3500.0200000000004</v>
      </c>
      <c r="R42" s="98">
        <f t="shared" si="4"/>
      </c>
      <c r="S42" s="99">
        <f t="shared" si="2"/>
      </c>
      <c r="T42" s="99">
        <f t="shared" si="0"/>
      </c>
      <c r="U42" s="112" t="s">
        <v>200</v>
      </c>
      <c r="V42" s="112">
        <v>9</v>
      </c>
      <c r="W42" s="94"/>
      <c r="X42" s="94"/>
      <c r="Y42" s="94"/>
      <c r="Z42" s="94"/>
      <c r="AA42" s="94">
        <v>16357</v>
      </c>
      <c r="AB42" s="94">
        <v>1862</v>
      </c>
      <c r="AC42" s="94">
        <v>3318</v>
      </c>
      <c r="AD42" s="94">
        <v>596</v>
      </c>
      <c r="AE42" s="94">
        <v>58</v>
      </c>
      <c r="AF42" s="94">
        <v>20</v>
      </c>
      <c r="AG42" s="94">
        <v>88</v>
      </c>
      <c r="AH42" s="94">
        <v>0</v>
      </c>
      <c r="AI42" s="101">
        <f t="shared" si="32"/>
      </c>
      <c r="AJ42" s="101">
        <f t="shared" si="5"/>
      </c>
      <c r="AK42" s="101">
        <f t="shared" si="33"/>
      </c>
      <c r="AL42" s="102">
        <f t="shared" si="3"/>
      </c>
      <c r="AM42" s="103">
        <f t="shared" si="1"/>
      </c>
      <c r="AN42" s="104"/>
    </row>
    <row r="43">
      <c r="A43" s="115">
        <v>46250</v>
      </c>
      <c r="B43" s="106"/>
      <c r="C43" s="116" t="s">
        <v>221</v>
      </c>
      <c r="D43" s="106">
        <f>D39+D40+D41+D42</f>
      </c>
      <c r="E43" s="106">
        <f>E39+E40+E41+E42</f>
      </c>
      <c r="F43" s="106">
        <f>F39+F40+F41+F42</f>
      </c>
      <c r="G43" s="106">
        <f>G39+G40+G41+G42</f>
      </c>
      <c r="H43" s="106">
        <f>H39+H40+H41+H42</f>
      </c>
      <c r="I43" s="106">
        <f>I39+I40+I41+I42</f>
      </c>
      <c r="J43" s="106">
        <f>J39+J40+J41+J42</f>
      </c>
      <c r="K43" s="106">
        <f>K39+K40+K41+K42</f>
      </c>
      <c r="L43" s="106">
        <f>L39+L40+L41+L42</f>
      </c>
      <c r="M43" s="106">
        <f>M39+M40+M41+M42</f>
      </c>
      <c r="N43" s="106">
        <f>N39+N40+N41+N42</f>
      </c>
      <c r="O43" s="106">
        <f>O39+O40+O41+O42</f>
      </c>
      <c r="P43" s="106">
        <f>P39+P40+P41+P42</f>
      </c>
      <c r="Q43" s="106">
        <f>Q39+Q40+Q41+Q42</f>
      </c>
      <c r="R43" s="107">
        <f t="shared" si="4"/>
      </c>
      <c r="S43" s="107">
        <f t="shared" si="2"/>
      </c>
      <c r="T43" s="107">
        <f t="shared" si="0"/>
      </c>
      <c r="U43" s="108"/>
      <c r="V43" s="116">
        <f>V39+V40+V42+V41</f>
      </c>
      <c r="W43" s="108"/>
      <c r="X43" s="106">
        <f>SUM(X39:X40)</f>
      </c>
      <c r="Y43" s="108"/>
      <c r="Z43" s="116">
        <v>15</v>
      </c>
      <c r="AA43" s="106">
        <f>AA39+AA40+AA42+AA41</f>
      </c>
      <c r="AB43" s="106">
        <f>AB39+AB40+AB42+AB41</f>
      </c>
      <c r="AC43" s="106">
        <f>AC39+AC40+AC42+AC41</f>
      </c>
      <c r="AD43" s="106">
        <f>AD39+AD40+AD42+AD41</f>
      </c>
      <c r="AE43" s="106">
        <f>AE39+AE40+AE42+AE41</f>
      </c>
      <c r="AF43" s="106">
        <f>AF39+AF40+AF42+AF41</f>
      </c>
      <c r="AG43" s="106">
        <f>AG39+AG40+AG42+AG41</f>
      </c>
      <c r="AH43" s="106">
        <f>AH39+AH40+AH42+AH41</f>
      </c>
      <c r="AI43" s="109">
        <f t="shared" si="32"/>
      </c>
      <c r="AJ43" s="109">
        <f t="shared" si="5"/>
      </c>
      <c r="AK43" s="109">
        <f t="shared" si="33"/>
      </c>
      <c r="AL43" s="109">
        <f t="shared" si="3"/>
      </c>
      <c r="AM43" s="110">
        <f t="shared" si="1"/>
      </c>
      <c r="AN43" s="109">
        <f>F43/AE43</f>
      </c>
    </row>
    <row r="44">
      <c r="A44" s="111">
        <v>46251</v>
      </c>
      <c r="B44" s="114" t="s">
        <v>198</v>
      </c>
      <c r="C44" s="114" t="s">
        <v>210</v>
      </c>
      <c r="D44" s="89">
        <v>4</v>
      </c>
      <c r="E44" s="112">
        <v>14</v>
      </c>
      <c r="F44" s="117">
        <v>5</v>
      </c>
      <c r="G44" s="112">
        <v>2</v>
      </c>
      <c r="H44" s="112">
        <v>5</v>
      </c>
      <c r="I44" s="94">
        <v>984.75</v>
      </c>
      <c r="J44" s="112">
        <v>0</v>
      </c>
      <c r="K44" s="112">
        <v>0</v>
      </c>
      <c r="L44" s="112">
        <v>5</v>
      </c>
      <c r="M44" s="96">
        <v>11817</v>
      </c>
      <c r="N44" s="113">
        <v>2</v>
      </c>
      <c r="O44" s="113">
        <v>557.06</v>
      </c>
      <c r="P44" s="89">
        <f t="shared" ref="P44:P47" si="17">I44*12+K44</f>
      </c>
      <c r="Q44" s="97">
        <v>7948.9</v>
      </c>
      <c r="R44" s="98">
        <f t="shared" si="4"/>
      </c>
      <c r="S44" s="99">
        <f t="shared" si="2"/>
      </c>
      <c r="T44" s="99">
        <f t="shared" si="0"/>
      </c>
      <c r="U44" s="112" t="s">
        <v>223</v>
      </c>
      <c r="V44" s="112">
        <v>4</v>
      </c>
      <c r="W44" s="94"/>
      <c r="X44" s="94"/>
      <c r="Y44" s="94"/>
      <c r="Z44" s="112"/>
      <c r="AA44" s="100">
        <v>22288</v>
      </c>
      <c r="AB44" s="100">
        <v>2500</v>
      </c>
      <c r="AC44" s="100">
        <v>4353</v>
      </c>
      <c r="AD44" s="100">
        <v>1075</v>
      </c>
      <c r="AE44" s="94">
        <v>88</v>
      </c>
      <c r="AF44" s="94">
        <v>27</v>
      </c>
      <c r="AG44" s="94">
        <v>147</v>
      </c>
      <c r="AH44" s="94">
        <v>1</v>
      </c>
      <c r="AI44" s="101">
        <f t="shared" si="32"/>
      </c>
      <c r="AJ44" s="101">
        <f t="shared" si="5"/>
      </c>
      <c r="AK44" s="101">
        <f t="shared" si="33"/>
      </c>
      <c r="AL44" s="102">
        <f t="shared" si="3"/>
      </c>
      <c r="AM44" s="103">
        <f t="shared" si="1"/>
      </c>
      <c r="AN44" s="104"/>
    </row>
    <row r="45">
      <c r="A45" s="111">
        <v>46251</v>
      </c>
      <c r="B45" s="114" t="s">
        <v>207</v>
      </c>
      <c r="C45" s="114" t="s">
        <v>214</v>
      </c>
      <c r="D45" s="114">
        <v>4</v>
      </c>
      <c r="E45" s="94">
        <v>8</v>
      </c>
      <c r="F45" s="95">
        <v>3</v>
      </c>
      <c r="G45" s="94">
        <v>2</v>
      </c>
      <c r="H45" s="112">
        <v>3</v>
      </c>
      <c r="I45" s="112">
        <v>614.81</v>
      </c>
      <c r="J45" s="112">
        <v>0</v>
      </c>
      <c r="K45" s="112">
        <v>0</v>
      </c>
      <c r="L45" s="112">
        <v>3</v>
      </c>
      <c r="M45" s="113">
        <v>7377.719999999999</v>
      </c>
      <c r="N45" s="113">
        <v>1</v>
      </c>
      <c r="O45" s="113">
        <v>491.51</v>
      </c>
      <c r="P45" s="89">
        <f t="shared" si="17"/>
      </c>
      <c r="Q45" s="97">
        <v>7427.37</v>
      </c>
      <c r="R45" s="98">
        <f t="shared" si="4"/>
      </c>
      <c r="S45" s="99">
        <f t="shared" si="2"/>
      </c>
      <c r="T45" s="99">
        <f t="shared" si="0"/>
      </c>
      <c r="U45" s="112" t="s">
        <v>224</v>
      </c>
      <c r="V45" s="112">
        <v>2</v>
      </c>
      <c r="W45" s="94"/>
      <c r="X45" s="94"/>
      <c r="Y45" s="94" t="s">
        <v>201</v>
      </c>
      <c r="Z45" s="112">
        <v>15</v>
      </c>
      <c r="AA45" s="94">
        <v>16371</v>
      </c>
      <c r="AB45" s="94">
        <v>1985</v>
      </c>
      <c r="AC45" s="94">
        <v>3368</v>
      </c>
      <c r="AD45" s="94">
        <v>795</v>
      </c>
      <c r="AE45" s="94">
        <v>73</v>
      </c>
      <c r="AF45" s="94">
        <v>21</v>
      </c>
      <c r="AG45" s="94">
        <v>137</v>
      </c>
      <c r="AH45" s="94">
        <v>0</v>
      </c>
      <c r="AI45" s="101">
        <f t="shared" si="32"/>
      </c>
      <c r="AJ45" s="101">
        <f t="shared" si="5"/>
      </c>
      <c r="AK45" s="101">
        <f t="shared" si="33"/>
      </c>
      <c r="AL45" s="102">
        <f t="shared" si="3"/>
      </c>
      <c r="AM45" s="103">
        <f t="shared" si="1"/>
      </c>
      <c r="AN45" s="104"/>
    </row>
    <row r="46">
      <c r="A46" s="111">
        <v>46251</v>
      </c>
      <c r="B46" s="114" t="s">
        <v>209</v>
      </c>
      <c r="C46" s="114" t="s">
        <v>212</v>
      </c>
      <c r="D46" s="114">
        <v>4</v>
      </c>
      <c r="E46" s="94">
        <v>4</v>
      </c>
      <c r="F46" s="117">
        <v>3</v>
      </c>
      <c r="G46" s="112">
        <v>3</v>
      </c>
      <c r="H46" s="112">
        <v>3</v>
      </c>
      <c r="I46" s="112">
        <v>1088.3400000000001</v>
      </c>
      <c r="J46" s="112">
        <v>0</v>
      </c>
      <c r="K46" s="112">
        <v>0</v>
      </c>
      <c r="L46" s="112">
        <v>3</v>
      </c>
      <c r="M46" s="96">
        <v>13060.080000000002</v>
      </c>
      <c r="N46" s="113">
        <v>3</v>
      </c>
      <c r="O46" s="113">
        <v>779.73</v>
      </c>
      <c r="P46" s="89">
        <f t="shared" si="17"/>
      </c>
      <c r="Q46" s="97">
        <v>6862.450000000001</v>
      </c>
      <c r="R46" s="98">
        <f t="shared" si="4"/>
      </c>
      <c r="S46" s="99">
        <f t="shared" si="2"/>
      </c>
      <c r="T46" s="99">
        <f t="shared" si="0"/>
      </c>
      <c r="U46" s="112"/>
      <c r="V46" s="112"/>
      <c r="W46" s="94"/>
      <c r="X46" s="94"/>
      <c r="Y46" s="94"/>
      <c r="Z46" s="94"/>
      <c r="AA46" s="94">
        <v>17268</v>
      </c>
      <c r="AB46" s="94">
        <v>1981</v>
      </c>
      <c r="AC46" s="94">
        <v>3295</v>
      </c>
      <c r="AD46" s="94">
        <v>768</v>
      </c>
      <c r="AE46" s="94">
        <v>34</v>
      </c>
      <c r="AF46" s="94">
        <v>25</v>
      </c>
      <c r="AG46" s="94">
        <v>169</v>
      </c>
      <c r="AH46" s="94">
        <v>1</v>
      </c>
      <c r="AI46" s="101">
        <f t="shared" si="32"/>
      </c>
      <c r="AJ46" s="101">
        <f t="shared" si="5"/>
      </c>
      <c r="AK46" s="101">
        <f t="shared" si="33"/>
      </c>
      <c r="AL46" s="102">
        <f t="shared" si="3"/>
      </c>
      <c r="AM46" s="103">
        <f t="shared" si="1"/>
      </c>
      <c r="AN46" s="104"/>
    </row>
    <row r="47">
      <c r="A47" s="111">
        <v>46251</v>
      </c>
      <c r="B47" s="114" t="s">
        <v>225</v>
      </c>
      <c r="C47" s="114" t="s">
        <v>217</v>
      </c>
      <c r="D47" s="114">
        <v>3</v>
      </c>
      <c r="E47" s="112">
        <v>3</v>
      </c>
      <c r="F47" s="117">
        <v>2</v>
      </c>
      <c r="G47" s="112">
        <v>2</v>
      </c>
      <c r="H47" s="112">
        <v>2</v>
      </c>
      <c r="I47" s="94">
        <v>158.04</v>
      </c>
      <c r="J47" s="112">
        <v>0</v>
      </c>
      <c r="K47" s="112">
        <v>0</v>
      </c>
      <c r="L47" s="112">
        <v>2</v>
      </c>
      <c r="M47" s="96">
        <v>1896.48</v>
      </c>
      <c r="N47" s="113">
        <v>0</v>
      </c>
      <c r="O47" s="113">
        <v>0</v>
      </c>
      <c r="P47" s="89">
        <f t="shared" si="17"/>
      </c>
      <c r="Q47" s="97">
        <v>8673.98</v>
      </c>
      <c r="R47" s="98">
        <f t="shared" si="4"/>
      </c>
      <c r="S47" s="99">
        <f t="shared" si="2"/>
      </c>
      <c r="T47" s="99">
        <f t="shared" si="0"/>
      </c>
      <c r="U47" s="112" t="s">
        <v>200</v>
      </c>
      <c r="V47" s="112">
        <v>9</v>
      </c>
      <c r="W47" s="94"/>
      <c r="X47" s="94"/>
      <c r="Y47" s="94"/>
      <c r="Z47" s="94"/>
      <c r="AA47" s="94">
        <v>21542</v>
      </c>
      <c r="AB47" s="94">
        <v>1769</v>
      </c>
      <c r="AC47" s="94">
        <v>2716</v>
      </c>
      <c r="AD47" s="94">
        <v>564</v>
      </c>
      <c r="AE47" s="94">
        <v>32</v>
      </c>
      <c r="AF47" s="94">
        <v>31</v>
      </c>
      <c r="AG47" s="94">
        <v>212</v>
      </c>
      <c r="AH47" s="94">
        <v>1</v>
      </c>
      <c r="AI47" s="101">
        <f t="shared" si="32"/>
      </c>
      <c r="AJ47" s="101">
        <f t="shared" si="5"/>
      </c>
      <c r="AK47" s="101">
        <f t="shared" si="33"/>
      </c>
      <c r="AL47" s="102">
        <f t="shared" si="3"/>
      </c>
      <c r="AM47" s="103">
        <f t="shared" si="1"/>
      </c>
      <c r="AN47" s="104"/>
    </row>
    <row r="48">
      <c r="A48" s="115">
        <v>46251</v>
      </c>
      <c r="B48" s="106"/>
      <c r="C48" s="116" t="s">
        <v>221</v>
      </c>
      <c r="D48" s="106">
        <f>D44+D45+D46+D47</f>
      </c>
      <c r="E48" s="106">
        <f>E44+E45+E46+E47</f>
      </c>
      <c r="F48" s="106">
        <f>F44+F45+F46+F47</f>
      </c>
      <c r="G48" s="106">
        <f>G44+G45+G46+G47</f>
      </c>
      <c r="H48" s="106">
        <f>H44+H45+H46+H47</f>
      </c>
      <c r="I48" s="106">
        <f>I44+I45+I46+I47</f>
      </c>
      <c r="J48" s="106">
        <f>J44+J45+J46+J47</f>
      </c>
      <c r="K48" s="106">
        <f>K44+K45+K46+K47</f>
      </c>
      <c r="L48" s="106">
        <f>L44+L45+L46+L47</f>
      </c>
      <c r="M48" s="106">
        <f>M44+M45+M46+M47</f>
      </c>
      <c r="N48" s="106">
        <f>N44+N45+N46+N47</f>
      </c>
      <c r="O48" s="106">
        <f>O44+O45+O46+O47</f>
      </c>
      <c r="P48" s="106">
        <f>P44+P45+P46+P47</f>
      </c>
      <c r="Q48" s="106">
        <f>Q44+Q45+Q46+Q47</f>
      </c>
      <c r="R48" s="107">
        <f t="shared" si="4"/>
      </c>
      <c r="S48" s="107">
        <f t="shared" si="2"/>
      </c>
      <c r="T48" s="107">
        <f t="shared" si="0"/>
      </c>
      <c r="U48" s="108"/>
      <c r="V48" s="116">
        <f>V44+V45+V47+V46</f>
      </c>
      <c r="W48" s="108"/>
      <c r="X48" s="106">
        <f>SUM(X44:X45)</f>
      </c>
      <c r="Y48" s="108"/>
      <c r="Z48" s="116">
        <v>15</v>
      </c>
      <c r="AA48" s="106">
        <f>AA44+AA45+AA47+AA46</f>
      </c>
      <c r="AB48" s="106">
        <f>AB44+AB45+AB47+AB46</f>
      </c>
      <c r="AC48" s="106">
        <f>AC44+AC45+AC47+AC46</f>
      </c>
      <c r="AD48" s="106">
        <f>AD44+AD45+AD47+AD46</f>
      </c>
      <c r="AE48" s="106">
        <f>AE44+AE45+AE47+AE46</f>
      </c>
      <c r="AF48" s="106">
        <f>AF44+AF45+AF47+AF46</f>
      </c>
      <c r="AG48" s="106">
        <f>AG44+AG45+AG47+AG46</f>
      </c>
      <c r="AH48" s="106">
        <f>AH44+AH45+AH47+AH46</f>
      </c>
      <c r="AI48" s="109">
        <f t="shared" si="32"/>
      </c>
      <c r="AJ48" s="109">
        <f t="shared" si="5"/>
      </c>
      <c r="AK48" s="109">
        <f t="shared" si="33"/>
      </c>
      <c r="AL48" s="109">
        <f t="shared" si="3"/>
      </c>
      <c r="AM48" s="110">
        <f t="shared" si="1"/>
      </c>
      <c r="AN48" s="109">
        <f>F48/AE48</f>
      </c>
    </row>
    <row r="49">
      <c r="A49" s="111">
        <v>46252</v>
      </c>
      <c r="B49" s="114" t="s">
        <v>198</v>
      </c>
      <c r="C49" s="114" t="s">
        <v>210</v>
      </c>
      <c r="D49" s="89">
        <v>4</v>
      </c>
      <c r="E49" s="112">
        <v>16</v>
      </c>
      <c r="F49" s="117">
        <v>5</v>
      </c>
      <c r="G49" s="112">
        <v>3</v>
      </c>
      <c r="H49" s="112">
        <v>4</v>
      </c>
      <c r="I49" s="94">
        <v>705.93</v>
      </c>
      <c r="J49" s="112">
        <v>1</v>
      </c>
      <c r="K49" s="112">
        <v>2162.4</v>
      </c>
      <c r="L49" s="112">
        <v>5</v>
      </c>
      <c r="M49" s="96">
        <v>10633.56</v>
      </c>
      <c r="N49" s="113">
        <v>4</v>
      </c>
      <c r="O49" s="113">
        <v>2826.9300000000003</v>
      </c>
      <c r="P49" s="89">
        <f t="shared" ref="P49:P52" si="18">I49*12+K49</f>
      </c>
      <c r="Q49" s="97">
        <v>10420.400000000001</v>
      </c>
      <c r="R49" s="98">
        <f t="shared" si="4"/>
      </c>
      <c r="S49" s="99">
        <f t="shared" si="2"/>
      </c>
      <c r="T49" s="99">
        <f t="shared" si="0"/>
      </c>
      <c r="U49" s="112" t="s">
        <v>223</v>
      </c>
      <c r="V49" s="112">
        <v>6</v>
      </c>
      <c r="W49" s="94"/>
      <c r="X49" s="94"/>
      <c r="Y49" s="94"/>
      <c r="Z49" s="112"/>
      <c r="AA49" s="100">
        <v>26670</v>
      </c>
      <c r="AB49" s="100">
        <v>2193</v>
      </c>
      <c r="AC49" s="100">
        <v>3724</v>
      </c>
      <c r="AD49" s="100">
        <v>874</v>
      </c>
      <c r="AE49" s="94">
        <v>129</v>
      </c>
      <c r="AF49" s="94">
        <v>24</v>
      </c>
      <c r="AG49" s="94">
        <v>309</v>
      </c>
      <c r="AH49" s="94">
        <v>3</v>
      </c>
      <c r="AI49" s="101">
        <f t="shared" si="32"/>
      </c>
      <c r="AJ49" s="101">
        <f t="shared" si="5"/>
      </c>
      <c r="AK49" s="101">
        <f t="shared" si="33"/>
      </c>
      <c r="AL49" s="102">
        <f t="shared" si="3"/>
      </c>
      <c r="AM49" s="103">
        <f t="shared" si="1"/>
      </c>
      <c r="AN49" s="104"/>
    </row>
    <row r="50">
      <c r="A50" s="111">
        <v>46252</v>
      </c>
      <c r="B50" s="114" t="s">
        <v>207</v>
      </c>
      <c r="C50" s="114" t="s">
        <v>214</v>
      </c>
      <c r="D50" s="114">
        <v>4</v>
      </c>
      <c r="E50" s="94">
        <v>19</v>
      </c>
      <c r="F50" s="95">
        <v>12</v>
      </c>
      <c r="G50" s="94">
        <v>9</v>
      </c>
      <c r="H50" s="112">
        <v>12</v>
      </c>
      <c r="I50" s="112">
        <v>2769.86</v>
      </c>
      <c r="J50" s="112">
        <v>0</v>
      </c>
      <c r="K50" s="112">
        <v>0</v>
      </c>
      <c r="L50" s="112">
        <v>12</v>
      </c>
      <c r="M50" s="113">
        <v>33238.32</v>
      </c>
      <c r="N50" s="113">
        <v>3</v>
      </c>
      <c r="O50" s="113">
        <v>1400.37</v>
      </c>
      <c r="P50" s="89">
        <f t="shared" si="18"/>
      </c>
      <c r="Q50" s="97">
        <v>12858.699999999999</v>
      </c>
      <c r="R50" s="98">
        <f t="shared" si="4"/>
      </c>
      <c r="S50" s="99">
        <f t="shared" si="2"/>
      </c>
      <c r="T50" s="99">
        <f t="shared" si="0"/>
      </c>
      <c r="U50" s="112"/>
      <c r="V50" s="112"/>
      <c r="W50" s="94"/>
      <c r="X50" s="94"/>
      <c r="Y50" s="94" t="s">
        <v>201</v>
      </c>
      <c r="Z50" s="112">
        <v>15</v>
      </c>
      <c r="AA50" s="94">
        <v>30832</v>
      </c>
      <c r="AB50" s="94">
        <v>1759</v>
      </c>
      <c r="AC50" s="94">
        <v>2813</v>
      </c>
      <c r="AD50" s="94">
        <v>718</v>
      </c>
      <c r="AE50" s="94">
        <v>198</v>
      </c>
      <c r="AF50" s="94">
        <v>29</v>
      </c>
      <c r="AG50" s="94">
        <v>321</v>
      </c>
      <c r="AH50" s="94">
        <v>1</v>
      </c>
      <c r="AI50" s="101">
        <f t="shared" si="32"/>
      </c>
      <c r="AJ50" s="101">
        <f t="shared" si="5"/>
      </c>
      <c r="AK50" s="101">
        <f t="shared" si="33"/>
      </c>
      <c r="AL50" s="102">
        <f t="shared" si="3"/>
      </c>
      <c r="AM50" s="103">
        <f t="shared" si="1"/>
      </c>
      <c r="AN50" s="104"/>
    </row>
    <row r="51">
      <c r="A51" s="111">
        <v>46252</v>
      </c>
      <c r="B51" s="114" t="s">
        <v>225</v>
      </c>
      <c r="C51" s="114" t="s">
        <v>212</v>
      </c>
      <c r="D51" s="114">
        <v>4</v>
      </c>
      <c r="E51" s="94">
        <v>10</v>
      </c>
      <c r="F51" s="117">
        <v>4</v>
      </c>
      <c r="G51" s="112">
        <v>4</v>
      </c>
      <c r="H51" s="112">
        <v>4</v>
      </c>
      <c r="I51" s="112">
        <v>1302.51</v>
      </c>
      <c r="J51" s="112">
        <v>0</v>
      </c>
      <c r="K51" s="112">
        <v>0</v>
      </c>
      <c r="L51" s="112">
        <v>4</v>
      </c>
      <c r="M51" s="96">
        <v>15630.119999999999</v>
      </c>
      <c r="N51" s="113">
        <v>1</v>
      </c>
      <c r="O51" s="113">
        <v>771.6</v>
      </c>
      <c r="P51" s="89">
        <f t="shared" si="18"/>
      </c>
      <c r="Q51" s="97">
        <v>11457.619999999999</v>
      </c>
      <c r="R51" s="98">
        <f t="shared" si="4"/>
      </c>
      <c r="S51" s="99">
        <f t="shared" si="2"/>
      </c>
      <c r="T51" s="99">
        <f t="shared" si="0"/>
      </c>
      <c r="U51" s="112"/>
      <c r="V51" s="112"/>
      <c r="W51" s="94"/>
      <c r="X51" s="94"/>
      <c r="Y51" s="94"/>
      <c r="Z51" s="94"/>
      <c r="AA51" s="94">
        <v>49567</v>
      </c>
      <c r="AB51" s="94">
        <v>1928</v>
      </c>
      <c r="AC51" s="94">
        <v>3281</v>
      </c>
      <c r="AD51" s="94">
        <v>688</v>
      </c>
      <c r="AE51" s="94">
        <v>244</v>
      </c>
      <c r="AF51" s="94">
        <v>11</v>
      </c>
      <c r="AG51" s="94">
        <v>239</v>
      </c>
      <c r="AH51" s="94">
        <v>5</v>
      </c>
      <c r="AI51" s="101">
        <f t="shared" si="32"/>
      </c>
      <c r="AJ51" s="101">
        <f t="shared" si="5"/>
      </c>
      <c r="AK51" s="101">
        <f t="shared" si="33"/>
      </c>
      <c r="AL51" s="102">
        <f t="shared" si="3"/>
      </c>
      <c r="AM51" s="103">
        <f t="shared" si="1"/>
      </c>
      <c r="AN51" s="104"/>
    </row>
    <row r="52">
      <c r="A52" s="111">
        <v>46252</v>
      </c>
      <c r="B52" s="114" t="s">
        <v>220</v>
      </c>
      <c r="C52" s="114" t="s">
        <v>217</v>
      </c>
      <c r="D52" s="114">
        <v>3</v>
      </c>
      <c r="E52" s="112">
        <v>11</v>
      </c>
      <c r="F52" s="117">
        <v>6</v>
      </c>
      <c r="G52" s="112">
        <v>4</v>
      </c>
      <c r="H52" s="112">
        <v>4</v>
      </c>
      <c r="I52" s="94">
        <v>666.73</v>
      </c>
      <c r="J52" s="112">
        <v>2</v>
      </c>
      <c r="K52" s="112">
        <v>1370</v>
      </c>
      <c r="L52" s="112">
        <v>6</v>
      </c>
      <c r="M52" s="96">
        <v>9370.76</v>
      </c>
      <c r="N52" s="113">
        <v>2</v>
      </c>
      <c r="O52" s="113">
        <v>501.40000000000003</v>
      </c>
      <c r="P52" s="89">
        <f t="shared" si="18"/>
      </c>
      <c r="Q52" s="97">
        <v>8971.17</v>
      </c>
      <c r="R52" s="98">
        <f t="shared" si="4"/>
      </c>
      <c r="S52" s="99">
        <f t="shared" si="2"/>
      </c>
      <c r="T52" s="99">
        <f t="shared" si="0"/>
      </c>
      <c r="U52" s="112" t="s">
        <v>200</v>
      </c>
      <c r="V52" s="112">
        <v>9</v>
      </c>
      <c r="W52" s="94"/>
      <c r="X52" s="94"/>
      <c r="Y52" s="94"/>
      <c r="Z52" s="94"/>
      <c r="AA52" s="94">
        <v>38659</v>
      </c>
      <c r="AB52" s="94">
        <v>1732</v>
      </c>
      <c r="AC52" s="94">
        <v>2601</v>
      </c>
      <c r="AD52" s="94">
        <v>491</v>
      </c>
      <c r="AE52" s="94">
        <v>167</v>
      </c>
      <c r="AF52" s="94">
        <v>17</v>
      </c>
      <c r="AG52" s="94">
        <v>259</v>
      </c>
      <c r="AH52" s="94">
        <v>2</v>
      </c>
      <c r="AI52" s="101">
        <f t="shared" si="32"/>
      </c>
      <c r="AJ52" s="101">
        <f t="shared" si="5"/>
      </c>
      <c r="AK52" s="101">
        <f t="shared" si="33"/>
      </c>
      <c r="AL52" s="102">
        <f t="shared" si="3"/>
      </c>
      <c r="AM52" s="103">
        <f t="shared" si="1"/>
      </c>
      <c r="AN52" s="104"/>
    </row>
    <row r="53">
      <c r="A53" s="115">
        <v>46252</v>
      </c>
      <c r="B53" s="106"/>
      <c r="C53" s="116" t="s">
        <v>221</v>
      </c>
      <c r="D53" s="106">
        <f>D49+D50+D51+D52</f>
      </c>
      <c r="E53" s="106">
        <f>E49+E50+E51+E52</f>
      </c>
      <c r="F53" s="106">
        <f>F49+F50+F51+F52</f>
      </c>
      <c r="G53" s="106">
        <f>G49+G50+G51+G52</f>
      </c>
      <c r="H53" s="106">
        <f>H49+H50+H51+H52</f>
      </c>
      <c r="I53" s="106">
        <f>I49+I50+I51+I52</f>
      </c>
      <c r="J53" s="106">
        <f>J49+J50+J51+J52</f>
      </c>
      <c r="K53" s="106">
        <f>K49+K50+K51+K52</f>
      </c>
      <c r="L53" s="106">
        <f>L49+L50+L51+L52</f>
      </c>
      <c r="M53" s="106">
        <f>M49+M50+M51+M52</f>
      </c>
      <c r="N53" s="106">
        <f>N49+N50+N51+N52</f>
      </c>
      <c r="O53" s="106">
        <f>O49+O50+O51+O52</f>
      </c>
      <c r="P53" s="106">
        <f>P49+P50+P51+P52</f>
      </c>
      <c r="Q53" s="106">
        <f>Q49+Q50+Q51+Q52</f>
      </c>
      <c r="R53" s="107">
        <f t="shared" si="4"/>
      </c>
      <c r="S53" s="107">
        <f t="shared" si="2"/>
      </c>
      <c r="T53" s="107">
        <f t="shared" si="0"/>
      </c>
      <c r="U53" s="108"/>
      <c r="V53" s="116">
        <f>V49+V50+V52+V51</f>
      </c>
      <c r="W53" s="108"/>
      <c r="X53" s="106">
        <f>SUM(X49:X50)</f>
      </c>
      <c r="Y53" s="108"/>
      <c r="Z53" s="116">
        <v>15</v>
      </c>
      <c r="AA53" s="106">
        <f>AA49+AA50+AA52+AA51</f>
      </c>
      <c r="AB53" s="106">
        <f>AB49+AB50+AB52+AB51</f>
      </c>
      <c r="AC53" s="106">
        <f>AC49+AC50+AC52+AC51</f>
      </c>
      <c r="AD53" s="106">
        <f>AD49+AD50+AD52+AD51</f>
      </c>
      <c r="AE53" s="106">
        <f>AE49+AE50+AE52+AE51</f>
      </c>
      <c r="AF53" s="106">
        <f>AF49+AF50+AF52+AF51</f>
      </c>
      <c r="AG53" s="106">
        <f>AG49+AG50+AG52+AG51</f>
      </c>
      <c r="AH53" s="106">
        <f>AH49+AH50+AH52+AH51</f>
      </c>
      <c r="AI53" s="109">
        <f t="shared" si="32"/>
      </c>
      <c r="AJ53" s="109">
        <f t="shared" si="5"/>
      </c>
      <c r="AK53" s="109">
        <f t="shared" si="33"/>
      </c>
      <c r="AL53" s="109">
        <f t="shared" si="3"/>
      </c>
      <c r="AM53" s="110">
        <f t="shared" si="1"/>
      </c>
      <c r="AN53" s="109">
        <f>F53/AE53</f>
      </c>
    </row>
    <row r="54">
      <c r="A54" s="111">
        <v>46253</v>
      </c>
      <c r="B54" s="114" t="s">
        <v>198</v>
      </c>
      <c r="C54" s="114" t="s">
        <v>210</v>
      </c>
      <c r="D54" s="89">
        <v>4</v>
      </c>
      <c r="E54" s="112">
        <v>20</v>
      </c>
      <c r="F54" s="117">
        <v>9</v>
      </c>
      <c r="G54" s="112">
        <v>8</v>
      </c>
      <c r="H54" s="112">
        <v>8</v>
      </c>
      <c r="I54" s="94">
        <v>2112.2000000000003</v>
      </c>
      <c r="J54" s="112">
        <v>1</v>
      </c>
      <c r="K54" s="112">
        <v>878</v>
      </c>
      <c r="L54" s="112">
        <v>9</v>
      </c>
      <c r="M54" s="96">
        <v>26224.4</v>
      </c>
      <c r="N54" s="113">
        <v>4</v>
      </c>
      <c r="O54" s="113">
        <v>1408.78</v>
      </c>
      <c r="P54" s="89">
        <f t="shared" ref="P54:P57" si="19">I54*12+K54</f>
      </c>
      <c r="Q54" s="97">
        <v>18618.06</v>
      </c>
      <c r="R54" s="98">
        <f t="shared" si="4"/>
      </c>
      <c r="S54" s="99">
        <f t="shared" si="2"/>
      </c>
      <c r="T54" s="99">
        <f t="shared" si="0"/>
      </c>
      <c r="U54" s="112" t="s">
        <v>219</v>
      </c>
      <c r="V54" s="112">
        <v>6</v>
      </c>
      <c r="W54" s="94"/>
      <c r="X54" s="94"/>
      <c r="Y54" s="94"/>
      <c r="Z54" s="112"/>
      <c r="AA54" s="100">
        <v>63448</v>
      </c>
      <c r="AB54" s="100">
        <v>2772</v>
      </c>
      <c r="AC54" s="100">
        <v>3838</v>
      </c>
      <c r="AD54" s="100">
        <v>997</v>
      </c>
      <c r="AE54" s="94">
        <v>414</v>
      </c>
      <c r="AF54" s="94">
        <v>34</v>
      </c>
      <c r="AG54" s="94">
        <v>357</v>
      </c>
      <c r="AH54" s="94">
        <v>3</v>
      </c>
      <c r="AI54" s="101">
        <f t="shared" si="32"/>
      </c>
      <c r="AJ54" s="101">
        <f t="shared" si="5"/>
      </c>
      <c r="AK54" s="101">
        <f t="shared" si="33"/>
      </c>
      <c r="AL54" s="102">
        <f t="shared" si="3"/>
      </c>
      <c r="AM54" s="103">
        <f t="shared" si="1"/>
      </c>
      <c r="AN54" s="104"/>
    </row>
    <row r="55">
      <c r="A55" s="111">
        <v>46253</v>
      </c>
      <c r="B55" s="114" t="s">
        <v>207</v>
      </c>
      <c r="C55" s="114" t="s">
        <v>214</v>
      </c>
      <c r="D55" s="114">
        <v>4</v>
      </c>
      <c r="E55" s="94">
        <v>14</v>
      </c>
      <c r="F55" s="117">
        <v>9</v>
      </c>
      <c r="G55" s="112">
        <v>6</v>
      </c>
      <c r="H55" s="112">
        <v>8</v>
      </c>
      <c r="I55" s="112">
        <v>880.31</v>
      </c>
      <c r="J55" s="112">
        <v>1</v>
      </c>
      <c r="K55" s="112">
        <v>3074.45</v>
      </c>
      <c r="L55" s="112">
        <v>9</v>
      </c>
      <c r="M55" s="113">
        <v>13638.169999999998</v>
      </c>
      <c r="N55" s="113">
        <v>1</v>
      </c>
      <c r="O55" s="113">
        <v>3074.45</v>
      </c>
      <c r="P55" s="89">
        <f t="shared" si="19"/>
      </c>
      <c r="Q55" s="97">
        <v>11586.230000000001</v>
      </c>
      <c r="R55" s="98">
        <f t="shared" si="4"/>
      </c>
      <c r="S55" s="99">
        <f t="shared" si="2"/>
      </c>
      <c r="T55" s="99">
        <f t="shared" si="0"/>
      </c>
      <c r="U55" s="112" t="s">
        <v>222</v>
      </c>
      <c r="V55" s="112">
        <v>1</v>
      </c>
      <c r="W55" s="94"/>
      <c r="X55" s="94"/>
      <c r="Y55" s="94" t="s">
        <v>201</v>
      </c>
      <c r="Z55" s="112">
        <v>15</v>
      </c>
      <c r="AA55" s="94">
        <v>35930</v>
      </c>
      <c r="AB55" s="94">
        <v>2217</v>
      </c>
      <c r="AC55" s="94">
        <v>2864</v>
      </c>
      <c r="AD55" s="94">
        <v>808</v>
      </c>
      <c r="AE55" s="94">
        <v>262</v>
      </c>
      <c r="AF55" s="94">
        <v>13</v>
      </c>
      <c r="AG55" s="94">
        <v>308</v>
      </c>
      <c r="AH55" s="94">
        <v>4</v>
      </c>
      <c r="AI55" s="101">
        <f t="shared" si="32"/>
      </c>
      <c r="AJ55" s="101">
        <f t="shared" si="5"/>
      </c>
      <c r="AK55" s="101">
        <f t="shared" si="33"/>
      </c>
      <c r="AL55" s="102">
        <f t="shared" si="3"/>
      </c>
      <c r="AM55" s="103">
        <f t="shared" si="1"/>
      </c>
      <c r="AN55" s="104"/>
    </row>
    <row r="56">
      <c r="A56" s="111">
        <v>46253</v>
      </c>
      <c r="B56" s="114" t="s">
        <v>209</v>
      </c>
      <c r="C56" s="114" t="s">
        <v>212</v>
      </c>
      <c r="D56" s="114">
        <v>4</v>
      </c>
      <c r="E56" s="94">
        <v>9</v>
      </c>
      <c r="F56" s="117">
        <v>5</v>
      </c>
      <c r="G56" s="112">
        <v>3</v>
      </c>
      <c r="H56" s="112">
        <v>5</v>
      </c>
      <c r="I56" s="112">
        <v>875.25</v>
      </c>
      <c r="J56" s="112">
        <v>0</v>
      </c>
      <c r="K56" s="112">
        <v>0</v>
      </c>
      <c r="L56" s="112">
        <v>5</v>
      </c>
      <c r="M56" s="96">
        <v>10503</v>
      </c>
      <c r="N56" s="113">
        <v>1</v>
      </c>
      <c r="O56" s="113">
        <v>300.1</v>
      </c>
      <c r="P56" s="89">
        <f t="shared" si="19"/>
      </c>
      <c r="Q56" s="97">
        <v>8632.27</v>
      </c>
      <c r="R56" s="98">
        <f t="shared" si="4"/>
      </c>
      <c r="S56" s="99">
        <f t="shared" si="2"/>
      </c>
      <c r="T56" s="99">
        <f t="shared" si="0"/>
      </c>
      <c r="U56" s="112"/>
      <c r="V56" s="112"/>
      <c r="W56" s="94"/>
      <c r="X56" s="94"/>
      <c r="Y56" s="94"/>
      <c r="Z56" s="94"/>
      <c r="AA56" s="94">
        <v>17770</v>
      </c>
      <c r="AB56" s="94">
        <v>2385</v>
      </c>
      <c r="AC56" s="94">
        <v>3248</v>
      </c>
      <c r="AD56" s="94">
        <v>925</v>
      </c>
      <c r="AE56" s="94">
        <v>77</v>
      </c>
      <c r="AF56" s="94">
        <v>22</v>
      </c>
      <c r="AG56" s="94">
        <v>137</v>
      </c>
      <c r="AH56" s="94">
        <v>0</v>
      </c>
      <c r="AI56" s="101">
        <f t="shared" si="32"/>
      </c>
      <c r="AJ56" s="101">
        <f t="shared" si="5"/>
      </c>
      <c r="AK56" s="101">
        <f t="shared" si="33"/>
      </c>
      <c r="AL56" s="102">
        <f t="shared" si="3"/>
      </c>
      <c r="AM56" s="103">
        <f t="shared" si="1"/>
      </c>
      <c r="AN56" s="104"/>
    </row>
    <row r="57">
      <c r="A57" s="111">
        <v>46253</v>
      </c>
      <c r="B57" s="114" t="s">
        <v>225</v>
      </c>
      <c r="C57" s="114" t="s">
        <v>217</v>
      </c>
      <c r="D57" s="114">
        <v>3</v>
      </c>
      <c r="E57" s="112">
        <v>4</v>
      </c>
      <c r="F57" s="117">
        <v>3</v>
      </c>
      <c r="G57" s="112">
        <v>2</v>
      </c>
      <c r="H57" s="112">
        <v>2</v>
      </c>
      <c r="I57" s="94">
        <v>244.12</v>
      </c>
      <c r="J57" s="112">
        <v>1</v>
      </c>
      <c r="K57" s="112">
        <v>611</v>
      </c>
      <c r="L57" s="112">
        <v>3</v>
      </c>
      <c r="M57" s="96">
        <v>3540.44</v>
      </c>
      <c r="N57" s="113">
        <v>1</v>
      </c>
      <c r="O57" s="113">
        <v>142.24</v>
      </c>
      <c r="P57" s="89">
        <f t="shared" si="19"/>
      </c>
      <c r="Q57" s="97">
        <v>7054.14</v>
      </c>
      <c r="R57" s="98">
        <f t="shared" si="4"/>
      </c>
      <c r="S57" s="99">
        <f t="shared" si="2"/>
      </c>
      <c r="T57" s="99">
        <f t="shared" si="0"/>
      </c>
      <c r="U57" s="112" t="s">
        <v>206</v>
      </c>
      <c r="V57" s="112">
        <v>8</v>
      </c>
      <c r="W57" s="94"/>
      <c r="X57" s="94"/>
      <c r="Y57" s="94"/>
      <c r="Z57" s="94"/>
      <c r="AA57" s="94">
        <v>16223</v>
      </c>
      <c r="AB57" s="94">
        <v>1676</v>
      </c>
      <c r="AC57" s="94">
        <v>2429</v>
      </c>
      <c r="AD57" s="94">
        <v>540</v>
      </c>
      <c r="AE57" s="94">
        <v>128</v>
      </c>
      <c r="AF57" s="94">
        <v>17</v>
      </c>
      <c r="AG57" s="94">
        <v>166</v>
      </c>
      <c r="AH57" s="94">
        <v>3</v>
      </c>
      <c r="AI57" s="101">
        <f t="shared" si="32"/>
      </c>
      <c r="AJ57" s="101">
        <f t="shared" si="5"/>
      </c>
      <c r="AK57" s="101">
        <f t="shared" si="33"/>
      </c>
      <c r="AL57" s="102">
        <f t="shared" si="3"/>
      </c>
      <c r="AM57" s="103">
        <f t="shared" si="1"/>
      </c>
      <c r="AN57" s="104"/>
    </row>
    <row r="58">
      <c r="A58" s="115">
        <v>46253</v>
      </c>
      <c r="B58" s="106"/>
      <c r="C58" s="116" t="s">
        <v>221</v>
      </c>
      <c r="D58" s="106">
        <f>D54+D55+D56+D57</f>
      </c>
      <c r="E58" s="106">
        <f>E54+E55+E56+E57</f>
      </c>
      <c r="F58" s="106">
        <f>F54+F55+F56+F57</f>
      </c>
      <c r="G58" s="106">
        <f>G54+G55+G56+G57</f>
      </c>
      <c r="H58" s="106">
        <f>H54+H55+H56+H57</f>
      </c>
      <c r="I58" s="106">
        <f>I54+I55+I56+I57</f>
      </c>
      <c r="J58" s="106">
        <f>J54+J55+J56+J57</f>
      </c>
      <c r="K58" s="106">
        <f>K54+K55+K56+K57</f>
      </c>
      <c r="L58" s="106">
        <f>L54+L55+L56+L57</f>
      </c>
      <c r="M58" s="106">
        <f>M54+M55+M56+M57</f>
      </c>
      <c r="N58" s="106">
        <f>N54+N55+N56+N57</f>
      </c>
      <c r="O58" s="106">
        <f>O54+O55+O56+O57</f>
      </c>
      <c r="P58" s="106">
        <f>P54+P55+P56+P57</f>
      </c>
      <c r="Q58" s="106">
        <f>Q54+Q55+Q56+Q57</f>
      </c>
      <c r="R58" s="107">
        <f t="shared" si="4"/>
      </c>
      <c r="S58" s="107">
        <f t="shared" si="2"/>
      </c>
      <c r="T58" s="107">
        <f t="shared" si="0"/>
      </c>
      <c r="U58" s="108"/>
      <c r="V58" s="116">
        <f>V54+V55+V57+V56</f>
      </c>
      <c r="W58" s="108"/>
      <c r="X58" s="106">
        <f>SUM(X54:X55)</f>
      </c>
      <c r="Y58" s="108"/>
      <c r="Z58" s="116">
        <v>15</v>
      </c>
      <c r="AA58" s="106">
        <f>AA54+AA55+AA57+AA56</f>
      </c>
      <c r="AB58" s="106">
        <f>AB54+AB55+AB57+AB56</f>
      </c>
      <c r="AC58" s="106">
        <f>AC54+AC55+AC57+AC56</f>
      </c>
      <c r="AD58" s="106">
        <f>AD54+AD55+AD57+AD56</f>
      </c>
      <c r="AE58" s="106">
        <f>AE54+AE55+AE57+AE56</f>
      </c>
      <c r="AF58" s="106">
        <f>AF54+AF55+AF57+AF56</f>
      </c>
      <c r="AG58" s="106">
        <f>AG54+AG55+AG57+AG56</f>
      </c>
      <c r="AH58" s="106">
        <f>AH54+AH55+AH57+AH56</f>
      </c>
      <c r="AI58" s="109">
        <f t="shared" si="32"/>
      </c>
      <c r="AJ58" s="109">
        <f t="shared" si="5"/>
      </c>
      <c r="AK58" s="109">
        <f t="shared" si="33"/>
      </c>
      <c r="AL58" s="109">
        <f t="shared" si="3"/>
      </c>
      <c r="AM58" s="110">
        <f t="shared" si="1"/>
      </c>
      <c r="AN58" s="109">
        <f>F58/AE58</f>
      </c>
    </row>
    <row r="59">
      <c r="A59" s="111">
        <v>46254</v>
      </c>
      <c r="B59" s="114" t="s">
        <v>198</v>
      </c>
      <c r="C59" s="114" t="s">
        <v>210</v>
      </c>
      <c r="D59" s="89">
        <v>4</v>
      </c>
      <c r="E59" s="112">
        <v>15</v>
      </c>
      <c r="F59" s="117">
        <v>12</v>
      </c>
      <c r="G59" s="112">
        <v>10</v>
      </c>
      <c r="H59" s="112">
        <v>12</v>
      </c>
      <c r="I59" s="94">
        <v>2704.51</v>
      </c>
      <c r="J59" s="112">
        <v>0</v>
      </c>
      <c r="K59" s="112">
        <v>0</v>
      </c>
      <c r="L59" s="112">
        <v>12</v>
      </c>
      <c r="M59" s="96">
        <v>32454.120000000003</v>
      </c>
      <c r="N59" s="113">
        <v>3</v>
      </c>
      <c r="O59" s="113">
        <v>1024.76</v>
      </c>
      <c r="P59" s="89">
        <f t="shared" ref="P59:P62" si="20">I59*12+K59</f>
      </c>
      <c r="Q59" s="97">
        <v>14747.96</v>
      </c>
      <c r="R59" s="98">
        <f t="shared" si="4"/>
      </c>
      <c r="S59" s="99">
        <f t="shared" si="2"/>
      </c>
      <c r="T59" s="99">
        <f t="shared" si="0"/>
      </c>
      <c r="U59" s="112" t="s">
        <v>223</v>
      </c>
      <c r="V59" s="112">
        <v>7</v>
      </c>
      <c r="W59" s="94"/>
      <c r="X59" s="94"/>
      <c r="Y59" s="94"/>
      <c r="Z59" s="112"/>
      <c r="AA59" s="100">
        <v>38470</v>
      </c>
      <c r="AB59" s="100">
        <v>4049</v>
      </c>
      <c r="AC59" s="100">
        <v>5509</v>
      </c>
      <c r="AD59" s="100">
        <v>1253</v>
      </c>
      <c r="AE59" s="94">
        <v>186</v>
      </c>
      <c r="AF59" s="94">
        <v>34</v>
      </c>
      <c r="AG59" s="94">
        <v>424</v>
      </c>
      <c r="AH59" s="94">
        <v>5</v>
      </c>
      <c r="AI59" s="101">
        <f t="shared" si="32"/>
      </c>
      <c r="AJ59" s="101">
        <f t="shared" si="5"/>
      </c>
      <c r="AK59" s="101">
        <f t="shared" si="33"/>
      </c>
      <c r="AL59" s="102">
        <f t="shared" si="3"/>
      </c>
      <c r="AM59" s="103">
        <f t="shared" si="1"/>
      </c>
      <c r="AN59" s="104"/>
    </row>
    <row r="60">
      <c r="A60" s="111">
        <v>46254</v>
      </c>
      <c r="B60" s="114" t="s">
        <v>207</v>
      </c>
      <c r="C60" s="114" t="s">
        <v>214</v>
      </c>
      <c r="D60" s="114">
        <v>4</v>
      </c>
      <c r="E60" s="94">
        <v>9</v>
      </c>
      <c r="F60" s="117">
        <v>4</v>
      </c>
      <c r="G60" s="112">
        <v>3</v>
      </c>
      <c r="H60" s="112">
        <v>3</v>
      </c>
      <c r="I60" s="112">
        <v>784.5899999999999</v>
      </c>
      <c r="J60" s="112">
        <v>1</v>
      </c>
      <c r="K60" s="112">
        <v>848</v>
      </c>
      <c r="L60" s="112">
        <v>4</v>
      </c>
      <c r="M60" s="113">
        <v>10263.079999999998</v>
      </c>
      <c r="N60" s="113">
        <v>1</v>
      </c>
      <c r="O60" s="113">
        <v>192.93</v>
      </c>
      <c r="P60" s="89">
        <f t="shared" si="20"/>
      </c>
      <c r="Q60" s="97">
        <v>12277.490000000002</v>
      </c>
      <c r="R60" s="98">
        <f t="shared" si="4"/>
      </c>
      <c r="S60" s="99">
        <f t="shared" si="2"/>
      </c>
      <c r="T60" s="99">
        <f t="shared" si="0"/>
      </c>
      <c r="U60" s="112"/>
      <c r="V60" s="112"/>
      <c r="W60" s="94"/>
      <c r="X60" s="94"/>
      <c r="Y60" s="94" t="s">
        <v>201</v>
      </c>
      <c r="Z60" s="112">
        <v>15</v>
      </c>
      <c r="AA60" s="94">
        <v>28608</v>
      </c>
      <c r="AB60" s="94">
        <v>3621</v>
      </c>
      <c r="AC60" s="94">
        <v>5146</v>
      </c>
      <c r="AD60" s="94">
        <v>1199</v>
      </c>
      <c r="AE60" s="94">
        <v>129</v>
      </c>
      <c r="AF60" s="94">
        <v>16</v>
      </c>
      <c r="AG60" s="94">
        <v>202</v>
      </c>
      <c r="AH60" s="94">
        <v>5</v>
      </c>
      <c r="AI60" s="101">
        <f t="shared" si="32"/>
      </c>
      <c r="AJ60" s="101">
        <f t="shared" si="5"/>
      </c>
      <c r="AK60" s="101">
        <f t="shared" si="33"/>
      </c>
      <c r="AL60" s="102">
        <f t="shared" si="3"/>
      </c>
      <c r="AM60" s="103">
        <f t="shared" si="1"/>
      </c>
      <c r="AN60" s="104"/>
    </row>
    <row r="61">
      <c r="A61" s="111">
        <v>46254</v>
      </c>
      <c r="B61" s="114" t="s">
        <v>209</v>
      </c>
      <c r="C61" s="114" t="s">
        <v>212</v>
      </c>
      <c r="D61" s="114">
        <v>4</v>
      </c>
      <c r="E61" s="112">
        <v>5</v>
      </c>
      <c r="F61" s="117">
        <v>2</v>
      </c>
      <c r="G61" s="112">
        <v>2</v>
      </c>
      <c r="H61" s="112">
        <v>2</v>
      </c>
      <c r="I61" s="112">
        <v>375.94</v>
      </c>
      <c r="J61" s="112">
        <v>0</v>
      </c>
      <c r="K61" s="112">
        <v>0</v>
      </c>
      <c r="L61" s="112">
        <v>2</v>
      </c>
      <c r="M61" s="96">
        <v>4511.28</v>
      </c>
      <c r="N61" s="113">
        <v>1</v>
      </c>
      <c r="O61" s="113">
        <v>328.96</v>
      </c>
      <c r="P61" s="89">
        <f t="shared" si="20"/>
      </c>
      <c r="Q61" s="97">
        <v>12005.509999999998</v>
      </c>
      <c r="R61" s="98">
        <f t="shared" si="4"/>
      </c>
      <c r="S61" s="99">
        <f t="shared" si="2"/>
      </c>
      <c r="T61" s="99">
        <f t="shared" si="0"/>
      </c>
      <c r="U61" s="112"/>
      <c r="V61" s="112"/>
      <c r="W61" s="94"/>
      <c r="X61" s="94"/>
      <c r="Y61" s="94"/>
      <c r="Z61" s="94"/>
      <c r="AA61" s="94">
        <v>36158</v>
      </c>
      <c r="AB61" s="94">
        <v>4001</v>
      </c>
      <c r="AC61" s="94">
        <v>6957</v>
      </c>
      <c r="AD61" s="94">
        <v>1261</v>
      </c>
      <c r="AE61" s="94">
        <v>124</v>
      </c>
      <c r="AF61" s="94">
        <v>52</v>
      </c>
      <c r="AG61" s="94">
        <v>212</v>
      </c>
      <c r="AH61" s="94">
        <v>3</v>
      </c>
      <c r="AI61" s="101">
        <f t="shared" si="32"/>
      </c>
      <c r="AJ61" s="101">
        <f t="shared" si="5"/>
      </c>
      <c r="AK61" s="101">
        <f t="shared" si="33"/>
      </c>
      <c r="AL61" s="102">
        <f t="shared" si="3"/>
      </c>
      <c r="AM61" s="103">
        <f t="shared" si="1"/>
      </c>
      <c r="AN61" s="104"/>
    </row>
    <row r="62">
      <c r="A62" s="111">
        <v>46254</v>
      </c>
      <c r="B62" s="114" t="s">
        <v>220</v>
      </c>
      <c r="C62" s="114" t="s">
        <v>217</v>
      </c>
      <c r="D62" s="114">
        <v>3</v>
      </c>
      <c r="E62" s="112">
        <v>7</v>
      </c>
      <c r="F62" s="117">
        <v>6</v>
      </c>
      <c r="G62" s="112">
        <v>4</v>
      </c>
      <c r="H62" s="112">
        <v>4</v>
      </c>
      <c r="I62" s="94">
        <v>815.0999999999999</v>
      </c>
      <c r="J62" s="112">
        <v>2</v>
      </c>
      <c r="K62" s="112">
        <v>1563</v>
      </c>
      <c r="L62" s="112">
        <v>6</v>
      </c>
      <c r="M62" s="96">
        <v>11344.199999999999</v>
      </c>
      <c r="N62" s="113">
        <v>2</v>
      </c>
      <c r="O62" s="113">
        <v>609.78</v>
      </c>
      <c r="P62" s="89">
        <f t="shared" si="20"/>
      </c>
      <c r="Q62" s="97">
        <v>7146.610000000001</v>
      </c>
      <c r="R62" s="98">
        <f t="shared" si="4"/>
      </c>
      <c r="S62" s="99">
        <f t="shared" si="2"/>
      </c>
      <c r="T62" s="99">
        <f t="shared" si="0"/>
      </c>
      <c r="U62" s="112" t="s">
        <v>206</v>
      </c>
      <c r="V62" s="112">
        <v>8</v>
      </c>
      <c r="W62" s="94"/>
      <c r="X62" s="94"/>
      <c r="Y62" s="94"/>
      <c r="Z62" s="94"/>
      <c r="AA62" s="94">
        <v>17704</v>
      </c>
      <c r="AB62" s="94">
        <v>1548</v>
      </c>
      <c r="AC62" s="94">
        <v>2323</v>
      </c>
      <c r="AD62" s="94">
        <v>435</v>
      </c>
      <c r="AE62" s="94">
        <v>66</v>
      </c>
      <c r="AF62" s="94">
        <v>18</v>
      </c>
      <c r="AG62" s="94">
        <v>233</v>
      </c>
      <c r="AH62" s="94">
        <v>0</v>
      </c>
      <c r="AI62" s="101">
        <f t="shared" si="32"/>
      </c>
      <c r="AJ62" s="101">
        <f t="shared" si="5"/>
      </c>
      <c r="AK62" s="101">
        <f t="shared" si="33"/>
      </c>
      <c r="AL62" s="102">
        <f t="shared" si="3"/>
      </c>
      <c r="AM62" s="103">
        <f t="shared" si="1"/>
      </c>
      <c r="AN62" s="104"/>
    </row>
    <row r="63">
      <c r="A63" s="115">
        <v>46254</v>
      </c>
      <c r="B63" s="106"/>
      <c r="C63" s="116" t="s">
        <v>221</v>
      </c>
      <c r="D63" s="106">
        <f>D59+D60+D61+D62</f>
      </c>
      <c r="E63" s="106">
        <f>E59+E60+E61+E62</f>
      </c>
      <c r="F63" s="106">
        <f>F59+F60+F61+F62</f>
      </c>
      <c r="G63" s="106">
        <f>G59+G60+G61+G62</f>
      </c>
      <c r="H63" s="106">
        <f>H59+H60+H61+H62</f>
      </c>
      <c r="I63" s="106">
        <f>I59+I60+I61+I62</f>
      </c>
      <c r="J63" s="106">
        <f>J59+J60+J61+J62</f>
      </c>
      <c r="K63" s="106">
        <f>K59+K60+K61+K62</f>
      </c>
      <c r="L63" s="106">
        <f>L59+L60+L61+L62</f>
      </c>
      <c r="M63" s="106">
        <f>M59+M60+M61+M62</f>
      </c>
      <c r="N63" s="106">
        <f>N59+N60+N61+N62</f>
      </c>
      <c r="O63" s="106">
        <f>O59+O60+O61+O62</f>
      </c>
      <c r="P63" s="106">
        <f>P59+P60+P61+P62</f>
      </c>
      <c r="Q63" s="106">
        <f>Q59+Q60+Q61+Q62</f>
      </c>
      <c r="R63" s="107">
        <f t="shared" si="4"/>
      </c>
      <c r="S63" s="107">
        <f t="shared" si="2"/>
      </c>
      <c r="T63" s="107">
        <f t="shared" si="0"/>
      </c>
      <c r="U63" s="108"/>
      <c r="V63" s="116">
        <f>V59+V60+V62+V61</f>
      </c>
      <c r="W63" s="108"/>
      <c r="X63" s="106">
        <f>SUM(X59:X60)</f>
      </c>
      <c r="Y63" s="108"/>
      <c r="Z63" s="116">
        <v>15</v>
      </c>
      <c r="AA63" s="106">
        <f>AA59+AA60+AA62+AA61</f>
      </c>
      <c r="AB63" s="106">
        <f>AB59+AB60+AB62+AB61</f>
      </c>
      <c r="AC63" s="106">
        <f>AC59+AC60+AC62+AC61</f>
      </c>
      <c r="AD63" s="106">
        <f>AD59+AD60+AD62+AD61</f>
      </c>
      <c r="AE63" s="106">
        <f>AE59+AE60+AE62+AE61</f>
      </c>
      <c r="AF63" s="106">
        <f>AF59+AF60+AF62+AF61</f>
      </c>
      <c r="AG63" s="106">
        <f>AG59+AG60+AG62+AG61</f>
      </c>
      <c r="AH63" s="106">
        <f>AH59+AH60+AH62+AH61</f>
      </c>
      <c r="AI63" s="109">
        <f t="shared" si="32"/>
      </c>
      <c r="AJ63" s="109">
        <f t="shared" si="5"/>
      </c>
      <c r="AK63" s="109">
        <f t="shared" si="33"/>
      </c>
      <c r="AL63" s="109">
        <f t="shared" si="3"/>
      </c>
      <c r="AM63" s="110">
        <f t="shared" si="1"/>
      </c>
      <c r="AN63" s="109">
        <f>F63/AE63</f>
      </c>
    </row>
    <row r="64">
      <c r="A64" s="111">
        <v>46255</v>
      </c>
      <c r="B64" s="114" t="s">
        <v>198</v>
      </c>
      <c r="C64" s="114" t="s">
        <v>210</v>
      </c>
      <c r="D64" s="89">
        <v>4</v>
      </c>
      <c r="E64" s="112">
        <v>12</v>
      </c>
      <c r="F64" s="117">
        <v>8</v>
      </c>
      <c r="G64" s="112">
        <v>7</v>
      </c>
      <c r="H64" s="112">
        <v>6</v>
      </c>
      <c r="I64" s="94">
        <v>825.77</v>
      </c>
      <c r="J64" s="112">
        <v>2</v>
      </c>
      <c r="K64" s="112">
        <v>4738.8</v>
      </c>
      <c r="L64" s="112">
        <v>8</v>
      </c>
      <c r="M64" s="96">
        <v>14648.04</v>
      </c>
      <c r="N64" s="113">
        <v>4</v>
      </c>
      <c r="O64" s="113">
        <v>4336.83</v>
      </c>
      <c r="P64" s="89">
        <f t="shared" ref="P64:P67" si="21">I64*12+K64</f>
      </c>
      <c r="Q64" s="97">
        <v>14133.89</v>
      </c>
      <c r="R64" s="98">
        <f t="shared" si="4"/>
      </c>
      <c r="S64" s="99">
        <f t="shared" si="2"/>
      </c>
      <c r="T64" s="99">
        <f t="shared" si="0"/>
      </c>
      <c r="U64" s="112" t="s">
        <v>223</v>
      </c>
      <c r="V64" s="112">
        <v>7</v>
      </c>
      <c r="W64" s="94"/>
      <c r="X64" s="94"/>
      <c r="Y64" s="94"/>
      <c r="Z64" s="112"/>
      <c r="AA64" s="100">
        <v>41113</v>
      </c>
      <c r="AB64" s="100">
        <v>3566</v>
      </c>
      <c r="AC64" s="100">
        <v>6374</v>
      </c>
      <c r="AD64" s="100">
        <v>1371</v>
      </c>
      <c r="AE64" s="94">
        <v>140</v>
      </c>
      <c r="AF64" s="94">
        <v>43</v>
      </c>
      <c r="AG64" s="94">
        <v>245</v>
      </c>
      <c r="AH64" s="94">
        <v>4</v>
      </c>
      <c r="AI64" s="101">
        <f t="shared" si="32"/>
      </c>
      <c r="AJ64" s="101">
        <f t="shared" si="5"/>
      </c>
      <c r="AK64" s="101">
        <f t="shared" si="33"/>
      </c>
      <c r="AL64" s="102">
        <f t="shared" si="3"/>
      </c>
      <c r="AM64" s="103">
        <f t="shared" si="1"/>
      </c>
      <c r="AN64" s="104"/>
    </row>
    <row r="65">
      <c r="A65" s="111">
        <v>46255</v>
      </c>
      <c r="B65" s="114" t="s">
        <v>207</v>
      </c>
      <c r="C65" s="114" t="s">
        <v>214</v>
      </c>
      <c r="D65" s="114">
        <v>4</v>
      </c>
      <c r="E65" s="94">
        <v>18</v>
      </c>
      <c r="F65" s="117">
        <v>12</v>
      </c>
      <c r="G65" s="112">
        <v>9</v>
      </c>
      <c r="H65" s="112">
        <v>12</v>
      </c>
      <c r="I65" s="112">
        <v>2521.4700000000003</v>
      </c>
      <c r="J65" s="112">
        <v>0</v>
      </c>
      <c r="K65" s="112">
        <v>0</v>
      </c>
      <c r="L65" s="112">
        <v>12</v>
      </c>
      <c r="M65" s="113">
        <v>30257.640000000003</v>
      </c>
      <c r="N65" s="113">
        <v>6</v>
      </c>
      <c r="O65" s="113">
        <v>1985.96</v>
      </c>
      <c r="P65" s="89">
        <f t="shared" si="21"/>
      </c>
      <c r="Q65" s="97">
        <v>15462.280000000002</v>
      </c>
      <c r="R65" s="98">
        <f t="shared" si="4"/>
      </c>
      <c r="S65" s="99">
        <f t="shared" si="2"/>
      </c>
      <c r="T65" s="99">
        <f t="shared" si="0"/>
      </c>
      <c r="U65" s="112"/>
      <c r="V65" s="112"/>
      <c r="W65" s="94"/>
      <c r="X65" s="94"/>
      <c r="Y65" s="94" t="s">
        <v>201</v>
      </c>
      <c r="Z65" s="112">
        <v>15</v>
      </c>
      <c r="AA65" s="94">
        <v>46732</v>
      </c>
      <c r="AB65" s="94">
        <v>4375</v>
      </c>
      <c r="AC65" s="94">
        <v>7352</v>
      </c>
      <c r="AD65" s="94">
        <v>1746</v>
      </c>
      <c r="AE65" s="94">
        <v>176</v>
      </c>
      <c r="AF65" s="94">
        <v>30</v>
      </c>
      <c r="AG65" s="94">
        <v>324</v>
      </c>
      <c r="AH65" s="94">
        <v>4</v>
      </c>
      <c r="AI65" s="101">
        <f t="shared" si="32"/>
      </c>
      <c r="AJ65" s="101">
        <f t="shared" si="5"/>
      </c>
      <c r="AK65" s="101">
        <f t="shared" si="33"/>
      </c>
      <c r="AL65" s="102">
        <f t="shared" si="3"/>
      </c>
      <c r="AM65" s="103">
        <f t="shared" si="1"/>
      </c>
      <c r="AN65" s="104"/>
    </row>
    <row r="66">
      <c r="A66" s="111">
        <v>46255</v>
      </c>
      <c r="B66" s="114" t="s">
        <v>225</v>
      </c>
      <c r="C66" s="114" t="s">
        <v>212</v>
      </c>
      <c r="D66" s="114">
        <v>4</v>
      </c>
      <c r="E66" s="112">
        <v>11</v>
      </c>
      <c r="F66" s="117">
        <v>4</v>
      </c>
      <c r="G66" s="112">
        <v>4</v>
      </c>
      <c r="H66" s="112">
        <v>4</v>
      </c>
      <c r="I66" s="112">
        <v>694.71</v>
      </c>
      <c r="J66" s="112">
        <v>0</v>
      </c>
      <c r="K66" s="112">
        <v>0</v>
      </c>
      <c r="L66" s="112">
        <v>4</v>
      </c>
      <c r="M66" s="96">
        <v>8336.52</v>
      </c>
      <c r="N66" s="113">
        <v>1</v>
      </c>
      <c r="O66" s="113">
        <v>465.75</v>
      </c>
      <c r="P66" s="89">
        <f t="shared" si="21"/>
      </c>
      <c r="Q66" s="97">
        <v>13630.67</v>
      </c>
      <c r="R66" s="98">
        <f t="shared" si="4"/>
      </c>
      <c r="S66" s="99">
        <f t="shared" si="2"/>
      </c>
      <c r="T66" s="99">
        <f t="shared" si="0"/>
      </c>
      <c r="U66" s="112"/>
      <c r="V66" s="112"/>
      <c r="W66" s="94"/>
      <c r="X66" s="94"/>
      <c r="Y66" s="94"/>
      <c r="Z66" s="94"/>
      <c r="AA66" s="94">
        <v>53836</v>
      </c>
      <c r="AB66" s="94">
        <v>3971</v>
      </c>
      <c r="AC66" s="94">
        <v>6867</v>
      </c>
      <c r="AD66" s="94">
        <v>1341</v>
      </c>
      <c r="AE66" s="94">
        <v>198</v>
      </c>
      <c r="AF66" s="94">
        <v>24</v>
      </c>
      <c r="AG66" s="94">
        <v>265</v>
      </c>
      <c r="AH66" s="94">
        <v>0</v>
      </c>
      <c r="AI66" s="101">
        <f t="shared" si="32"/>
      </c>
      <c r="AJ66" s="101">
        <f t="shared" si="5"/>
      </c>
      <c r="AK66" s="101">
        <f t="shared" si="33"/>
      </c>
      <c r="AL66" s="102">
        <f t="shared" si="3"/>
      </c>
      <c r="AM66" s="103">
        <f t="shared" si="1"/>
      </c>
      <c r="AN66" s="104"/>
    </row>
    <row r="67">
      <c r="A67" s="111">
        <v>46255</v>
      </c>
      <c r="B67" s="114" t="s">
        <v>220</v>
      </c>
      <c r="C67" s="114" t="s">
        <v>217</v>
      </c>
      <c r="D67" s="114">
        <v>3</v>
      </c>
      <c r="E67" s="112">
        <v>11</v>
      </c>
      <c r="F67" s="117">
        <v>7</v>
      </c>
      <c r="G67" s="112">
        <v>6</v>
      </c>
      <c r="H67" s="112">
        <v>8</v>
      </c>
      <c r="I67" s="94">
        <v>1532.95</v>
      </c>
      <c r="J67" s="112">
        <v>0</v>
      </c>
      <c r="K67" s="112">
        <v>0</v>
      </c>
      <c r="L67" s="112">
        <v>8</v>
      </c>
      <c r="M67" s="96">
        <v>18395.4</v>
      </c>
      <c r="N67" s="113">
        <v>2</v>
      </c>
      <c r="O67" s="113">
        <v>1142.85</v>
      </c>
      <c r="P67" s="89">
        <f t="shared" si="21"/>
      </c>
      <c r="Q67" s="97">
        <v>7827.57</v>
      </c>
      <c r="R67" s="98">
        <f t="shared" si="4"/>
      </c>
      <c r="S67" s="99">
        <f t="shared" si="2"/>
      </c>
      <c r="T67" s="99">
        <f t="shared" si="0"/>
      </c>
      <c r="U67" s="112" t="s">
        <v>206</v>
      </c>
      <c r="V67" s="112">
        <v>8</v>
      </c>
      <c r="W67" s="94"/>
      <c r="X67" s="94"/>
      <c r="Y67" s="94"/>
      <c r="Z67" s="94"/>
      <c r="AA67" s="94">
        <v>41479</v>
      </c>
      <c r="AB67" s="94">
        <v>3440</v>
      </c>
      <c r="AC67" s="94">
        <v>6519</v>
      </c>
      <c r="AD67" s="94">
        <v>1357</v>
      </c>
      <c r="AE67" s="94">
        <v>106</v>
      </c>
      <c r="AF67" s="94">
        <v>23</v>
      </c>
      <c r="AG67" s="94">
        <v>217</v>
      </c>
      <c r="AH67" s="94">
        <v>3</v>
      </c>
      <c r="AI67" s="101">
        <f t="shared" si="32"/>
      </c>
      <c r="AJ67" s="101">
        <f t="shared" si="5"/>
      </c>
      <c r="AK67" s="101">
        <f t="shared" si="33"/>
      </c>
      <c r="AL67" s="102">
        <f t="shared" si="3"/>
      </c>
      <c r="AM67" s="103">
        <f t="shared" si="1"/>
      </c>
      <c r="AN67" s="104"/>
    </row>
    <row r="68">
      <c r="A68" s="115">
        <v>46255</v>
      </c>
      <c r="B68" s="106"/>
      <c r="C68" s="116" t="s">
        <v>221</v>
      </c>
      <c r="D68" s="106">
        <f>D64+D65+D66+D67</f>
      </c>
      <c r="E68" s="106">
        <f>E64+E65+E66+E67</f>
      </c>
      <c r="F68" s="106">
        <f>F64+F65+F66+F67</f>
      </c>
      <c r="G68" s="106">
        <f>G64+G65+G66+G67</f>
      </c>
      <c r="H68" s="106">
        <f>H64+H65+H66+H67</f>
      </c>
      <c r="I68" s="106">
        <f>I64+I65+I66+I67</f>
      </c>
      <c r="J68" s="106">
        <f>J64+J65+J66+J67</f>
      </c>
      <c r="K68" s="106">
        <f>K64+K65+K66+K67</f>
      </c>
      <c r="L68" s="106">
        <f>L64+L65+L66+L67</f>
      </c>
      <c r="M68" s="106">
        <f>M64+M65+M66+M67</f>
      </c>
      <c r="N68" s="106">
        <f>N64+N65+N66+N67</f>
      </c>
      <c r="O68" s="106">
        <f>O64+O65+O66+O67</f>
      </c>
      <c r="P68" s="106">
        <f>P64+P65+P66+P67</f>
      </c>
      <c r="Q68" s="106">
        <f>Q64+Q65+Q66+Q67</f>
      </c>
      <c r="R68" s="107">
        <f t="shared" si="4"/>
      </c>
      <c r="S68" s="107">
        <f t="shared" si="2"/>
      </c>
      <c r="T68" s="107">
        <f t="shared" si="0"/>
      </c>
      <c r="U68" s="108"/>
      <c r="V68" s="116">
        <f>V64+V65+V67+V66</f>
      </c>
      <c r="W68" s="108"/>
      <c r="X68" s="106">
        <f>SUM(X64:X65)</f>
      </c>
      <c r="Y68" s="108"/>
      <c r="Z68" s="116">
        <v>15</v>
      </c>
      <c r="AA68" s="106">
        <f>AA64+AA65+AA67+AA66</f>
      </c>
      <c r="AB68" s="106">
        <f>AB64+AB65+AB67+AB66</f>
      </c>
      <c r="AC68" s="106">
        <f>AC64+AC65+AC67+AC66</f>
      </c>
      <c r="AD68" s="106">
        <f>AD64+AD65+AD67+AD66</f>
      </c>
      <c r="AE68" s="106">
        <f>AE64+AE65+AE67+AE66</f>
      </c>
      <c r="AF68" s="106">
        <f>AF64+AF65+AF67+AF66</f>
      </c>
      <c r="AG68" s="106">
        <f>AG64+AG65+AG67+AG66</f>
      </c>
      <c r="AH68" s="106">
        <f>AH64+AH65+AH67+AH66</f>
      </c>
      <c r="AI68" s="109">
        <f t="shared" si="32"/>
      </c>
      <c r="AJ68" s="109">
        <f t="shared" si="5"/>
      </c>
      <c r="AK68" s="109">
        <f t="shared" si="33"/>
      </c>
      <c r="AL68" s="109">
        <f t="shared" si="3"/>
      </c>
      <c r="AM68" s="110">
        <f t="shared" si="1"/>
      </c>
      <c r="AN68" s="109">
        <f>F68/AE68</f>
      </c>
    </row>
    <row r="69">
      <c r="A69" s="111">
        <v>46256</v>
      </c>
      <c r="B69" s="114" t="s">
        <v>198</v>
      </c>
      <c r="C69" s="114" t="s">
        <v>210</v>
      </c>
      <c r="D69" s="89">
        <v>4</v>
      </c>
      <c r="E69" s="112">
        <v>25</v>
      </c>
      <c r="F69" s="117">
        <v>9</v>
      </c>
      <c r="G69" s="112">
        <v>8</v>
      </c>
      <c r="H69" s="112">
        <v>7</v>
      </c>
      <c r="I69" s="94">
        <v>1616.92</v>
      </c>
      <c r="J69" s="112">
        <v>2</v>
      </c>
      <c r="K69" s="112">
        <v>1207</v>
      </c>
      <c r="L69" s="112">
        <v>9</v>
      </c>
      <c r="M69" s="96">
        <v>20610.04</v>
      </c>
      <c r="N69" s="113">
        <v>5</v>
      </c>
      <c r="O69" s="113">
        <v>1458.88</v>
      </c>
      <c r="P69" s="89">
        <f t="shared" ref="P69:P72" si="22">I69*12+K69</f>
      </c>
      <c r="Q69" s="97">
        <v>16778.52</v>
      </c>
      <c r="R69" s="98">
        <f t="shared" si="4"/>
      </c>
      <c r="S69" s="99">
        <f t="shared" si="2"/>
      </c>
      <c r="T69" s="99">
        <f t="shared" si="0"/>
      </c>
      <c r="U69" s="112" t="s">
        <v>226</v>
      </c>
      <c r="V69" s="112">
        <v>7</v>
      </c>
      <c r="W69" s="94"/>
      <c r="X69" s="94"/>
      <c r="Y69" s="94"/>
      <c r="Z69" s="112"/>
      <c r="AA69" s="100">
        <v>42742</v>
      </c>
      <c r="AB69" s="100">
        <v>5001</v>
      </c>
      <c r="AC69" s="100">
        <v>7643</v>
      </c>
      <c r="AD69" s="100">
        <v>1876</v>
      </c>
      <c r="AE69" s="94">
        <v>130</v>
      </c>
      <c r="AF69" s="94">
        <v>43</v>
      </c>
      <c r="AG69" s="94">
        <v>408</v>
      </c>
      <c r="AH69" s="94">
        <v>1</v>
      </c>
      <c r="AI69" s="101">
        <f t="shared" si="32"/>
      </c>
      <c r="AJ69" s="101">
        <f t="shared" si="5"/>
      </c>
      <c r="AK69" s="101">
        <f t="shared" si="33"/>
      </c>
      <c r="AL69" s="102">
        <f t="shared" si="3"/>
      </c>
      <c r="AM69" s="103">
        <f t="shared" si="1"/>
      </c>
      <c r="AN69" s="104"/>
    </row>
    <row r="70">
      <c r="A70" s="111">
        <v>46256</v>
      </c>
      <c r="B70" s="114" t="s">
        <v>207</v>
      </c>
      <c r="C70" s="114" t="s">
        <v>214</v>
      </c>
      <c r="D70" s="114">
        <v>4</v>
      </c>
      <c r="E70" s="94">
        <v>10</v>
      </c>
      <c r="F70" s="117">
        <v>6</v>
      </c>
      <c r="G70" s="112">
        <v>5</v>
      </c>
      <c r="H70" s="112">
        <v>6</v>
      </c>
      <c r="I70" s="112">
        <v>1100.76</v>
      </c>
      <c r="J70" s="112">
        <v>0</v>
      </c>
      <c r="K70" s="112">
        <v>0</v>
      </c>
      <c r="L70" s="112">
        <v>6</v>
      </c>
      <c r="M70" s="113">
        <v>13209.119999999999</v>
      </c>
      <c r="N70" s="113">
        <v>3</v>
      </c>
      <c r="O70" s="113">
        <v>788.6400000000001</v>
      </c>
      <c r="P70" s="89">
        <f t="shared" si="22"/>
      </c>
      <c r="Q70" s="97">
        <v>11543.37</v>
      </c>
      <c r="R70" s="98">
        <f t="shared" si="4"/>
      </c>
      <c r="S70" s="99">
        <f t="shared" si="2"/>
      </c>
      <c r="T70" s="99">
        <f t="shared" si="0"/>
      </c>
      <c r="U70" s="112"/>
      <c r="V70" s="112"/>
      <c r="W70" s="94"/>
      <c r="X70" s="94"/>
      <c r="Y70" s="94" t="s">
        <v>201</v>
      </c>
      <c r="Z70" s="112">
        <v>15</v>
      </c>
      <c r="AA70" s="94">
        <v>24494</v>
      </c>
      <c r="AB70" s="94">
        <v>3791</v>
      </c>
      <c r="AC70" s="94">
        <v>5594</v>
      </c>
      <c r="AD70" s="94">
        <v>1523</v>
      </c>
      <c r="AE70" s="94">
        <v>74</v>
      </c>
      <c r="AF70" s="94">
        <v>33</v>
      </c>
      <c r="AG70" s="94">
        <v>305</v>
      </c>
      <c r="AH70" s="94">
        <v>3</v>
      </c>
      <c r="AI70" s="101">
        <f t="shared" si="32"/>
      </c>
      <c r="AJ70" s="101">
        <f t="shared" si="5"/>
      </c>
      <c r="AK70" s="101">
        <f t="shared" si="33"/>
      </c>
      <c r="AL70" s="102">
        <f t="shared" si="3"/>
      </c>
      <c r="AM70" s="103">
        <f t="shared" si="1"/>
      </c>
      <c r="AN70" s="104"/>
    </row>
    <row r="71">
      <c r="A71" s="111">
        <v>46256</v>
      </c>
      <c r="B71" s="114" t="s">
        <v>220</v>
      </c>
      <c r="C71" s="114" t="s">
        <v>199</v>
      </c>
      <c r="D71" s="114">
        <v>3</v>
      </c>
      <c r="E71" s="112">
        <v>2</v>
      </c>
      <c r="F71" s="117">
        <v>1</v>
      </c>
      <c r="G71" s="112">
        <v>0</v>
      </c>
      <c r="H71" s="112">
        <v>1</v>
      </c>
      <c r="I71" s="112">
        <v>336.98</v>
      </c>
      <c r="J71" s="112">
        <v>0</v>
      </c>
      <c r="K71" s="112">
        <v>0</v>
      </c>
      <c r="L71" s="112">
        <v>1</v>
      </c>
      <c r="M71" s="96">
        <v>4043.76</v>
      </c>
      <c r="N71" s="113">
        <v>1</v>
      </c>
      <c r="O71" s="113">
        <v>336.98</v>
      </c>
      <c r="P71" s="89">
        <f t="shared" si="22"/>
      </c>
      <c r="Q71" s="97">
        <v>7272.2300000000005</v>
      </c>
      <c r="R71" s="98">
        <f t="shared" si="4"/>
      </c>
      <c r="S71" s="99">
        <f t="shared" si="2"/>
      </c>
      <c r="T71" s="99">
        <f t="shared" si="0"/>
      </c>
      <c r="U71" s="112"/>
      <c r="V71" s="112"/>
      <c r="W71" s="94"/>
      <c r="X71" s="94"/>
      <c r="Y71" s="94"/>
      <c r="Z71" s="94"/>
      <c r="AA71" s="94">
        <v>24433</v>
      </c>
      <c r="AB71" s="94">
        <v>2503</v>
      </c>
      <c r="AC71" s="94">
        <v>4308</v>
      </c>
      <c r="AD71" s="94">
        <v>894</v>
      </c>
      <c r="AE71" s="94">
        <v>78</v>
      </c>
      <c r="AF71" s="94">
        <v>26</v>
      </c>
      <c r="AG71" s="94">
        <v>153</v>
      </c>
      <c r="AH71" s="94">
        <v>3</v>
      </c>
      <c r="AI71" s="101">
        <f t="shared" si="32"/>
      </c>
      <c r="AJ71" s="101">
        <f t="shared" si="5"/>
      </c>
      <c r="AK71" s="101">
        <f t="shared" si="33"/>
      </c>
      <c r="AL71" s="102">
        <f t="shared" si="3"/>
      </c>
      <c r="AM71" s="103">
        <f t="shared" si="1"/>
      </c>
      <c r="AN71" s="104"/>
    </row>
    <row r="72">
      <c r="A72" s="111">
        <v>46256</v>
      </c>
      <c r="B72" s="114" t="s">
        <v>209</v>
      </c>
      <c r="C72" s="114" t="s">
        <v>203</v>
      </c>
      <c r="D72" s="114">
        <v>4</v>
      </c>
      <c r="E72" s="112">
        <v>7</v>
      </c>
      <c r="F72" s="117">
        <v>2</v>
      </c>
      <c r="G72" s="112">
        <v>1</v>
      </c>
      <c r="H72" s="112">
        <v>2</v>
      </c>
      <c r="I72" s="94">
        <v>265.77</v>
      </c>
      <c r="J72" s="112">
        <v>0</v>
      </c>
      <c r="K72" s="112">
        <v>0</v>
      </c>
      <c r="L72" s="112">
        <v>2</v>
      </c>
      <c r="M72" s="96">
        <v>3189.24</v>
      </c>
      <c r="N72" s="113">
        <v>0</v>
      </c>
      <c r="O72" s="113">
        <v>0</v>
      </c>
      <c r="P72" s="89">
        <f t="shared" si="22"/>
      </c>
      <c r="Q72" s="97">
        <v>5604.18</v>
      </c>
      <c r="R72" s="98">
        <f t="shared" si="4"/>
      </c>
      <c r="S72" s="99">
        <f t="shared" si="2"/>
      </c>
      <c r="T72" s="99">
        <f t="shared" si="0"/>
      </c>
      <c r="U72" s="112" t="s">
        <v>206</v>
      </c>
      <c r="V72" s="112">
        <v>8</v>
      </c>
      <c r="W72" s="94"/>
      <c r="X72" s="94"/>
      <c r="Y72" s="94"/>
      <c r="Z72" s="94"/>
      <c r="AA72" s="94">
        <v>17324</v>
      </c>
      <c r="AB72" s="94">
        <v>2085</v>
      </c>
      <c r="AC72" s="94">
        <v>3922</v>
      </c>
      <c r="AD72" s="94">
        <v>780</v>
      </c>
      <c r="AE72" s="94">
        <v>55</v>
      </c>
      <c r="AF72" s="94">
        <v>15</v>
      </c>
      <c r="AG72" s="94">
        <v>106</v>
      </c>
      <c r="AH72" s="94">
        <v>2</v>
      </c>
      <c r="AI72" s="101">
        <f t="shared" si="32"/>
      </c>
      <c r="AJ72" s="101">
        <f t="shared" si="5"/>
      </c>
      <c r="AK72" s="101">
        <f t="shared" si="33"/>
      </c>
      <c r="AL72" s="102">
        <f t="shared" si="3"/>
      </c>
      <c r="AM72" s="103">
        <f t="shared" si="1"/>
      </c>
      <c r="AN72" s="104"/>
    </row>
    <row r="73">
      <c r="A73" s="115">
        <v>46256</v>
      </c>
      <c r="B73" s="106"/>
      <c r="C73" s="116" t="s">
        <v>221</v>
      </c>
      <c r="D73" s="106">
        <f>D69+D70+D71+D72</f>
      </c>
      <c r="E73" s="106">
        <f>E69+E70+E71+E72</f>
      </c>
      <c r="F73" s="106">
        <f>F69+F70+F71+F72</f>
      </c>
      <c r="G73" s="106">
        <f>G69+G70+G71+G72</f>
      </c>
      <c r="H73" s="106">
        <f>H69+H70+H71+H72</f>
      </c>
      <c r="I73" s="106">
        <f>I69+I70+I71+I72</f>
      </c>
      <c r="J73" s="106">
        <f>J69+J70+J71+J72</f>
      </c>
      <c r="K73" s="106">
        <f>K69+K70+K71+K72</f>
      </c>
      <c r="L73" s="106">
        <f>L69+L70+L71+L72</f>
      </c>
      <c r="M73" s="106">
        <f>M69+M70+M71+M72</f>
      </c>
      <c r="N73" s="106">
        <f>N69+N70+N71+N72</f>
      </c>
      <c r="O73" s="106">
        <f>O69+O70+O71+O72</f>
      </c>
      <c r="P73" s="106">
        <f>P69+P70+P71+P72</f>
      </c>
      <c r="Q73" s="106">
        <f>Q69+Q70+Q71+Q72</f>
      </c>
      <c r="R73" s="107">
        <f t="shared" si="4"/>
      </c>
      <c r="S73" s="107">
        <f t="shared" si="2"/>
      </c>
      <c r="T73" s="107">
        <f t="shared" si="0"/>
      </c>
      <c r="U73" s="108"/>
      <c r="V73" s="116">
        <f>V69+V70+V72+V71</f>
      </c>
      <c r="W73" s="108"/>
      <c r="X73" s="106">
        <f>SUM(X69:X70)</f>
      </c>
      <c r="Y73" s="108"/>
      <c r="Z73" s="116">
        <v>15</v>
      </c>
      <c r="AA73" s="106">
        <f>AA69+AA70+AA72+AA71</f>
      </c>
      <c r="AB73" s="106">
        <f>AB69+AB70+AB72+AB71</f>
      </c>
      <c r="AC73" s="106">
        <f>AC69+AC70+AC72+AC71</f>
      </c>
      <c r="AD73" s="106">
        <f>AD69+AD70+AD72+AD71</f>
      </c>
      <c r="AE73" s="106">
        <f>AE69+AE70+AE72+AE71</f>
      </c>
      <c r="AF73" s="106">
        <f>AF69+AF70+AF72+AF71</f>
      </c>
      <c r="AG73" s="106">
        <f>AG69+AG70+AG72+AG71</f>
      </c>
      <c r="AH73" s="106">
        <f>AH69+AH70+AH72+AH71</f>
      </c>
      <c r="AI73" s="109">
        <f t="shared" si="32"/>
      </c>
      <c r="AJ73" s="109">
        <f t="shared" si="5"/>
      </c>
      <c r="AK73" s="109">
        <f t="shared" si="33"/>
      </c>
      <c r="AL73" s="109">
        <f t="shared" si="3"/>
      </c>
      <c r="AM73" s="110">
        <f t="shared" si="1"/>
      </c>
      <c r="AN73" s="109">
        <f>F73/AE73</f>
      </c>
    </row>
    <row r="74">
      <c r="A74" s="111">
        <v>46257</v>
      </c>
      <c r="B74" s="114" t="s">
        <v>207</v>
      </c>
      <c r="C74" s="114" t="s">
        <v>210</v>
      </c>
      <c r="D74" s="89">
        <v>4</v>
      </c>
      <c r="E74" s="112">
        <v>23</v>
      </c>
      <c r="F74" s="117">
        <v>11</v>
      </c>
      <c r="G74" s="112">
        <v>9</v>
      </c>
      <c r="H74" s="112">
        <v>10</v>
      </c>
      <c r="I74" s="94">
        <v>1516.29</v>
      </c>
      <c r="J74" s="112">
        <v>1</v>
      </c>
      <c r="K74" s="112">
        <v>1651</v>
      </c>
      <c r="L74" s="112">
        <v>11</v>
      </c>
      <c r="M74" s="96">
        <v>19846.48</v>
      </c>
      <c r="N74" s="113">
        <v>4</v>
      </c>
      <c r="O74" s="113">
        <v>876.9300000000001</v>
      </c>
      <c r="P74" s="89">
        <f t="shared" ref="P74:P77" si="23">I74*12+K74</f>
      </c>
      <c r="Q74" s="97">
        <v>15162.88</v>
      </c>
      <c r="R74" s="98">
        <f t="shared" si="4"/>
      </c>
      <c r="S74" s="99">
        <f t="shared" si="2"/>
      </c>
      <c r="T74" s="99">
        <f t="shared" si="0"/>
      </c>
      <c r="U74" s="112" t="s">
        <v>226</v>
      </c>
      <c r="V74" s="112">
        <v>7</v>
      </c>
      <c r="W74" s="94"/>
      <c r="X74" s="94"/>
      <c r="Y74" s="94"/>
      <c r="Z74" s="112"/>
      <c r="AA74" s="100">
        <v>47069</v>
      </c>
      <c r="AB74" s="100">
        <v>3257</v>
      </c>
      <c r="AC74" s="100">
        <v>5280</v>
      </c>
      <c r="AD74" s="100">
        <v>1135</v>
      </c>
      <c r="AE74" s="94">
        <v>184</v>
      </c>
      <c r="AF74" s="94">
        <v>44</v>
      </c>
      <c r="AG74" s="94">
        <v>368</v>
      </c>
      <c r="AH74" s="94">
        <v>0</v>
      </c>
      <c r="AI74" s="101">
        <f t="shared" si="32"/>
      </c>
      <c r="AJ74" s="101">
        <f t="shared" si="5"/>
      </c>
      <c r="AK74" s="101">
        <f t="shared" si="33"/>
      </c>
      <c r="AL74" s="102">
        <f t="shared" si="3"/>
      </c>
      <c r="AM74" s="103">
        <f t="shared" si="1"/>
      </c>
      <c r="AN74" s="104"/>
    </row>
    <row r="75">
      <c r="A75" s="111">
        <v>46257</v>
      </c>
      <c r="B75" s="114" t="s">
        <v>198</v>
      </c>
      <c r="C75" s="114" t="s">
        <v>214</v>
      </c>
      <c r="D75" s="114">
        <v>4</v>
      </c>
      <c r="E75" s="94">
        <v>13</v>
      </c>
      <c r="F75" s="117">
        <v>7</v>
      </c>
      <c r="G75" s="112">
        <v>6</v>
      </c>
      <c r="H75" s="112">
        <v>7</v>
      </c>
      <c r="I75" s="112">
        <v>1879.15</v>
      </c>
      <c r="J75" s="112">
        <v>0</v>
      </c>
      <c r="K75" s="112">
        <v>0</v>
      </c>
      <c r="L75" s="112">
        <v>7</v>
      </c>
      <c r="M75" s="113">
        <v>22549.800000000003</v>
      </c>
      <c r="N75" s="113">
        <v>3</v>
      </c>
      <c r="O75" s="113">
        <v>1160.0300000000002</v>
      </c>
      <c r="P75" s="89">
        <f t="shared" si="23"/>
      </c>
      <c r="Q75" s="97">
        <v>14498.55</v>
      </c>
      <c r="R75" s="98">
        <f t="shared" si="4"/>
      </c>
      <c r="S75" s="99">
        <f t="shared" si="2"/>
      </c>
      <c r="T75" s="99">
        <f t="shared" si="0"/>
      </c>
      <c r="U75" s="112"/>
      <c r="V75" s="112"/>
      <c r="W75" s="94"/>
      <c r="X75" s="94"/>
      <c r="Y75" s="94" t="s">
        <v>201</v>
      </c>
      <c r="Z75" s="112">
        <v>15</v>
      </c>
      <c r="AA75" s="94">
        <v>52041</v>
      </c>
      <c r="AB75" s="94">
        <v>3199</v>
      </c>
      <c r="AC75" s="94">
        <v>5012</v>
      </c>
      <c r="AD75" s="94">
        <v>1060</v>
      </c>
      <c r="AE75" s="94">
        <v>177</v>
      </c>
      <c r="AF75" s="94">
        <v>45</v>
      </c>
      <c r="AG75" s="94">
        <v>405</v>
      </c>
      <c r="AH75" s="94">
        <v>7</v>
      </c>
      <c r="AI75" s="101">
        <f t="shared" si="32"/>
      </c>
      <c r="AJ75" s="101">
        <f t="shared" si="5"/>
      </c>
      <c r="AK75" s="101">
        <f t="shared" si="33"/>
      </c>
      <c r="AL75" s="102">
        <f t="shared" si="3"/>
      </c>
      <c r="AM75" s="103">
        <f t="shared" si="1"/>
      </c>
      <c r="AN75" s="104"/>
    </row>
    <row r="76">
      <c r="A76" s="111">
        <v>46257</v>
      </c>
      <c r="B76" s="114" t="s">
        <v>209</v>
      </c>
      <c r="C76" s="114" t="s">
        <v>212</v>
      </c>
      <c r="D76" s="114">
        <v>4</v>
      </c>
      <c r="E76" s="112">
        <v>11</v>
      </c>
      <c r="F76" s="117">
        <v>6</v>
      </c>
      <c r="G76" s="112">
        <v>6</v>
      </c>
      <c r="H76" s="112">
        <v>5</v>
      </c>
      <c r="I76" s="112">
        <v>547.02</v>
      </c>
      <c r="J76" s="112">
        <v>1</v>
      </c>
      <c r="K76" s="112">
        <v>2640</v>
      </c>
      <c r="L76" s="112">
        <v>6</v>
      </c>
      <c r="M76" s="96">
        <v>9204.24</v>
      </c>
      <c r="N76" s="113">
        <v>1</v>
      </c>
      <c r="O76" s="113">
        <v>2640</v>
      </c>
      <c r="P76" s="89">
        <f t="shared" si="23"/>
      </c>
      <c r="Q76" s="97">
        <v>12011.630000000001</v>
      </c>
      <c r="R76" s="98">
        <f t="shared" si="4"/>
      </c>
      <c r="S76" s="99">
        <f t="shared" si="2"/>
      </c>
      <c r="T76" s="99">
        <f t="shared" si="0"/>
      </c>
      <c r="U76" s="112"/>
      <c r="V76" s="112"/>
      <c r="W76" s="94"/>
      <c r="X76" s="94"/>
      <c r="Y76" s="94"/>
      <c r="Z76" s="94"/>
      <c r="AA76" s="94">
        <v>38853</v>
      </c>
      <c r="AB76" s="94">
        <v>2713</v>
      </c>
      <c r="AC76" s="94">
        <v>4784</v>
      </c>
      <c r="AD76" s="94">
        <v>1003</v>
      </c>
      <c r="AE76" s="94">
        <v>145</v>
      </c>
      <c r="AF76" s="94">
        <v>51</v>
      </c>
      <c r="AG76" s="94">
        <v>260</v>
      </c>
      <c r="AH76" s="94">
        <v>1</v>
      </c>
      <c r="AI76" s="101">
        <f t="shared" si="32"/>
      </c>
      <c r="AJ76" s="101">
        <f t="shared" si="5"/>
      </c>
      <c r="AK76" s="101">
        <f t="shared" si="33"/>
      </c>
      <c r="AL76" s="102">
        <f t="shared" si="3"/>
      </c>
      <c r="AM76" s="103">
        <f t="shared" si="1"/>
      </c>
      <c r="AN76" s="104"/>
    </row>
    <row r="77">
      <c r="A77" s="111">
        <v>46257</v>
      </c>
      <c r="B77" s="114" t="s">
        <v>225</v>
      </c>
      <c r="C77" s="114" t="s">
        <v>217</v>
      </c>
      <c r="D77" s="114">
        <v>3</v>
      </c>
      <c r="E77" s="112">
        <v>4</v>
      </c>
      <c r="F77" s="117">
        <v>0</v>
      </c>
      <c r="G77" s="112">
        <v>0</v>
      </c>
      <c r="H77" s="112">
        <v>0</v>
      </c>
      <c r="I77" s="112">
        <v>0</v>
      </c>
      <c r="J77" s="112">
        <v>0</v>
      </c>
      <c r="K77" s="112">
        <v>0</v>
      </c>
      <c r="L77" s="112">
        <v>0</v>
      </c>
      <c r="M77" s="113">
        <v>0</v>
      </c>
      <c r="N77" s="113">
        <v>0</v>
      </c>
      <c r="O77" s="113">
        <v>0</v>
      </c>
      <c r="P77" s="89">
        <f t="shared" si="23"/>
      </c>
      <c r="Q77" s="97">
        <v>4221.87</v>
      </c>
      <c r="R77" s="98">
        <f t="shared" si="4"/>
      </c>
      <c r="S77" s="99">
        <f t="shared" si="2"/>
      </c>
      <c r="T77" s="99">
        <f t="shared" si="0"/>
      </c>
      <c r="U77" s="112" t="s">
        <v>206</v>
      </c>
      <c r="V77" s="112">
        <v>8</v>
      </c>
      <c r="W77" s="94"/>
      <c r="X77" s="94"/>
      <c r="Y77" s="94"/>
      <c r="Z77" s="94"/>
      <c r="AA77" s="94">
        <v>13494</v>
      </c>
      <c r="AB77" s="94">
        <v>767</v>
      </c>
      <c r="AC77" s="94">
        <v>1244</v>
      </c>
      <c r="AD77" s="94">
        <v>215</v>
      </c>
      <c r="AE77" s="94">
        <v>79</v>
      </c>
      <c r="AF77" s="94">
        <v>5</v>
      </c>
      <c r="AG77" s="94">
        <v>146</v>
      </c>
      <c r="AH77" s="94">
        <v>4</v>
      </c>
      <c r="AI77" s="101">
        <f t="shared" si="32"/>
      </c>
      <c r="AJ77" s="101">
        <f t="shared" si="5"/>
      </c>
      <c r="AK77" s="101">
        <f t="shared" si="33"/>
      </c>
      <c r="AL77" s="102">
        <f t="shared" si="3"/>
      </c>
      <c r="AM77" s="103">
        <f t="shared" si="1"/>
      </c>
      <c r="AN77" s="104"/>
    </row>
    <row r="78">
      <c r="A78" s="115">
        <v>46257</v>
      </c>
      <c r="B78" s="106"/>
      <c r="C78" s="116" t="s">
        <v>221</v>
      </c>
      <c r="D78" s="106">
        <f>D74+D75+D76+D77</f>
      </c>
      <c r="E78" s="106">
        <f>E74+E75+E76+E77</f>
      </c>
      <c r="F78" s="106">
        <f>F74+F75+F76+F77</f>
      </c>
      <c r="G78" s="106">
        <f>G74+G75+G76+G77</f>
      </c>
      <c r="H78" s="106">
        <f>H74+H75+H76+H77</f>
      </c>
      <c r="I78" s="106">
        <f>I74+I75+I76+I77</f>
      </c>
      <c r="J78" s="106">
        <f>J74+J75+J76+J77</f>
      </c>
      <c r="K78" s="106">
        <f>K74+K75+K76+K77</f>
      </c>
      <c r="L78" s="106">
        <f>L74+L75+L76+L77</f>
      </c>
      <c r="M78" s="106">
        <f>M74+M75+M76+M77</f>
      </c>
      <c r="N78" s="106">
        <f>N74+N75+N76+N77</f>
      </c>
      <c r="O78" s="106">
        <f>O74+O75+O76+O77</f>
      </c>
      <c r="P78" s="106">
        <f>P74+P75+P76+P77</f>
      </c>
      <c r="Q78" s="106">
        <f>Q74+Q75+Q76+Q77</f>
      </c>
      <c r="R78" s="107">
        <f t="shared" si="4"/>
      </c>
      <c r="S78" s="107">
        <f t="shared" si="2"/>
      </c>
      <c r="T78" s="107">
        <f t="shared" si="0"/>
      </c>
      <c r="U78" s="108"/>
      <c r="V78" s="116">
        <f>V74+V75+V77+V76</f>
      </c>
      <c r="W78" s="108"/>
      <c r="X78" s="106">
        <f>SUM(X74:X75)</f>
      </c>
      <c r="Y78" s="108"/>
      <c r="Z78" s="116">
        <v>15</v>
      </c>
      <c r="AA78" s="106">
        <f>AA74+AA75+AA77+AA76</f>
      </c>
      <c r="AB78" s="106">
        <f>AB74+AB75+AB77+AB76</f>
      </c>
      <c r="AC78" s="106">
        <f>AC74+AC75+AC77+AC76</f>
      </c>
      <c r="AD78" s="106">
        <f>AD74+AD75+AD77+AD76</f>
      </c>
      <c r="AE78" s="106">
        <f>AE74+AE75+AE77+AE76</f>
      </c>
      <c r="AF78" s="106">
        <f>AF74+AF75+AF77+AF76</f>
      </c>
      <c r="AG78" s="106">
        <f>AG74+AG75+AG77+AG76</f>
      </c>
      <c r="AH78" s="106">
        <f>AH74+AH75+AH77+AH76</f>
      </c>
      <c r="AI78" s="109">
        <f t="shared" si="32"/>
      </c>
      <c r="AJ78" s="109">
        <f t="shared" si="5"/>
      </c>
      <c r="AK78" s="109">
        <f t="shared" si="33"/>
      </c>
      <c r="AL78" s="109">
        <f t="shared" si="3"/>
      </c>
      <c r="AM78" s="110">
        <f t="shared" si="1"/>
      </c>
      <c r="AN78" s="109">
        <f>F78/AE78</f>
      </c>
    </row>
    <row r="79">
      <c r="A79" s="111">
        <v>46258</v>
      </c>
      <c r="B79" s="114" t="s">
        <v>198</v>
      </c>
      <c r="C79" s="114" t="s">
        <v>210</v>
      </c>
      <c r="D79" s="89">
        <v>4</v>
      </c>
      <c r="E79" s="112">
        <v>18</v>
      </c>
      <c r="F79" s="117">
        <v>7</v>
      </c>
      <c r="G79" s="112">
        <v>6</v>
      </c>
      <c r="H79" s="112">
        <v>7</v>
      </c>
      <c r="I79" s="94">
        <v>1615.8300000000002</v>
      </c>
      <c r="J79" s="112">
        <v>0</v>
      </c>
      <c r="K79" s="112">
        <v>0</v>
      </c>
      <c r="L79" s="112">
        <v>7</v>
      </c>
      <c r="M79" s="96">
        <v>19389.960000000003</v>
      </c>
      <c r="N79" s="113">
        <v>3</v>
      </c>
      <c r="O79" s="113">
        <v>803.4100000000001</v>
      </c>
      <c r="P79" s="89">
        <f t="shared" ref="P79:P82" si="24">I79*12+K79</f>
      </c>
      <c r="Q79" s="97">
        <v>13354.09</v>
      </c>
      <c r="R79" s="98">
        <f t="shared" si="4"/>
      </c>
      <c r="S79" s="99">
        <f t="shared" si="2"/>
      </c>
      <c r="T79" s="99">
        <f t="shared" si="0"/>
      </c>
      <c r="U79" s="112" t="s">
        <v>227</v>
      </c>
      <c r="V79" s="112">
        <v>7</v>
      </c>
      <c r="W79" s="94"/>
      <c r="X79" s="94"/>
      <c r="Y79" s="94"/>
      <c r="Z79" s="112"/>
      <c r="AA79" s="100">
        <v>39346</v>
      </c>
      <c r="AB79" s="100">
        <v>3126</v>
      </c>
      <c r="AC79" s="100">
        <v>5111</v>
      </c>
      <c r="AD79" s="100">
        <v>1217</v>
      </c>
      <c r="AE79" s="94">
        <v>189</v>
      </c>
      <c r="AF79" s="94">
        <v>40</v>
      </c>
      <c r="AG79" s="94">
        <v>317</v>
      </c>
      <c r="AH79" s="94">
        <v>2</v>
      </c>
      <c r="AI79" s="101">
        <f t="shared" si="32"/>
      </c>
      <c r="AJ79" s="101">
        <f t="shared" si="5"/>
      </c>
      <c r="AK79" s="101">
        <f t="shared" si="33"/>
      </c>
      <c r="AL79" s="102">
        <f t="shared" si="3"/>
      </c>
      <c r="AM79" s="103">
        <f t="shared" si="1"/>
      </c>
      <c r="AN79" s="104"/>
    </row>
    <row r="80">
      <c r="A80" s="111">
        <v>46258</v>
      </c>
      <c r="B80" s="114" t="s">
        <v>207</v>
      </c>
      <c r="C80" s="114" t="s">
        <v>214</v>
      </c>
      <c r="D80" s="114">
        <v>4</v>
      </c>
      <c r="E80" s="94">
        <v>9</v>
      </c>
      <c r="F80" s="117">
        <v>5</v>
      </c>
      <c r="G80" s="112">
        <v>5</v>
      </c>
      <c r="H80" s="112">
        <v>5</v>
      </c>
      <c r="I80" s="112">
        <v>1004.44</v>
      </c>
      <c r="J80" s="112">
        <v>0</v>
      </c>
      <c r="K80" s="112">
        <v>0</v>
      </c>
      <c r="L80" s="112">
        <v>5</v>
      </c>
      <c r="M80" s="113">
        <v>12053.28</v>
      </c>
      <c r="N80" s="113">
        <v>3</v>
      </c>
      <c r="O80" s="113">
        <v>895.81</v>
      </c>
      <c r="P80" s="89">
        <f t="shared" si="24"/>
      </c>
      <c r="Q80" s="97">
        <v>15196.580000000002</v>
      </c>
      <c r="R80" s="98">
        <f t="shared" si="4"/>
      </c>
      <c r="S80" s="99">
        <f t="shared" si="2"/>
      </c>
      <c r="T80" s="99">
        <f t="shared" si="0"/>
      </c>
      <c r="U80" s="112"/>
      <c r="V80" s="112"/>
      <c r="W80" s="94"/>
      <c r="X80" s="94"/>
      <c r="Y80" s="94" t="s">
        <v>201</v>
      </c>
      <c r="Z80" s="112">
        <v>15</v>
      </c>
      <c r="AA80" s="94">
        <v>65311</v>
      </c>
      <c r="AB80" s="94">
        <v>3213</v>
      </c>
      <c r="AC80" s="94">
        <v>4503</v>
      </c>
      <c r="AD80" s="94">
        <v>1045</v>
      </c>
      <c r="AE80" s="94">
        <v>337</v>
      </c>
      <c r="AF80" s="94">
        <v>45</v>
      </c>
      <c r="AG80" s="94">
        <v>364</v>
      </c>
      <c r="AH80" s="94">
        <v>6</v>
      </c>
      <c r="AI80" s="101">
        <f t="shared" si="32"/>
      </c>
      <c r="AJ80" s="101">
        <f t="shared" si="5"/>
      </c>
      <c r="AK80" s="101">
        <f t="shared" si="33"/>
      </c>
      <c r="AL80" s="102">
        <f t="shared" si="3"/>
      </c>
      <c r="AM80" s="103">
        <f t="shared" si="1"/>
      </c>
      <c r="AN80" s="104"/>
    </row>
    <row r="81">
      <c r="A81" s="111">
        <v>46258</v>
      </c>
      <c r="B81" s="114" t="s">
        <v>209</v>
      </c>
      <c r="C81" s="114" t="s">
        <v>212</v>
      </c>
      <c r="D81" s="114">
        <v>4</v>
      </c>
      <c r="E81" s="112">
        <v>7</v>
      </c>
      <c r="F81" s="117">
        <v>6</v>
      </c>
      <c r="G81" s="112">
        <v>6</v>
      </c>
      <c r="H81" s="112">
        <v>6</v>
      </c>
      <c r="I81" s="112">
        <v>987.5400000000001</v>
      </c>
      <c r="J81" s="112">
        <v>0</v>
      </c>
      <c r="K81" s="112">
        <v>0</v>
      </c>
      <c r="L81" s="112">
        <v>6</v>
      </c>
      <c r="M81" s="96">
        <v>11850.480000000001</v>
      </c>
      <c r="N81" s="113">
        <v>1</v>
      </c>
      <c r="O81" s="113">
        <v>425.22</v>
      </c>
      <c r="P81" s="89">
        <f t="shared" si="24"/>
      </c>
      <c r="Q81" s="97">
        <v>12087.869999999999</v>
      </c>
      <c r="R81" s="98">
        <f t="shared" si="4"/>
      </c>
      <c r="S81" s="99">
        <f t="shared" si="2"/>
      </c>
      <c r="T81" s="99">
        <f t="shared" si="0"/>
      </c>
      <c r="U81" s="112"/>
      <c r="V81" s="112"/>
      <c r="W81" s="94"/>
      <c r="X81" s="94"/>
      <c r="Y81" s="94"/>
      <c r="Z81" s="94"/>
      <c r="AA81" s="94">
        <v>31313</v>
      </c>
      <c r="AB81" s="94">
        <v>3289</v>
      </c>
      <c r="AC81" s="94">
        <v>4756</v>
      </c>
      <c r="AD81" s="94">
        <v>1230</v>
      </c>
      <c r="AE81" s="94">
        <v>142</v>
      </c>
      <c r="AF81" s="94">
        <v>40</v>
      </c>
      <c r="AG81" s="94">
        <v>265</v>
      </c>
      <c r="AH81" s="94">
        <v>1</v>
      </c>
      <c r="AI81" s="101">
        <f t="shared" si="32"/>
      </c>
      <c r="AJ81" s="101">
        <f t="shared" si="5"/>
      </c>
      <c r="AK81" s="101">
        <f t="shared" si="33"/>
      </c>
      <c r="AL81" s="102">
        <f t="shared" si="3"/>
      </c>
      <c r="AM81" s="103">
        <f t="shared" si="1"/>
      </c>
      <c r="AN81" s="104"/>
    </row>
    <row r="82">
      <c r="A82" s="111">
        <v>46258</v>
      </c>
      <c r="B82" s="114" t="s">
        <v>225</v>
      </c>
      <c r="C82" s="114" t="s">
        <v>217</v>
      </c>
      <c r="D82" s="114">
        <v>3</v>
      </c>
      <c r="E82" s="112">
        <v>5</v>
      </c>
      <c r="F82" s="117">
        <v>2</v>
      </c>
      <c r="G82" s="112">
        <v>2</v>
      </c>
      <c r="H82" s="112">
        <v>2</v>
      </c>
      <c r="I82" s="112">
        <v>126</v>
      </c>
      <c r="J82" s="112">
        <v>0</v>
      </c>
      <c r="K82" s="112">
        <v>0</v>
      </c>
      <c r="L82" s="112">
        <v>2</v>
      </c>
      <c r="M82" s="113">
        <v>1512</v>
      </c>
      <c r="N82" s="113">
        <v>0</v>
      </c>
      <c r="O82" s="113">
        <v>0</v>
      </c>
      <c r="P82" s="89">
        <f t="shared" si="24"/>
      </c>
      <c r="Q82" s="97">
        <v>6184.719999999999</v>
      </c>
      <c r="R82" s="98">
        <f t="shared" si="4"/>
      </c>
      <c r="S82" s="99">
        <f t="shared" si="2"/>
      </c>
      <c r="T82" s="99">
        <f t="shared" si="0"/>
      </c>
      <c r="U82" s="112" t="s">
        <v>206</v>
      </c>
      <c r="V82" s="112">
        <v>8</v>
      </c>
      <c r="W82" s="94"/>
      <c r="X82" s="94"/>
      <c r="Y82" s="94"/>
      <c r="Z82" s="94"/>
      <c r="AA82" s="94">
        <v>16906</v>
      </c>
      <c r="AB82" s="94">
        <v>2163</v>
      </c>
      <c r="AC82" s="94">
        <v>2962</v>
      </c>
      <c r="AD82" s="94">
        <v>718</v>
      </c>
      <c r="AE82" s="94">
        <v>40</v>
      </c>
      <c r="AF82" s="94">
        <v>19</v>
      </c>
      <c r="AG82" s="94">
        <v>174</v>
      </c>
      <c r="AH82" s="94">
        <v>0</v>
      </c>
      <c r="AI82" s="101">
        <f t="shared" si="32"/>
      </c>
      <c r="AJ82" s="101">
        <f t="shared" si="5"/>
      </c>
      <c r="AK82" s="101">
        <f t="shared" si="33"/>
      </c>
      <c r="AL82" s="102">
        <f t="shared" si="3"/>
      </c>
      <c r="AM82" s="103">
        <f t="shared" si="1"/>
      </c>
      <c r="AN82" s="104"/>
    </row>
    <row r="83">
      <c r="A83" s="115">
        <v>46258</v>
      </c>
      <c r="B83" s="106"/>
      <c r="C83" s="116" t="s">
        <v>221</v>
      </c>
      <c r="D83" s="106">
        <f>D79+D80+D81+D82</f>
      </c>
      <c r="E83" s="106">
        <f>E79+E80+E81+E82</f>
      </c>
      <c r="F83" s="106">
        <f>F79+F80+F81+F82</f>
      </c>
      <c r="G83" s="106">
        <f>G79+G80+G81+G82</f>
      </c>
      <c r="H83" s="106">
        <f>H79+H80+H81+H82</f>
      </c>
      <c r="I83" s="106">
        <f>I79+I80+I81+I82</f>
      </c>
      <c r="J83" s="106">
        <f>J79+J80+J81+J82</f>
      </c>
      <c r="K83" s="106">
        <f>K79+K80+K81+K82</f>
      </c>
      <c r="L83" s="106">
        <f>L79+L80+L81+L82</f>
      </c>
      <c r="M83" s="106">
        <f>M79+M80+M81+M82</f>
      </c>
      <c r="N83" s="106">
        <f>N79+N80+N81+N82</f>
      </c>
      <c r="O83" s="106">
        <f>O79+O80+O81+O82</f>
      </c>
      <c r="P83" s="106">
        <f>P79+P80+P81+P82</f>
      </c>
      <c r="Q83" s="106">
        <f>Q79+Q80+Q81+Q82</f>
      </c>
      <c r="R83" s="107">
        <f t="shared" si="4"/>
      </c>
      <c r="S83" s="107">
        <f t="shared" si="2"/>
      </c>
      <c r="T83" s="107">
        <f t="shared" si="0"/>
      </c>
      <c r="U83" s="108"/>
      <c r="V83" s="116">
        <f>V79+V80+V82+V81</f>
      </c>
      <c r="W83" s="108"/>
      <c r="X83" s="106">
        <f>SUM(X79:X80)</f>
      </c>
      <c r="Y83" s="108"/>
      <c r="Z83" s="116">
        <v>15</v>
      </c>
      <c r="AA83" s="106">
        <f>AA79+AA80+AA82+AA81</f>
      </c>
      <c r="AB83" s="106">
        <f>AB79+AB80+AB82+AB81</f>
      </c>
      <c r="AC83" s="106">
        <f>AC79+AC80+AC82+AC81</f>
      </c>
      <c r="AD83" s="106">
        <f>AD79+AD80+AD82+AD81</f>
      </c>
      <c r="AE83" s="106">
        <f>AE79+AE80+AE82+AE81</f>
      </c>
      <c r="AF83" s="106">
        <f>AF79+AF80+AF82+AF81</f>
      </c>
      <c r="AG83" s="106">
        <f>AG79+AG80+AG82+AG81</f>
      </c>
      <c r="AH83" s="106">
        <f>AH79+AH80+AH82+AH81</f>
      </c>
      <c r="AI83" s="109">
        <f t="shared" si="32"/>
      </c>
      <c r="AJ83" s="109">
        <f t="shared" si="5"/>
      </c>
      <c r="AK83" s="109">
        <f t="shared" si="33"/>
      </c>
      <c r="AL83" s="109">
        <f t="shared" si="3"/>
      </c>
      <c r="AM83" s="110">
        <f t="shared" si="1"/>
      </c>
      <c r="AN83" s="109">
        <f>F83/AE83</f>
      </c>
    </row>
    <row r="84">
      <c r="A84" s="111">
        <v>46259</v>
      </c>
      <c r="B84" s="114" t="s">
        <v>198</v>
      </c>
      <c r="C84" s="114" t="s">
        <v>210</v>
      </c>
      <c r="D84" s="89">
        <v>4</v>
      </c>
      <c r="E84" s="112">
        <v>13</v>
      </c>
      <c r="F84" s="117">
        <v>6</v>
      </c>
      <c r="G84" s="112">
        <v>5</v>
      </c>
      <c r="H84" s="112">
        <v>6</v>
      </c>
      <c r="I84" s="94">
        <v>1216.9299999999998</v>
      </c>
      <c r="J84" s="112">
        <v>0</v>
      </c>
      <c r="K84" s="112">
        <v>0</v>
      </c>
      <c r="L84" s="112">
        <v>6</v>
      </c>
      <c r="M84" s="96">
        <v>14603.16</v>
      </c>
      <c r="N84" s="113">
        <v>2</v>
      </c>
      <c r="O84" s="113">
        <v>888.9699999999999</v>
      </c>
      <c r="P84" s="89">
        <f t="shared" ref="P84:P86" si="25">I84*12+K84</f>
      </c>
      <c r="Q84" s="97">
        <v>10879.98</v>
      </c>
      <c r="R84" s="98">
        <f t="shared" si="4"/>
      </c>
      <c r="S84" s="99">
        <f t="shared" si="2"/>
      </c>
      <c r="T84" s="99">
        <f t="shared" si="0"/>
      </c>
      <c r="U84" s="112" t="s">
        <v>227</v>
      </c>
      <c r="V84" s="112">
        <v>7</v>
      </c>
      <c r="W84" s="94"/>
      <c r="X84" s="94"/>
      <c r="Y84" s="94"/>
      <c r="Z84" s="112"/>
      <c r="AA84" s="100">
        <v>36999</v>
      </c>
      <c r="AB84" s="100">
        <v>2261</v>
      </c>
      <c r="AC84" s="100">
        <v>3254</v>
      </c>
      <c r="AD84" s="100">
        <v>707</v>
      </c>
      <c r="AE84" s="94">
        <v>164</v>
      </c>
      <c r="AF84" s="94">
        <v>29</v>
      </c>
      <c r="AG84" s="94">
        <v>323</v>
      </c>
      <c r="AH84" s="94">
        <v>3</v>
      </c>
      <c r="AI84" s="101">
        <f t="shared" si="32"/>
      </c>
      <c r="AJ84" s="101">
        <f t="shared" si="5"/>
      </c>
      <c r="AK84" s="101">
        <f t="shared" si="33"/>
      </c>
      <c r="AL84" s="102">
        <f t="shared" si="3"/>
      </c>
      <c r="AM84" s="103">
        <f t="shared" si="1"/>
      </c>
      <c r="AN84" s="104"/>
    </row>
    <row r="85">
      <c r="A85" s="111">
        <v>46259</v>
      </c>
      <c r="B85" s="114" t="s">
        <v>207</v>
      </c>
      <c r="C85" s="114" t="s">
        <v>214</v>
      </c>
      <c r="D85" s="114">
        <v>4</v>
      </c>
      <c r="E85" s="94">
        <v>15</v>
      </c>
      <c r="F85" s="117">
        <v>10</v>
      </c>
      <c r="G85" s="112">
        <v>7</v>
      </c>
      <c r="H85" s="112">
        <v>9</v>
      </c>
      <c r="I85" s="112">
        <v>2462.8100000000004</v>
      </c>
      <c r="J85" s="112">
        <v>1</v>
      </c>
      <c r="K85" s="112">
        <v>1132</v>
      </c>
      <c r="L85" s="112">
        <v>10</v>
      </c>
      <c r="M85" s="113">
        <v>30685.720000000005</v>
      </c>
      <c r="N85" s="113">
        <v>3</v>
      </c>
      <c r="O85" s="113">
        <v>1301.82</v>
      </c>
      <c r="P85" s="89">
        <f t="shared" si="25"/>
      </c>
      <c r="Q85" s="97">
        <v>10937.44</v>
      </c>
      <c r="R85" s="98">
        <f t="shared" si="4"/>
      </c>
      <c r="S85" s="99">
        <f t="shared" si="2"/>
      </c>
      <c r="T85" s="99">
        <f t="shared" si="0"/>
      </c>
      <c r="U85" s="112"/>
      <c r="V85" s="112"/>
      <c r="W85" s="94"/>
      <c r="X85" s="94"/>
      <c r="Y85" s="94" t="s">
        <v>201</v>
      </c>
      <c r="Z85" s="112">
        <v>12</v>
      </c>
      <c r="AA85" s="94">
        <v>44020</v>
      </c>
      <c r="AB85" s="94">
        <v>1362</v>
      </c>
      <c r="AC85" s="94">
        <v>1562</v>
      </c>
      <c r="AD85" s="94">
        <v>346</v>
      </c>
      <c r="AE85" s="94">
        <v>161</v>
      </c>
      <c r="AF85" s="94">
        <v>20</v>
      </c>
      <c r="AG85" s="94">
        <v>250</v>
      </c>
      <c r="AH85" s="94">
        <v>6</v>
      </c>
      <c r="AI85" s="101">
        <f t="shared" si="32"/>
      </c>
      <c r="AJ85" s="101">
        <f t="shared" si="5"/>
      </c>
      <c r="AK85" s="101">
        <f t="shared" si="33"/>
      </c>
      <c r="AL85" s="102">
        <f t="shared" si="3"/>
      </c>
      <c r="AM85" s="103">
        <f t="shared" si="1"/>
      </c>
      <c r="AN85" s="104"/>
    </row>
    <row r="86">
      <c r="A86" s="111">
        <v>46259</v>
      </c>
      <c r="B86" s="114" t="s">
        <v>225</v>
      </c>
      <c r="C86" s="114" t="s">
        <v>212</v>
      </c>
      <c r="D86" s="114">
        <v>4</v>
      </c>
      <c r="E86" s="112">
        <v>9</v>
      </c>
      <c r="F86" s="117">
        <v>6</v>
      </c>
      <c r="G86" s="112">
        <v>5</v>
      </c>
      <c r="H86" s="112">
        <v>5</v>
      </c>
      <c r="I86" s="112">
        <v>778.37</v>
      </c>
      <c r="J86" s="112">
        <v>1</v>
      </c>
      <c r="K86" s="112">
        <v>2321</v>
      </c>
      <c r="L86" s="112">
        <v>6</v>
      </c>
      <c r="M86" s="96">
        <v>11661.44</v>
      </c>
      <c r="N86" s="113">
        <v>1</v>
      </c>
      <c r="O86" s="113">
        <v>2321</v>
      </c>
      <c r="P86" s="89">
        <f t="shared" si="25"/>
      </c>
      <c r="Q86" s="97">
        <v>10164.64</v>
      </c>
      <c r="R86" s="98">
        <f t="shared" si="4"/>
      </c>
      <c r="S86" s="99">
        <f t="shared" si="2"/>
      </c>
      <c r="T86" s="99">
        <f t="shared" si="0"/>
      </c>
      <c r="U86" s="112" t="s">
        <v>206</v>
      </c>
      <c r="V86" s="112">
        <v>5</v>
      </c>
      <c r="W86" s="94"/>
      <c r="X86" s="94"/>
      <c r="Y86" s="94"/>
      <c r="Z86" s="94"/>
      <c r="AA86" s="94">
        <v>49299</v>
      </c>
      <c r="AB86" s="94">
        <v>2191</v>
      </c>
      <c r="AC86" s="94">
        <v>2965</v>
      </c>
      <c r="AD86" s="94">
        <v>652</v>
      </c>
      <c r="AE86" s="94">
        <v>116</v>
      </c>
      <c r="AF86" s="94">
        <v>19</v>
      </c>
      <c r="AG86" s="94">
        <v>281</v>
      </c>
      <c r="AH86" s="94">
        <v>0</v>
      </c>
      <c r="AI86" s="101">
        <f t="shared" si="32"/>
      </c>
      <c r="AJ86" s="101">
        <f t="shared" si="5"/>
      </c>
      <c r="AK86" s="101">
        <f t="shared" si="33"/>
      </c>
      <c r="AL86" s="102">
        <f t="shared" si="3"/>
      </c>
      <c r="AM86" s="103">
        <f t="shared" si="1"/>
      </c>
      <c r="AN86" s="104"/>
    </row>
    <row r="87">
      <c r="A87" s="115">
        <v>46259</v>
      </c>
      <c r="B87" s="106"/>
      <c r="C87" s="116" t="s">
        <v>215</v>
      </c>
      <c r="D87" s="106">
        <f>D84+D85+D86</f>
      </c>
      <c r="E87" s="106">
        <f>E84+E85+E86</f>
      </c>
      <c r="F87" s="106">
        <f>F84+F85+F86</f>
      </c>
      <c r="G87" s="106">
        <f>G84+G85+G86</f>
      </c>
      <c r="H87" s="106">
        <f>H84+H85+H86</f>
      </c>
      <c r="I87" s="106">
        <f>I84+I85+I86</f>
      </c>
      <c r="J87" s="106">
        <f>J84+J85+J86</f>
      </c>
      <c r="K87" s="106">
        <f>K84+K85+K86</f>
      </c>
      <c r="L87" s="106">
        <f>L84+L85+L86</f>
      </c>
      <c r="M87" s="106">
        <f>M84+M85+M86</f>
      </c>
      <c r="N87" s="106">
        <f>N84+N85+N86</f>
      </c>
      <c r="O87" s="106">
        <f>O84+O85+O86</f>
      </c>
      <c r="P87" s="106">
        <f>P84+P85+P86</f>
      </c>
      <c r="Q87" s="106">
        <f>Q84+Q85+Q86</f>
      </c>
      <c r="R87" s="107">
        <f t="shared" si="4"/>
      </c>
      <c r="S87" s="107">
        <f t="shared" si="2"/>
      </c>
      <c r="T87" s="107">
        <f t="shared" si="0"/>
      </c>
      <c r="U87" s="108"/>
      <c r="V87" s="116">
        <f>V84+V86</f>
      </c>
      <c r="W87" s="108"/>
      <c r="X87" s="106">
        <f>SUM(X84:X85)</f>
      </c>
      <c r="Y87" s="108"/>
      <c r="Z87" s="116">
        <v>12</v>
      </c>
      <c r="AA87" s="106">
        <f>AA84+AA85+AA86</f>
      </c>
      <c r="AB87" s="106">
        <f>AB84+AB85+AB86</f>
      </c>
      <c r="AC87" s="106">
        <f>AC84+AC85+AC86</f>
      </c>
      <c r="AD87" s="106">
        <f>AD84+AD85+AD86</f>
      </c>
      <c r="AE87" s="106">
        <f>AE84+AE85+AE86</f>
      </c>
      <c r="AF87" s="106">
        <f>AF84+AF85+AF86</f>
      </c>
      <c r="AG87" s="106">
        <f>AG84+AG85+AG86</f>
      </c>
      <c r="AH87" s="106">
        <f>AH84+AH85+AH86</f>
      </c>
      <c r="AI87" s="109">
        <f t="shared" si="32"/>
      </c>
      <c r="AJ87" s="109">
        <f t="shared" si="5"/>
      </c>
      <c r="AK87" s="109">
        <f t="shared" si="33"/>
      </c>
      <c r="AL87" s="109">
        <f t="shared" si="3"/>
      </c>
      <c r="AM87" s="110">
        <f t="shared" si="1"/>
      </c>
      <c r="AN87" s="109">
        <f>F87/AE87</f>
      </c>
    </row>
    <row r="88">
      <c r="A88" s="111">
        <v>46260</v>
      </c>
      <c r="B88" s="114" t="s">
        <v>198</v>
      </c>
      <c r="C88" s="114" t="s">
        <v>210</v>
      </c>
      <c r="D88" s="89">
        <v>4</v>
      </c>
      <c r="E88" s="112">
        <v>13</v>
      </c>
      <c r="F88" s="117">
        <v>5</v>
      </c>
      <c r="G88" s="112">
        <v>4</v>
      </c>
      <c r="H88" s="112">
        <v>4</v>
      </c>
      <c r="I88" s="94">
        <v>613.39</v>
      </c>
      <c r="J88" s="112">
        <v>1</v>
      </c>
      <c r="K88" s="112">
        <v>2723.4</v>
      </c>
      <c r="L88" s="112">
        <v>5</v>
      </c>
      <c r="M88" s="96">
        <v>10084.08</v>
      </c>
      <c r="N88" s="113">
        <v>3</v>
      </c>
      <c r="O88" s="113">
        <v>3142.4800000000005</v>
      </c>
      <c r="P88" s="89">
        <f t="shared" ref="P88:P90" si="26">I88*12+K88</f>
      </c>
      <c r="Q88" s="97">
        <v>10032.53</v>
      </c>
      <c r="R88" s="98">
        <f t="shared" si="4"/>
      </c>
      <c r="S88" s="99">
        <f t="shared" si="2"/>
      </c>
      <c r="T88" s="99">
        <f t="shared" si="0"/>
      </c>
      <c r="U88" s="112" t="s">
        <v>227</v>
      </c>
      <c r="V88" s="112">
        <v>7</v>
      </c>
      <c r="W88" s="94"/>
      <c r="X88" s="94"/>
      <c r="Y88" s="94"/>
      <c r="Z88" s="112"/>
      <c r="AA88" s="100">
        <v>27109</v>
      </c>
      <c r="AB88" s="100">
        <v>1992</v>
      </c>
      <c r="AC88" s="100">
        <v>2774</v>
      </c>
      <c r="AD88" s="100">
        <v>683</v>
      </c>
      <c r="AE88" s="94">
        <v>96</v>
      </c>
      <c r="AF88" s="94">
        <v>14</v>
      </c>
      <c r="AG88" s="94">
        <v>198</v>
      </c>
      <c r="AH88" s="94">
        <v>2</v>
      </c>
      <c r="AI88" s="101">
        <f t="shared" si="32"/>
      </c>
      <c r="AJ88" s="101">
        <f t="shared" si="5"/>
      </c>
      <c r="AK88" s="101">
        <f t="shared" si="33"/>
      </c>
      <c r="AL88" s="102">
        <f t="shared" si="3"/>
      </c>
      <c r="AM88" s="103">
        <f t="shared" si="1"/>
      </c>
      <c r="AN88" s="104"/>
    </row>
    <row r="89">
      <c r="A89" s="111">
        <v>46260</v>
      </c>
      <c r="B89" s="114" t="s">
        <v>207</v>
      </c>
      <c r="C89" s="114" t="s">
        <v>214</v>
      </c>
      <c r="D89" s="114">
        <v>4</v>
      </c>
      <c r="E89" s="112">
        <v>7</v>
      </c>
      <c r="F89" s="117">
        <v>3</v>
      </c>
      <c r="G89" s="112">
        <v>1</v>
      </c>
      <c r="H89" s="112">
        <v>3</v>
      </c>
      <c r="I89" s="112">
        <v>202.32</v>
      </c>
      <c r="J89" s="112">
        <v>0</v>
      </c>
      <c r="K89" s="112">
        <v>0</v>
      </c>
      <c r="L89" s="112">
        <v>3</v>
      </c>
      <c r="M89" s="113">
        <v>2427.84</v>
      </c>
      <c r="N89" s="113">
        <v>0</v>
      </c>
      <c r="O89" s="113">
        <v>0</v>
      </c>
      <c r="P89" s="89">
        <f t="shared" si="26"/>
      </c>
      <c r="Q89" s="97">
        <v>8840.75</v>
      </c>
      <c r="R89" s="98">
        <f t="shared" si="4"/>
      </c>
      <c r="S89" s="99">
        <f t="shared" si="2"/>
      </c>
      <c r="T89" s="99">
        <f t="shared" si="0"/>
      </c>
      <c r="U89" s="112"/>
      <c r="V89" s="112"/>
      <c r="W89" s="94"/>
      <c r="X89" s="94"/>
      <c r="Y89" s="94" t="s">
        <v>201</v>
      </c>
      <c r="Z89" s="112">
        <v>12</v>
      </c>
      <c r="AA89" s="94">
        <v>25853</v>
      </c>
      <c r="AB89" s="94">
        <v>1504</v>
      </c>
      <c r="AC89" s="94">
        <v>1996</v>
      </c>
      <c r="AD89" s="94">
        <v>357</v>
      </c>
      <c r="AE89" s="94">
        <v>61</v>
      </c>
      <c r="AF89" s="94">
        <v>20</v>
      </c>
      <c r="AG89" s="94">
        <v>123</v>
      </c>
      <c r="AH89" s="94">
        <v>0</v>
      </c>
      <c r="AI89" s="101">
        <f t="shared" si="32"/>
      </c>
      <c r="AJ89" s="101">
        <f t="shared" si="5"/>
      </c>
      <c r="AK89" s="101">
        <f t="shared" si="33"/>
      </c>
      <c r="AL89" s="102">
        <f t="shared" si="3"/>
      </c>
      <c r="AM89" s="103">
        <f t="shared" si="1"/>
      </c>
      <c r="AN89" s="104"/>
    </row>
    <row r="90">
      <c r="A90" s="111">
        <v>46260</v>
      </c>
      <c r="B90" s="114" t="s">
        <v>209</v>
      </c>
      <c r="C90" s="114" t="s">
        <v>212</v>
      </c>
      <c r="D90" s="114">
        <v>4</v>
      </c>
      <c r="E90" s="112">
        <v>5</v>
      </c>
      <c r="F90" s="117">
        <v>4</v>
      </c>
      <c r="G90" s="112">
        <v>3</v>
      </c>
      <c r="H90" s="112">
        <v>2</v>
      </c>
      <c r="I90" s="112">
        <v>126</v>
      </c>
      <c r="J90" s="112">
        <v>2</v>
      </c>
      <c r="K90" s="112">
        <v>955</v>
      </c>
      <c r="L90" s="112">
        <v>4</v>
      </c>
      <c r="M90" s="96">
        <v>2467</v>
      </c>
      <c r="N90" s="113">
        <v>0</v>
      </c>
      <c r="O90" s="113">
        <v>0</v>
      </c>
      <c r="P90" s="89">
        <f t="shared" si="26"/>
      </c>
      <c r="Q90" s="97">
        <v>8207.89</v>
      </c>
      <c r="R90" s="98">
        <f t="shared" si="4"/>
      </c>
      <c r="S90" s="99">
        <f t="shared" si="2"/>
      </c>
      <c r="T90" s="99">
        <f t="shared" si="0"/>
      </c>
      <c r="U90" s="112" t="s">
        <v>206</v>
      </c>
      <c r="V90" s="112">
        <v>5</v>
      </c>
      <c r="W90" s="94"/>
      <c r="X90" s="94"/>
      <c r="Y90" s="94"/>
      <c r="Z90" s="94"/>
      <c r="AA90" s="94">
        <v>29354</v>
      </c>
      <c r="AB90" s="94">
        <v>2798</v>
      </c>
      <c r="AC90" s="94">
        <v>3956</v>
      </c>
      <c r="AD90" s="94">
        <v>838</v>
      </c>
      <c r="AE90" s="94">
        <v>106</v>
      </c>
      <c r="AF90" s="94">
        <v>24</v>
      </c>
      <c r="AG90" s="94">
        <v>209</v>
      </c>
      <c r="AH90" s="94">
        <v>6</v>
      </c>
      <c r="AI90" s="101">
        <f t="shared" si="32"/>
      </c>
      <c r="AJ90" s="101">
        <f t="shared" si="5"/>
      </c>
      <c r="AK90" s="101">
        <f t="shared" si="33"/>
      </c>
      <c r="AL90" s="102">
        <f t="shared" si="3"/>
      </c>
      <c r="AM90" s="103">
        <f t="shared" si="1"/>
      </c>
      <c r="AN90" s="104"/>
    </row>
    <row r="91">
      <c r="A91" s="115">
        <v>46260</v>
      </c>
      <c r="B91" s="106"/>
      <c r="C91" s="116" t="s">
        <v>215</v>
      </c>
      <c r="D91" s="106">
        <f>D88+D89+D90</f>
      </c>
      <c r="E91" s="106">
        <f>E88+E89+E90</f>
      </c>
      <c r="F91" s="106">
        <f>F88+F89+F90</f>
      </c>
      <c r="G91" s="106">
        <f>G88+G89+G90</f>
      </c>
      <c r="H91" s="106">
        <f>H88+H89+H90</f>
      </c>
      <c r="I91" s="106">
        <f>I88+I89+I90</f>
      </c>
      <c r="J91" s="106">
        <f>J88+J89+J90</f>
      </c>
      <c r="K91" s="106">
        <f>K88+K89+K90</f>
      </c>
      <c r="L91" s="106">
        <f>L88+L89+L90</f>
      </c>
      <c r="M91" s="106">
        <f>M88+M89+M90</f>
      </c>
      <c r="N91" s="106">
        <f>N88+N89+N90</f>
      </c>
      <c r="O91" s="106">
        <f>O88+O89+O90</f>
      </c>
      <c r="P91" s="106">
        <f>P88+P89+P90</f>
      </c>
      <c r="Q91" s="106">
        <f>Q88+Q89+Q90</f>
      </c>
      <c r="R91" s="107">
        <f t="shared" si="4"/>
      </c>
      <c r="S91" s="107">
        <f t="shared" si="2"/>
      </c>
      <c r="T91" s="107">
        <f t="shared" si="0"/>
      </c>
      <c r="U91" s="108"/>
      <c r="V91" s="116">
        <f>V88+V90</f>
      </c>
      <c r="W91" s="108"/>
      <c r="X91" s="106">
        <f>SUM(X88:X89)</f>
      </c>
      <c r="Y91" s="108"/>
      <c r="Z91" s="116">
        <v>12</v>
      </c>
      <c r="AA91" s="106">
        <f>AA88+AA89+AA90</f>
      </c>
      <c r="AB91" s="106">
        <f>AB88+AB89+AB90</f>
      </c>
      <c r="AC91" s="106">
        <f>AC88+AC89+AC90</f>
      </c>
      <c r="AD91" s="106">
        <f>AD88+AD89+AD90</f>
      </c>
      <c r="AE91" s="106">
        <f>AE88+AE89+AE90</f>
      </c>
      <c r="AF91" s="106">
        <f>AF88+AF89+AF90</f>
      </c>
      <c r="AG91" s="106">
        <f>AG88+AG89+AG90</f>
      </c>
      <c r="AH91" s="106">
        <f>AH88+AH89+AH90</f>
      </c>
      <c r="AI91" s="109">
        <f t="shared" si="32"/>
      </c>
      <c r="AJ91" s="109">
        <f t="shared" si="5"/>
      </c>
      <c r="AK91" s="109">
        <f t="shared" si="33"/>
      </c>
      <c r="AL91" s="109">
        <f t="shared" si="3"/>
      </c>
      <c r="AM91" s="110">
        <f t="shared" si="1"/>
      </c>
      <c r="AN91" s="109">
        <f>F91/AE91</f>
      </c>
    </row>
    <row r="92">
      <c r="A92" s="111">
        <v>46261</v>
      </c>
      <c r="B92" s="114" t="s">
        <v>198</v>
      </c>
      <c r="C92" s="89" t="s">
        <v>210</v>
      </c>
      <c r="D92" s="89">
        <v>4</v>
      </c>
      <c r="E92" s="112">
        <v>14</v>
      </c>
      <c r="F92" s="117">
        <v>8</v>
      </c>
      <c r="G92" s="112">
        <v>3</v>
      </c>
      <c r="H92" s="112">
        <v>8</v>
      </c>
      <c r="I92" s="94">
        <v>3141.4399999999996</v>
      </c>
      <c r="J92" s="112">
        <v>0</v>
      </c>
      <c r="K92" s="112">
        <v>0</v>
      </c>
      <c r="L92" s="112">
        <v>8</v>
      </c>
      <c r="M92" s="96">
        <v>37697.28</v>
      </c>
      <c r="N92" s="113">
        <v>5</v>
      </c>
      <c r="O92" s="96">
        <v>2838.0899999999997</v>
      </c>
      <c r="P92" s="89">
        <f t="shared" ref="P92:P95" si="27">I92*12+K92</f>
      </c>
      <c r="Q92" s="97">
        <v>9681.64</v>
      </c>
      <c r="R92" s="98">
        <f t="shared" si="4"/>
      </c>
      <c r="S92" s="99">
        <f t="shared" si="2"/>
      </c>
      <c r="T92" s="99">
        <f t="shared" si="0"/>
      </c>
      <c r="U92" s="112" t="s">
        <v>227</v>
      </c>
      <c r="V92" s="94">
        <v>7</v>
      </c>
      <c r="W92" s="94"/>
      <c r="X92" s="94"/>
      <c r="Y92" s="94"/>
      <c r="Z92" s="94"/>
      <c r="AA92" s="100">
        <v>38102</v>
      </c>
      <c r="AB92" s="100">
        <v>1771</v>
      </c>
      <c r="AC92" s="100">
        <v>2321</v>
      </c>
      <c r="AD92" s="100">
        <v>564</v>
      </c>
      <c r="AE92" s="94">
        <v>161</v>
      </c>
      <c r="AF92" s="94">
        <v>20</v>
      </c>
      <c r="AG92" s="94">
        <v>254</v>
      </c>
      <c r="AH92" s="94">
        <v>0</v>
      </c>
      <c r="AI92" s="101">
        <f t="shared" si="32"/>
      </c>
      <c r="AJ92" s="101">
        <f t="shared" si="5"/>
      </c>
      <c r="AK92" s="101">
        <f t="shared" si="33"/>
      </c>
      <c r="AL92" s="102">
        <f t="shared" si="3"/>
      </c>
      <c r="AM92" s="103">
        <f t="shared" si="1"/>
      </c>
      <c r="AN92" s="104"/>
    </row>
    <row r="93">
      <c r="A93" s="111">
        <v>46261</v>
      </c>
      <c r="B93" s="114" t="s">
        <v>207</v>
      </c>
      <c r="C93" s="89" t="s">
        <v>214</v>
      </c>
      <c r="D93" s="89">
        <v>4</v>
      </c>
      <c r="E93" s="94">
        <v>26</v>
      </c>
      <c r="F93" s="95">
        <v>19</v>
      </c>
      <c r="G93" s="94">
        <v>19</v>
      </c>
      <c r="H93" s="112">
        <v>15</v>
      </c>
      <c r="I93" s="94">
        <v>3487.7400000000002</v>
      </c>
      <c r="J93" s="112">
        <v>4</v>
      </c>
      <c r="K93" s="94">
        <v>6742</v>
      </c>
      <c r="L93" s="112">
        <v>19</v>
      </c>
      <c r="M93" s="96">
        <v>48594.880000000005</v>
      </c>
      <c r="N93" s="113">
        <v>9</v>
      </c>
      <c r="O93" s="96">
        <v>7254.780000000001</v>
      </c>
      <c r="P93" s="89">
        <f t="shared" si="27"/>
      </c>
      <c r="Q93" s="97">
        <v>15737.36</v>
      </c>
      <c r="R93" s="98">
        <f t="shared" si="4"/>
      </c>
      <c r="S93" s="99">
        <f t="shared" si="2"/>
      </c>
      <c r="T93" s="99">
        <f t="shared" si="0"/>
      </c>
      <c r="U93" s="94"/>
      <c r="V93" s="94"/>
      <c r="W93" s="94"/>
      <c r="X93" s="94"/>
      <c r="Y93" s="94" t="s">
        <v>201</v>
      </c>
      <c r="Z93" s="112">
        <v>14</v>
      </c>
      <c r="AA93" s="94">
        <v>61370</v>
      </c>
      <c r="AB93" s="94">
        <v>1669</v>
      </c>
      <c r="AC93" s="94">
        <v>1894</v>
      </c>
      <c r="AD93" s="94">
        <v>448</v>
      </c>
      <c r="AE93" s="94">
        <v>302</v>
      </c>
      <c r="AF93" s="94">
        <v>32</v>
      </c>
      <c r="AG93" s="94">
        <v>434</v>
      </c>
      <c r="AH93" s="94">
        <v>4</v>
      </c>
      <c r="AI93" s="101">
        <f t="shared" si="32"/>
      </c>
      <c r="AJ93" s="101">
        <f t="shared" si="5"/>
      </c>
      <c r="AK93" s="101">
        <f t="shared" si="33"/>
      </c>
      <c r="AL93" s="102">
        <f t="shared" si="3"/>
      </c>
      <c r="AM93" s="103">
        <f t="shared" si="1"/>
      </c>
      <c r="AN93" s="104"/>
    </row>
    <row r="94">
      <c r="A94" s="111">
        <v>46261</v>
      </c>
      <c r="B94" s="114" t="s">
        <v>209</v>
      </c>
      <c r="C94" s="89" t="s">
        <v>199</v>
      </c>
      <c r="D94" s="89">
        <v>3</v>
      </c>
      <c r="E94" s="94">
        <v>18</v>
      </c>
      <c r="F94" s="95">
        <v>15</v>
      </c>
      <c r="G94" s="94">
        <v>14</v>
      </c>
      <c r="H94" s="112">
        <v>14</v>
      </c>
      <c r="I94" s="94">
        <v>3798.1400000000003</v>
      </c>
      <c r="J94" s="112">
        <v>1</v>
      </c>
      <c r="K94" s="94">
        <v>425</v>
      </c>
      <c r="L94" s="112">
        <v>15</v>
      </c>
      <c r="M94" s="96">
        <v>46002.68000000001</v>
      </c>
      <c r="N94" s="113">
        <v>8</v>
      </c>
      <c r="O94" s="96">
        <v>3485.5699999999997</v>
      </c>
      <c r="P94" s="89">
        <f t="shared" si="27"/>
      </c>
      <c r="Q94" s="97">
        <v>15650.640000000001</v>
      </c>
      <c r="R94" s="98">
        <f t="shared" si="4"/>
      </c>
      <c r="S94" s="99">
        <f t="shared" si="2"/>
      </c>
      <c r="T94" s="99">
        <f t="shared" si="0"/>
      </c>
      <c r="U94" s="94"/>
      <c r="V94" s="94"/>
      <c r="W94" s="94"/>
      <c r="X94" s="94"/>
      <c r="Y94" s="94"/>
      <c r="Z94" s="94"/>
      <c r="AA94" s="94">
        <v>83354</v>
      </c>
      <c r="AB94" s="94">
        <v>2056</v>
      </c>
      <c r="AC94" s="94">
        <v>2422</v>
      </c>
      <c r="AD94" s="94">
        <v>574</v>
      </c>
      <c r="AE94" s="94">
        <v>246</v>
      </c>
      <c r="AF94" s="94">
        <v>45</v>
      </c>
      <c r="AG94" s="94">
        <v>388</v>
      </c>
      <c r="AH94" s="94">
        <v>4</v>
      </c>
      <c r="AI94" s="101">
        <f t="shared" si="32"/>
      </c>
      <c r="AJ94" s="101">
        <f t="shared" si="5"/>
      </c>
      <c r="AK94" s="101">
        <f t="shared" si="33"/>
      </c>
      <c r="AL94" s="102">
        <f t="shared" si="3"/>
      </c>
      <c r="AM94" s="103">
        <f t="shared" si="1"/>
      </c>
      <c r="AN94" s="104"/>
    </row>
    <row r="95">
      <c r="A95" s="111">
        <v>46261</v>
      </c>
      <c r="B95" s="114" t="s">
        <v>202</v>
      </c>
      <c r="C95" s="114" t="s">
        <v>228</v>
      </c>
      <c r="D95" s="114">
        <v>3</v>
      </c>
      <c r="E95" s="94">
        <v>4</v>
      </c>
      <c r="F95" s="95">
        <v>3</v>
      </c>
      <c r="G95" s="94">
        <v>3</v>
      </c>
      <c r="H95" s="112">
        <v>3</v>
      </c>
      <c r="I95" s="94">
        <v>1351.24</v>
      </c>
      <c r="J95" s="112">
        <v>0</v>
      </c>
      <c r="K95" s="112">
        <v>0</v>
      </c>
      <c r="L95" s="112">
        <v>3</v>
      </c>
      <c r="M95" s="96">
        <v>16214.880000000001</v>
      </c>
      <c r="N95" s="113">
        <v>1</v>
      </c>
      <c r="O95" s="96">
        <v>1193.2</v>
      </c>
      <c r="P95" s="89">
        <f t="shared" si="27"/>
      </c>
      <c r="Q95" s="97">
        <v>11765.039999999999</v>
      </c>
      <c r="R95" s="98">
        <f t="shared" si="4"/>
      </c>
      <c r="S95" s="99">
        <f t="shared" si="2"/>
      </c>
      <c r="T95" s="99">
        <f t="shared" si="0"/>
      </c>
      <c r="U95" s="94" t="s">
        <v>206</v>
      </c>
      <c r="V95" s="112">
        <v>7</v>
      </c>
      <c r="W95" s="94"/>
      <c r="X95" s="94"/>
      <c r="Y95" s="94"/>
      <c r="Z95" s="94"/>
      <c r="AA95" s="94">
        <v>98975</v>
      </c>
      <c r="AB95" s="94">
        <v>1432</v>
      </c>
      <c r="AC95" s="94">
        <v>1636</v>
      </c>
      <c r="AD95" s="94">
        <v>293</v>
      </c>
      <c r="AE95" s="94">
        <v>175</v>
      </c>
      <c r="AF95" s="94">
        <v>24</v>
      </c>
      <c r="AG95" s="94">
        <v>196</v>
      </c>
      <c r="AH95" s="94">
        <v>2</v>
      </c>
      <c r="AI95" s="101">
        <f t="shared" si="32"/>
      </c>
      <c r="AJ95" s="101">
        <f t="shared" si="5"/>
      </c>
      <c r="AK95" s="101">
        <f t="shared" si="33"/>
      </c>
      <c r="AL95" s="102">
        <f t="shared" si="3"/>
      </c>
      <c r="AM95" s="103">
        <f t="shared" si="1"/>
      </c>
      <c r="AN95" s="104"/>
    </row>
    <row r="96">
      <c r="A96" s="105">
        <v>46261</v>
      </c>
      <c r="B96" s="106"/>
      <c r="C96" s="116" t="s">
        <v>229</v>
      </c>
      <c r="D96" s="106">
        <f>D92+D93+D94+D95</f>
      </c>
      <c r="E96" s="106">
        <f>E92+E93+E94+E95</f>
      </c>
      <c r="F96" s="106">
        <f>F92+F93+F94+F95</f>
      </c>
      <c r="G96" s="106">
        <f>G92+G93+G94+G95</f>
      </c>
      <c r="H96" s="106">
        <f>H92+H93+H94+H95</f>
      </c>
      <c r="I96" s="106">
        <f>I92+I93+I94+I95</f>
      </c>
      <c r="J96" s="106">
        <f>J92+J93+J94+J95</f>
      </c>
      <c r="K96" s="106">
        <f>K92+K93+K94+K95</f>
      </c>
      <c r="L96" s="106">
        <f>L92+L93+L94+L95</f>
      </c>
      <c r="M96" s="106">
        <f>M92+M93+M94+M95</f>
      </c>
      <c r="N96" s="106">
        <f>N92+N93+N94+N95</f>
      </c>
      <c r="O96" s="106">
        <f>O92+O93+O94+O95</f>
      </c>
      <c r="P96" s="106">
        <f>P92+P93+P94+P95</f>
      </c>
      <c r="Q96" s="106">
        <f>Q92+Q93+Q94+Q95</f>
      </c>
      <c r="R96" s="107">
        <f t="shared" si="4"/>
      </c>
      <c r="S96" s="107">
        <f t="shared" si="2"/>
      </c>
      <c r="T96" s="107">
        <f t="shared" si="0"/>
      </c>
      <c r="U96" s="108"/>
      <c r="V96" s="106">
        <f>V92+V93+V95+V94</f>
      </c>
      <c r="W96" s="108"/>
      <c r="X96" s="106">
        <f>SUM(X92:X93)</f>
      </c>
      <c r="Y96" s="108"/>
      <c r="Z96" s="116">
        <v>14</v>
      </c>
      <c r="AA96" s="106">
        <f>AA92+AA93+AA95+AA94</f>
      </c>
      <c r="AB96" s="106">
        <f>AB92+AB93+AB95+AB94</f>
      </c>
      <c r="AC96" s="106">
        <f>AC92+AC93+AC95+AC94</f>
      </c>
      <c r="AD96" s="106">
        <f>AD92+AD93+AD95+AD94</f>
      </c>
      <c r="AE96" s="106">
        <f>AE92+AE93+AE95+AE94</f>
      </c>
      <c r="AF96" s="106">
        <f>AF92+AF93+AF95+AF94</f>
      </c>
      <c r="AG96" s="106">
        <f>AG92+AG93+AG95+AG94</f>
      </c>
      <c r="AH96" s="106">
        <f>AH92+AH93+AH95+AH94</f>
      </c>
      <c r="AI96" s="109">
        <f t="shared" si="32"/>
      </c>
      <c r="AJ96" s="109">
        <f t="shared" si="5"/>
      </c>
      <c r="AK96" s="109">
        <f t="shared" si="33"/>
      </c>
      <c r="AL96" s="109">
        <f t="shared" si="3"/>
      </c>
      <c r="AM96" s="110">
        <f t="shared" si="1"/>
      </c>
      <c r="AN96" s="109">
        <f>F96/AE96</f>
      </c>
    </row>
    <row r="97">
      <c r="A97" s="111">
        <v>46262</v>
      </c>
      <c r="B97" s="114" t="s">
        <v>198</v>
      </c>
      <c r="C97" s="114" t="s">
        <v>230</v>
      </c>
      <c r="D97" s="114">
        <v>3</v>
      </c>
      <c r="E97" s="112">
        <v>5</v>
      </c>
      <c r="F97" s="117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3">
        <v>0</v>
      </c>
      <c r="N97" s="113">
        <v>0</v>
      </c>
      <c r="O97" s="113">
        <v>0</v>
      </c>
      <c r="P97" s="89">
        <f t="shared" ref="P97:P100" si="28">I97*12+K97</f>
      </c>
      <c r="Q97" s="97">
        <v>8889.75</v>
      </c>
      <c r="R97" s="98">
        <f t="shared" si="4"/>
      </c>
      <c r="S97" s="99">
        <f t="shared" si="2"/>
      </c>
      <c r="T97" s="99">
        <f t="shared" si="0"/>
      </c>
      <c r="U97" s="112" t="s">
        <v>227</v>
      </c>
      <c r="V97" s="112">
        <v>7</v>
      </c>
      <c r="W97" s="94"/>
      <c r="X97" s="94"/>
      <c r="Y97" s="94"/>
      <c r="Z97" s="94"/>
      <c r="AA97" s="100">
        <v>41086</v>
      </c>
      <c r="AB97" s="100">
        <v>1836</v>
      </c>
      <c r="AC97" s="100">
        <v>2574</v>
      </c>
      <c r="AD97" s="100">
        <v>539</v>
      </c>
      <c r="AE97" s="94">
        <v>137</v>
      </c>
      <c r="AF97" s="94">
        <v>20</v>
      </c>
      <c r="AG97" s="94">
        <v>142</v>
      </c>
      <c r="AH97" s="94">
        <v>3</v>
      </c>
      <c r="AI97" s="101">
        <f t="shared" si="32"/>
      </c>
      <c r="AJ97" s="101">
        <f t="shared" si="5"/>
      </c>
      <c r="AK97" s="101">
        <f t="shared" si="33"/>
      </c>
      <c r="AL97" s="102">
        <f t="shared" si="3"/>
      </c>
      <c r="AM97" s="103">
        <f t="shared" si="1"/>
      </c>
      <c r="AN97" s="104"/>
    </row>
    <row r="98">
      <c r="A98" s="111">
        <v>46262</v>
      </c>
      <c r="B98" s="114" t="s">
        <v>207</v>
      </c>
      <c r="C98" s="114" t="s">
        <v>231</v>
      </c>
      <c r="D98" s="89">
        <v>4</v>
      </c>
      <c r="E98" s="94">
        <v>8</v>
      </c>
      <c r="F98" s="95">
        <v>4</v>
      </c>
      <c r="G98" s="94">
        <v>3</v>
      </c>
      <c r="H98" s="112">
        <v>4</v>
      </c>
      <c r="I98" s="94">
        <v>1239.96</v>
      </c>
      <c r="J98" s="112">
        <v>0</v>
      </c>
      <c r="K98" s="112">
        <v>0</v>
      </c>
      <c r="L98" s="112">
        <v>5</v>
      </c>
      <c r="M98" s="96">
        <v>14879.52</v>
      </c>
      <c r="N98" s="113">
        <v>3</v>
      </c>
      <c r="O98" s="96">
        <v>1187.56</v>
      </c>
      <c r="P98" s="89">
        <f t="shared" si="28"/>
      </c>
      <c r="Q98" s="97">
        <v>10316.39</v>
      </c>
      <c r="R98" s="98">
        <f t="shared" si="4"/>
      </c>
      <c r="S98" s="99">
        <f t="shared" si="2"/>
      </c>
      <c r="T98" s="99">
        <f t="shared" si="0"/>
      </c>
      <c r="U98" s="94"/>
      <c r="V98" s="94"/>
      <c r="W98" s="94"/>
      <c r="X98" s="94"/>
      <c r="Y98" s="94" t="s">
        <v>201</v>
      </c>
      <c r="Z98" s="112">
        <v>13</v>
      </c>
      <c r="AA98" s="94">
        <v>37327</v>
      </c>
      <c r="AB98" s="94">
        <v>2091</v>
      </c>
      <c r="AC98" s="94">
        <v>3102</v>
      </c>
      <c r="AD98" s="94">
        <v>699</v>
      </c>
      <c r="AE98" s="94">
        <v>101</v>
      </c>
      <c r="AF98" s="94">
        <v>23</v>
      </c>
      <c r="AG98" s="94">
        <v>202</v>
      </c>
      <c r="AH98" s="94">
        <v>2</v>
      </c>
      <c r="AI98" s="101">
        <f t="shared" si="32"/>
      </c>
      <c r="AJ98" s="101">
        <f t="shared" si="5"/>
      </c>
      <c r="AK98" s="101">
        <f t="shared" si="33"/>
      </c>
      <c r="AL98" s="102">
        <f t="shared" si="3"/>
      </c>
      <c r="AM98" s="103">
        <f t="shared" si="1"/>
      </c>
      <c r="AN98" s="104"/>
    </row>
    <row r="99">
      <c r="A99" s="111">
        <v>46262</v>
      </c>
      <c r="B99" s="114" t="s">
        <v>209</v>
      </c>
      <c r="C99" s="114" t="s">
        <v>205</v>
      </c>
      <c r="D99" s="114">
        <v>4</v>
      </c>
      <c r="E99" s="94">
        <v>3</v>
      </c>
      <c r="F99" s="95">
        <v>2</v>
      </c>
      <c r="G99" s="94">
        <v>2</v>
      </c>
      <c r="H99" s="112">
        <v>2</v>
      </c>
      <c r="I99" s="94">
        <v>302.71</v>
      </c>
      <c r="J99" s="112">
        <v>0</v>
      </c>
      <c r="K99" s="112">
        <v>0</v>
      </c>
      <c r="L99" s="112">
        <v>2</v>
      </c>
      <c r="M99" s="96">
        <v>3632.5199999999995</v>
      </c>
      <c r="N99" s="113">
        <v>1</v>
      </c>
      <c r="O99" s="96">
        <v>83.92</v>
      </c>
      <c r="P99" s="89">
        <f t="shared" si="28"/>
      </c>
      <c r="Q99" s="97">
        <v>8124.92</v>
      </c>
      <c r="R99" s="98">
        <f t="shared" si="4"/>
      </c>
      <c r="S99" s="99">
        <f t="shared" si="2"/>
      </c>
      <c r="T99" s="99">
        <f t="shared" si="0"/>
      </c>
      <c r="U99" s="94"/>
      <c r="V99" s="94"/>
      <c r="W99" s="94"/>
      <c r="X99" s="94"/>
      <c r="Y99" s="94"/>
      <c r="Z99" s="94"/>
      <c r="AA99" s="94">
        <v>30474</v>
      </c>
      <c r="AB99" s="94">
        <v>2013</v>
      </c>
      <c r="AC99" s="94">
        <v>3601</v>
      </c>
      <c r="AD99" s="94">
        <v>730</v>
      </c>
      <c r="AE99" s="94">
        <v>88</v>
      </c>
      <c r="AF99" s="94">
        <v>21</v>
      </c>
      <c r="AG99" s="94">
        <v>137</v>
      </c>
      <c r="AH99" s="94">
        <v>5</v>
      </c>
      <c r="AI99" s="101">
        <f t="shared" si="32"/>
      </c>
      <c r="AJ99" s="101">
        <f t="shared" si="5"/>
      </c>
      <c r="AK99" s="101">
        <f t="shared" si="33"/>
      </c>
      <c r="AL99" s="102">
        <f t="shared" si="3"/>
      </c>
      <c r="AM99" s="103">
        <f t="shared" si="1"/>
      </c>
      <c r="AN99" s="104"/>
    </row>
    <row r="100">
      <c r="A100" s="111">
        <v>46262</v>
      </c>
      <c r="B100" s="114" t="s">
        <v>225</v>
      </c>
      <c r="C100" s="114" t="s">
        <v>232</v>
      </c>
      <c r="D100" s="114">
        <v>2</v>
      </c>
      <c r="E100" s="94">
        <v>0</v>
      </c>
      <c r="F100" s="117">
        <v>0</v>
      </c>
      <c r="G100" s="112">
        <v>0</v>
      </c>
      <c r="H100" s="112">
        <v>0</v>
      </c>
      <c r="I100" s="112">
        <v>0</v>
      </c>
      <c r="J100" s="112">
        <v>0</v>
      </c>
      <c r="K100" s="112">
        <v>0</v>
      </c>
      <c r="L100" s="112">
        <v>0</v>
      </c>
      <c r="M100" s="113">
        <v>0</v>
      </c>
      <c r="N100" s="113">
        <v>0</v>
      </c>
      <c r="O100" s="113">
        <v>0</v>
      </c>
      <c r="P100" s="89">
        <f t="shared" si="28"/>
      </c>
      <c r="Q100" s="97">
        <v>3028.1400000000003</v>
      </c>
      <c r="R100" s="98">
        <f t="shared" si="4"/>
      </c>
      <c r="S100" s="99">
        <f t="shared" si="2"/>
      </c>
      <c r="T100" s="99">
        <f t="shared" si="0"/>
      </c>
      <c r="U100" s="94" t="s">
        <v>206</v>
      </c>
      <c r="V100" s="112">
        <v>6</v>
      </c>
      <c r="W100" s="94"/>
      <c r="X100" s="94"/>
      <c r="Y100" s="94"/>
      <c r="Z100" s="94"/>
      <c r="AA100" s="94">
        <v>15969</v>
      </c>
      <c r="AB100" s="94">
        <v>909</v>
      </c>
      <c r="AC100" s="94">
        <v>1634</v>
      </c>
      <c r="AD100" s="94">
        <v>295</v>
      </c>
      <c r="AE100" s="94">
        <v>72</v>
      </c>
      <c r="AF100" s="94">
        <v>7</v>
      </c>
      <c r="AG100" s="94">
        <v>78</v>
      </c>
      <c r="AH100" s="94">
        <v>3</v>
      </c>
      <c r="AI100" s="101">
        <f t="shared" si="32"/>
      </c>
      <c r="AJ100" s="101">
        <f t="shared" si="5"/>
      </c>
      <c r="AK100" s="101">
        <f t="shared" si="33"/>
      </c>
      <c r="AL100" s="102">
        <f t="shared" si="3"/>
      </c>
      <c r="AM100" s="103">
        <f t="shared" si="1"/>
      </c>
      <c r="AN100" s="104"/>
    </row>
    <row r="101">
      <c r="A101" s="105">
        <v>46262</v>
      </c>
      <c r="B101" s="106"/>
      <c r="C101" s="116" t="s">
        <v>233</v>
      </c>
      <c r="D101" s="106">
        <f>D97+D98+D99+D100</f>
      </c>
      <c r="E101" s="106">
        <f>E97+E98+E99+E100</f>
      </c>
      <c r="F101" s="106">
        <f>F97+F98+F99+F100</f>
      </c>
      <c r="G101" s="106">
        <f>G97+G98+G99+G100</f>
      </c>
      <c r="H101" s="106">
        <f>H97+H98+H99+H100</f>
      </c>
      <c r="I101" s="106">
        <f>I97+I98+I99+I100</f>
      </c>
      <c r="J101" s="106">
        <f>J97+J98+J99+J100</f>
      </c>
      <c r="K101" s="106">
        <f>K97+K98+K99+K100</f>
      </c>
      <c r="L101" s="106">
        <f>L97+L98+L99+L100</f>
      </c>
      <c r="M101" s="106">
        <f>M97+M98+M99+M100</f>
      </c>
      <c r="N101" s="106">
        <f>N97+N98+N99+N100</f>
      </c>
      <c r="O101" s="106">
        <f>O97+O98+O99+O100</f>
      </c>
      <c r="P101" s="106">
        <f>P97+P98+P99+P100</f>
      </c>
      <c r="Q101" s="106">
        <f>Q97+Q98+Q99+Q100</f>
      </c>
      <c r="R101" s="107">
        <f t="shared" si="4"/>
      </c>
      <c r="S101" s="107">
        <f t="shared" si="2"/>
      </c>
      <c r="T101" s="107">
        <f t="shared" si="0"/>
      </c>
      <c r="U101" s="108"/>
      <c r="V101" s="106">
        <f>V97+V98+V100+V99</f>
      </c>
      <c r="W101" s="108"/>
      <c r="X101" s="106">
        <f>SUM(X97:X98)</f>
      </c>
      <c r="Y101" s="108"/>
      <c r="Z101" s="116">
        <v>13</v>
      </c>
      <c r="AA101" s="106">
        <f>AA97+AA98+AA100+AA99</f>
      </c>
      <c r="AB101" s="106">
        <f>AB97+AB98+AB100+AB99</f>
      </c>
      <c r="AC101" s="106">
        <f>AC97+AC98+AC100+AC99</f>
      </c>
      <c r="AD101" s="106">
        <f>AD97+AD98+AD100+AD99</f>
      </c>
      <c r="AE101" s="106">
        <f>AE97+AE98+AE100+AE99</f>
      </c>
      <c r="AF101" s="106">
        <f>AF97+AF98+AF100+AF99</f>
      </c>
      <c r="AG101" s="106">
        <f>AG97+AG98+AG100+AG99</f>
      </c>
      <c r="AH101" s="106">
        <f>AH97+AH98+AH100+AH99</f>
      </c>
      <c r="AI101" s="109">
        <f t="shared" si="32"/>
      </c>
      <c r="AJ101" s="109">
        <f t="shared" si="5"/>
      </c>
      <c r="AK101" s="109">
        <f t="shared" si="33"/>
      </c>
      <c r="AL101" s="109">
        <f t="shared" si="3"/>
      </c>
      <c r="AM101" s="110">
        <f t="shared" si="1"/>
      </c>
      <c r="AN101" s="109">
        <f>F101/AE101</f>
      </c>
    </row>
    <row r="102">
      <c r="A102" s="93">
        <v>46263</v>
      </c>
      <c r="B102" s="89" t="s">
        <v>207</v>
      </c>
      <c r="C102" s="89" t="s">
        <v>234</v>
      </c>
      <c r="D102" s="89">
        <v>4</v>
      </c>
      <c r="E102" s="94">
        <v>26</v>
      </c>
      <c r="F102" s="95">
        <v>14</v>
      </c>
      <c r="G102" s="94">
        <v>12</v>
      </c>
      <c r="H102" s="94">
        <v>12</v>
      </c>
      <c r="I102" s="94">
        <v>2484.68</v>
      </c>
      <c r="J102" s="118">
        <v>2</v>
      </c>
      <c r="K102" s="118">
        <v>2746</v>
      </c>
      <c r="L102" s="118">
        <v>14</v>
      </c>
      <c r="M102" s="119">
        <v>32562.159999999996</v>
      </c>
      <c r="N102" s="119">
        <v>6</v>
      </c>
      <c r="O102" s="119">
        <v>1808.3799999999999</v>
      </c>
      <c r="P102" s="89">
        <f t="shared" ref="P102:P105" si="29">I102*12+K102</f>
      </c>
      <c r="Q102" s="97">
        <v>21698.34</v>
      </c>
      <c r="R102" s="98">
        <f t="shared" si="4"/>
      </c>
      <c r="S102" s="99">
        <f t="shared" si="2"/>
      </c>
      <c r="T102" s="99">
        <f t="shared" si="0"/>
      </c>
      <c r="U102" s="94" t="s">
        <v>227</v>
      </c>
      <c r="V102" s="94">
        <v>8</v>
      </c>
      <c r="W102" s="94"/>
      <c r="X102" s="94"/>
      <c r="Y102" s="94"/>
      <c r="Z102" s="94"/>
      <c r="AA102" s="100">
        <v>91061</v>
      </c>
      <c r="AB102" s="100">
        <v>4116</v>
      </c>
      <c r="AC102" s="100">
        <v>5528</v>
      </c>
      <c r="AD102" s="100">
        <v>1305</v>
      </c>
      <c r="AE102" s="94">
        <v>256</v>
      </c>
      <c r="AF102" s="94">
        <v>34</v>
      </c>
      <c r="AG102" s="94">
        <v>402</v>
      </c>
      <c r="AH102" s="94">
        <v>7</v>
      </c>
      <c r="AI102" s="101">
        <f t="shared" si="32"/>
      </c>
      <c r="AJ102" s="101">
        <f t="shared" si="5"/>
      </c>
      <c r="AK102" s="101">
        <f t="shared" si="33"/>
      </c>
      <c r="AL102" s="102">
        <f t="shared" si="3"/>
      </c>
      <c r="AM102" s="103">
        <f t="shared" si="1"/>
      </c>
      <c r="AN102" s="104"/>
    </row>
    <row r="103">
      <c r="A103" s="93">
        <v>46263</v>
      </c>
      <c r="B103" s="89" t="s">
        <v>198</v>
      </c>
      <c r="C103" s="89" t="s">
        <v>231</v>
      </c>
      <c r="D103" s="89">
        <v>4</v>
      </c>
      <c r="E103" s="94">
        <v>4</v>
      </c>
      <c r="F103" s="95">
        <v>1</v>
      </c>
      <c r="G103" s="94">
        <v>1</v>
      </c>
      <c r="H103" s="94">
        <v>1</v>
      </c>
      <c r="I103" s="94">
        <v>251.6</v>
      </c>
      <c r="J103" s="120">
        <v>0</v>
      </c>
      <c r="K103" s="118">
        <v>0</v>
      </c>
      <c r="L103" s="118">
        <v>1</v>
      </c>
      <c r="M103" s="119">
        <v>3019.2</v>
      </c>
      <c r="N103" s="119">
        <v>1</v>
      </c>
      <c r="O103" s="119">
        <v>251.6</v>
      </c>
      <c r="P103" s="89">
        <f t="shared" si="29"/>
      </c>
      <c r="Q103" s="97">
        <v>12103.97</v>
      </c>
      <c r="R103" s="98">
        <f t="shared" si="4"/>
      </c>
      <c r="S103" s="99">
        <f t="shared" si="2"/>
      </c>
      <c r="T103" s="99">
        <f t="shared" si="0"/>
      </c>
      <c r="U103" s="94"/>
      <c r="V103" s="94"/>
      <c r="W103" s="94"/>
      <c r="X103" s="94"/>
      <c r="Y103" s="94" t="s">
        <v>201</v>
      </c>
      <c r="Z103" s="112">
        <v>16</v>
      </c>
      <c r="AA103" s="94">
        <v>50143</v>
      </c>
      <c r="AB103" s="94">
        <v>2731</v>
      </c>
      <c r="AC103" s="94">
        <v>4039</v>
      </c>
      <c r="AD103" s="94">
        <v>823</v>
      </c>
      <c r="AE103" s="94">
        <v>138</v>
      </c>
      <c r="AF103" s="94">
        <v>30</v>
      </c>
      <c r="AG103" s="94">
        <v>245</v>
      </c>
      <c r="AH103" s="94">
        <v>4</v>
      </c>
      <c r="AI103" s="101">
        <f t="shared" si="32"/>
      </c>
      <c r="AJ103" s="101">
        <f t="shared" si="5"/>
      </c>
      <c r="AK103" s="101">
        <f t="shared" si="33"/>
      </c>
      <c r="AL103" s="102">
        <f t="shared" si="3"/>
      </c>
      <c r="AM103" s="103">
        <f t="shared" si="1"/>
      </c>
      <c r="AN103" s="104"/>
    </row>
    <row r="104">
      <c r="A104" s="93">
        <v>46263</v>
      </c>
      <c r="B104" s="89" t="s">
        <v>209</v>
      </c>
      <c r="C104" s="89" t="s">
        <v>205</v>
      </c>
      <c r="D104" s="121">
        <f>4-1.25</f>
      </c>
      <c r="E104" s="94">
        <v>7</v>
      </c>
      <c r="F104" s="95">
        <v>5</v>
      </c>
      <c r="G104" s="94">
        <v>4</v>
      </c>
      <c r="H104" s="112">
        <v>5</v>
      </c>
      <c r="I104" s="94">
        <v>258.21</v>
      </c>
      <c r="J104" s="120">
        <v>0</v>
      </c>
      <c r="K104" s="120">
        <v>0</v>
      </c>
      <c r="L104" s="120">
        <v>5</v>
      </c>
      <c r="M104" s="119">
        <v>3098.5199999999995</v>
      </c>
      <c r="N104" s="122">
        <v>0</v>
      </c>
      <c r="O104" s="122">
        <v>0</v>
      </c>
      <c r="P104" s="89">
        <f t="shared" si="29"/>
      </c>
      <c r="Q104" s="97">
        <v>8924.86</v>
      </c>
      <c r="R104" s="98">
        <f t="shared" si="4"/>
      </c>
      <c r="S104" s="99">
        <f t="shared" si="2"/>
      </c>
      <c r="T104" s="99">
        <f t="shared" si="0"/>
      </c>
      <c r="U104" s="94"/>
      <c r="V104" s="94"/>
      <c r="W104" s="94"/>
      <c r="X104" s="94"/>
      <c r="Y104" s="94"/>
      <c r="Z104" s="94"/>
      <c r="AA104" s="94">
        <v>39924</v>
      </c>
      <c r="AB104" s="94">
        <v>2570</v>
      </c>
      <c r="AC104" s="94">
        <v>3807</v>
      </c>
      <c r="AD104" s="94">
        <v>671</v>
      </c>
      <c r="AE104" s="94">
        <v>151</v>
      </c>
      <c r="AF104" s="94">
        <v>27</v>
      </c>
      <c r="AG104" s="94">
        <v>173</v>
      </c>
      <c r="AH104" s="94">
        <v>4</v>
      </c>
      <c r="AI104" s="101">
        <f t="shared" si="32"/>
      </c>
      <c r="AJ104" s="101">
        <f t="shared" si="5"/>
      </c>
      <c r="AK104" s="101">
        <f t="shared" si="33"/>
      </c>
      <c r="AL104" s="102">
        <f t="shared" si="3"/>
      </c>
      <c r="AM104" s="103">
        <f t="shared" si="1"/>
      </c>
      <c r="AN104" s="104"/>
    </row>
    <row r="105">
      <c r="A105" s="93">
        <v>46263</v>
      </c>
      <c r="B105" s="89" t="s">
        <v>225</v>
      </c>
      <c r="C105" s="89" t="s">
        <v>203</v>
      </c>
      <c r="D105" s="89">
        <v>4</v>
      </c>
      <c r="E105" s="94">
        <v>7</v>
      </c>
      <c r="F105" s="95">
        <v>4</v>
      </c>
      <c r="G105" s="94">
        <v>4</v>
      </c>
      <c r="H105" s="112">
        <v>4</v>
      </c>
      <c r="I105" s="94">
        <v>898.03</v>
      </c>
      <c r="J105" s="120">
        <v>0</v>
      </c>
      <c r="K105" s="120">
        <v>0</v>
      </c>
      <c r="L105" s="120">
        <v>4</v>
      </c>
      <c r="M105" s="119">
        <v>10776.36</v>
      </c>
      <c r="N105" s="122">
        <v>1</v>
      </c>
      <c r="O105" s="119">
        <v>570.61</v>
      </c>
      <c r="P105" s="89">
        <f t="shared" si="29"/>
      </c>
      <c r="Q105" s="97">
        <v>5978.839999999999</v>
      </c>
      <c r="R105" s="98">
        <f t="shared" si="4"/>
      </c>
      <c r="S105" s="99">
        <f t="shared" si="2"/>
      </c>
      <c r="T105" s="99">
        <f t="shared" si="0"/>
      </c>
      <c r="U105" s="94" t="s">
        <v>206</v>
      </c>
      <c r="V105" s="112">
        <v>8</v>
      </c>
      <c r="W105" s="94"/>
      <c r="X105" s="94"/>
      <c r="Y105" s="94"/>
      <c r="Z105" s="94"/>
      <c r="AA105" s="94">
        <v>22109</v>
      </c>
      <c r="AB105" s="94">
        <v>1280</v>
      </c>
      <c r="AC105" s="94">
        <v>2069</v>
      </c>
      <c r="AD105" s="94">
        <v>428</v>
      </c>
      <c r="AE105" s="94">
        <v>100</v>
      </c>
      <c r="AF105" s="94">
        <v>16</v>
      </c>
      <c r="AG105" s="94">
        <v>176</v>
      </c>
      <c r="AH105" s="94">
        <v>3</v>
      </c>
      <c r="AI105" s="101">
        <f t="shared" si="32"/>
      </c>
      <c r="AJ105" s="101">
        <f t="shared" si="5"/>
      </c>
      <c r="AK105" s="101">
        <f t="shared" si="33"/>
      </c>
      <c r="AL105" s="102">
        <f t="shared" si="3"/>
      </c>
      <c r="AM105" s="103">
        <f t="shared" si="1"/>
      </c>
      <c r="AN105" s="104"/>
    </row>
    <row r="106">
      <c r="A106" s="105">
        <v>46263</v>
      </c>
      <c r="B106" s="106"/>
      <c r="C106" s="116" t="s">
        <v>235</v>
      </c>
      <c r="D106" s="106">
        <f>D102+D103+D104+D105</f>
      </c>
      <c r="E106" s="106">
        <f>E102+E103+E104+E105</f>
      </c>
      <c r="F106" s="106">
        <f>F102+F103+F104+F105</f>
      </c>
      <c r="G106" s="106">
        <f>G102+G103+G104+G105</f>
      </c>
      <c r="H106" s="106">
        <f>H102+H103+H104+H105</f>
      </c>
      <c r="I106" s="106">
        <f>I102+I103+I104+I105</f>
      </c>
      <c r="J106" s="123">
        <f>J102+J103+J104+J105</f>
      </c>
      <c r="K106" s="123">
        <f>K102+K103+K104+K105</f>
      </c>
      <c r="L106" s="123">
        <f>L102+L103+L104+L105</f>
      </c>
      <c r="M106" s="123">
        <f>M102+M103+M104+M105</f>
      </c>
      <c r="N106" s="123">
        <f>N102+N103+N104+N105</f>
      </c>
      <c r="O106" s="123">
        <f>O102+O103+O104+O105</f>
      </c>
      <c r="P106" s="106">
        <f>P102+P103+P104+P105</f>
      </c>
      <c r="Q106" s="106">
        <f>Q102+Q103+Q104+Q105</f>
      </c>
      <c r="R106" s="107">
        <f t="shared" si="4"/>
      </c>
      <c r="S106" s="107">
        <f t="shared" si="2"/>
      </c>
      <c r="T106" s="107">
        <f t="shared" si="0"/>
      </c>
      <c r="U106" s="108"/>
      <c r="V106" s="106">
        <f>V102+V103+V105+V104</f>
      </c>
      <c r="W106" s="108"/>
      <c r="X106" s="106">
        <f>SUM(X102:X103)</f>
      </c>
      <c r="Y106" s="108"/>
      <c r="Z106" s="116">
        <f>Z102+Z103+Z104+Z105</f>
      </c>
      <c r="AA106" s="106">
        <f>AA102+AA103+AA105+AA104</f>
      </c>
      <c r="AB106" s="106">
        <f>AB102+AB103+AB105+AB104</f>
      </c>
      <c r="AC106" s="106">
        <f>AC102+AC103+AC105+AC104</f>
      </c>
      <c r="AD106" s="106">
        <f>AD102+AD103+AD105+AD104</f>
      </c>
      <c r="AE106" s="106">
        <f>AE102+AE103+AE105+AE104</f>
      </c>
      <c r="AF106" s="106">
        <f>AF102+AF103+AF105+AF104</f>
      </c>
      <c r="AG106" s="106">
        <f>AG102+AG103+AG105+AG104</f>
      </c>
      <c r="AH106" s="106">
        <f>AH102+AH103+AH105+AH104</f>
      </c>
      <c r="AI106" s="109">
        <f t="shared" si="32"/>
      </c>
      <c r="AJ106" s="109">
        <f t="shared" si="5"/>
      </c>
      <c r="AK106" s="109">
        <f t="shared" si="33"/>
      </c>
      <c r="AL106" s="109">
        <f t="shared" si="3"/>
      </c>
      <c r="AM106" s="110">
        <f t="shared" si="1"/>
      </c>
      <c r="AN106" s="109">
        <f>F106/AE106</f>
      </c>
    </row>
    <row r="107">
      <c r="A107" s="111">
        <v>46264</v>
      </c>
      <c r="B107" s="114" t="s">
        <v>198</v>
      </c>
      <c r="C107" s="89" t="s">
        <v>234</v>
      </c>
      <c r="D107" s="89">
        <v>4</v>
      </c>
      <c r="E107" s="112">
        <v>8</v>
      </c>
      <c r="F107" s="117">
        <v>8</v>
      </c>
      <c r="G107" s="112">
        <v>7</v>
      </c>
      <c r="H107" s="112">
        <v>6</v>
      </c>
      <c r="I107" s="94">
        <v>1593.02</v>
      </c>
      <c r="J107" s="120">
        <v>2</v>
      </c>
      <c r="K107" s="118">
        <v>1118</v>
      </c>
      <c r="L107" s="120">
        <v>8</v>
      </c>
      <c r="M107" s="119">
        <v>20234.239999999998</v>
      </c>
      <c r="N107" s="122">
        <v>0</v>
      </c>
      <c r="O107" s="122">
        <v>0</v>
      </c>
      <c r="P107" s="89">
        <f t="shared" ref="P107:P110" si="30">I107*12+K107</f>
      </c>
      <c r="Q107" s="97">
        <v>12995.9</v>
      </c>
      <c r="R107" s="98">
        <f t="shared" si="4"/>
      </c>
      <c r="S107" s="99">
        <f t="shared" si="2"/>
      </c>
      <c r="T107" s="99">
        <f t="shared" si="0"/>
      </c>
      <c r="U107" s="112" t="s">
        <v>236</v>
      </c>
      <c r="V107" s="94">
        <v>8</v>
      </c>
      <c r="W107" s="94"/>
      <c r="X107" s="94"/>
      <c r="Y107" s="94"/>
      <c r="Z107" s="94"/>
      <c r="AA107" s="100">
        <v>58583</v>
      </c>
      <c r="AB107" s="100">
        <v>3131</v>
      </c>
      <c r="AC107" s="100">
        <v>4933</v>
      </c>
      <c r="AD107" s="100">
        <v>1080</v>
      </c>
      <c r="AE107" s="94">
        <v>184</v>
      </c>
      <c r="AF107" s="94">
        <v>40</v>
      </c>
      <c r="AG107" s="94">
        <v>406</v>
      </c>
      <c r="AH107" s="94">
        <v>4</v>
      </c>
      <c r="AI107" s="101">
        <f t="shared" si="32"/>
      </c>
      <c r="AJ107" s="101">
        <f t="shared" si="5"/>
      </c>
      <c r="AK107" s="101">
        <f t="shared" si="33"/>
      </c>
      <c r="AL107" s="102">
        <f t="shared" si="3"/>
      </c>
      <c r="AM107" s="103">
        <f t="shared" si="1"/>
      </c>
      <c r="AN107" s="104"/>
    </row>
    <row r="108">
      <c r="A108" s="93">
        <v>46264</v>
      </c>
      <c r="B108" s="114" t="s">
        <v>207</v>
      </c>
      <c r="C108" s="89" t="s">
        <v>231</v>
      </c>
      <c r="D108" s="89">
        <v>4</v>
      </c>
      <c r="E108" s="112">
        <v>6</v>
      </c>
      <c r="F108" s="95">
        <v>4</v>
      </c>
      <c r="G108" s="94">
        <v>2</v>
      </c>
      <c r="H108" s="112">
        <v>3</v>
      </c>
      <c r="I108" s="94">
        <v>413.13</v>
      </c>
      <c r="J108" s="120">
        <v>1</v>
      </c>
      <c r="K108" s="118">
        <v>878</v>
      </c>
      <c r="L108" s="120">
        <v>4</v>
      </c>
      <c r="M108" s="119">
        <v>5835.5599999999995</v>
      </c>
      <c r="N108" s="122">
        <v>1</v>
      </c>
      <c r="O108" s="119">
        <v>127.17</v>
      </c>
      <c r="P108" s="89">
        <f t="shared" si="30"/>
      </c>
      <c r="Q108" s="97">
        <v>10749.320000000002</v>
      </c>
      <c r="R108" s="98">
        <f t="shared" si="4"/>
      </c>
      <c r="S108" s="99">
        <f t="shared" si="2"/>
      </c>
      <c r="T108" s="99">
        <f t="shared" si="0"/>
      </c>
      <c r="U108" s="94"/>
      <c r="V108" s="94"/>
      <c r="W108" s="94"/>
      <c r="X108" s="94"/>
      <c r="Y108" s="94" t="s">
        <v>201</v>
      </c>
      <c r="Z108" s="112">
        <v>16</v>
      </c>
      <c r="AA108" s="94">
        <v>55932</v>
      </c>
      <c r="AB108" s="94">
        <v>3572</v>
      </c>
      <c r="AC108" s="94">
        <v>6490</v>
      </c>
      <c r="AD108" s="94">
        <v>1182</v>
      </c>
      <c r="AE108" s="94">
        <v>129</v>
      </c>
      <c r="AF108" s="94">
        <v>30</v>
      </c>
      <c r="AG108" s="94">
        <v>165</v>
      </c>
      <c r="AH108" s="94">
        <v>2</v>
      </c>
      <c r="AI108" s="101">
        <f t="shared" si="32"/>
      </c>
      <c r="AJ108" s="101">
        <f t="shared" si="5"/>
      </c>
      <c r="AK108" s="101">
        <f t="shared" si="33"/>
      </c>
      <c r="AL108" s="102">
        <f t="shared" si="3"/>
      </c>
      <c r="AM108" s="103">
        <f t="shared" si="1"/>
      </c>
      <c r="AN108" s="104"/>
    </row>
    <row r="109">
      <c r="A109" s="93">
        <v>46264</v>
      </c>
      <c r="B109" s="114" t="s">
        <v>220</v>
      </c>
      <c r="C109" s="89" t="s">
        <v>205</v>
      </c>
      <c r="D109" s="89">
        <v>4</v>
      </c>
      <c r="E109" s="94">
        <v>10</v>
      </c>
      <c r="F109" s="95">
        <v>6</v>
      </c>
      <c r="G109" s="94">
        <v>3</v>
      </c>
      <c r="H109" s="112">
        <v>6</v>
      </c>
      <c r="I109" s="94">
        <v>2197.15</v>
      </c>
      <c r="J109" s="120">
        <v>0</v>
      </c>
      <c r="K109" s="120">
        <v>0</v>
      </c>
      <c r="L109" s="120">
        <v>6</v>
      </c>
      <c r="M109" s="119">
        <v>26365.800000000003</v>
      </c>
      <c r="N109" s="122">
        <v>2</v>
      </c>
      <c r="O109" s="122">
        <v>1315.3899999999999</v>
      </c>
      <c r="P109" s="89">
        <f t="shared" si="30"/>
      </c>
      <c r="Q109" s="97">
        <v>9173.48</v>
      </c>
      <c r="R109" s="98">
        <f t="shared" si="4"/>
      </c>
      <c r="S109" s="99">
        <f t="shared" si="2"/>
      </c>
      <c r="T109" s="99">
        <f t="shared" si="0"/>
      </c>
      <c r="U109" s="94"/>
      <c r="V109" s="94"/>
      <c r="W109" s="94"/>
      <c r="X109" s="94"/>
      <c r="Y109" s="94"/>
      <c r="Z109" s="94"/>
      <c r="AA109" s="94">
        <v>35133</v>
      </c>
      <c r="AB109" s="94">
        <v>3195</v>
      </c>
      <c r="AC109" s="94">
        <v>5151</v>
      </c>
      <c r="AD109" s="94">
        <v>1133</v>
      </c>
      <c r="AE109" s="94">
        <v>87</v>
      </c>
      <c r="AF109" s="94">
        <v>22</v>
      </c>
      <c r="AG109" s="94">
        <v>303</v>
      </c>
      <c r="AH109" s="94">
        <v>2</v>
      </c>
      <c r="AI109" s="101">
        <f t="shared" si="32"/>
      </c>
      <c r="AJ109" s="101">
        <f t="shared" si="5"/>
      </c>
      <c r="AK109" s="101">
        <f t="shared" si="33"/>
      </c>
      <c r="AL109" s="102">
        <f t="shared" si="3"/>
      </c>
      <c r="AM109" s="103">
        <f t="shared" si="1"/>
      </c>
      <c r="AN109" s="104"/>
    </row>
    <row r="110">
      <c r="A110" s="93">
        <v>46264</v>
      </c>
      <c r="B110" s="114" t="s">
        <v>225</v>
      </c>
      <c r="C110" s="89" t="s">
        <v>203</v>
      </c>
      <c r="D110" s="89">
        <v>4</v>
      </c>
      <c r="E110" s="94">
        <v>9</v>
      </c>
      <c r="F110" s="95">
        <v>4</v>
      </c>
      <c r="G110" s="94">
        <v>2</v>
      </c>
      <c r="H110" s="112">
        <v>3</v>
      </c>
      <c r="I110" s="94">
        <v>1278.84</v>
      </c>
      <c r="J110" s="120">
        <v>1</v>
      </c>
      <c r="K110" s="120">
        <v>1132</v>
      </c>
      <c r="L110" s="120">
        <v>4</v>
      </c>
      <c r="M110" s="119">
        <v>16478.079999999998</v>
      </c>
      <c r="N110" s="122">
        <v>1</v>
      </c>
      <c r="O110" s="119">
        <v>1085.27</v>
      </c>
      <c r="P110" s="89">
        <f t="shared" si="30"/>
      </c>
      <c r="Q110" s="97">
        <v>8493.15</v>
      </c>
      <c r="R110" s="98">
        <f t="shared" si="4"/>
      </c>
      <c r="S110" s="99">
        <f t="shared" si="2"/>
      </c>
      <c r="T110" s="99">
        <f t="shared" si="0"/>
      </c>
      <c r="U110" s="112" t="s">
        <v>200</v>
      </c>
      <c r="V110" s="112">
        <v>8</v>
      </c>
      <c r="W110" s="94"/>
      <c r="X110" s="94"/>
      <c r="Y110" s="94"/>
      <c r="Z110" s="94"/>
      <c r="AA110" s="94">
        <v>30779</v>
      </c>
      <c r="AB110" s="94">
        <v>2681</v>
      </c>
      <c r="AC110" s="94">
        <v>4076</v>
      </c>
      <c r="AD110" s="94">
        <v>721</v>
      </c>
      <c r="AE110" s="94">
        <v>108</v>
      </c>
      <c r="AF110" s="94">
        <v>25</v>
      </c>
      <c r="AG110" s="94">
        <v>209</v>
      </c>
      <c r="AH110" s="94">
        <v>2</v>
      </c>
      <c r="AI110" s="101">
        <f t="shared" si="32"/>
      </c>
      <c r="AJ110" s="101">
        <f t="shared" si="5"/>
      </c>
      <c r="AK110" s="101">
        <f t="shared" si="33"/>
      </c>
      <c r="AL110" s="102">
        <f t="shared" si="3"/>
      </c>
      <c r="AM110" s="103">
        <f t="shared" si="1"/>
      </c>
      <c r="AN110" s="104"/>
    </row>
    <row r="111">
      <c r="A111" s="105">
        <v>46264</v>
      </c>
      <c r="B111" s="106"/>
      <c r="C111" s="116" t="s">
        <v>235</v>
      </c>
      <c r="D111" s="106">
        <f>D107+D108+D109+D110</f>
      </c>
      <c r="E111" s="106">
        <f>E107+E108+E109+E110</f>
      </c>
      <c r="F111" s="106">
        <f>F107+F108+F109+F110</f>
      </c>
      <c r="G111" s="106">
        <f>G107+G108+G109+G110</f>
      </c>
      <c r="H111" s="106">
        <f>H107+H108+H109+H110</f>
      </c>
      <c r="I111" s="106">
        <f>I107+I108+I109+I110</f>
      </c>
      <c r="J111" s="123">
        <f>J107+J108+J109+J110</f>
      </c>
      <c r="K111" s="123">
        <f>K107+K108+K109+K110</f>
      </c>
      <c r="L111" s="123">
        <f>L107+L108+L109+L110</f>
      </c>
      <c r="M111" s="123">
        <f>M107+M108+M109+M110</f>
      </c>
      <c r="N111" s="123">
        <f>N107+N108+N109+N110</f>
      </c>
      <c r="O111" s="123">
        <f>O107+O108+O109+O110</f>
      </c>
      <c r="P111" s="106">
        <f>P107+P108+P109+P110</f>
      </c>
      <c r="Q111" s="106">
        <f>Q107+Q108+Q109+Q110</f>
      </c>
      <c r="R111" s="107">
        <f t="shared" si="4"/>
      </c>
      <c r="S111" s="107">
        <f t="shared" si="2"/>
      </c>
      <c r="T111" s="107">
        <f t="shared" si="0"/>
      </c>
      <c r="U111" s="108"/>
      <c r="V111" s="106">
        <f>V107+V108+V110+V109</f>
      </c>
      <c r="W111" s="108"/>
      <c r="X111" s="106">
        <f>SUM(X107:X108)</f>
      </c>
      <c r="Y111" s="108"/>
      <c r="Z111" s="116">
        <f>Z107+Z108+Z109+Z110</f>
      </c>
      <c r="AA111" s="106">
        <f>AA107+AA108+AA110+AA109</f>
      </c>
      <c r="AB111" s="106">
        <f>AB107+AB108+AB110+AB109</f>
      </c>
      <c r="AC111" s="106">
        <f>AC107+AC108+AC110+AC109</f>
      </c>
      <c r="AD111" s="106">
        <f>AD107+AD108+AD110+AD109</f>
      </c>
      <c r="AE111" s="106">
        <f>AE107+AE108+AE110+AE109</f>
      </c>
      <c r="AF111" s="106">
        <f>AF107+AF108+AF110+AF109</f>
      </c>
      <c r="AG111" s="106">
        <f>AG107+AG108+AG110+AG109</f>
      </c>
      <c r="AH111" s="106">
        <f>AH107+AH108+AH110+AH109</f>
      </c>
      <c r="AI111" s="109">
        <f t="shared" si="32"/>
      </c>
      <c r="AJ111" s="109">
        <f t="shared" si="5"/>
      </c>
      <c r="AK111" s="109">
        <f t="shared" si="33"/>
      </c>
      <c r="AL111" s="109">
        <f t="shared" si="3"/>
      </c>
      <c r="AM111" s="110">
        <f t="shared" si="1"/>
      </c>
      <c r="AN111" s="109">
        <f>F111/AE111</f>
      </c>
    </row>
    <row r="112">
      <c r="A112" s="111">
        <v>46265</v>
      </c>
      <c r="B112" s="114" t="s">
        <v>198</v>
      </c>
      <c r="C112" s="114" t="s">
        <v>230</v>
      </c>
      <c r="D112" s="124">
        <f>3-0.75</f>
      </c>
      <c r="E112" s="112">
        <v>4</v>
      </c>
      <c r="F112" s="117">
        <v>0</v>
      </c>
      <c r="G112" s="112">
        <v>0</v>
      </c>
      <c r="H112" s="112">
        <v>0</v>
      </c>
      <c r="I112" s="112">
        <v>0</v>
      </c>
      <c r="J112" s="120">
        <v>0</v>
      </c>
      <c r="K112" s="120">
        <v>0</v>
      </c>
      <c r="L112" s="120">
        <v>0</v>
      </c>
      <c r="M112" s="122">
        <v>0</v>
      </c>
      <c r="N112" s="122">
        <v>0</v>
      </c>
      <c r="O112" s="122">
        <v>0</v>
      </c>
      <c r="P112" s="89">
        <f t="shared" ref="P112:P115" si="31">I112*12+K112</f>
      </c>
      <c r="Q112" s="97">
        <v>7134.19</v>
      </c>
      <c r="R112" s="98">
        <f t="shared" si="4"/>
      </c>
      <c r="S112" s="99">
        <f t="shared" si="2"/>
      </c>
      <c r="T112" s="99">
        <f t="shared" si="0"/>
      </c>
      <c r="U112" s="112" t="s">
        <v>226</v>
      </c>
      <c r="V112" s="112">
        <v>7</v>
      </c>
      <c r="W112" s="94"/>
      <c r="X112" s="94"/>
      <c r="Y112" s="94"/>
      <c r="Z112" s="94"/>
      <c r="AA112" s="100">
        <v>26348</v>
      </c>
      <c r="AB112" s="100">
        <v>1903</v>
      </c>
      <c r="AC112" s="100">
        <v>2920</v>
      </c>
      <c r="AD112" s="100">
        <v>601</v>
      </c>
      <c r="AE112" s="94">
        <v>101</v>
      </c>
      <c r="AF112" s="94">
        <v>11</v>
      </c>
      <c r="AG112" s="94">
        <v>153</v>
      </c>
      <c r="AH112" s="94">
        <v>0</v>
      </c>
      <c r="AI112" s="101">
        <f t="shared" si="32"/>
      </c>
      <c r="AJ112" s="101">
        <f t="shared" si="5"/>
      </c>
      <c r="AK112" s="101">
        <f t="shared" si="33"/>
      </c>
      <c r="AL112" s="102">
        <f t="shared" si="3"/>
      </c>
      <c r="AM112" s="103">
        <f t="shared" si="1"/>
      </c>
      <c r="AN112" s="104"/>
    </row>
    <row r="113">
      <c r="A113" s="111">
        <v>46265</v>
      </c>
      <c r="B113" s="114" t="s">
        <v>207</v>
      </c>
      <c r="C113" s="89" t="s">
        <v>231</v>
      </c>
      <c r="D113" s="121">
        <f>4-1</f>
      </c>
      <c r="E113" s="112">
        <v>18</v>
      </c>
      <c r="F113" s="95">
        <v>10</v>
      </c>
      <c r="G113" s="94">
        <v>6</v>
      </c>
      <c r="H113" s="112">
        <v>10</v>
      </c>
      <c r="I113" s="94">
        <v>2345.2599999999998</v>
      </c>
      <c r="J113" s="120">
        <v>0</v>
      </c>
      <c r="K113" s="120">
        <v>0</v>
      </c>
      <c r="L113" s="120">
        <v>10</v>
      </c>
      <c r="M113" s="119">
        <v>28143.119999999995</v>
      </c>
      <c r="N113" s="122">
        <v>5</v>
      </c>
      <c r="O113" s="119">
        <v>1551.71</v>
      </c>
      <c r="P113" s="89">
        <f t="shared" si="31"/>
      </c>
      <c r="Q113" s="97">
        <v>9966.82</v>
      </c>
      <c r="R113" s="98">
        <f t="shared" si="4"/>
      </c>
      <c r="S113" s="99">
        <f t="shared" si="2"/>
      </c>
      <c r="T113" s="99">
        <f t="shared" si="0"/>
      </c>
      <c r="U113" s="94"/>
      <c r="V113" s="94"/>
      <c r="W113" s="94"/>
      <c r="X113" s="94"/>
      <c r="Y113" s="94" t="s">
        <v>201</v>
      </c>
      <c r="Z113" s="112">
        <v>15</v>
      </c>
      <c r="AA113" s="94">
        <v>37743</v>
      </c>
      <c r="AB113" s="94">
        <v>2175</v>
      </c>
      <c r="AC113" s="94">
        <v>3440</v>
      </c>
      <c r="AD113" s="94">
        <v>777</v>
      </c>
      <c r="AE113" s="94">
        <v>126</v>
      </c>
      <c r="AF113" s="94">
        <v>35</v>
      </c>
      <c r="AG113" s="94">
        <v>320</v>
      </c>
      <c r="AH113" s="94">
        <v>3</v>
      </c>
      <c r="AI113" s="101">
        <f t="shared" si="32"/>
      </c>
      <c r="AJ113" s="101">
        <f t="shared" si="5"/>
      </c>
      <c r="AK113" s="101">
        <f t="shared" si="33"/>
      </c>
      <c r="AL113" s="102">
        <f t="shared" si="3"/>
      </c>
      <c r="AM113" s="103">
        <f t="shared" si="1"/>
      </c>
      <c r="AN113" s="104"/>
    </row>
    <row r="114">
      <c r="A114" s="111">
        <v>46265</v>
      </c>
      <c r="B114" s="114" t="s">
        <v>220</v>
      </c>
      <c r="C114" s="89" t="s">
        <v>205</v>
      </c>
      <c r="D114" s="89">
        <v>4</v>
      </c>
      <c r="E114" s="94">
        <v>15</v>
      </c>
      <c r="F114" s="95">
        <v>11</v>
      </c>
      <c r="G114" s="94">
        <v>7</v>
      </c>
      <c r="H114" s="112">
        <v>11</v>
      </c>
      <c r="I114" s="94">
        <v>1980.75</v>
      </c>
      <c r="J114" s="120">
        <v>0</v>
      </c>
      <c r="K114" s="120">
        <v>0</v>
      </c>
      <c r="L114" s="120">
        <v>11</v>
      </c>
      <c r="M114" s="119">
        <v>23769</v>
      </c>
      <c r="N114" s="122">
        <v>5</v>
      </c>
      <c r="O114" s="122">
        <v>1001.45</v>
      </c>
      <c r="P114" s="89">
        <f t="shared" si="31"/>
      </c>
      <c r="Q114" s="97">
        <v>14941</v>
      </c>
      <c r="R114" s="98">
        <f t="shared" si="4"/>
      </c>
      <c r="S114" s="99">
        <f t="shared" si="2"/>
      </c>
      <c r="T114" s="99">
        <f t="shared" si="0"/>
      </c>
      <c r="U114" s="112" t="s">
        <v>200</v>
      </c>
      <c r="V114" s="112">
        <v>4</v>
      </c>
      <c r="W114" s="94"/>
      <c r="X114" s="94"/>
      <c r="Y114" s="94"/>
      <c r="Z114" s="94"/>
      <c r="AA114" s="94">
        <v>58816</v>
      </c>
      <c r="AB114" s="94">
        <v>3504</v>
      </c>
      <c r="AC114" s="94">
        <v>5462</v>
      </c>
      <c r="AD114" s="94">
        <v>1095</v>
      </c>
      <c r="AE114" s="94">
        <v>179</v>
      </c>
      <c r="AF114" s="94">
        <v>35</v>
      </c>
      <c r="AG114" s="94">
        <v>430</v>
      </c>
      <c r="AH114" s="94">
        <v>4</v>
      </c>
      <c r="AI114" s="101">
        <f t="shared" si="32"/>
      </c>
      <c r="AJ114" s="101">
        <f t="shared" si="5"/>
      </c>
      <c r="AK114" s="101">
        <f t="shared" si="33"/>
      </c>
      <c r="AL114" s="102">
        <f t="shared" si="3"/>
      </c>
      <c r="AM114" s="103">
        <f t="shared" si="1"/>
      </c>
      <c r="AN114" s="104"/>
    </row>
    <row r="115">
      <c r="A115" s="111">
        <v>46265</v>
      </c>
      <c r="B115" s="114" t="s">
        <v>225</v>
      </c>
      <c r="C115" s="89" t="s">
        <v>203</v>
      </c>
      <c r="D115" s="89">
        <v>4</v>
      </c>
      <c r="E115" s="94">
        <v>7</v>
      </c>
      <c r="F115" s="95">
        <v>3</v>
      </c>
      <c r="G115" s="94">
        <v>3</v>
      </c>
      <c r="H115" s="112">
        <v>3</v>
      </c>
      <c r="I115" s="94">
        <v>705.84</v>
      </c>
      <c r="J115" s="120">
        <v>0</v>
      </c>
      <c r="K115" s="120">
        <v>0</v>
      </c>
      <c r="L115" s="120">
        <v>3</v>
      </c>
      <c r="M115" s="119">
        <v>8470.08</v>
      </c>
      <c r="N115" s="122">
        <v>2</v>
      </c>
      <c r="O115" s="119">
        <v>644.19</v>
      </c>
      <c r="P115" s="89">
        <f t="shared" si="31"/>
      </c>
      <c r="Q115" s="97">
        <v>10585.38</v>
      </c>
      <c r="R115" s="98">
        <f t="shared" si="4"/>
      </c>
      <c r="S115" s="99">
        <f t="shared" si="2"/>
      </c>
      <c r="T115" s="99">
        <f t="shared" si="0"/>
      </c>
      <c r="U115" s="112" t="s">
        <v>206</v>
      </c>
      <c r="V115" s="112">
        <v>4</v>
      </c>
      <c r="W115" s="94"/>
      <c r="X115" s="94"/>
      <c r="Y115" s="94"/>
      <c r="Z115" s="94"/>
      <c r="AA115" s="94">
        <v>44731</v>
      </c>
      <c r="AB115" s="94">
        <v>1935</v>
      </c>
      <c r="AC115" s="94">
        <v>2969</v>
      </c>
      <c r="AD115" s="94">
        <v>569</v>
      </c>
      <c r="AE115" s="94">
        <v>154</v>
      </c>
      <c r="AF115" s="94">
        <v>29</v>
      </c>
      <c r="AG115" s="94">
        <v>245</v>
      </c>
      <c r="AH115" s="94">
        <v>1</v>
      </c>
      <c r="AI115" s="101">
        <f t="shared" si="32"/>
      </c>
      <c r="AJ115" s="101">
        <f t="shared" si="5"/>
      </c>
      <c r="AK115" s="101">
        <f t="shared" si="33"/>
      </c>
      <c r="AL115" s="102">
        <f t="shared" si="3"/>
      </c>
      <c r="AM115" s="103">
        <f t="shared" si="1"/>
      </c>
      <c r="AN115" s="104"/>
    </row>
    <row r="116">
      <c r="A116" s="105">
        <v>46265</v>
      </c>
      <c r="B116" s="106"/>
      <c r="C116" s="116" t="s">
        <v>235</v>
      </c>
      <c r="D116" s="106">
        <f>D112+D113+D114+D115</f>
      </c>
      <c r="E116" s="106">
        <f>E112+E113+E114+E115</f>
      </c>
      <c r="F116" s="106">
        <f>F112+F113+F114+F115</f>
      </c>
      <c r="G116" s="106">
        <f>G112+G113+G114+G115</f>
      </c>
      <c r="H116" s="106">
        <f>H112+H113+H114+H115</f>
      </c>
      <c r="I116" s="106">
        <f>I112+I113+I114+I115</f>
      </c>
      <c r="J116" s="123">
        <f>J112+J113+J114+J115</f>
      </c>
      <c r="K116" s="123">
        <f>K112+K113+K114+K115</f>
      </c>
      <c r="L116" s="123">
        <f>L112+L113+L114+L115</f>
      </c>
      <c r="M116" s="123">
        <f>M112+M113+M114+M115</f>
      </c>
      <c r="N116" s="123">
        <f>N112+N113+N114+N115</f>
      </c>
      <c r="O116" s="123">
        <f>O112+O113+O114+O115</f>
      </c>
      <c r="P116" s="106">
        <f>P112+P113+P114+P115</f>
      </c>
      <c r="Q116" s="106">
        <f>Q112+Q113+Q114+Q115</f>
      </c>
      <c r="R116" s="107">
        <f t="shared" si="4"/>
      </c>
      <c r="S116" s="107">
        <f t="shared" si="2"/>
      </c>
      <c r="T116" s="107">
        <f t="shared" si="0"/>
      </c>
      <c r="U116" s="108"/>
      <c r="V116" s="106">
        <f>V112+V113+V115+V114</f>
      </c>
      <c r="W116" s="108"/>
      <c r="X116" s="106">
        <f>SUM(X112:X113)</f>
      </c>
      <c r="Y116" s="108"/>
      <c r="Z116" s="116">
        <f>Z112+Z113+Z114+Z115</f>
      </c>
      <c r="AA116" s="106">
        <f>AA112+AA113+AA115+AA114</f>
      </c>
      <c r="AB116" s="106">
        <f>AB112+AB113+AB115+AB114</f>
      </c>
      <c r="AC116" s="106">
        <f>AC112+AC113+AC115+AC114</f>
      </c>
      <c r="AD116" s="106">
        <f>AD112+AD113+AD115+AD114</f>
      </c>
      <c r="AE116" s="106">
        <f>AE112+AE113+AE115+AE114</f>
      </c>
      <c r="AF116" s="106">
        <f>AF112+AF113+AF115+AF114</f>
      </c>
      <c r="AG116" s="106">
        <f>AG112+AG113+AG115+AG114</f>
      </c>
      <c r="AH116" s="106">
        <f>AH112+AH113+AH115+AH114</f>
      </c>
      <c r="AI116" s="109">
        <f t="shared" si="32"/>
      </c>
      <c r="AJ116" s="109">
        <f t="shared" si="5"/>
      </c>
      <c r="AK116" s="109">
        <f t="shared" si="33"/>
      </c>
      <c r="AL116" s="109">
        <f t="shared" si="3"/>
      </c>
      <c r="AM116" s="110">
        <f t="shared" si="1"/>
      </c>
      <c r="AN116" s="109">
        <f>F116/AE116</f>
      </c>
    </row>
    <row r="117">
      <c r="P117" s="125"/>
      <c r="Q117" s="126"/>
      <c r="R117" s="127"/>
      <c r="AA117">
        <f>AA118-AA116</f>
      </c>
      <c r="AB117">
        <f>AB118-AB116</f>
      </c>
      <c r="AC117">
        <f>AC118-AC116</f>
      </c>
      <c r="AD117">
        <f>AD118-AD116</f>
      </c>
      <c r="AE117">
        <f>AE118-AE116</f>
      </c>
      <c r="AF117">
        <f>AF118-AF116</f>
      </c>
      <c r="AG117">
        <f>AG118-AG116</f>
      </c>
      <c r="AH117">
        <f>AH118-AH116</f>
      </c>
    </row>
    <row r="118">
      <c r="AA118">
        <v>167638</v>
      </c>
      <c r="AB118">
        <v>9517</v>
      </c>
      <c r="AC118">
        <v>14791</v>
      </c>
      <c r="AD118">
        <v>3042</v>
      </c>
      <c r="AE118">
        <v>560</v>
      </c>
      <c r="AF118">
        <v>110</v>
      </c>
      <c r="AG118">
        <v>1148</v>
      </c>
      <c r="AH118">
        <v>8</v>
      </c>
    </row>
    <row r="119"/>
    <row r="120">
      <c r="AH120" s="128"/>
    </row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>
      <c r="A137" s="129"/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  <c r="AA137" s="129"/>
      <c r="AB137" s="129"/>
      <c r="AC137" s="129"/>
      <c r="AD137" s="129"/>
      <c r="AE137" s="129"/>
      <c r="AF137" s="129"/>
      <c r="AG137" s="129"/>
      <c r="AH137" s="129"/>
      <c r="AI137" s="129"/>
      <c r="AJ137" s="129"/>
      <c r="AK137" s="129"/>
      <c r="AL137" s="129"/>
      <c r="AM137" s="129"/>
      <c r="AN137" s="129"/>
    </row>
  </sheetData>
  <autoFilter ref="A1:BA298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11.211267605633802"/>
    <col collapsed="false" customWidth="true" hidden="false" max="3" min="3" style="0" width="11.211267605633802"/>
    <col collapsed="false" customWidth="true" hidden="false" max="4" min="4" style="0" width="11.211267605633802"/>
    <col collapsed="false" customWidth="true" hidden="false" max="1" min="1" style="0" width="11.211267605633802"/>
  </cols>
  <sheetData>
    <row customHeight="true" ht="16.071428571428573" r="1">
      <c r="A1" s="130" t="s">
        <v>237</v>
      </c>
      <c r="B1" s="130"/>
      <c r="C1" s="130"/>
      <c r="D1" s="130"/>
      <c r="E1" s="130"/>
      <c r="F1" s="130"/>
      <c r="G1" s="131"/>
      <c r="H1" s="132"/>
    </row>
    <row r="2">
      <c r="A2" s="133"/>
      <c r="B2" s="133"/>
      <c r="C2" s="133"/>
      <c r="D2" s="133"/>
      <c r="E2" s="134" t="s">
        <v>238</v>
      </c>
      <c r="F2" s="134" t="s">
        <v>239</v>
      </c>
      <c r="G2" s="131"/>
      <c r="H2" s="132"/>
    </row>
    <row r="3">
      <c r="A3" s="135"/>
      <c r="B3" s="131"/>
      <c r="C3" s="131"/>
      <c r="D3" s="131"/>
      <c r="E3" s="136">
        <f t="shared" ref="E3:E11" si="0">C3/D3</f>
      </c>
      <c r="F3" s="136">
        <f t="shared" ref="F3:F11" si="1">D3/B3</f>
      </c>
      <c r="G3" s="131"/>
      <c r="H3" s="132"/>
    </row>
    <row r="4">
      <c r="A4" s="135"/>
      <c r="B4" s="131"/>
      <c r="C4" s="131"/>
      <c r="D4" s="131"/>
      <c r="E4" s="136">
        <f t="shared" si="0"/>
      </c>
      <c r="F4" s="136">
        <f t="shared" si="1"/>
      </c>
      <c r="G4" s="131"/>
      <c r="H4" s="132"/>
    </row>
    <row r="5">
      <c r="A5" s="135"/>
      <c r="B5" s="131"/>
      <c r="C5" s="131"/>
      <c r="D5" s="131"/>
      <c r="E5" s="136">
        <f t="shared" si="0"/>
      </c>
      <c r="F5" s="136">
        <f t="shared" si="1"/>
      </c>
      <c r="G5" s="131"/>
      <c r="H5" s="132"/>
    </row>
    <row r="6">
      <c r="A6" s="135"/>
      <c r="B6" s="131"/>
      <c r="C6" s="131"/>
      <c r="D6" s="131"/>
      <c r="E6" s="136">
        <f t="shared" si="0"/>
      </c>
      <c r="F6" s="136">
        <f t="shared" si="1"/>
      </c>
      <c r="G6" s="131"/>
      <c r="H6" s="132"/>
    </row>
    <row r="7">
      <c r="A7" s="135"/>
      <c r="B7" s="131"/>
      <c r="C7" s="131"/>
      <c r="D7" s="131"/>
      <c r="E7" s="136">
        <f t="shared" si="0"/>
      </c>
      <c r="F7" s="136">
        <f t="shared" si="1"/>
      </c>
      <c r="G7" s="131"/>
      <c r="H7" s="132"/>
    </row>
    <row r="8">
      <c r="A8" s="135"/>
      <c r="B8" s="131"/>
      <c r="C8" s="131"/>
      <c r="D8" s="131"/>
      <c r="E8" s="136">
        <f t="shared" si="0"/>
      </c>
      <c r="F8" s="136">
        <f t="shared" si="1"/>
      </c>
      <c r="G8" s="131"/>
      <c r="H8" s="132"/>
    </row>
    <row r="9">
      <c r="A9" s="135"/>
      <c r="B9" s="131"/>
      <c r="C9" s="131"/>
      <c r="D9" s="131"/>
      <c r="E9" s="136">
        <f t="shared" si="0"/>
      </c>
      <c r="F9" s="136">
        <f t="shared" si="1"/>
      </c>
      <c r="G9" s="131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</row>
    <row r="10">
      <c r="A10" s="137"/>
      <c r="B10" s="138"/>
      <c r="C10" s="138"/>
      <c r="D10" s="138"/>
      <c r="E10" s="139">
        <f t="shared" si="0"/>
      </c>
      <c r="F10" s="139">
        <f t="shared" si="1"/>
      </c>
      <c r="G10" s="140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</row>
    <row r="11">
      <c r="A11" s="142"/>
      <c r="B11" s="142"/>
      <c r="C11" s="142"/>
      <c r="D11" s="142"/>
      <c r="E11" s="143">
        <f t="shared" si="0"/>
      </c>
      <c r="F11" s="143">
        <f t="shared" si="1"/>
      </c>
      <c r="G11" s="144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</row>
    <row r="12">
      <c r="A12" s="131"/>
      <c r="B12" s="132"/>
      <c r="C12" s="132"/>
      <c r="D12" s="132"/>
      <c r="E12" s="136"/>
      <c r="F12" s="136"/>
      <c r="G12" s="132"/>
      <c r="H12" s="132"/>
    </row>
    <row r="13">
      <c r="A13" s="131"/>
      <c r="B13" s="132"/>
      <c r="C13" s="132"/>
      <c r="D13" s="132"/>
      <c r="E13" s="132"/>
      <c r="F13" s="132"/>
      <c r="G13" s="132"/>
      <c r="H13" s="132"/>
    </row>
    <row r="14">
      <c r="A14" s="131"/>
      <c r="B14" s="132"/>
      <c r="C14" s="132"/>
      <c r="D14" s="145"/>
      <c r="E14" s="132"/>
      <c r="F14" s="132"/>
      <c r="G14" s="132"/>
    </row>
    <row r="15">
      <c r="A15" s="131"/>
    </row>
    <row r="16">
      <c r="A16" s="131"/>
    </row>
    <row r="17">
      <c r="A17" s="131"/>
    </row>
    <row r="18">
      <c r="A18" s="131"/>
    </row>
    <row r="19">
      <c r="A19" s="131"/>
    </row>
    <row r="20">
      <c r="A20" s="131"/>
    </row>
    <row r="21">
      <c r="A21" s="131"/>
    </row>
    <row r="22">
      <c r="A22" s="131"/>
    </row>
    <row r="23">
      <c r="A23" s="131"/>
    </row>
    <row r="24">
      <c r="A24" s="131"/>
    </row>
    <row r="25">
      <c r="A25" s="131"/>
    </row>
    <row r="26">
      <c r="A26" s="131"/>
    </row>
    <row r="27">
      <c r="A27" s="131"/>
    </row>
    <row r="28">
      <c r="A28" s="131"/>
    </row>
    <row r="29">
      <c r="A29" s="131"/>
    </row>
    <row r="30">
      <c r="A30" s="131"/>
    </row>
    <row r="31">
      <c r="A31" s="131"/>
    </row>
    <row r="32">
      <c r="A32" s="131"/>
    </row>
    <row r="33">
      <c r="A33" s="131"/>
    </row>
    <row r="34">
      <c r="A34" s="131"/>
    </row>
    <row r="35">
      <c r="A35" s="131"/>
    </row>
    <row r="36">
      <c r="A36" s="131"/>
    </row>
    <row r="37">
      <c r="A37" s="131"/>
    </row>
    <row r="38">
      <c r="A38" s="131"/>
    </row>
    <row r="39">
      <c r="A39" s="131"/>
    </row>
    <row r="40">
      <c r="A40" s="131"/>
    </row>
    <row r="41">
      <c r="A41" s="131"/>
    </row>
    <row r="42">
      <c r="A42" s="131"/>
    </row>
    <row r="43">
      <c r="A43" s="131"/>
    </row>
    <row r="44">
      <c r="A44" s="131"/>
    </row>
    <row r="45">
      <c r="A45" s="131"/>
    </row>
    <row r="46">
      <c r="A46" s="131"/>
    </row>
    <row r="47">
      <c r="A47" s="131"/>
    </row>
    <row r="48">
      <c r="A48" s="131"/>
    </row>
    <row r="49">
      <c r="A49" s="131"/>
    </row>
    <row r="50">
      <c r="A50" s="131"/>
    </row>
    <row r="51">
      <c r="A51" s="131"/>
    </row>
    <row r="52">
      <c r="A52" s="131"/>
    </row>
    <row r="53">
      <c r="A53" s="131"/>
    </row>
    <row r="54">
      <c r="A54" s="131"/>
    </row>
    <row r="55">
      <c r="A55" s="131"/>
    </row>
    <row r="56">
      <c r="A56" s="131"/>
    </row>
    <row r="57">
      <c r="A57" s="131"/>
    </row>
    <row r="58">
      <c r="A58" s="131"/>
    </row>
    <row r="59">
      <c r="A59" s="131"/>
    </row>
    <row r="60">
      <c r="A60" s="131"/>
    </row>
    <row r="61">
      <c r="A61" s="131"/>
    </row>
    <row r="62">
      <c r="A62" s="131"/>
    </row>
    <row r="63">
      <c r="A63" s="131"/>
    </row>
    <row r="64">
      <c r="A64" s="131"/>
    </row>
    <row r="65">
      <c r="A65" s="131"/>
    </row>
    <row r="66">
      <c r="A66" s="131"/>
    </row>
    <row r="67">
      <c r="A67" s="131"/>
    </row>
    <row r="68">
      <c r="A68" s="131"/>
    </row>
    <row r="69">
      <c r="A69" s="131"/>
    </row>
    <row r="70">
      <c r="A70" s="131"/>
    </row>
    <row r="71">
      <c r="A71" s="131"/>
    </row>
    <row r="72">
      <c r="A72" s="131"/>
    </row>
    <row r="73">
      <c r="A73" s="131"/>
    </row>
    <row r="74">
      <c r="A74" s="131"/>
    </row>
    <row r="75">
      <c r="A75" s="131"/>
    </row>
    <row r="76">
      <c r="A76" s="131"/>
    </row>
    <row r="77">
      <c r="A77" s="131"/>
    </row>
    <row r="78">
      <c r="A78" s="131"/>
    </row>
    <row r="79">
      <c r="A79" s="131"/>
    </row>
    <row r="80">
      <c r="A80" s="131"/>
    </row>
    <row r="81">
      <c r="A81" s="131"/>
    </row>
    <row r="82">
      <c r="A82" s="131"/>
    </row>
    <row r="83">
      <c r="A83" s="131"/>
    </row>
    <row r="84">
      <c r="A84" s="131"/>
    </row>
    <row r="85">
      <c r="A85" s="131"/>
    </row>
    <row r="86">
      <c r="A86" s="131"/>
    </row>
    <row r="87">
      <c r="A87" s="131"/>
    </row>
    <row r="88">
      <c r="A88" s="131"/>
    </row>
    <row r="89">
      <c r="A89" s="131"/>
    </row>
    <row r="90">
      <c r="A90" s="131"/>
    </row>
    <row r="91">
      <c r="A91" s="131"/>
    </row>
    <row r="92">
      <c r="A92" s="131"/>
    </row>
    <row r="93">
      <c r="A93" s="131"/>
    </row>
    <row r="94">
      <c r="A94" s="131"/>
    </row>
    <row r="95">
      <c r="A95" s="131"/>
    </row>
    <row r="96">
      <c r="A96" s="131"/>
    </row>
    <row r="97">
      <c r="A97" s="131"/>
    </row>
    <row r="98">
      <c r="A98" s="131"/>
    </row>
    <row r="99">
      <c r="A99" s="131"/>
    </row>
    <row r="100">
      <c r="A100" s="131"/>
    </row>
    <row r="101">
      <c r="A101" s="131"/>
    </row>
    <row r="102">
      <c r="A102" s="131"/>
    </row>
    <row r="103">
      <c r="A103" s="131"/>
    </row>
    <row r="104">
      <c r="A104" s="131"/>
    </row>
    <row r="105">
      <c r="A105" s="131"/>
    </row>
    <row r="106">
      <c r="A106" s="131"/>
    </row>
    <row r="107">
      <c r="A107" s="131"/>
    </row>
    <row r="108">
      <c r="A108" s="131"/>
    </row>
    <row r="109">
      <c r="A109" s="131"/>
    </row>
    <row r="110">
      <c r="A110" s="131"/>
    </row>
    <row r="111">
      <c r="A111" s="131"/>
    </row>
    <row r="112">
      <c r="A112" s="131"/>
    </row>
    <row r="113">
      <c r="A113" s="131"/>
    </row>
    <row r="114">
      <c r="A114" s="131"/>
    </row>
    <row r="115">
      <c r="A115" s="131"/>
    </row>
    <row r="116">
      <c r="A116" s="131"/>
    </row>
    <row r="117">
      <c r="A117" s="131"/>
    </row>
    <row r="118">
      <c r="A118" s="131"/>
    </row>
    <row r="119">
      <c r="A119" s="131"/>
    </row>
    <row r="120">
      <c r="A120" s="131"/>
    </row>
    <row r="121">
      <c r="A121" s="131"/>
    </row>
    <row r="122">
      <c r="A122" s="131"/>
    </row>
    <row r="123">
      <c r="A123" s="131"/>
    </row>
    <row r="124">
      <c r="A124" s="131"/>
    </row>
    <row r="125">
      <c r="A125" s="131"/>
    </row>
    <row r="126">
      <c r="A126" s="131"/>
    </row>
    <row r="127">
      <c r="A127" s="131"/>
    </row>
    <row r="128">
      <c r="A128" s="131"/>
    </row>
    <row r="129">
      <c r="A129" s="131"/>
    </row>
    <row r="130">
      <c r="A130" s="131"/>
    </row>
    <row r="131">
      <c r="A131" s="131"/>
    </row>
    <row r="132">
      <c r="A132" s="131"/>
    </row>
    <row r="133">
      <c r="A133" s="131"/>
    </row>
    <row r="134">
      <c r="A134" s="131"/>
    </row>
    <row r="135">
      <c r="A135" s="131"/>
    </row>
    <row r="136">
      <c r="A136" s="131"/>
    </row>
    <row r="137">
      <c r="A137" s="131"/>
    </row>
    <row r="138">
      <c r="A138" s="131"/>
    </row>
    <row r="139">
      <c r="A139" s="131"/>
    </row>
    <row r="140">
      <c r="A140" s="131"/>
    </row>
    <row r="141">
      <c r="A141" s="131"/>
    </row>
    <row r="142">
      <c r="A142" s="131"/>
    </row>
    <row r="143">
      <c r="A143" s="131"/>
    </row>
    <row r="144">
      <c r="A144" s="131"/>
    </row>
    <row r="145">
      <c r="A145" s="131"/>
    </row>
    <row r="146">
      <c r="A146" s="131"/>
    </row>
    <row r="147">
      <c r="A147" s="131"/>
    </row>
    <row r="148">
      <c r="A148" s="131"/>
    </row>
    <row r="149">
      <c r="A149" s="131"/>
    </row>
    <row r="150">
      <c r="A150" s="131"/>
    </row>
    <row r="151">
      <c r="A151" s="131"/>
    </row>
    <row r="152">
      <c r="A152" s="131"/>
    </row>
    <row r="153">
      <c r="A153" s="131"/>
    </row>
    <row r="154">
      <c r="A154" s="131"/>
    </row>
    <row r="155">
      <c r="A155" s="131"/>
    </row>
    <row r="156">
      <c r="A156" s="131"/>
    </row>
    <row r="157">
      <c r="A157" s="131"/>
    </row>
    <row r="158">
      <c r="A158" s="131"/>
    </row>
    <row r="159">
      <c r="A159" s="131"/>
    </row>
    <row r="160">
      <c r="A160" s="131"/>
    </row>
    <row r="161">
      <c r="A161" s="131"/>
    </row>
    <row r="162">
      <c r="A162" s="131"/>
    </row>
    <row r="163">
      <c r="A163" s="131"/>
    </row>
    <row r="164">
      <c r="A164" s="131"/>
    </row>
    <row r="165">
      <c r="A165" s="131"/>
    </row>
    <row r="166">
      <c r="A166" s="131"/>
    </row>
    <row r="167">
      <c r="A167" s="131"/>
    </row>
    <row r="168">
      <c r="A168" s="131"/>
    </row>
    <row r="169">
      <c r="A169" s="131"/>
    </row>
    <row r="170">
      <c r="A170" s="131"/>
    </row>
    <row r="171">
      <c r="A171" s="131"/>
    </row>
    <row r="172">
      <c r="A172" s="131"/>
    </row>
    <row r="173">
      <c r="A173" s="131"/>
    </row>
    <row r="174">
      <c r="A174" s="131"/>
    </row>
    <row r="175">
      <c r="A175" s="131"/>
    </row>
    <row r="176">
      <c r="A176" s="131"/>
    </row>
    <row r="177">
      <c r="A177" s="131"/>
    </row>
    <row r="178">
      <c r="A178" s="131"/>
    </row>
    <row r="179">
      <c r="A179" s="131"/>
    </row>
    <row r="180">
      <c r="A180" s="131"/>
    </row>
    <row r="181">
      <c r="A181" s="131"/>
    </row>
    <row r="182">
      <c r="A182" s="131"/>
    </row>
    <row r="183">
      <c r="A183" s="131"/>
    </row>
    <row r="184">
      <c r="A184" s="131"/>
    </row>
    <row r="185">
      <c r="A185" s="131"/>
    </row>
    <row r="186">
      <c r="A186" s="131"/>
    </row>
    <row r="187">
      <c r="A187" s="131"/>
    </row>
    <row r="188">
      <c r="A188" s="131"/>
    </row>
    <row r="189">
      <c r="A189" s="131"/>
    </row>
    <row r="190">
      <c r="A190" s="131"/>
    </row>
    <row r="191">
      <c r="A191" s="131"/>
    </row>
    <row r="192">
      <c r="A192" s="131"/>
    </row>
    <row r="193">
      <c r="A193" s="131"/>
    </row>
    <row r="194">
      <c r="A194" s="131"/>
    </row>
    <row r="195">
      <c r="A195" s="131"/>
    </row>
    <row r="196">
      <c r="A196" s="131"/>
    </row>
    <row r="197">
      <c r="A197" s="131"/>
    </row>
    <row r="198">
      <c r="A198" s="131"/>
    </row>
    <row r="199">
      <c r="A199" s="131"/>
    </row>
    <row r="200">
      <c r="A200" s="131"/>
    </row>
    <row r="201">
      <c r="A201" s="131"/>
    </row>
  </sheetData>
  <mergeCells>
    <mergeCell ref="A1:F1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1.211267605633802"/>
    <col collapsed="false" customWidth="true" hidden="false" max="2" min="2" style="0" width="11.211267605633802"/>
    <col collapsed="false" customWidth="true" hidden="false" max="3" min="3" style="0" width="11.211267605633802"/>
    <col collapsed="false" customWidth="true" hidden="false" max="4" min="4" style="0" width="11.211267605633802"/>
  </cols>
  <sheetData>
    <row r="1">
      <c r="E1" s="146" t="s">
        <v>240</v>
      </c>
      <c r="F1" s="146" t="s">
        <v>241</v>
      </c>
    </row>
    <row r="2">
      <c r="E2" s="147">
        <f t="shared" ref="E2:E9" si="0">C2/D2</f>
      </c>
      <c r="F2" s="147">
        <f t="shared" ref="F2:F9" si="1">D2/B2</f>
      </c>
    </row>
    <row r="3">
      <c r="E3" s="147">
        <f t="shared" si="0"/>
      </c>
      <c r="F3" s="147">
        <f t="shared" si="1"/>
      </c>
    </row>
    <row r="4">
      <c r="E4" s="147">
        <f t="shared" si="0"/>
      </c>
      <c r="F4" s="147">
        <f t="shared" si="1"/>
      </c>
    </row>
    <row r="5">
      <c r="E5" s="147">
        <f t="shared" si="0"/>
      </c>
      <c r="F5" s="147">
        <f t="shared" si="1"/>
      </c>
    </row>
    <row r="6">
      <c r="E6" s="147">
        <f t="shared" si="0"/>
      </c>
      <c r="F6" s="147">
        <f t="shared" si="1"/>
      </c>
    </row>
    <row r="7">
      <c r="E7" s="147">
        <f t="shared" si="0"/>
      </c>
      <c r="F7" s="147">
        <f t="shared" si="1"/>
      </c>
    </row>
    <row r="8">
      <c r="E8" s="147">
        <f t="shared" si="0"/>
      </c>
      <c r="F8" s="147">
        <f t="shared" si="1"/>
      </c>
    </row>
    <row r="9">
      <c r="E9" s="147">
        <f t="shared" si="0"/>
      </c>
      <c r="F9" s="147">
        <f t="shared" si="1"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